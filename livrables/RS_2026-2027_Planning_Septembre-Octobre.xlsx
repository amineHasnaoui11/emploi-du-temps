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Planning" sheetId="2" state="visible" r:id="rId2"/>
    <sheet name="Référentiels" sheetId="3" state="visible" r:id="rId3"/>
    <sheet name="S1 14-20 sept" sheetId="4" state="visible" r:id="rId4"/>
    <sheet name="S2 21-27 sept" sheetId="5" state="visible" r:id="rId5"/>
    <sheet name="S3 28 sept-04 oct" sheetId="6" state="visible" r:id="rId6"/>
    <sheet name="S4 05-11 oct" sheetId="7" state="visible" r:id="rId7"/>
    <sheet name="S5 12-18 oct" sheetId="8" state="visible" r:id="rId8"/>
    <sheet name="S6 19-25 oct" sheetId="9" state="visible" r:id="rId9"/>
    <sheet name="S7 26 oct-01 nov" sheetId="10" state="visible" r:id="rId10"/>
    <sheet name="Vue Enseignants" sheetId="11" state="visible" r:id="rId11"/>
    <sheet name="Contrôles" sheetId="12" state="visible" r:id="rId12"/>
    <sheet name="Récapitulatif" sheetId="13" state="visible" r:id="rId13"/>
  </sheets>
  <definedNames>
    <definedName name="LST_Classes">Référentiels!$B$5:$B$27</definedName>
    <definedName name="LST_Matieres">Référentiels!$G$5:$G$24</definedName>
    <definedName name="LST_Profs">Référentiels!$K$5:$K$41</definedName>
    <definedName name="LST_Salles">Référentiels!$O$5:$O$16</definedName>
    <definedName name="LST_Modes">Référentiels!$Q$5:$Q$7</definedName>
    <definedName name="LST_Rythmes">Référentiels!$S$5:$S$9</definedName>
    <definedName name="_xlnm.Print_Area" localSheetId="0">'Sommaire'!$B$1:$E$57</definedName>
    <definedName name="_xlnm._FilterDatabase" localSheetId="1" hidden="1">'Planning'!$A$3:$Z$704</definedName>
    <definedName name="_xlnm.Print_Titles" localSheetId="1">'Planning'!$1:$3</definedName>
    <definedName name="_xlnm.Print_Area" localSheetId="1">'Planning'!$A$1:$R$704</definedName>
    <definedName name="_xlnm.Print_Titles" localSheetId="2">'Référentiels'!$1:$4</definedName>
    <definedName name="_xlnm.Print_Area" localSheetId="2">'Référentiels'!$A$1:$Z$27</definedName>
    <definedName name="_xlnm.Print_Titles" localSheetId="3">'S1 14-20 sept'!$1:$3</definedName>
    <definedName name="_xlnm.Print_Area" localSheetId="3">'S1 14-20 sept'!$A$1:$H$39</definedName>
    <definedName name="_xlnm.Print_Titles" localSheetId="4">'S2 21-27 sept'!$1:$3</definedName>
    <definedName name="_xlnm.Print_Area" localSheetId="4">'S2 21-27 sept'!$A$1:$H$38</definedName>
    <definedName name="_xlnm.Print_Titles" localSheetId="5">'S3 28 sept-04 oct'!$1:$3</definedName>
    <definedName name="_xlnm.Print_Area" localSheetId="5">'S3 28 sept-04 oct'!$A$1:$H$37</definedName>
    <definedName name="_xlnm.Print_Titles" localSheetId="6">'S4 05-11 oct'!$1:$3</definedName>
    <definedName name="_xlnm.Print_Area" localSheetId="6">'S4 05-11 oct'!$A$1:$H$36</definedName>
    <definedName name="_xlnm.Print_Titles" localSheetId="7">'S5 12-18 oct'!$1:$3</definedName>
    <definedName name="_xlnm.Print_Area" localSheetId="7">'S5 12-18 oct'!$A$1:$H$37</definedName>
    <definedName name="_xlnm.Print_Titles" localSheetId="8">'S6 19-25 oct'!$1:$3</definedName>
    <definedName name="_xlnm.Print_Area" localSheetId="8">'S6 19-25 oct'!$A$1:$H$36</definedName>
    <definedName name="_xlnm.Print_Titles" localSheetId="9">'S7 26 oct-01 nov'!$1:$3</definedName>
    <definedName name="_xlnm.Print_Area" localSheetId="9">'S7 26 oct-01 nov'!$A$1:$H$37</definedName>
    <definedName name="_xlnm._FilterDatabase" localSheetId="10" hidden="1">'Vue Enseignants'!$A$4:$S$41</definedName>
    <definedName name="_xlnm.Print_Titles" localSheetId="10">'Vue Enseignants'!$1:$4</definedName>
    <definedName name="_xlnm.Print_Area" localSheetId="10">'Vue Enseignants'!$A$1:$S$42</definedName>
    <definedName name="_xlnm.Print_Titles" localSheetId="11">'Contrôles'!$1:$3</definedName>
    <definedName name="_xlnm.Print_Area" localSheetId="11">'Contrôles'!$A$1:$F$41</definedName>
    <definedName name="_xlnm.Print_Titles" localSheetId="12">'Récapitulatif'!$1:$3</definedName>
    <definedName name="_xlnm.Print_Area" localSheetId="12">'Récapitulatif'!$A$1:$K$65</definedName>
  </definedNames>
  <calcPr calcId="124519" fullCalcOnLoad="1"/>
</workbook>
</file>

<file path=xl/styles.xml><?xml version="1.0" encoding="utf-8"?>
<styleSheet xmlns="http://schemas.openxmlformats.org/spreadsheetml/2006/main">
  <numFmts count="5">
    <numFmt numFmtId="164" formatCode="yyyy-mm-dd"/>
    <numFmt numFmtId="165" formatCode="ddd dd/mm/yyyy"/>
    <numFmt numFmtId="166" formatCode="hh:mm"/>
    <numFmt numFmtId="167" formatCode="0.0"/>
    <numFmt numFmtId="168" formatCode="0.0%"/>
  </numFmts>
  <fonts count="17">
    <font>
      <name val="Calibri"/>
      <family val="2"/>
      <color theme="1"/>
      <sz val="11"/>
      <scheme val="minor"/>
    </font>
    <font>
      <name val="Arial"/>
      <b val="1"/>
      <color rgb="00FFFFFF"/>
      <sz val="15"/>
    </font>
    <font>
      <name val="Arial"/>
      <color rgb="002E4763"/>
      <sz val="9"/>
    </font>
    <font>
      <name val="Arial"/>
      <b val="1"/>
      <color rgb="00FFFFFF"/>
      <sz val="9"/>
    </font>
    <font>
      <name val="Arial"/>
      <color rgb="001B2A41"/>
      <sz val="9"/>
    </font>
    <font>
      <name val="Arial"/>
      <color rgb="006B7A8C"/>
      <sz val="8"/>
    </font>
    <font>
      <name val="Arial"/>
      <b val="1"/>
      <color rgb="001B2A41"/>
      <sz val="9"/>
    </font>
    <font>
      <name val="Arial"/>
      <b val="1"/>
      <color rgb="00FFFFFF"/>
      <sz val="11"/>
    </font>
    <font>
      <name val="Arial"/>
      <b val="1"/>
      <color rgb="00FFFFFF"/>
      <sz val="10"/>
    </font>
    <font>
      <name val="Arial"/>
      <color rgb="001B2A41"/>
      <sz val="11"/>
    </font>
    <font>
      <name val="Arial"/>
      <b val="1"/>
      <color rgb="001B2A41"/>
      <sz val="11"/>
    </font>
    <font>
      <name val="Arial"/>
      <b val="1"/>
      <color rgb="002F6F7E"/>
      <sz val="11"/>
    </font>
    <font>
      <name val="Arial"/>
      <b val="1"/>
      <color rgb="00FFFFFF"/>
      <sz val="20"/>
    </font>
    <font>
      <name val="Arial"/>
      <color rgb="00FFFFFF"/>
      <sz val="10"/>
    </font>
    <font>
      <name val="Arial"/>
      <b val="1"/>
      <color rgb="001F5C86"/>
      <sz val="10"/>
      <u val="single"/>
    </font>
    <font>
      <name val="Arial"/>
      <b val="1"/>
      <color rgb="008A5A00"/>
      <sz val="9"/>
    </font>
    <font>
      <name val="Arial"/>
      <b val="1"/>
      <color rgb="00B03A2E"/>
      <sz val="9"/>
    </font>
  </fonts>
  <fills count="28">
    <fill>
      <patternFill/>
    </fill>
    <fill>
      <patternFill patternType="gray125"/>
    </fill>
    <fill>
      <patternFill patternType="solid">
        <fgColor rgb="001B2A41"/>
      </patternFill>
    </fill>
    <fill>
      <patternFill patternType="solid">
        <fgColor rgb="00E8EDF2"/>
      </patternFill>
    </fill>
    <fill>
      <patternFill patternType="solid">
        <fgColor rgb="002E4763"/>
      </patternFill>
    </fill>
    <fill>
      <patternFill patternType="solid">
        <fgColor rgb="002F6F7E"/>
      </patternFill>
    </fill>
    <fill>
      <patternFill patternType="solid">
        <fgColor rgb="006B7A8C"/>
      </patternFill>
    </fill>
    <fill>
      <patternFill patternType="solid">
        <fgColor rgb="003C6E91"/>
      </patternFill>
    </fill>
    <fill>
      <patternFill patternType="solid">
        <fgColor rgb="00FFFFFF"/>
      </patternFill>
    </fill>
    <fill>
      <patternFill patternType="solid">
        <fgColor rgb="00FDFAF4"/>
      </patternFill>
    </fill>
    <fill>
      <patternFill patternType="solid">
        <fgColor rgb="00EAF2F8"/>
      </patternFill>
    </fill>
    <fill>
      <patternFill patternType="solid">
        <fgColor rgb="002F7A63"/>
      </patternFill>
    </fill>
    <fill>
      <patternFill patternType="solid">
        <fgColor rgb="00E8F3EF"/>
      </patternFill>
    </fill>
    <fill>
      <patternFill patternType="solid">
        <fgColor rgb="009A6B1F"/>
      </patternFill>
    </fill>
    <fill>
      <patternFill patternType="solid">
        <fgColor rgb="00FBF3E6"/>
      </patternFill>
    </fill>
    <fill>
      <patternFill patternType="solid">
        <fgColor rgb="005B4E8C"/>
      </patternFill>
    </fill>
    <fill>
      <patternFill patternType="solid">
        <fgColor rgb="00EEEBF5"/>
      </patternFill>
    </fill>
    <fill>
      <patternFill patternType="solid">
        <fgColor rgb="00F5F7FA"/>
      </patternFill>
    </fill>
    <fill>
      <patternFill patternType="solid">
        <fgColor rgb="00FEF5E7"/>
      </patternFill>
    </fill>
    <fill>
      <patternFill patternType="solid">
        <fgColor rgb="00EAF4F5"/>
      </patternFill>
    </fill>
    <fill>
      <patternFill patternType="solid">
        <fgColor rgb="00FBE3DC"/>
      </patternFill>
    </fill>
    <fill>
      <patternFill patternType="solid">
        <fgColor rgb="00DCE8F7"/>
      </patternFill>
    </fill>
    <fill>
      <patternFill patternType="solid">
        <fgColor rgb="00DFF0E4"/>
      </patternFill>
    </fill>
    <fill>
      <patternFill patternType="solid">
        <fgColor rgb="00FDF0D5"/>
      </patternFill>
    </fill>
    <fill>
      <patternFill patternType="solid">
        <fgColor rgb="00E2E6F5"/>
      </patternFill>
    </fill>
    <fill>
      <patternFill patternType="solid">
        <fgColor rgb="00F3E1EE"/>
      </patternFill>
    </fill>
    <fill>
      <patternFill patternType="solid">
        <fgColor rgb="00FAE6CF"/>
      </patternFill>
    </fill>
    <fill>
      <patternFill patternType="solid">
        <fgColor rgb="00DCEFF2"/>
      </patternFill>
    </fill>
  </fills>
  <borders count="6">
    <border>
      <left/>
      <right/>
      <top/>
      <bottom/>
      <diagonal/>
    </border>
    <border>
      <left style="thin">
        <color rgb="00B9C4D0"/>
      </left>
      <right style="thin">
        <color rgb="00B9C4D0"/>
      </right>
      <top style="thin">
        <color rgb="00B9C4D0"/>
      </top>
      <bottom style="thin">
        <color rgb="00B9C4D0"/>
      </bottom>
    </border>
    <border>
      <left style="thin">
        <color rgb="00DDE4EB"/>
      </left>
      <right style="thin">
        <color rgb="00DDE4EB"/>
      </right>
      <top style="thin">
        <color rgb="00DDE4EB"/>
      </top>
      <bottom style="thin">
        <color rgb="00DDE4EB"/>
      </bottom>
    </border>
    <border>
      <left/>
      <right/>
      <top style="thin">
        <color rgb="00B9C4D0"/>
      </top>
      <bottom/>
      <diagonal/>
    </border>
    <border>
      <left/>
      <right style="thin">
        <color rgb="00B9C4D0"/>
      </right>
      <top style="thin">
        <color rgb="00B9C4D0"/>
      </top>
      <bottom/>
      <diagonal/>
    </border>
    <border>
      <left/>
      <right style="thin">
        <color rgb="00B9C4D0"/>
      </right>
      <top style="thin">
        <color rgb="00B9C4D0"/>
      </top>
      <bottom style="thin">
        <color rgb="00B9C4D0"/>
      </bottom>
      <diagonal/>
    </border>
  </borders>
  <cellStyleXfs count="1">
    <xf numFmtId="0" fontId="0" fillId="0" borderId="0"/>
  </cellStyleXfs>
  <cellXfs count="87">
    <xf numFmtId="0" fontId="0" fillId="0" borderId="0" pivotButton="0" quotePrefix="0" xfId="0"/>
    <xf numFmtId="0" fontId="12" fillId="2" borderId="0" applyAlignment="1" pivotButton="0" quotePrefix="0" xfId="0">
      <alignment horizontal="left" vertical="center" indent="1"/>
    </xf>
    <xf numFmtId="0" fontId="0" fillId="2" borderId="0" pivotButton="0" quotePrefix="0" xfId="0"/>
    <xf numFmtId="0" fontId="13" fillId="4" borderId="0" applyAlignment="1" pivotButton="0" quotePrefix="0" xfId="0">
      <alignment horizontal="left" vertical="center" indent="1"/>
    </xf>
    <xf numFmtId="0" fontId="0" fillId="4" borderId="0" pivotButton="0" quotePrefix="0" xfId="0"/>
    <xf numFmtId="0" fontId="8" fillId="5" borderId="1" applyAlignment="1" pivotButton="0" quotePrefix="0" xfId="0">
      <alignment horizontal="left" vertical="center" indent="1"/>
    </xf>
    <xf numFmtId="0" fontId="0" fillId="5" borderId="1" pivotButton="0" quotePrefix="0" xfId="0"/>
    <xf numFmtId="0" fontId="3" fillId="4" borderId="1" applyAlignment="1" pivotButton="0" quotePrefix="0" xfId="0">
      <alignment horizontal="center" vertical="center" wrapText="1"/>
    </xf>
    <xf numFmtId="0" fontId="14" fillId="0" borderId="2" applyAlignment="1" pivotButton="0" quotePrefix="0" xfId="0">
      <alignment horizontal="left" vertical="center" wrapText="1"/>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14" fillId="18" borderId="2" applyAlignment="1" pivotButton="0" quotePrefix="0" xfId="0">
      <alignment horizontal="left" vertical="center" wrapText="1"/>
    </xf>
    <xf numFmtId="0" fontId="4" fillId="18" borderId="2" applyAlignment="1" pivotButton="0" quotePrefix="0" xfId="0">
      <alignment horizontal="left" vertical="center" wrapText="1"/>
    </xf>
    <xf numFmtId="0" fontId="4" fillId="18" borderId="2" applyAlignment="1" pivotButton="0" quotePrefix="0" xfId="0">
      <alignment horizontal="center" vertical="center" wrapText="1"/>
    </xf>
    <xf numFmtId="0" fontId="14" fillId="19" borderId="2" applyAlignment="1" pivotButton="0" quotePrefix="0" xfId="0">
      <alignment horizontal="left" vertical="center" wrapText="1"/>
    </xf>
    <xf numFmtId="0" fontId="4" fillId="19" borderId="2" applyAlignment="1" pivotButton="0" quotePrefix="0" xfId="0">
      <alignment horizontal="left" vertical="center" wrapText="1"/>
    </xf>
    <xf numFmtId="0" fontId="4" fillId="19" borderId="2" applyAlignment="1" pivotButton="0" quotePrefix="0" xfId="0">
      <alignment horizontal="center" vertical="center" wrapText="1"/>
    </xf>
    <xf numFmtId="0" fontId="3" fillId="4" borderId="1" applyAlignment="1" pivotButton="0" quotePrefix="0" xfId="0">
      <alignment horizontal="left" vertical="center" indent="1"/>
    </xf>
    <xf numFmtId="0" fontId="6" fillId="20" borderId="2" applyAlignment="1" pivotButton="0" quotePrefix="0" xfId="0">
      <alignment horizontal="left" vertical="center" wrapText="1"/>
    </xf>
    <xf numFmtId="0" fontId="6" fillId="21" borderId="2" applyAlignment="1" pivotButton="0" quotePrefix="0" xfId="0">
      <alignment horizontal="left" vertical="center" wrapText="1"/>
    </xf>
    <xf numFmtId="0" fontId="6" fillId="22" borderId="2" applyAlignment="1" pivotButton="0" quotePrefix="0" xfId="0">
      <alignment horizontal="left" vertical="center" wrapText="1"/>
    </xf>
    <xf numFmtId="0" fontId="6" fillId="23" borderId="2" applyAlignment="1" pivotButton="0" quotePrefix="0" xfId="0">
      <alignment horizontal="left" vertical="center" wrapText="1"/>
    </xf>
    <xf numFmtId="0" fontId="6" fillId="24" borderId="2" applyAlignment="1" pivotButton="0" quotePrefix="0" xfId="0">
      <alignment horizontal="left" vertical="center" wrapText="1"/>
    </xf>
    <xf numFmtId="0" fontId="6" fillId="25" borderId="2" applyAlignment="1" pivotButton="0" quotePrefix="0" xfId="0">
      <alignment horizontal="left" vertical="center" wrapText="1"/>
    </xf>
    <xf numFmtId="0" fontId="6" fillId="26" borderId="2" applyAlignment="1" pivotButton="0" quotePrefix="0" xfId="0">
      <alignment horizontal="left" vertical="center" wrapText="1"/>
    </xf>
    <xf numFmtId="0" fontId="6" fillId="27" borderId="2" applyAlignment="1" pivotButton="0" quotePrefix="0" xfId="0">
      <alignment horizontal="left" vertical="center" wrapText="1"/>
    </xf>
    <xf numFmtId="0" fontId="6" fillId="10" borderId="2" applyAlignment="1" pivotButton="0" quotePrefix="0" xfId="0">
      <alignment horizontal="left" vertical="center" wrapText="1"/>
    </xf>
    <xf numFmtId="0" fontId="6" fillId="12"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6" borderId="2" applyAlignment="1" pivotButton="0" quotePrefix="0" xfId="0">
      <alignment horizontal="left" vertical="center" wrapText="1"/>
    </xf>
    <xf numFmtId="0" fontId="15" fillId="0" borderId="2" applyAlignment="1" pivotButton="0" quotePrefix="0" xfId="0">
      <alignment horizontal="left" vertical="center" wrapText="1"/>
    </xf>
    <xf numFmtId="0" fontId="6" fillId="0" borderId="2" applyAlignment="1" pivotButton="0" quotePrefix="0" xfId="0">
      <alignment horizontal="left" vertical="center" wrapText="1"/>
    </xf>
    <xf numFmtId="0" fontId="16" fillId="0" borderId="2" applyAlignment="1" pivotButton="0" quotePrefix="0" xfId="0">
      <alignment horizontal="left" vertical="center" wrapText="1"/>
    </xf>
    <xf numFmtId="0" fontId="0" fillId="0" borderId="5" pivotButton="0" quotePrefix="0" xfId="0"/>
    <xf numFmtId="0" fontId="4" fillId="0" borderId="2" applyAlignment="1" pivotButton="0" quotePrefix="0" xfId="0">
      <alignment horizontal="left" vertical="top" wrapText="1"/>
    </xf>
    <xf numFmtId="0" fontId="4" fillId="18" borderId="2" applyAlignment="1" pivotButton="0" quotePrefix="0" xfId="0">
      <alignment horizontal="left" vertical="top" wrapText="1"/>
    </xf>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0" fillId="3" borderId="0" pivotButton="0" quotePrefix="0" xfId="0"/>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165" fontId="4" fillId="0" borderId="2" applyAlignment="1" pivotButton="0" quotePrefix="0" xfId="0">
      <alignment horizontal="center" vertical="center" wrapText="1"/>
    </xf>
    <xf numFmtId="166" fontId="4" fillId="0" borderId="2" applyAlignment="1" pivotButton="0" quotePrefix="0" xfId="0">
      <alignment horizontal="center" vertical="center" wrapText="1"/>
    </xf>
    <xf numFmtId="2" fontId="4" fillId="0"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2" applyAlignment="1" pivotButton="0" quotePrefix="0" xfId="0">
      <alignment horizontal="left" vertical="top" wrapText="1"/>
    </xf>
    <xf numFmtId="0" fontId="0" fillId="5" borderId="1" applyAlignment="1" pivotButton="0" quotePrefix="0" xfId="0">
      <alignment horizontal="center" vertical="center" wrapText="1"/>
    </xf>
    <xf numFmtId="0" fontId="6" fillId="3" borderId="1" applyAlignment="1" pivotButton="0" quotePrefix="0" xfId="0">
      <alignment horizontal="center" vertical="center" wrapText="1"/>
    </xf>
    <xf numFmtId="167" fontId="4" fillId="0" borderId="2"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7" borderId="1" applyAlignment="1" pivotButton="0" quotePrefix="0" xfId="0">
      <alignment horizontal="left" vertical="center" indent="1"/>
    </xf>
    <xf numFmtId="0" fontId="0" fillId="7" borderId="1" pivotButton="0" quotePrefix="0" xfId="0"/>
    <xf numFmtId="0" fontId="10" fillId="10" borderId="1" applyAlignment="1" pivotButton="0" quotePrefix="0" xfId="0">
      <alignment horizontal="center" vertical="center" wrapText="1"/>
    </xf>
    <xf numFmtId="0" fontId="9" fillId="8" borderId="2" applyAlignment="1" pivotButton="0" quotePrefix="0" xfId="0">
      <alignment horizontal="left" vertical="top" wrapText="1"/>
    </xf>
    <xf numFmtId="0" fontId="9" fillId="9" borderId="2" applyAlignment="1" pivotButton="0" quotePrefix="0" xfId="0">
      <alignment horizontal="left" vertical="top" wrapText="1"/>
    </xf>
    <xf numFmtId="0" fontId="8" fillId="11" borderId="1" applyAlignment="1" pivotButton="0" quotePrefix="0" xfId="0">
      <alignment horizontal="left" vertical="center" indent="1"/>
    </xf>
    <xf numFmtId="0" fontId="0" fillId="11" borderId="1" pivotButton="0" quotePrefix="0" xfId="0"/>
    <xf numFmtId="0" fontId="10" fillId="12" borderId="1" applyAlignment="1" pivotButton="0" quotePrefix="0" xfId="0">
      <alignment horizontal="center" vertical="center" wrapText="1"/>
    </xf>
    <xf numFmtId="0" fontId="0" fillId="12" borderId="1" pivotButton="0" quotePrefix="0" xfId="0"/>
    <xf numFmtId="0" fontId="8" fillId="13" borderId="1" applyAlignment="1" pivotButton="0" quotePrefix="0" xfId="0">
      <alignment horizontal="left" vertical="center" indent="1"/>
    </xf>
    <xf numFmtId="0" fontId="0" fillId="13" borderId="1" pivotButton="0" quotePrefix="0" xfId="0"/>
    <xf numFmtId="0" fontId="10" fillId="14" borderId="1" applyAlignment="1" pivotButton="0" quotePrefix="0" xfId="0">
      <alignment horizontal="center" vertical="center" wrapText="1"/>
    </xf>
    <xf numFmtId="0" fontId="0" fillId="14" borderId="1" pivotButton="0" quotePrefix="0" xfId="0"/>
    <xf numFmtId="0" fontId="8" fillId="15" borderId="1" applyAlignment="1" pivotButton="0" quotePrefix="0" xfId="0">
      <alignment horizontal="left" vertical="center" indent="1"/>
    </xf>
    <xf numFmtId="0" fontId="0" fillId="15" borderId="1" pivotButton="0" quotePrefix="0" xfId="0"/>
    <xf numFmtId="0" fontId="10" fillId="16" borderId="1" applyAlignment="1" pivotButton="0" quotePrefix="0" xfId="0">
      <alignment horizontal="center" vertical="center" wrapText="1"/>
    </xf>
    <xf numFmtId="0" fontId="0" fillId="16" borderId="1" pivotButton="0" quotePrefix="0" xfId="0"/>
    <xf numFmtId="0" fontId="6" fillId="3" borderId="2" applyAlignment="1" pivotButton="0" quotePrefix="0" xfId="0">
      <alignment horizontal="center" vertical="center" wrapText="1"/>
    </xf>
    <xf numFmtId="167" fontId="6" fillId="3" borderId="2" applyAlignment="1" pivotButton="0" quotePrefix="0" xfId="0">
      <alignment horizontal="center" vertical="center" wrapText="1"/>
    </xf>
    <xf numFmtId="167" fontId="3" fillId="4" borderId="1" applyAlignment="1" pivotButton="0" quotePrefix="0" xfId="0">
      <alignment horizontal="center" vertical="center" wrapText="1"/>
    </xf>
    <xf numFmtId="0" fontId="4" fillId="17" borderId="2" applyAlignment="1" pivotButton="0" quotePrefix="0" xfId="0">
      <alignment horizontal="center" vertical="center" wrapText="1"/>
    </xf>
    <xf numFmtId="0" fontId="6" fillId="17" borderId="2" applyAlignment="1" pivotButton="0" quotePrefix="0" xfId="0">
      <alignment horizontal="left" vertical="center" wrapText="1"/>
    </xf>
    <xf numFmtId="0" fontId="4" fillId="17" borderId="2" applyAlignment="1" pivotButton="0" quotePrefix="0" xfId="0">
      <alignment horizontal="left" vertical="center" wrapText="1"/>
    </xf>
    <xf numFmtId="0" fontId="8" fillId="2" borderId="1" applyAlignment="1" pivotButton="0" quotePrefix="0" xfId="0">
      <alignment horizontal="left" vertical="center" indent="1"/>
    </xf>
    <xf numFmtId="0" fontId="0" fillId="2" borderId="1" pivotButton="0" quotePrefix="0" xfId="0"/>
    <xf numFmtId="0" fontId="6" fillId="0" borderId="2" applyAlignment="1" pivotButton="0" quotePrefix="0" xfId="0">
      <alignment horizontal="left" vertical="top" wrapText="1"/>
    </xf>
    <xf numFmtId="0" fontId="6" fillId="17" borderId="2" applyAlignment="1" pivotButton="0" quotePrefix="0" xfId="0">
      <alignment horizontal="left" vertical="top" wrapText="1"/>
    </xf>
    <xf numFmtId="0" fontId="4" fillId="17" borderId="2" applyAlignment="1" pivotButton="0" quotePrefix="0" xfId="0">
      <alignment horizontal="left" vertical="top" wrapText="1"/>
    </xf>
    <xf numFmtId="1" fontId="11" fillId="0" borderId="2" applyAlignment="1" pivotButton="0" quotePrefix="0" xfId="0">
      <alignment horizontal="center" vertical="center" wrapText="1"/>
    </xf>
    <xf numFmtId="167" fontId="11" fillId="0" borderId="2" applyAlignment="1" pivotButton="0" quotePrefix="0" xfId="0">
      <alignment horizontal="center" vertical="center" wrapText="1"/>
    </xf>
    <xf numFmtId="167" fontId="4" fillId="17" borderId="2" applyAlignment="1" pivotButton="0" quotePrefix="0" xfId="0">
      <alignment horizontal="center" vertical="center" wrapText="1"/>
    </xf>
    <xf numFmtId="2" fontId="4" fillId="17" borderId="2" applyAlignment="1" pivotButton="0" quotePrefix="0" xfId="0">
      <alignment horizontal="center" vertical="center" wrapText="1"/>
    </xf>
    <xf numFmtId="0" fontId="6" fillId="3" borderId="2" applyAlignment="1" pivotButton="0" quotePrefix="0" xfId="0">
      <alignment horizontal="left" vertical="center" wrapText="1"/>
    </xf>
    <xf numFmtId="2" fontId="6" fillId="3" borderId="2" applyAlignment="1" pivotButton="0" quotePrefix="0" xfId="0">
      <alignment horizontal="center" vertical="center" wrapText="1"/>
    </xf>
    <xf numFmtId="168" fontId="4" fillId="0" borderId="2" applyAlignment="1" pivotButton="0" quotePrefix="0" xfId="0">
      <alignment horizontal="center" vertical="center" wrapText="1"/>
    </xf>
  </cellXfs>
  <cellStyles count="1">
    <cellStyle name="Normal" xfId="0" builtinId="0" hidden="0"/>
  </cellStyles>
  <dxfs count="24">
    <dxf>
      <fill>
        <patternFill patternType="solid">
          <fgColor rgb="00EAF2F8"/>
        </patternFill>
      </fill>
    </dxf>
    <dxf>
      <fill>
        <patternFill patternType="solid">
          <fgColor rgb="00E8F3EF"/>
        </patternFill>
      </fill>
    </dxf>
    <dxf>
      <fill>
        <patternFill patternType="solid">
          <fgColor rgb="00FBF3E6"/>
        </patternFill>
      </fill>
    </dxf>
    <dxf>
      <fill>
        <patternFill patternType="solid">
          <fgColor rgb="00EEEBF5"/>
        </patternFill>
      </fill>
    </dxf>
    <dxf>
      <fill>
        <patternFill patternType="solid">
          <fgColor rgb="00FBE3DC"/>
        </patternFill>
      </fill>
    </dxf>
    <dxf>
      <fill>
        <patternFill patternType="solid">
          <fgColor rgb="00DCE8F7"/>
        </patternFill>
      </fill>
    </dxf>
    <dxf>
      <fill>
        <patternFill patternType="solid">
          <fgColor rgb="00DFF0E4"/>
        </patternFill>
      </fill>
    </dxf>
    <dxf>
      <fill>
        <patternFill patternType="solid">
          <fgColor rgb="00FDF0D5"/>
        </patternFill>
      </fill>
    </dxf>
    <dxf>
      <fill>
        <patternFill patternType="solid">
          <fgColor rgb="00E2E6F5"/>
        </patternFill>
      </fill>
    </dxf>
    <dxf>
      <fill>
        <patternFill patternType="solid">
          <fgColor rgb="00F3E1EE"/>
        </patternFill>
      </fill>
    </dxf>
    <dxf>
      <fill>
        <patternFill patternType="solid">
          <fgColor rgb="00FAE6CF"/>
        </patternFill>
      </fill>
    </dxf>
    <dxf>
      <fill>
        <patternFill patternType="solid">
          <fgColor rgb="00DCEFF2"/>
        </patternFill>
      </fill>
    </dxf>
    <dxf>
      <font>
        <name val="Arial"/>
        <b val="1"/>
        <color rgb="008A5A00"/>
        <sz val="9"/>
      </font>
    </dxf>
    <dxf>
      <font>
        <name val="Arial"/>
        <b val="1"/>
        <color rgb="00B03A2E"/>
        <sz val="9"/>
      </font>
    </dxf>
    <dxf>
      <font>
        <name val="Arial"/>
        <color rgb="002F6F7E"/>
        <sz val="9"/>
      </font>
    </dxf>
    <dxf>
      <font>
        <name val="Arial"/>
        <b val="1"/>
        <color rgb="00B03A2E"/>
        <sz val="8"/>
      </font>
      <fill>
        <patternFill patternType="solid">
          <fgColor rgb="00FDEDEC"/>
        </patternFill>
      </fill>
    </dxf>
    <dxf>
      <font>
        <name val="Arial"/>
        <b val="1"/>
        <color rgb="00B03A2E"/>
        <sz val="11"/>
      </font>
    </dxf>
    <dxf>
      <font>
        <name val="Arial"/>
        <b val="1"/>
        <color rgb="008A5A00"/>
        <sz val="11"/>
      </font>
    </dxf>
    <dxf>
      <fill>
        <patternFill patternType="solid">
          <fgColor rgb="00F5F7FA"/>
        </patternFill>
      </fill>
    </dxf>
    <dxf>
      <font>
        <name val="Arial"/>
        <b val="1"/>
        <color rgb="00B03A2E"/>
        <sz val="9"/>
      </font>
      <fill>
        <patternFill patternType="solid">
          <fgColor rgb="00FDEDEC"/>
        </patternFill>
      </fill>
    </dxf>
    <dxf>
      <font>
        <name val="Arial"/>
        <color rgb="00B9C4D0"/>
        <sz val="9"/>
      </font>
    </dxf>
    <dxf>
      <font>
        <name val="Arial"/>
        <b val="1"/>
        <color rgb="001E7B4D"/>
        <sz val="9"/>
      </font>
    </dxf>
    <dxf>
      <font>
        <name val="Arial"/>
        <b val="1"/>
        <color rgb="008A5A00"/>
        <sz val="9"/>
      </font>
      <fill>
        <patternFill patternType="solid">
          <fgColor rgb="00FEF5E7"/>
        </patternFill>
      </fill>
    </dxf>
    <dxf>
      <font>
        <name val="Arial"/>
        <b val="1"/>
        <color rgb="00B03A2E"/>
        <sz val="11"/>
      </font>
      <fill>
        <patternFill patternType="solid">
          <fgColor rgb="00FDED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lanning'!A1" TargetMode="External" Id="rId1" /><Relationship Type="http://schemas.openxmlformats.org/officeDocument/2006/relationships/hyperlink" Target="#'R&#233;f&#233;rentiels'!A1" TargetMode="External" Id="rId2" /><Relationship Type="http://schemas.openxmlformats.org/officeDocument/2006/relationships/hyperlink" Target="#'Contr&#244;les'!A1" TargetMode="External" Id="rId3" /><Relationship Type="http://schemas.openxmlformats.org/officeDocument/2006/relationships/hyperlink" Target="#'R&#233;capitulatif'!A1" TargetMode="External" Id="rId4" /><Relationship Type="http://schemas.openxmlformats.org/officeDocument/2006/relationships/hyperlink" Target="#'Vue Enseignants'!A1" TargetMode="External" Id="rId5" /><Relationship Type="http://schemas.openxmlformats.org/officeDocument/2006/relationships/hyperlink" Target="#'S1 14-20 sept'!A1" TargetMode="External" Id="rId6" /><Relationship Type="http://schemas.openxmlformats.org/officeDocument/2006/relationships/hyperlink" Target="#'S2 21-27 sept'!A1" TargetMode="External" Id="rId7" /><Relationship Type="http://schemas.openxmlformats.org/officeDocument/2006/relationships/hyperlink" Target="#'S3 28 sept-04 oct'!A1" TargetMode="External" Id="rId8" /><Relationship Type="http://schemas.openxmlformats.org/officeDocument/2006/relationships/hyperlink" Target="#'S4 05-11 oct'!A1" TargetMode="External" Id="rId9" /><Relationship Type="http://schemas.openxmlformats.org/officeDocument/2006/relationships/hyperlink" Target="#'S5 12-18 oct'!A1" TargetMode="External" Id="rId10" /><Relationship Type="http://schemas.openxmlformats.org/officeDocument/2006/relationships/hyperlink" Target="#'S6 19-25 oct'!A1" TargetMode="External" Id="rId11" /><Relationship Type="http://schemas.openxmlformats.org/officeDocument/2006/relationships/hyperlink" Target="#'S7 26 oct-01 nov'!A1" TargetMode="External" Id="rId12" /></Relationships>
</file>

<file path=xl/worksheets/sheet1.xml><?xml version="1.0" encoding="utf-8"?>
<worksheet xmlns="http://schemas.openxmlformats.org/spreadsheetml/2006/main">
  <sheetPr>
    <tabColor rgb="00F1C232"/>
    <outlinePr summaryBelow="1" summaryRight="1"/>
    <pageSetUpPr fitToPage="1"/>
  </sheetPr>
  <dimension ref="B2:E57"/>
  <sheetViews>
    <sheetView showGridLines="0" zoomScale="100" workbookViewId="0">
      <selection activeCell="A1" sqref="A1"/>
    </sheetView>
  </sheetViews>
  <sheetFormatPr baseColWidth="8" defaultRowHeight="15"/>
  <cols>
    <col width="3" customWidth="1" min="1" max="1"/>
    <col width="40" customWidth="1" min="2" max="2"/>
    <col width="62" customWidth="1" min="3" max="3"/>
    <col width="20" customWidth="1" min="4" max="4"/>
    <col width="20" customWidth="1" min="5" max="5"/>
  </cols>
  <sheetData>
    <row r="2" ht="46" customHeight="1">
      <c r="B2" s="1" t="inlineStr">
        <is>
          <t>EMPLOI DU TEMPS — ANNÉE SCOLAIRE 2026-2027</t>
        </is>
      </c>
      <c r="C2" s="2" t="n"/>
      <c r="D2" s="2" t="n"/>
      <c r="E2" s="2" t="n"/>
    </row>
    <row r="3" ht="24" customHeight="1">
      <c r="B3" s="3" t="inlineStr">
        <is>
          <t>Septembre et octobre 2026  ·  23 classes  ·  7 semaines  ·  du 14 septembre au 1er novembre 2026</t>
        </is>
      </c>
      <c r="C3" s="4" t="n"/>
      <c r="D3" s="4" t="n"/>
      <c r="E3" s="4" t="n"/>
    </row>
    <row r="5" ht="22" customHeight="1">
      <c r="B5" s="5" t="inlineStr">
        <is>
          <t>NAVIGATION — cliquer sur un nom de feuille</t>
        </is>
      </c>
      <c r="C5" s="6" t="n"/>
      <c r="D5" s="6" t="n"/>
      <c r="E5" s="6" t="n"/>
    </row>
    <row r="6">
      <c r="B6" s="7" t="inlineStr">
        <is>
          <t>Feuille</t>
        </is>
      </c>
      <c r="C6" s="7" t="inlineStr">
        <is>
          <t>Contenu</t>
        </is>
      </c>
      <c r="D6" s="7" t="inlineStr">
        <is>
          <t>Séances</t>
        </is>
      </c>
      <c r="E6" s="7" t="inlineStr">
        <is>
          <t>Type</t>
        </is>
      </c>
    </row>
    <row r="7" ht="17" customHeight="1">
      <c r="B7" s="8" t="inlineStr">
        <is>
          <t>Planning</t>
        </is>
      </c>
      <c r="C7" s="9" t="inlineStr">
        <is>
          <t>Table de référence : 1 ligne = 1 séance. C’est ICI que l’on modifie les données.</t>
        </is>
      </c>
      <c r="D7" s="10">
        <f>COUNTA(Planning!$A$4:$A$704)</f>
        <v/>
      </c>
      <c r="E7" s="10" t="inlineStr">
        <is>
          <t>Saisie</t>
        </is>
      </c>
    </row>
    <row r="8" ht="17" customHeight="1">
      <c r="B8" s="8" t="inlineStr">
        <is>
          <t>Référentiels</t>
        </is>
      </c>
      <c r="C8" s="9" t="inlineStr">
        <is>
          <t>Listes des classes, matières, enseignants, salles, modes, rythmes et semaines.</t>
        </is>
      </c>
      <c r="D8" s="10" t="inlineStr">
        <is>
          <t>—</t>
        </is>
      </c>
      <c r="E8" s="10" t="inlineStr">
        <is>
          <t>Paramètres</t>
        </is>
      </c>
    </row>
    <row r="9" ht="17" customHeight="1">
      <c r="B9" s="8" t="inlineStr">
        <is>
          <t>Contrôles</t>
        </is>
      </c>
      <c r="C9" s="9" t="inlineStr">
        <is>
          <t>21 contrôles automatiques + toutes les décisions prises pour construire octobre.</t>
        </is>
      </c>
      <c r="D9" s="10" t="inlineStr">
        <is>
          <t>—</t>
        </is>
      </c>
      <c r="E9" s="10" t="inlineStr">
        <is>
          <t>Fiabilité</t>
        </is>
      </c>
    </row>
    <row r="10" ht="17" customHeight="1">
      <c r="B10" s="8" t="inlineStr">
        <is>
          <t>Récapitulatif</t>
        </is>
      </c>
      <c r="C10" s="9" t="inlineStr">
        <is>
          <t>Indicateurs : volumes par semaine, cycle, matière et jour.</t>
        </is>
      </c>
      <c r="D10" s="10" t="inlineStr">
        <is>
          <t>—</t>
        </is>
      </c>
      <c r="E10" s="10" t="inlineStr">
        <is>
          <t>Pilotage</t>
        </is>
      </c>
    </row>
    <row r="11" ht="17" customHeight="1">
      <c r="B11" s="8" t="inlineStr">
        <is>
          <t>Vue Enseignants</t>
        </is>
      </c>
      <c r="C11" s="9" t="inlineStr">
        <is>
          <t>Charge de chaque enseignant, semaine par semaine (séances et heures).</t>
        </is>
      </c>
      <c r="D11" s="10" t="inlineStr">
        <is>
          <t>—</t>
        </is>
      </c>
      <c r="E11" s="10" t="inlineStr">
        <is>
          <t>Pilotage</t>
        </is>
      </c>
    </row>
    <row r="12" ht="17" customHeight="1">
      <c r="B12" s="8" t="inlineStr">
        <is>
          <t>S1 14-20 sept</t>
        </is>
      </c>
      <c r="C12" s="9" t="inlineStr">
        <is>
          <t>Grille imprimable — du 14 au 20 septembre 2026 (semaine A).</t>
        </is>
      </c>
      <c r="D12" s="10">
        <f>COUNTIF(Planning!$A$4:$A$704,"S1")</f>
        <v/>
      </c>
      <c r="E12" s="10" t="inlineStr">
        <is>
          <t>Septembre</t>
        </is>
      </c>
    </row>
    <row r="13" ht="17" customHeight="1">
      <c r="B13" s="8" t="inlineStr">
        <is>
          <t>S2 21-27 sept</t>
        </is>
      </c>
      <c r="C13" s="9" t="inlineStr">
        <is>
          <t>Grille imprimable — du 21 au 27 septembre 2026 (semaine B).</t>
        </is>
      </c>
      <c r="D13" s="10">
        <f>COUNTIF(Planning!$A$4:$A$704,"S2")</f>
        <v/>
      </c>
      <c r="E13" s="10" t="inlineStr">
        <is>
          <t>Septembre</t>
        </is>
      </c>
    </row>
    <row r="14" ht="17" customHeight="1">
      <c r="B14" s="11" t="inlineStr">
        <is>
          <t>S3 28 sept-04 oct</t>
        </is>
      </c>
      <c r="C14" s="12" t="inlineStr">
        <is>
          <t>Grille imprimable — du 28 septembre au 4 octobre 2026 (semaine A).</t>
        </is>
      </c>
      <c r="D14" s="13">
        <f>COUNTIF(Planning!$A$4:$A$704,"S3")</f>
        <v/>
      </c>
      <c r="E14" s="13" t="inlineStr">
        <is>
          <t>Référence</t>
        </is>
      </c>
    </row>
    <row r="15" ht="17" customHeight="1">
      <c r="B15" s="14" t="inlineStr">
        <is>
          <t>S4 05-11 oct</t>
        </is>
      </c>
      <c r="C15" s="15" t="inlineStr">
        <is>
          <t>Grille imprimable — du 5 au 11 octobre 2026 (semaine B).</t>
        </is>
      </c>
      <c r="D15" s="16">
        <f>COUNTIF(Planning!$A$4:$A$704,"S4")</f>
        <v/>
      </c>
      <c r="E15" s="16" t="inlineStr">
        <is>
          <t>Octobre</t>
        </is>
      </c>
    </row>
    <row r="16" ht="17" customHeight="1">
      <c r="B16" s="14" t="inlineStr">
        <is>
          <t>S5 12-18 oct</t>
        </is>
      </c>
      <c r="C16" s="15" t="inlineStr">
        <is>
          <t>Grille imprimable — du 12 au 18 octobre 2026 (semaine A).</t>
        </is>
      </c>
      <c r="D16" s="16">
        <f>COUNTIF(Planning!$A$4:$A$704,"S5")</f>
        <v/>
      </c>
      <c r="E16" s="16" t="inlineStr">
        <is>
          <t>Octobre</t>
        </is>
      </c>
    </row>
    <row r="17" ht="17" customHeight="1">
      <c r="B17" s="14" t="inlineStr">
        <is>
          <t>S6 19-25 oct</t>
        </is>
      </c>
      <c r="C17" s="15" t="inlineStr">
        <is>
          <t>Grille imprimable — du 19 au 25 octobre 2026 (semaine B).</t>
        </is>
      </c>
      <c r="D17" s="16">
        <f>COUNTIF(Planning!$A$4:$A$704,"S6")</f>
        <v/>
      </c>
      <c r="E17" s="16" t="inlineStr">
        <is>
          <t>Octobre</t>
        </is>
      </c>
    </row>
    <row r="18" ht="17" customHeight="1">
      <c r="B18" s="14" t="inlineStr">
        <is>
          <t>S7 26 oct-01 nov</t>
        </is>
      </c>
      <c r="C18" s="15" t="inlineStr">
        <is>
          <t>Grille imprimable — du 26 octobre au 1er novembre 2026 (semaine A).</t>
        </is>
      </c>
      <c r="D18" s="16">
        <f>COUNTIF(Planning!$A$4:$A$704,"S7")</f>
        <v/>
      </c>
      <c r="E18" s="16" t="inlineStr">
        <is>
          <t>Octobre</t>
        </is>
      </c>
    </row>
    <row r="20" ht="22" customHeight="1">
      <c r="B20" s="5" t="inlineStr">
        <is>
          <t>LÉGENDE</t>
        </is>
      </c>
      <c r="C20" s="6" t="n"/>
      <c r="D20" s="6" t="n"/>
      <c r="E20" s="6" t="n"/>
    </row>
    <row r="21" ht="16" customHeight="1">
      <c r="B21" s="17" t="inlineStr">
        <is>
          <t>COULEUR DES CASES — famille de matières</t>
        </is>
      </c>
    </row>
    <row r="22" ht="16" customHeight="1">
      <c r="B22" s="18" t="inlineStr">
        <is>
          <t>Arabe</t>
        </is>
      </c>
      <c r="C22" s="9" t="inlineStr">
        <is>
          <t>Matières : Arabe, عربية</t>
        </is>
      </c>
    </row>
    <row r="23" ht="16" customHeight="1">
      <c r="B23" s="19" t="inlineStr">
        <is>
          <t>Français</t>
        </is>
      </c>
      <c r="C23" s="9" t="inlineStr">
        <is>
          <t>Matières : Français</t>
        </is>
      </c>
    </row>
    <row r="24" ht="16" customHeight="1">
      <c r="B24" s="20" t="inlineStr">
        <is>
          <t>Langues étrangères</t>
        </is>
      </c>
      <c r="C24" s="9" t="inlineStr">
        <is>
          <t>Matières : Anglais, Espagnol, Italien</t>
        </is>
      </c>
    </row>
    <row r="25" ht="16" customHeight="1">
      <c r="B25" s="21" t="inlineStr">
        <is>
          <t>Mathématiques</t>
        </is>
      </c>
      <c r="C25" s="9" t="inlineStr">
        <is>
          <t>Matières : Math, رياضيات</t>
        </is>
      </c>
    </row>
    <row r="26" ht="16" customHeight="1">
      <c r="B26" s="22" t="inlineStr">
        <is>
          <t>Sciences</t>
        </is>
      </c>
      <c r="C26" s="9" t="inlineStr">
        <is>
          <t>Matières : Physique, فيزياء, SVT, Éveil scientifique, إيقاظ علمي</t>
        </is>
      </c>
    </row>
    <row r="27" ht="16" customHeight="1">
      <c r="B27" s="23" t="inlineStr">
        <is>
          <t>Sciences humaines</t>
        </is>
      </c>
      <c r="C27" s="9" t="inlineStr">
        <is>
          <t>Matières : Histoire, Géographie, Philo</t>
        </is>
      </c>
    </row>
    <row r="28" ht="16" customHeight="1">
      <c r="B28" s="24" t="inlineStr">
        <is>
          <t>Économie / Gestion</t>
        </is>
      </c>
      <c r="C28" s="9" t="inlineStr">
        <is>
          <t>Matières : Eco, Gestion</t>
        </is>
      </c>
    </row>
    <row r="29" ht="16" customHeight="1">
      <c r="B29" s="25" t="inlineStr">
        <is>
          <t>Informatique</t>
        </is>
      </c>
      <c r="C29" s="9" t="inlineStr">
        <is>
          <t>Matières : Informatique, ALGO, STI</t>
        </is>
      </c>
    </row>
    <row r="30" ht="16" customHeight="1">
      <c r="B30" s="17" t="inlineStr">
        <is>
          <t>COULEUR DE LA COLONNE CLASSE — cycle</t>
        </is>
      </c>
    </row>
    <row r="31" ht="16" customHeight="1">
      <c r="B31" s="26" t="inlineStr">
        <is>
          <t>Primaire</t>
        </is>
      </c>
      <c r="C31" s="9" t="inlineStr">
        <is>
          <t>4éme, 5éme, 6éme Pilote (A), 6éme (B)</t>
        </is>
      </c>
    </row>
    <row r="32" ht="16" customHeight="1">
      <c r="B32" s="27" t="inlineStr">
        <is>
          <t>Collège</t>
        </is>
      </c>
      <c r="C32" s="9" t="inlineStr">
        <is>
          <t>7éme, 8éme et 9éme (8 groupes)</t>
        </is>
      </c>
    </row>
    <row r="33" ht="16" customHeight="1">
      <c r="B33" s="28" t="inlineStr">
        <is>
          <t>Secondaire</t>
        </is>
      </c>
      <c r="C33" s="9" t="inlineStr">
        <is>
          <t>1ére, 2éme et 3éme (8 groupes)</t>
        </is>
      </c>
    </row>
    <row r="34" ht="16" customHeight="1">
      <c r="B34" s="29" t="inlineStr">
        <is>
          <t>Bac</t>
        </is>
      </c>
      <c r="C34" s="9" t="inlineStr">
        <is>
          <t>Bac Eco, Bac SCE, Bac INFO</t>
        </is>
      </c>
    </row>
    <row r="35" ht="16" customHeight="1">
      <c r="B35" s="17" t="inlineStr">
        <is>
          <t>REPÈRES DANS LE TEXTE</t>
        </is>
      </c>
    </row>
    <row r="36" ht="16" customHeight="1">
      <c r="B36" s="30" t="inlineStr">
        <is>
          <t>◆ Q-A</t>
        </is>
      </c>
      <c r="C36" s="9" t="inlineStr">
        <is>
          <t>Séance par quinzaine, semaines A : 14/09 · 28/09 · 12/10 · 26/10</t>
        </is>
      </c>
    </row>
    <row r="37" ht="16" customHeight="1">
      <c r="B37" s="30" t="inlineStr">
        <is>
          <t>◆ Q-B</t>
        </is>
      </c>
      <c r="C37" s="9" t="inlineStr">
        <is>
          <t>Séance par quinzaine, semaines B : 21/09 · 05/10 · 19/10</t>
        </is>
      </c>
    </row>
    <row r="38" ht="16" customHeight="1">
      <c r="B38" s="31" t="inlineStr">
        <is>
          <t>◆ EN LIGNE</t>
        </is>
      </c>
      <c r="C38" s="9" t="inlineStr">
        <is>
          <t>Séance à distance (à renseigner dans la colonne Mode de Planning)</t>
        </is>
      </c>
    </row>
    <row r="39" ht="16" customHeight="1">
      <c r="B39" s="32" t="inlineStr">
        <is>
          <t>◆ PONCTUEL</t>
        </is>
      </c>
      <c r="C39" s="9" t="inlineStr">
        <is>
          <t>Séance exceptionnelle, non récurrente (ex. rattrapage)</t>
        </is>
      </c>
    </row>
    <row r="40" ht="16" customHeight="1">
      <c r="B40" s="31" t="inlineStr">
        <is>
          <t>Case grisée</t>
        </is>
      </c>
      <c r="C40" s="9" t="inlineStr">
        <is>
          <t>Aucune séance sur ce créneau</t>
        </is>
      </c>
    </row>
    <row r="41" ht="16" customHeight="1">
      <c r="B41" s="32" t="inlineStr">
        <is>
          <t>⚠ en rouge</t>
        </is>
      </c>
      <c r="C41" s="9" t="inlineStr">
        <is>
          <t>Conflit horaire, doublon ou anomalie détectée automatiquement</t>
        </is>
      </c>
    </row>
    <row r="43" ht="22" customHeight="1">
      <c r="B43" s="5" t="inlineStr">
        <is>
          <t>MODE D’EMPLOI</t>
        </is>
      </c>
      <c r="C43" s="6" t="n"/>
      <c r="D43" s="6" t="n"/>
      <c r="E43" s="6" t="n"/>
    </row>
    <row r="44">
      <c r="B44" s="7" t="inlineStr">
        <is>
          <t>#</t>
        </is>
      </c>
      <c r="C44" s="7" t="inlineStr">
        <is>
          <t>Action</t>
        </is>
      </c>
      <c r="D44" s="7" t="inlineStr">
        <is>
          <t>Comment faire</t>
        </is>
      </c>
      <c r="E44" s="33" t="n"/>
    </row>
    <row r="45" ht="30" customHeight="1">
      <c r="B45" s="31" t="inlineStr">
        <is>
          <t>1.  Modifier, ajouter ou supprimer une séance</t>
        </is>
      </c>
      <c r="C45" s="34" t="inlineStr">
        <is>
          <t>Tout se passe dans la feuille Planning : 1 ligne = 1 séance. Les grilles hebdomadaires et tous les indicateurs se recalculent seuls.</t>
        </is>
      </c>
    </row>
    <row r="46" ht="30" customHeight="1">
      <c r="B46" s="31" t="inlineStr">
        <is>
          <t>2.  Ajouter une séance</t>
        </is>
      </c>
      <c r="C46" s="34" t="inlineStr">
        <is>
          <t>Insérer une ligne dans Planning, puis recopier les formules des colonnes H, S, T, U, V, W et X depuis la ligne du dessus (double-clic sur la poignée de recopie).</t>
        </is>
      </c>
    </row>
    <row r="47" ht="30" customHeight="1">
      <c r="B47" s="31" t="inlineStr">
        <is>
          <t>3.  Renseigner une salle ou une séance en ligne</t>
        </is>
      </c>
      <c r="C47" s="34" t="inlineStr">
        <is>
          <t>Colonnes Salle et Mode de Planning (menus déroulants). L’indication apparaît aussitôt dans la grille de la semaine.</t>
        </is>
      </c>
    </row>
    <row r="48" ht="30" customHeight="1">
      <c r="B48" s="31" t="inlineStr">
        <is>
          <t>4.  Vérifier la fiabilité</t>
        </is>
      </c>
      <c r="C48" s="34" t="inlineStr">
        <is>
          <t>Ouvrir la feuille Contrôles : la colonne Statut doit afficher « OK » partout.</t>
        </is>
      </c>
    </row>
    <row r="49" ht="30" customHeight="1">
      <c r="B49" s="31" t="inlineStr">
        <is>
          <t>5.  Imprimer ou envoyer en PDF</t>
        </is>
      </c>
      <c r="C49" s="34" t="inlineStr">
        <is>
          <t>Chaque grille est déjà paramétrée : A4 paysage, 1 page de large, un cycle par page, en-têtes répétés. Fichier ▸ Exporter au format PDF.</t>
        </is>
      </c>
    </row>
    <row r="50" ht="30" customHeight="1">
      <c r="B50" s="31" t="inlineStr">
        <is>
          <t>6.  Préparer novembre</t>
        </is>
      </c>
      <c r="C50" s="34" t="inlineStr">
        <is>
          <t>Dupliquer une grille d’octobre, renommer l’onglet, mettre à jour la cellule J4 (masquée) avec le nouveau code de semaine, ajouter la semaine dans Référentiels, puis ajouter ses lignes dans Planning (filtrer une semaine existante, copier, coller et changer Semaine / Période / Date).</t>
        </is>
      </c>
    </row>
    <row r="52" ht="22" customHeight="1">
      <c r="B52" s="5" t="inlineStr">
        <is>
          <t>À LIRE AVANT UTILISATION</t>
        </is>
      </c>
      <c r="C52" s="6" t="n"/>
      <c r="D52" s="6" t="n"/>
      <c r="E52" s="6" t="n"/>
    </row>
    <row r="53" ht="28" customHeight="1">
      <c r="B53" s="35" t="inlineStr">
        <is>
          <t>•   Salle et Mode (présentiel / en ligne) sont absents du fichier d’origine : les colonnes existent mais sont vides. Aucune valeur n’a été inventée.</t>
        </is>
      </c>
    </row>
    <row r="54" ht="28" customHeight="1">
      <c r="B54" s="35" t="inlineStr">
        <is>
          <t>•   Le planning d’octobre a été construit à partir de la semaine du 28/09 au 04/10, désignée comme référence. Les séances par quinzaine ont été identifiées en comparant les 3 semaines de septembre.</t>
        </is>
      </c>
    </row>
    <row r="55" ht="28" customHeight="1">
      <c r="B55" s="35" t="inlineStr">
        <is>
          <t>•   Les 301 séances de septembre sont conservées à l’identique, y compris les fautes de frappe d’origine (colonne « Texte d’origine » de Planning).</t>
        </is>
      </c>
    </row>
    <row r="56" ht="28" customHeight="1">
      <c r="B56" s="35" t="inlineStr">
        <is>
          <t>•   14 décisions et points ambigus sont détaillés en bas de la feuille Contrôles. Trois méritent votre arbitrage : les Physique « /par quinzaine » de Melek, le STI du lundi en 3éme INFO, et le jeudi 15/10 (jour férié).</t>
        </is>
      </c>
    </row>
    <row r="57" ht="28" customHeight="1">
      <c r="B57" s="35" t="inlineStr">
        <is>
          <t>•   Les grilles hebdomadaires sont calculées par formules : à la première ouverture, laisser Excel recalculer (ou appuyer sur F9).</t>
        </is>
      </c>
    </row>
  </sheetData>
  <mergeCells count="39">
    <mergeCell ref="C50:E50"/>
    <mergeCell ref="C41:E41"/>
    <mergeCell ref="C31:E31"/>
    <mergeCell ref="C22:E22"/>
    <mergeCell ref="B30:E30"/>
    <mergeCell ref="C40:E40"/>
    <mergeCell ref="B55:E55"/>
    <mergeCell ref="B5:E5"/>
    <mergeCell ref="B20:E20"/>
    <mergeCell ref="C46:E46"/>
    <mergeCell ref="C36:E36"/>
    <mergeCell ref="C27:E27"/>
    <mergeCell ref="B35:E35"/>
    <mergeCell ref="C23:E23"/>
    <mergeCell ref="C39:E39"/>
    <mergeCell ref="B54:E54"/>
    <mergeCell ref="C48:E48"/>
    <mergeCell ref="B3:E3"/>
    <mergeCell ref="C32:E32"/>
    <mergeCell ref="C38:E38"/>
    <mergeCell ref="B56:E56"/>
    <mergeCell ref="C28:E28"/>
    <mergeCell ref="C37:E37"/>
    <mergeCell ref="B43:E43"/>
    <mergeCell ref="B52:E52"/>
    <mergeCell ref="B21:E21"/>
    <mergeCell ref="C49:E49"/>
    <mergeCell ref="B2:E2"/>
    <mergeCell ref="C34:E34"/>
    <mergeCell ref="C24:E24"/>
    <mergeCell ref="C33:E33"/>
    <mergeCell ref="B57:E57"/>
    <mergeCell ref="B53:E53"/>
    <mergeCell ref="C45:E45"/>
    <mergeCell ref="C26:E26"/>
    <mergeCell ref="C29:E29"/>
    <mergeCell ref="D44:E44"/>
    <mergeCell ref="C25:E25"/>
    <mergeCell ref="C47:E47"/>
  </mergeCells>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s>
  <printOptions horizontalCentered="1" gridLines="0"/>
  <pageMargins left="0.35" right="0.35" top="0.5" bottom="0.45" header="0.2" footer="0.2"/>
  <pageSetup orientation="portrait" paperSize="9" fitToHeight="0" fitToWidth="1"/>
  <headerFooter>
    <oddHeader>&amp;R&amp;"Arial,Italic"&amp;8 </oddHeader>
    <oddFooter>&amp;L&amp;8 RS 2026-2027 · Sommaire&amp;R&amp;8 Page &amp;P / &amp;N</oddFooter>
    <evenHeader/>
    <evenFooter/>
    <firstHeader/>
    <firstFooter/>
  </headerFooter>
</worksheet>
</file>

<file path=xl/worksheets/sheet2.xml><?xml version="1.0" encoding="utf-8"?>
<worksheet xmlns="http://schemas.openxmlformats.org/spreadsheetml/2006/main">
  <sheetPr>
    <tabColor rgb="001B2A41"/>
    <outlinePr summaryBelow="1" summaryRight="1"/>
    <pageSetUpPr fitToPage="1"/>
  </sheetPr>
  <dimension ref="A1:Z704"/>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7" customWidth="1" min="3" max="3"/>
    <col width="11" customWidth="1" min="4" max="4"/>
    <col width="11" customWidth="1" min="5" max="5"/>
    <col width="7.5" customWidth="1" min="6" max="6"/>
    <col width="7.5" customWidth="1" min="7" max="7"/>
    <col width="9" customWidth="1" min="8" max="8"/>
    <col width="12" customWidth="1" min="9" max="9"/>
    <col width="18" customWidth="1" min="10" max="10"/>
    <col width="20" customWidth="1" min="11" max="11"/>
    <col width="19" customWidth="1" min="12" max="12"/>
    <col width="17" customWidth="1" min="13" max="13"/>
    <col width="10" customWidth="1" min="14" max="14"/>
    <col width="12" customWidth="1" min="15" max="15"/>
    <col width="15" customWidth="1" min="16" max="16"/>
    <col width="19" customWidth="1" min="17" max="17"/>
    <col width="30" customWidth="1" min="18" max="18"/>
    <col width="19" customWidth="1" min="19" max="19"/>
    <col width="17" customWidth="1" min="20" max="20"/>
    <col width="12" customWidth="1" min="21" max="21"/>
    <col width="7" customWidth="1" min="22" max="22"/>
    <col width="34" customWidth="1" min="23" max="23"/>
    <col width="44" customWidth="1" min="24" max="24"/>
    <col width="52" customWidth="1" min="25" max="25"/>
    <col width="26" customWidth="1" min="26" max="26"/>
  </cols>
  <sheetData>
    <row r="1" ht="34" customHeight="1">
      <c r="A1" s="36" t="inlineStr">
        <is>
          <t>PLANNING DES SÉANCES — Année scolaire 2026-2027</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20" customHeight="1">
      <c r="A2" s="37" t="inlineStr">
        <is>
          <t>TABLE DE RÉFÉRENCE : toute modification se fait ici. Les grilles hebdomadaires et tous les indicateurs se recalculent automatiquement. Colonnes S à Z = zone technique (contrôles + formules), ne pas saisir.</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row>
    <row r="3" ht="32" customHeight="1">
      <c r="A3" s="7" t="inlineStr">
        <is>
          <t>Semaine</t>
        </is>
      </c>
      <c r="B3" s="7" t="inlineStr">
        <is>
          <t>Période</t>
        </is>
      </c>
      <c r="C3" s="7" t="inlineStr">
        <is>
          <t>Parité</t>
        </is>
      </c>
      <c r="D3" s="7" t="inlineStr">
        <is>
          <t>Date</t>
        </is>
      </c>
      <c r="E3" s="7" t="inlineStr">
        <is>
          <t>Jour</t>
        </is>
      </c>
      <c r="F3" s="7" t="inlineStr">
        <is>
          <t>Début</t>
        </is>
      </c>
      <c r="G3" s="7" t="inlineStr">
        <is>
          <t>Fin</t>
        </is>
      </c>
      <c r="H3" s="7" t="inlineStr">
        <is>
          <t>Durée (h)</t>
        </is>
      </c>
      <c r="I3" s="7" t="inlineStr">
        <is>
          <t>Cycle</t>
        </is>
      </c>
      <c r="J3" s="7" t="inlineStr">
        <is>
          <t>Classe / Groupe</t>
        </is>
      </c>
      <c r="K3" s="7" t="inlineStr">
        <is>
          <t>Matière</t>
        </is>
      </c>
      <c r="L3" s="7" t="inlineStr">
        <is>
          <t>Matière (normalisée)</t>
        </is>
      </c>
      <c r="M3" s="7" t="inlineStr">
        <is>
          <t>Enseignant</t>
        </is>
      </c>
      <c r="N3" s="7" t="inlineStr">
        <is>
          <t>Salle</t>
        </is>
      </c>
      <c r="O3" s="7" t="inlineStr">
        <is>
          <t>Mode</t>
        </is>
      </c>
      <c r="P3" s="7" t="inlineStr">
        <is>
          <t>Rythme</t>
        </is>
      </c>
      <c r="Q3" s="7" t="inlineStr">
        <is>
          <t>Origine</t>
        </is>
      </c>
      <c r="R3" s="7" t="inlineStr">
        <is>
          <t>Notes</t>
        </is>
      </c>
      <c r="S3" s="39" t="inlineStr">
        <is>
          <t>⚠ Conflit enseignant</t>
        </is>
      </c>
      <c r="T3" s="39" t="inlineStr">
        <is>
          <t>⚠ Conflit classe</t>
        </is>
      </c>
      <c r="U3" s="39" t="inlineStr">
        <is>
          <t>⚠ Doublon</t>
        </is>
      </c>
      <c r="V3" s="40" t="inlineStr">
        <is>
          <t>Rang</t>
        </is>
      </c>
      <c r="W3" s="40" t="inlineStr">
        <is>
          <t>Clé</t>
        </is>
      </c>
      <c r="X3" s="40" t="inlineStr">
        <is>
          <t>Libellé grille</t>
        </is>
      </c>
      <c r="Y3" s="40" t="inlineStr">
        <is>
          <t>Texte d'origine</t>
        </is>
      </c>
      <c r="Z3" s="40" t="inlineStr">
        <is>
          <t>Réf. cellule source</t>
        </is>
      </c>
    </row>
    <row r="4" ht="15" customHeight="1">
      <c r="A4" s="10" t="inlineStr">
        <is>
          <t>S1</t>
        </is>
      </c>
      <c r="B4" s="9" t="inlineStr">
        <is>
          <t>du 14 au 20 septembre 2026</t>
        </is>
      </c>
      <c r="C4" s="10" t="inlineStr">
        <is>
          <t>A</t>
        </is>
      </c>
      <c r="D4" s="41" t="n">
        <v>46279</v>
      </c>
      <c r="E4" s="10" t="inlineStr">
        <is>
          <t>Lundi</t>
        </is>
      </c>
      <c r="F4" s="42" t="n">
        <v>0.7916666666666666</v>
      </c>
      <c r="G4" s="42" t="n">
        <v>0.875</v>
      </c>
      <c r="H4" s="43">
        <f>IF(OR($F4="",$G4=""),"",($G4-$F4)*24)</f>
        <v/>
      </c>
      <c r="I4" s="10" t="inlineStr">
        <is>
          <t>Primaire</t>
        </is>
      </c>
      <c r="J4" s="9" t="inlineStr">
        <is>
          <t>4éme</t>
        </is>
      </c>
      <c r="K4" s="9" t="inlineStr">
        <is>
          <t>عربية</t>
        </is>
      </c>
      <c r="L4" s="9" t="inlineStr">
        <is>
          <t>Arabe</t>
        </is>
      </c>
      <c r="M4" s="9" t="inlineStr">
        <is>
          <t>Lobna</t>
        </is>
      </c>
      <c r="N4" s="10" t="n"/>
      <c r="O4" s="10" t="n"/>
      <c r="P4" s="10" t="inlineStr">
        <is>
          <t>Hebdomadaire</t>
        </is>
      </c>
      <c r="Q4" s="9" t="inlineStr">
        <is>
          <t>Original (septembre)</t>
        </is>
      </c>
      <c r="R4" s="9" t="inlineStr"/>
      <c r="S4" s="44">
        <f>IF($M4="","",IF(SUMPRODUCT(($D$4:$D$704=$D4)*($M$4:$M$704=$M4)*($F$4:$F$704&lt;$G4)*($G$4:$G$704&gt;$F4))&gt;1,"⚠ CONFLIT",""))</f>
        <v/>
      </c>
      <c r="T4" s="44">
        <f>IF($J4="","",IF(SUMPRODUCT(($D$4:$D$704=$D4)*($J$4:$J$704=$J4)*($F$4:$F$704&lt;$G4)*($G$4:$G$704&gt;$F4))&gt;1,"⚠ CONFLIT",""))</f>
        <v/>
      </c>
      <c r="U4" s="44">
        <f>IF(COUNTIFS($D$4:$D$704,$D4,$J$4:$J$704,$J4,$F$4:$F$704,$F4,$K$4:$K$704,$K4)&gt;1,"⚠ DOUBLON","")</f>
        <v/>
      </c>
      <c r="V4" s="44">
        <f>COUNTIFS($A$4:$A4,$A4,$J$4:$J4,$J4,$E$4:$E4,$E4)</f>
        <v/>
      </c>
      <c r="W4" s="45">
        <f>$A4&amp;"|"&amp;$J4&amp;"|"&amp;$E4&amp;"|"&amp;$V4</f>
        <v/>
      </c>
      <c r="X4" s="46">
        <f>TEXT($F4,"hh:mm")&amp;" - "&amp;TEXT($G4,"hh:mm")&amp;IF($P4="Quinzaine A","   ◆ Q-A",IF($P4="Quinzaine B","   ◆ Q-B",IF($P4="Exception","   ◆ PONCTUEL","")))&amp;CHAR(10)&amp;$K4&amp;CHAR(10)&amp;$M4&amp;IF($N4&lt;&gt;"",CHAR(10)&amp;"Salle "&amp;$N4,"")&amp;IF($O4="En ligne",CHAR(10)&amp;"◆ EN LIGNE","")&amp;IF($R4&lt;&gt;"",CHAR(10)&amp;$R4,"")</f>
        <v/>
      </c>
      <c r="Y4" s="45" t="inlineStr">
        <is>
          <t>19h-21h عربية (Lobna)</t>
        </is>
      </c>
      <c r="Z4" s="45" t="inlineStr">
        <is>
          <t>du 14-09 jusquà le 20-09!G3</t>
        </is>
      </c>
    </row>
    <row r="5" ht="15" customHeight="1">
      <c r="A5" s="10" t="inlineStr">
        <is>
          <t>S1</t>
        </is>
      </c>
      <c r="B5" s="9" t="inlineStr">
        <is>
          <t>du 14 au 20 septembre 2026</t>
        </is>
      </c>
      <c r="C5" s="10" t="inlineStr">
        <is>
          <t>A</t>
        </is>
      </c>
      <c r="D5" s="41" t="n">
        <v>46279</v>
      </c>
      <c r="E5" s="10" t="inlineStr">
        <is>
          <t>Lundi</t>
        </is>
      </c>
      <c r="F5" s="42" t="n">
        <v>0.7916666666666666</v>
      </c>
      <c r="G5" s="42" t="n">
        <v>0.8541666666666666</v>
      </c>
      <c r="H5" s="43">
        <f>IF(OR($F5="",$G5=""),"",($G5-$F5)*24)</f>
        <v/>
      </c>
      <c r="I5" s="10" t="inlineStr">
        <is>
          <t>Primaire</t>
        </is>
      </c>
      <c r="J5" s="9" t="inlineStr">
        <is>
          <t>6éme Pilote (A)</t>
        </is>
      </c>
      <c r="K5" s="9" t="inlineStr">
        <is>
          <t>Français</t>
        </is>
      </c>
      <c r="L5" s="9" t="inlineStr">
        <is>
          <t>Français</t>
        </is>
      </c>
      <c r="M5" s="9" t="inlineStr">
        <is>
          <t>Hend</t>
        </is>
      </c>
      <c r="N5" s="10" t="n"/>
      <c r="O5" s="10" t="n"/>
      <c r="P5" s="10" t="inlineStr">
        <is>
          <t>Hebdomadaire</t>
        </is>
      </c>
      <c r="Q5" s="9" t="inlineStr">
        <is>
          <t>Original (septembre)</t>
        </is>
      </c>
      <c r="R5" s="9" t="inlineStr"/>
      <c r="S5" s="44">
        <f>IF($M5="","",IF(SUMPRODUCT(($D$4:$D$704=$D5)*($M$4:$M$704=$M5)*($F$4:$F$704&lt;$G5)*($G$4:$G$704&gt;$F5))&gt;1,"⚠ CONFLIT",""))</f>
        <v/>
      </c>
      <c r="T5" s="44">
        <f>IF($J5="","",IF(SUMPRODUCT(($D$4:$D$704=$D5)*($J$4:$J$704=$J5)*($F$4:$F$704&lt;$G5)*($G$4:$G$704&gt;$F5))&gt;1,"⚠ CONFLIT",""))</f>
        <v/>
      </c>
      <c r="U5" s="44">
        <f>IF(COUNTIFS($D$4:$D$704,$D5,$J$4:$J$704,$J5,$F$4:$F$704,$F5,$K$4:$K$704,$K5)&gt;1,"⚠ DOUBLON","")</f>
        <v/>
      </c>
      <c r="V5" s="44">
        <f>COUNTIFS($A$4:$A5,$A5,$J$4:$J5,$J5,$E$4:$E5,$E5)</f>
        <v/>
      </c>
      <c r="W5" s="45">
        <f>$A5&amp;"|"&amp;$J5&amp;"|"&amp;$E5&amp;"|"&amp;$V5</f>
        <v/>
      </c>
      <c r="X5" s="46">
        <f>TEXT($F5,"hh:mm")&amp;" - "&amp;TEXT($G5,"hh:mm")&amp;IF($P5="Quinzaine A","   ◆ Q-A",IF($P5="Quinzaine B","   ◆ Q-B",IF($P5="Exception","   ◆ PONCTUEL","")))&amp;CHAR(10)&amp;$K5&amp;CHAR(10)&amp;$M5&amp;IF($N5&lt;&gt;"",CHAR(10)&amp;"Salle "&amp;$N5,"")&amp;IF($O5="En ligne",CHAR(10)&amp;"◆ EN LIGNE","")&amp;IF($R5&lt;&gt;"",CHAR(10)&amp;$R5,"")</f>
        <v/>
      </c>
      <c r="Y5" s="45" t="inlineStr">
        <is>
          <t>19h-20h30 Français (Hend)</t>
        </is>
      </c>
      <c r="Z5" s="45" t="inlineStr">
        <is>
          <t>du 14-09 jusquà le 20-09!G12</t>
        </is>
      </c>
    </row>
    <row r="6" ht="15" customHeight="1">
      <c r="A6" s="10" t="inlineStr">
        <is>
          <t>S1</t>
        </is>
      </c>
      <c r="B6" s="9" t="inlineStr">
        <is>
          <t>du 14 au 20 septembre 2026</t>
        </is>
      </c>
      <c r="C6" s="10" t="inlineStr">
        <is>
          <t>A</t>
        </is>
      </c>
      <c r="D6" s="41" t="n">
        <v>46279</v>
      </c>
      <c r="E6" s="10" t="inlineStr">
        <is>
          <t>Lundi</t>
        </is>
      </c>
      <c r="F6" s="42" t="n">
        <v>0.8125</v>
      </c>
      <c r="G6" s="42" t="n">
        <v>0.875</v>
      </c>
      <c r="H6" s="43">
        <f>IF(OR($F6="",$G6=""),"",($G6-$F6)*24)</f>
        <v/>
      </c>
      <c r="I6" s="10" t="inlineStr">
        <is>
          <t>Collège</t>
        </is>
      </c>
      <c r="J6" s="9" t="inlineStr">
        <is>
          <t>7éme (B)</t>
        </is>
      </c>
      <c r="K6" s="9" t="inlineStr">
        <is>
          <t>Arabe</t>
        </is>
      </c>
      <c r="L6" s="9" t="inlineStr">
        <is>
          <t>Arabe</t>
        </is>
      </c>
      <c r="M6" s="9" t="inlineStr">
        <is>
          <t>Yahya</t>
        </is>
      </c>
      <c r="N6" s="10" t="n"/>
      <c r="O6" s="10" t="n"/>
      <c r="P6" s="10" t="inlineStr">
        <is>
          <t>Hebdomadaire</t>
        </is>
      </c>
      <c r="Q6" s="9" t="inlineStr">
        <is>
          <t>Original (septembre)</t>
        </is>
      </c>
      <c r="R6" s="9" t="inlineStr"/>
      <c r="S6" s="44">
        <f>IF($M6="","",IF(SUMPRODUCT(($D$4:$D$704=$D6)*($M$4:$M$704=$M6)*($F$4:$F$704&lt;$G6)*($G$4:$G$704&gt;$F6))&gt;1,"⚠ CONFLIT",""))</f>
        <v/>
      </c>
      <c r="T6" s="44">
        <f>IF($J6="","",IF(SUMPRODUCT(($D$4:$D$704=$D6)*($J$4:$J$704=$J6)*($F$4:$F$704&lt;$G6)*($G$4:$G$704&gt;$F6))&gt;1,"⚠ CONFLIT",""))</f>
        <v/>
      </c>
      <c r="U6" s="44">
        <f>IF(COUNTIFS($D$4:$D$704,$D6,$J$4:$J$704,$J6,$F$4:$F$704,$F6,$K$4:$K$704,$K6)&gt;1,"⚠ DOUBLON","")</f>
        <v/>
      </c>
      <c r="V6" s="44">
        <f>COUNTIFS($A$4:$A6,$A6,$J$4:$J6,$J6,$E$4:$E6,$E6)</f>
        <v/>
      </c>
      <c r="W6" s="45">
        <f>$A6&amp;"|"&amp;$J6&amp;"|"&amp;$E6&amp;"|"&amp;$V6</f>
        <v/>
      </c>
      <c r="X6" s="46">
        <f>TEXT($F6,"hh:mm")&amp;" - "&amp;TEXT($G6,"hh:mm")&amp;IF($P6="Quinzaine A","   ◆ Q-A",IF($P6="Quinzaine B","   ◆ Q-B",IF($P6="Exception","   ◆ PONCTUEL","")))&amp;CHAR(10)&amp;$K6&amp;CHAR(10)&amp;$M6&amp;IF($N6&lt;&gt;"",CHAR(10)&amp;"Salle "&amp;$N6,"")&amp;IF($O6="En ligne",CHAR(10)&amp;"◆ EN LIGNE","")&amp;IF($R6&lt;&gt;"",CHAR(10)&amp;$R6,"")</f>
        <v/>
      </c>
      <c r="Y6" s="45" t="inlineStr">
        <is>
          <t>19h30-21h Arabe (Yahya)</t>
        </is>
      </c>
      <c r="Z6" s="45" t="inlineStr">
        <is>
          <t>du 14-09 jusquà le 20-09!G23</t>
        </is>
      </c>
    </row>
    <row r="7" ht="15" customHeight="1">
      <c r="A7" s="10" t="inlineStr">
        <is>
          <t>S1</t>
        </is>
      </c>
      <c r="B7" s="9" t="inlineStr">
        <is>
          <t>du 14 au 20 septembre 2026</t>
        </is>
      </c>
      <c r="C7" s="10" t="inlineStr">
        <is>
          <t>A</t>
        </is>
      </c>
      <c r="D7" s="41" t="n">
        <v>46279</v>
      </c>
      <c r="E7" s="10" t="inlineStr">
        <is>
          <t>Lundi</t>
        </is>
      </c>
      <c r="F7" s="42" t="n">
        <v>0.8125</v>
      </c>
      <c r="G7" s="42" t="n">
        <v>0.875</v>
      </c>
      <c r="H7" s="43">
        <f>IF(OR($F7="",$G7=""),"",($G7-$F7)*24)</f>
        <v/>
      </c>
      <c r="I7" s="10" t="inlineStr">
        <is>
          <t>Collège</t>
        </is>
      </c>
      <c r="J7" s="9" t="inlineStr">
        <is>
          <t>9éme (A)</t>
        </is>
      </c>
      <c r="K7" s="9" t="inlineStr">
        <is>
          <t>فيزياء</t>
        </is>
      </c>
      <c r="L7" s="9" t="inlineStr">
        <is>
          <t>Physique</t>
        </is>
      </c>
      <c r="M7" s="9" t="inlineStr">
        <is>
          <t>Melek</t>
        </is>
      </c>
      <c r="N7" s="10" t="n"/>
      <c r="O7" s="10" t="n"/>
      <c r="P7" s="10" t="inlineStr">
        <is>
          <t>Hebdomadaire</t>
        </is>
      </c>
      <c r="Q7" s="9" t="inlineStr">
        <is>
          <t>Original (septembre)</t>
        </is>
      </c>
      <c r="R7" s="9" t="inlineStr"/>
      <c r="S7" s="44">
        <f>IF($M7="","",IF(SUMPRODUCT(($D$4:$D$704=$D7)*($M$4:$M$704=$M7)*($F$4:$F$704&lt;$G7)*($G$4:$G$704&gt;$F7))&gt;1,"⚠ CONFLIT",""))</f>
        <v/>
      </c>
      <c r="T7" s="44">
        <f>IF($J7="","",IF(SUMPRODUCT(($D$4:$D$704=$D7)*($J$4:$J$704=$J7)*($F$4:$F$704&lt;$G7)*($G$4:$G$704&gt;$F7))&gt;1,"⚠ CONFLIT",""))</f>
        <v/>
      </c>
      <c r="U7" s="44">
        <f>IF(COUNTIFS($D$4:$D$704,$D7,$J$4:$J$704,$J7,$F$4:$F$704,$F7,$K$4:$K$704,$K7)&gt;1,"⚠ DOUBLON","")</f>
        <v/>
      </c>
      <c r="V7" s="44">
        <f>COUNTIFS($A$4:$A7,$A7,$J$4:$J7,$J7,$E$4:$E7,$E7)</f>
        <v/>
      </c>
      <c r="W7" s="45">
        <f>$A7&amp;"|"&amp;$J7&amp;"|"&amp;$E7&amp;"|"&amp;$V7</f>
        <v/>
      </c>
      <c r="X7" s="46">
        <f>TEXT($F7,"hh:mm")&amp;" - "&amp;TEXT($G7,"hh:mm")&amp;IF($P7="Quinzaine A","   ◆ Q-A",IF($P7="Quinzaine B","   ◆ Q-B",IF($P7="Exception","   ◆ PONCTUEL","")))&amp;CHAR(10)&amp;$K7&amp;CHAR(10)&amp;$M7&amp;IF($N7&lt;&gt;"",CHAR(10)&amp;"Salle "&amp;$N7,"")&amp;IF($O7="En ligne",CHAR(10)&amp;"◆ EN LIGNE","")&amp;IF($R7&lt;&gt;"",CHAR(10)&amp;$R7,"")</f>
        <v/>
      </c>
      <c r="Y7" s="45" t="inlineStr">
        <is>
          <t>19h30-21h فيزياء /par quinzaine (Melek)</t>
        </is>
      </c>
      <c r="Z7" s="45" t="inlineStr">
        <is>
          <t>du 14-09 jusquà le 20-09!G36</t>
        </is>
      </c>
    </row>
    <row r="8" ht="15" customHeight="1">
      <c r="A8" s="10" t="inlineStr">
        <is>
          <t>S1</t>
        </is>
      </c>
      <c r="B8" s="9" t="inlineStr">
        <is>
          <t>du 14 au 20 septembre 2026</t>
        </is>
      </c>
      <c r="C8" s="10" t="inlineStr">
        <is>
          <t>A</t>
        </is>
      </c>
      <c r="D8" s="41" t="n">
        <v>46279</v>
      </c>
      <c r="E8" s="10" t="inlineStr">
        <is>
          <t>Lundi</t>
        </is>
      </c>
      <c r="F8" s="42" t="n">
        <v>0.8125</v>
      </c>
      <c r="G8" s="42" t="n">
        <v>0.875</v>
      </c>
      <c r="H8" s="43">
        <f>IF(OR($F8="",$G8=""),"",($G8-$F8)*24)</f>
        <v/>
      </c>
      <c r="I8" s="10" t="inlineStr">
        <is>
          <t>Secondaire</t>
        </is>
      </c>
      <c r="J8" s="9" t="inlineStr">
        <is>
          <t>1ére (A)</t>
        </is>
      </c>
      <c r="K8" s="9" t="inlineStr">
        <is>
          <t>Math</t>
        </is>
      </c>
      <c r="L8" s="9" t="inlineStr">
        <is>
          <t>Math</t>
        </is>
      </c>
      <c r="M8" s="9" t="inlineStr">
        <is>
          <t>Haythem</t>
        </is>
      </c>
      <c r="N8" s="10" t="n"/>
      <c r="O8" s="10" t="n"/>
      <c r="P8" s="10" t="inlineStr">
        <is>
          <t>Hebdomadaire</t>
        </is>
      </c>
      <c r="Q8" s="9" t="inlineStr">
        <is>
          <t>Original (septembre)</t>
        </is>
      </c>
      <c r="R8" s="9" t="inlineStr"/>
      <c r="S8" s="44">
        <f>IF($M8="","",IF(SUMPRODUCT(($D$4:$D$704=$D8)*($M$4:$M$704=$M8)*($F$4:$F$704&lt;$G8)*($G$4:$G$704&gt;$F8))&gt;1,"⚠ CONFLIT",""))</f>
        <v/>
      </c>
      <c r="T8" s="44">
        <f>IF($J8="","",IF(SUMPRODUCT(($D$4:$D$704=$D8)*($J$4:$J$704=$J8)*($F$4:$F$704&lt;$G8)*($G$4:$G$704&gt;$F8))&gt;1,"⚠ CONFLIT",""))</f>
        <v/>
      </c>
      <c r="U8" s="44">
        <f>IF(COUNTIFS($D$4:$D$704,$D8,$J$4:$J$704,$J8,$F$4:$F$704,$F8,$K$4:$K$704,$K8)&gt;1,"⚠ DOUBLON","")</f>
        <v/>
      </c>
      <c r="V8" s="44">
        <f>COUNTIFS($A$4:$A8,$A8,$J$4:$J8,$J8,$E$4:$E8,$E8)</f>
        <v/>
      </c>
      <c r="W8" s="45">
        <f>$A8&amp;"|"&amp;$J8&amp;"|"&amp;$E8&amp;"|"&amp;$V8</f>
        <v/>
      </c>
      <c r="X8" s="46">
        <f>TEXT($F8,"hh:mm")&amp;" - "&amp;TEXT($G8,"hh:mm")&amp;IF($P8="Quinzaine A","   ◆ Q-A",IF($P8="Quinzaine B","   ◆ Q-B",IF($P8="Exception","   ◆ PONCTUEL","")))&amp;CHAR(10)&amp;$K8&amp;CHAR(10)&amp;$M8&amp;IF($N8&lt;&gt;"",CHAR(10)&amp;"Salle "&amp;$N8,"")&amp;IF($O8="En ligne",CHAR(10)&amp;"◆ EN LIGNE","")&amp;IF($R8&lt;&gt;"",CHAR(10)&amp;$R8,"")</f>
        <v/>
      </c>
      <c r="Y8" s="45" t="inlineStr">
        <is>
          <t>19h30-21h Math (Haythem)</t>
        </is>
      </c>
      <c r="Z8" s="45" t="inlineStr">
        <is>
          <t>du 14-09 jusquà le 20-09!G48</t>
        </is>
      </c>
    </row>
    <row r="9" ht="15" customHeight="1">
      <c r="A9" s="10" t="inlineStr">
        <is>
          <t>S1</t>
        </is>
      </c>
      <c r="B9" s="9" t="inlineStr">
        <is>
          <t>du 14 au 20 septembre 2026</t>
        </is>
      </c>
      <c r="C9" s="10" t="inlineStr">
        <is>
          <t>A</t>
        </is>
      </c>
      <c r="D9" s="41" t="n">
        <v>46279</v>
      </c>
      <c r="E9" s="10" t="inlineStr">
        <is>
          <t>Lundi</t>
        </is>
      </c>
      <c r="F9" s="42" t="n">
        <v>0.7916666666666666</v>
      </c>
      <c r="G9" s="42" t="n">
        <v>0.875</v>
      </c>
      <c r="H9" s="43">
        <f>IF(OR($F9="",$G9=""),"",($G9-$F9)*24)</f>
        <v/>
      </c>
      <c r="I9" s="10" t="inlineStr">
        <is>
          <t>Secondaire</t>
        </is>
      </c>
      <c r="J9" s="9" t="inlineStr">
        <is>
          <t>2éme INFO</t>
        </is>
      </c>
      <c r="K9" s="9" t="inlineStr">
        <is>
          <t>Informatique</t>
        </is>
      </c>
      <c r="L9" s="9" t="inlineStr">
        <is>
          <t>Informatique</t>
        </is>
      </c>
      <c r="M9" s="9" t="inlineStr">
        <is>
          <t>Aymen</t>
        </is>
      </c>
      <c r="N9" s="10" t="n"/>
      <c r="O9" s="10" t="n"/>
      <c r="P9" s="10" t="inlineStr">
        <is>
          <t>Ponctuelle / modifiée</t>
        </is>
      </c>
      <c r="Q9" s="9" t="inlineStr">
        <is>
          <t>Original (septembre)</t>
        </is>
      </c>
      <c r="R9" s="9" t="inlineStr"/>
      <c r="S9" s="44">
        <f>IF($M9="","",IF(SUMPRODUCT(($D$4:$D$704=$D9)*($M$4:$M$704=$M9)*($F$4:$F$704&lt;$G9)*($G$4:$G$704&gt;$F9))&gt;1,"⚠ CONFLIT",""))</f>
        <v/>
      </c>
      <c r="T9" s="44">
        <f>IF($J9="","",IF(SUMPRODUCT(($D$4:$D$704=$D9)*($J$4:$J$704=$J9)*($F$4:$F$704&lt;$G9)*($G$4:$G$704&gt;$F9))&gt;1,"⚠ CONFLIT",""))</f>
        <v/>
      </c>
      <c r="U9" s="44">
        <f>IF(COUNTIFS($D$4:$D$704,$D9,$J$4:$J$704,$J9,$F$4:$F$704,$F9,$K$4:$K$704,$K9)&gt;1,"⚠ DOUBLON","")</f>
        <v/>
      </c>
      <c r="V9" s="44">
        <f>COUNTIFS($A$4:$A9,$A9,$J$4:$J9,$J9,$E$4:$E9,$E9)</f>
        <v/>
      </c>
      <c r="W9" s="45">
        <f>$A9&amp;"|"&amp;$J9&amp;"|"&amp;$E9&amp;"|"&amp;$V9</f>
        <v/>
      </c>
      <c r="X9" s="46">
        <f>TEXT($F9,"hh:mm")&amp;" - "&amp;TEXT($G9,"hh:mm")&amp;IF($P9="Quinzaine A","   ◆ Q-A",IF($P9="Quinzaine B","   ◆ Q-B",IF($P9="Exception","   ◆ PONCTUEL","")))&amp;CHAR(10)&amp;$K9&amp;CHAR(10)&amp;$M9&amp;IF($N9&lt;&gt;"",CHAR(10)&amp;"Salle "&amp;$N9,"")&amp;IF($O9="En ligne",CHAR(10)&amp;"◆ EN LIGNE","")&amp;IF($R9&lt;&gt;"",CHAR(10)&amp;$R9,"")</f>
        <v/>
      </c>
      <c r="Y9" s="45" t="inlineStr">
        <is>
          <t>19h-21h Informatique (Aymen)</t>
        </is>
      </c>
      <c r="Z9" s="45" t="inlineStr">
        <is>
          <t>du 14-09 jusquà le 20-09!G60</t>
        </is>
      </c>
    </row>
    <row r="10" ht="15" customHeight="1">
      <c r="A10" s="10" t="inlineStr">
        <is>
          <t>S1</t>
        </is>
      </c>
      <c r="B10" s="9" t="inlineStr">
        <is>
          <t>du 14 au 20 septembre 2026</t>
        </is>
      </c>
      <c r="C10" s="10" t="inlineStr">
        <is>
          <t>A</t>
        </is>
      </c>
      <c r="D10" s="41" t="n">
        <v>46279</v>
      </c>
      <c r="E10" s="10" t="inlineStr">
        <is>
          <t>Lundi</t>
        </is>
      </c>
      <c r="F10" s="42" t="n">
        <v>0.7916666666666666</v>
      </c>
      <c r="G10" s="42" t="n">
        <v>0.875</v>
      </c>
      <c r="H10" s="43">
        <f>IF(OR($F10="",$G10=""),"",($G10-$F10)*24)</f>
        <v/>
      </c>
      <c r="I10" s="10" t="inlineStr">
        <is>
          <t>Bac</t>
        </is>
      </c>
      <c r="J10" s="9" t="inlineStr">
        <is>
          <t>Bac Eco</t>
        </is>
      </c>
      <c r="K10" s="9" t="inlineStr">
        <is>
          <t>Gestion</t>
        </is>
      </c>
      <c r="L10" s="9" t="inlineStr">
        <is>
          <t>Gestion</t>
        </is>
      </c>
      <c r="M10" s="9" t="inlineStr">
        <is>
          <t>Yassine</t>
        </is>
      </c>
      <c r="N10" s="10" t="n"/>
      <c r="O10" s="10" t="n"/>
      <c r="P10" s="10" t="inlineStr">
        <is>
          <t>Hebdomadaire</t>
        </is>
      </c>
      <c r="Q10" s="9" t="inlineStr">
        <is>
          <t>Original (septembre)</t>
        </is>
      </c>
      <c r="R10" s="9" t="inlineStr"/>
      <c r="S10" s="44">
        <f>IF($M10="","",IF(SUMPRODUCT(($D$4:$D$704=$D10)*($M$4:$M$704=$M10)*($F$4:$F$704&lt;$G10)*($G$4:$G$704&gt;$F10))&gt;1,"⚠ CONFLIT",""))</f>
        <v/>
      </c>
      <c r="T10" s="44">
        <f>IF($J10="","",IF(SUMPRODUCT(($D$4:$D$704=$D10)*($J$4:$J$704=$J10)*($F$4:$F$704&lt;$G10)*($G$4:$G$704&gt;$F10))&gt;1,"⚠ CONFLIT",""))</f>
        <v/>
      </c>
      <c r="U10" s="44">
        <f>IF(COUNTIFS($D$4:$D$704,$D10,$J$4:$J$704,$J10,$F$4:$F$704,$F10,$K$4:$K$704,$K10)&gt;1,"⚠ DOUBLON","")</f>
        <v/>
      </c>
      <c r="V10" s="44">
        <f>COUNTIFS($A$4:$A10,$A10,$J$4:$J10,$J10,$E$4:$E10,$E10)</f>
        <v/>
      </c>
      <c r="W10" s="45">
        <f>$A10&amp;"|"&amp;$J10&amp;"|"&amp;$E10&amp;"|"&amp;$V10</f>
        <v/>
      </c>
      <c r="X10" s="46">
        <f>TEXT($F10,"hh:mm")&amp;" - "&amp;TEXT($G10,"hh:mm")&amp;IF($P10="Quinzaine A","   ◆ Q-A",IF($P10="Quinzaine B","   ◆ Q-B",IF($P10="Exception","   ◆ PONCTUEL","")))&amp;CHAR(10)&amp;$K10&amp;CHAR(10)&amp;$M10&amp;IF($N10&lt;&gt;"",CHAR(10)&amp;"Salle "&amp;$N10,"")&amp;IF($O10="En ligne",CHAR(10)&amp;"◆ EN LIGNE","")&amp;IF($R10&lt;&gt;"",CHAR(10)&amp;$R10,"")</f>
        <v/>
      </c>
      <c r="Y10" s="45" t="inlineStr">
        <is>
          <t>19h-21h Gestion (Yassine)</t>
        </is>
      </c>
      <c r="Z10" s="45" t="inlineStr">
        <is>
          <t>du 14-09 jusquà le 20-09!G68</t>
        </is>
      </c>
    </row>
    <row r="11" ht="15" customHeight="1">
      <c r="A11" s="10" t="inlineStr">
        <is>
          <t>S1</t>
        </is>
      </c>
      <c r="B11" s="9" t="inlineStr">
        <is>
          <t>du 14 au 20 septembre 2026</t>
        </is>
      </c>
      <c r="C11" s="10" t="inlineStr">
        <is>
          <t>A</t>
        </is>
      </c>
      <c r="D11" s="41" t="n">
        <v>46279</v>
      </c>
      <c r="E11" s="10" t="inlineStr">
        <is>
          <t>Lundi</t>
        </is>
      </c>
      <c r="F11" s="42" t="n">
        <v>0.7916666666666666</v>
      </c>
      <c r="G11" s="42" t="n">
        <v>0.875</v>
      </c>
      <c r="H11" s="43">
        <f>IF(OR($F11="",$G11=""),"",($G11-$F11)*24)</f>
        <v/>
      </c>
      <c r="I11" s="10" t="inlineStr">
        <is>
          <t>Bac</t>
        </is>
      </c>
      <c r="J11" s="9" t="inlineStr">
        <is>
          <t>Bac SCE</t>
        </is>
      </c>
      <c r="K11" s="9" t="inlineStr">
        <is>
          <t>Physique</t>
        </is>
      </c>
      <c r="L11" s="9" t="inlineStr">
        <is>
          <t>Physique</t>
        </is>
      </c>
      <c r="M11" s="9" t="inlineStr">
        <is>
          <t>Sondes</t>
        </is>
      </c>
      <c r="N11" s="10" t="n"/>
      <c r="O11" s="10" t="n"/>
      <c r="P11" s="10" t="inlineStr">
        <is>
          <t>Hebdomadaire</t>
        </is>
      </c>
      <c r="Q11" s="9" t="inlineStr">
        <is>
          <t>Original (septembre)</t>
        </is>
      </c>
      <c r="R11" s="9" t="inlineStr"/>
      <c r="S11" s="44">
        <f>IF($M11="","",IF(SUMPRODUCT(($D$4:$D$704=$D11)*($M$4:$M$704=$M11)*($F$4:$F$704&lt;$G11)*($G$4:$G$704&gt;$F11))&gt;1,"⚠ CONFLIT",""))</f>
        <v/>
      </c>
      <c r="T11" s="44">
        <f>IF($J11="","",IF(SUMPRODUCT(($D$4:$D$704=$D11)*($J$4:$J$704=$J11)*($F$4:$F$704&lt;$G11)*($G$4:$G$704&gt;$F11))&gt;1,"⚠ CONFLIT",""))</f>
        <v/>
      </c>
      <c r="U11" s="44">
        <f>IF(COUNTIFS($D$4:$D$704,$D11,$J$4:$J$704,$J11,$F$4:$F$704,$F11,$K$4:$K$704,$K11)&gt;1,"⚠ DOUBLON","")</f>
        <v/>
      </c>
      <c r="V11" s="44">
        <f>COUNTIFS($A$4:$A11,$A11,$J$4:$J11,$J11,$E$4:$E11,$E11)</f>
        <v/>
      </c>
      <c r="W11" s="45">
        <f>$A11&amp;"|"&amp;$J11&amp;"|"&amp;$E11&amp;"|"&amp;$V11</f>
        <v/>
      </c>
      <c r="X11" s="46">
        <f>TEXT($F11,"hh:mm")&amp;" - "&amp;TEXT($G11,"hh:mm")&amp;IF($P11="Quinzaine A","   ◆ Q-A",IF($P11="Quinzaine B","   ◆ Q-B",IF($P11="Exception","   ◆ PONCTUEL","")))&amp;CHAR(10)&amp;$K11&amp;CHAR(10)&amp;$M11&amp;IF($N11&lt;&gt;"",CHAR(10)&amp;"Salle "&amp;$N11,"")&amp;IF($O11="En ligne",CHAR(10)&amp;"◆ EN LIGNE","")&amp;IF($R11&lt;&gt;"",CHAR(10)&amp;$R11,"")</f>
        <v/>
      </c>
      <c r="Y11" s="45" t="inlineStr">
        <is>
          <t>19h-21h Physique (Sondes)</t>
        </is>
      </c>
      <c r="Z11" s="45" t="inlineStr">
        <is>
          <t>du 14-09 jusquà le 20-09!G74</t>
        </is>
      </c>
    </row>
    <row r="12" ht="15" customHeight="1">
      <c r="A12" s="10" t="inlineStr">
        <is>
          <t>S1</t>
        </is>
      </c>
      <c r="B12" s="9" t="inlineStr">
        <is>
          <t>du 14 au 20 septembre 2026</t>
        </is>
      </c>
      <c r="C12" s="10" t="inlineStr">
        <is>
          <t>A</t>
        </is>
      </c>
      <c r="D12" s="41" t="n">
        <v>46279</v>
      </c>
      <c r="E12" s="10" t="inlineStr">
        <is>
          <t>Lundi</t>
        </is>
      </c>
      <c r="F12" s="42" t="n">
        <v>0.8125</v>
      </c>
      <c r="G12" s="42" t="n">
        <v>0.875</v>
      </c>
      <c r="H12" s="43">
        <f>IF(OR($F12="",$G12=""),"",($G12-$F12)*24)</f>
        <v/>
      </c>
      <c r="I12" s="10" t="inlineStr">
        <is>
          <t>Bac</t>
        </is>
      </c>
      <c r="J12" s="9" t="inlineStr">
        <is>
          <t>Bac INFO</t>
        </is>
      </c>
      <c r="K12" s="9" t="inlineStr">
        <is>
          <t>Physique</t>
        </is>
      </c>
      <c r="L12" s="9" t="inlineStr">
        <is>
          <t>Physique</t>
        </is>
      </c>
      <c r="M12" s="9" t="inlineStr">
        <is>
          <t>Samia</t>
        </is>
      </c>
      <c r="N12" s="10" t="n"/>
      <c r="O12" s="10" t="n"/>
      <c r="P12" s="10" t="inlineStr">
        <is>
          <t>Hebdomadaire</t>
        </is>
      </c>
      <c r="Q12" s="9" t="inlineStr">
        <is>
          <t>Original (septembre)</t>
        </is>
      </c>
      <c r="R12" s="9" t="inlineStr"/>
      <c r="S12" s="44">
        <f>IF($M12="","",IF(SUMPRODUCT(($D$4:$D$704=$D12)*($M$4:$M$704=$M12)*($F$4:$F$704&lt;$G12)*($G$4:$G$704&gt;$F12))&gt;1,"⚠ CONFLIT",""))</f>
        <v/>
      </c>
      <c r="T12" s="44">
        <f>IF($J12="","",IF(SUMPRODUCT(($D$4:$D$704=$D12)*($J$4:$J$704=$J12)*($F$4:$F$704&lt;$G12)*($G$4:$G$704&gt;$F12))&gt;1,"⚠ CONFLIT",""))</f>
        <v/>
      </c>
      <c r="U12" s="44">
        <f>IF(COUNTIFS($D$4:$D$704,$D12,$J$4:$J$704,$J12,$F$4:$F$704,$F12,$K$4:$K$704,$K12)&gt;1,"⚠ DOUBLON","")</f>
        <v/>
      </c>
      <c r="V12" s="44">
        <f>COUNTIFS($A$4:$A12,$A12,$J$4:$J12,$J12,$E$4:$E12,$E12)</f>
        <v/>
      </c>
      <c r="W12" s="45">
        <f>$A12&amp;"|"&amp;$J12&amp;"|"&amp;$E12&amp;"|"&amp;$V12</f>
        <v/>
      </c>
      <c r="X12" s="46">
        <f>TEXT($F12,"hh:mm")&amp;" - "&amp;TEXT($G12,"hh:mm")&amp;IF($P12="Quinzaine A","   ◆ Q-A",IF($P12="Quinzaine B","   ◆ Q-B",IF($P12="Exception","   ◆ PONCTUEL","")))&amp;CHAR(10)&amp;$K12&amp;CHAR(10)&amp;$M12&amp;IF($N12&lt;&gt;"",CHAR(10)&amp;"Salle "&amp;$N12,"")&amp;IF($O12="En ligne",CHAR(10)&amp;"◆ EN LIGNE","")&amp;IF($R12&lt;&gt;"",CHAR(10)&amp;$R12,"")</f>
        <v/>
      </c>
      <c r="Y12" s="45" t="inlineStr">
        <is>
          <t>19h30-21h Physique (Samia)</t>
        </is>
      </c>
      <c r="Z12" s="45" t="inlineStr">
        <is>
          <t>du 14-09 jusquà le 20-09!G78</t>
        </is>
      </c>
    </row>
    <row r="13" ht="15" customHeight="1">
      <c r="A13" s="10" t="inlineStr">
        <is>
          <t>S1</t>
        </is>
      </c>
      <c r="B13" s="9" t="inlineStr">
        <is>
          <t>du 14 au 20 septembre 2026</t>
        </is>
      </c>
      <c r="C13" s="10" t="inlineStr">
        <is>
          <t>A</t>
        </is>
      </c>
      <c r="D13" s="41" t="n">
        <v>46280</v>
      </c>
      <c r="E13" s="10" t="inlineStr">
        <is>
          <t>Mardi</t>
        </is>
      </c>
      <c r="F13" s="42" t="n">
        <v>0.7916666666666666</v>
      </c>
      <c r="G13" s="42" t="n">
        <v>0.875</v>
      </c>
      <c r="H13" s="43">
        <f>IF(OR($F13="",$G13=""),"",($G13-$F13)*24)</f>
        <v/>
      </c>
      <c r="I13" s="10" t="inlineStr">
        <is>
          <t>Primaire</t>
        </is>
      </c>
      <c r="J13" s="9" t="inlineStr">
        <is>
          <t>5éme</t>
        </is>
      </c>
      <c r="K13" s="9" t="inlineStr">
        <is>
          <t>عربية</t>
        </is>
      </c>
      <c r="L13" s="9" t="inlineStr">
        <is>
          <t>Arabe</t>
        </is>
      </c>
      <c r="M13" s="9" t="inlineStr">
        <is>
          <t>Lobna</t>
        </is>
      </c>
      <c r="N13" s="10" t="n"/>
      <c r="O13" s="10" t="n"/>
      <c r="P13" s="10" t="inlineStr">
        <is>
          <t>Hebdomadaire</t>
        </is>
      </c>
      <c r="Q13" s="9" t="inlineStr">
        <is>
          <t>Original (septembre)</t>
        </is>
      </c>
      <c r="R13" s="9" t="inlineStr"/>
      <c r="S13" s="44">
        <f>IF($M13="","",IF(SUMPRODUCT(($D$4:$D$704=$D13)*($M$4:$M$704=$M13)*($F$4:$F$704&lt;$G13)*($G$4:$G$704&gt;$F13))&gt;1,"⚠ CONFLIT",""))</f>
        <v/>
      </c>
      <c r="T13" s="44">
        <f>IF($J13="","",IF(SUMPRODUCT(($D$4:$D$704=$D13)*($J$4:$J$704=$J13)*($F$4:$F$704&lt;$G13)*($G$4:$G$704&gt;$F13))&gt;1,"⚠ CONFLIT",""))</f>
        <v/>
      </c>
      <c r="U13" s="44">
        <f>IF(COUNTIFS($D$4:$D$704,$D13,$J$4:$J$704,$J13,$F$4:$F$704,$F13,$K$4:$K$704,$K13)&gt;1,"⚠ DOUBLON","")</f>
        <v/>
      </c>
      <c r="V13" s="44">
        <f>COUNTIFS($A$4:$A13,$A13,$J$4:$J13,$J13,$E$4:$E13,$E13)</f>
        <v/>
      </c>
      <c r="W13" s="45">
        <f>$A13&amp;"|"&amp;$J13&amp;"|"&amp;$E13&amp;"|"&amp;$V13</f>
        <v/>
      </c>
      <c r="X13" s="46">
        <f>TEXT($F13,"hh:mm")&amp;" - "&amp;TEXT($G13,"hh:mm")&amp;IF($P13="Quinzaine A","   ◆ Q-A",IF($P13="Quinzaine B","   ◆ Q-B",IF($P13="Exception","   ◆ PONCTUEL","")))&amp;CHAR(10)&amp;$K13&amp;CHAR(10)&amp;$M13&amp;IF($N13&lt;&gt;"",CHAR(10)&amp;"Salle "&amp;$N13,"")&amp;IF($O13="En ligne",CHAR(10)&amp;"◆ EN LIGNE","")&amp;IF($R13&lt;&gt;"",CHAR(10)&amp;$R13,"")</f>
        <v/>
      </c>
      <c r="Y13" s="45" t="inlineStr">
        <is>
          <t>19h-21h عربية (Lobna)</t>
        </is>
      </c>
      <c r="Z13" s="45" t="inlineStr">
        <is>
          <t>du 14-09 jusquà le 20-09!H6</t>
        </is>
      </c>
    </row>
    <row r="14" ht="15" customHeight="1">
      <c r="A14" s="10" t="inlineStr">
        <is>
          <t>S1</t>
        </is>
      </c>
      <c r="B14" s="9" t="inlineStr">
        <is>
          <t>du 14 au 20 septembre 2026</t>
        </is>
      </c>
      <c r="C14" s="10" t="inlineStr">
        <is>
          <t>A</t>
        </is>
      </c>
      <c r="D14" s="41" t="n">
        <v>46280</v>
      </c>
      <c r="E14" s="10" t="inlineStr">
        <is>
          <t>Mardi</t>
        </is>
      </c>
      <c r="F14" s="42" t="n">
        <v>0.7916666666666666</v>
      </c>
      <c r="G14" s="42" t="n">
        <v>0.8541666666666666</v>
      </c>
      <c r="H14" s="43">
        <f>IF(OR($F14="",$G14=""),"",($G14-$F14)*24)</f>
        <v/>
      </c>
      <c r="I14" s="10" t="inlineStr">
        <is>
          <t>Primaire</t>
        </is>
      </c>
      <c r="J14" s="9" t="inlineStr">
        <is>
          <t>6éme (B)</t>
        </is>
      </c>
      <c r="K14" s="9" t="inlineStr">
        <is>
          <t>Français</t>
        </is>
      </c>
      <c r="L14" s="9" t="inlineStr">
        <is>
          <t>Français</t>
        </is>
      </c>
      <c r="M14" s="9" t="inlineStr">
        <is>
          <t>Hend</t>
        </is>
      </c>
      <c r="N14" s="10" t="n"/>
      <c r="O14" s="10" t="n"/>
      <c r="P14" s="10" t="inlineStr">
        <is>
          <t>Hebdomadaire</t>
        </is>
      </c>
      <c r="Q14" s="9" t="inlineStr">
        <is>
          <t>Original (septembre)</t>
        </is>
      </c>
      <c r="R14" s="9" t="inlineStr"/>
      <c r="S14" s="44">
        <f>IF($M14="","",IF(SUMPRODUCT(($D$4:$D$704=$D14)*($M$4:$M$704=$M14)*($F$4:$F$704&lt;$G14)*($G$4:$G$704&gt;$F14))&gt;1,"⚠ CONFLIT",""))</f>
        <v/>
      </c>
      <c r="T14" s="44">
        <f>IF($J14="","",IF(SUMPRODUCT(($D$4:$D$704=$D14)*($J$4:$J$704=$J14)*($F$4:$F$704&lt;$G14)*($G$4:$G$704&gt;$F14))&gt;1,"⚠ CONFLIT",""))</f>
        <v/>
      </c>
      <c r="U14" s="44">
        <f>IF(COUNTIFS($D$4:$D$704,$D14,$J$4:$J$704,$J14,$F$4:$F$704,$F14,$K$4:$K$704,$K14)&gt;1,"⚠ DOUBLON","")</f>
        <v/>
      </c>
      <c r="V14" s="44">
        <f>COUNTIFS($A$4:$A14,$A14,$J$4:$J14,$J14,$E$4:$E14,$E14)</f>
        <v/>
      </c>
      <c r="W14" s="45">
        <f>$A14&amp;"|"&amp;$J14&amp;"|"&amp;$E14&amp;"|"&amp;$V14</f>
        <v/>
      </c>
      <c r="X14" s="46">
        <f>TEXT($F14,"hh:mm")&amp;" - "&amp;TEXT($G14,"hh:mm")&amp;IF($P14="Quinzaine A","   ◆ Q-A",IF($P14="Quinzaine B","   ◆ Q-B",IF($P14="Exception","   ◆ PONCTUEL","")))&amp;CHAR(10)&amp;$K14&amp;CHAR(10)&amp;$M14&amp;IF($N14&lt;&gt;"",CHAR(10)&amp;"Salle "&amp;$N14,"")&amp;IF($O14="En ligne",CHAR(10)&amp;"◆ EN LIGNE","")&amp;IF($R14&lt;&gt;"",CHAR(10)&amp;$R14,"")</f>
        <v/>
      </c>
      <c r="Y14" s="45" t="inlineStr">
        <is>
          <t>19h-20h30 Français (Hend)</t>
        </is>
      </c>
      <c r="Z14" s="45" t="inlineStr">
        <is>
          <t>du 14-09 jusquà le 20-09!H16</t>
        </is>
      </c>
    </row>
    <row r="15" ht="15" customHeight="1">
      <c r="A15" s="10" t="inlineStr">
        <is>
          <t>S1</t>
        </is>
      </c>
      <c r="B15" s="9" t="inlineStr">
        <is>
          <t>du 14 au 20 septembre 2026</t>
        </is>
      </c>
      <c r="C15" s="10" t="inlineStr">
        <is>
          <t>A</t>
        </is>
      </c>
      <c r="D15" s="41" t="n">
        <v>46280</v>
      </c>
      <c r="E15" s="10" t="inlineStr">
        <is>
          <t>Mardi</t>
        </is>
      </c>
      <c r="F15" s="42" t="n">
        <v>0.7916666666666666</v>
      </c>
      <c r="G15" s="42" t="n">
        <v>0.8541666666666666</v>
      </c>
      <c r="H15" s="43">
        <f>IF(OR($F15="",$G15=""),"",($G15-$F15)*24)</f>
        <v/>
      </c>
      <c r="I15" s="10" t="inlineStr">
        <is>
          <t>Collège</t>
        </is>
      </c>
      <c r="J15" s="9" t="inlineStr">
        <is>
          <t>7éme (A)</t>
        </is>
      </c>
      <c r="K15" s="9" t="inlineStr">
        <is>
          <t>Anglais</t>
        </is>
      </c>
      <c r="L15" s="9" t="inlineStr">
        <is>
          <t>Anglais</t>
        </is>
      </c>
      <c r="M15" s="9" t="inlineStr">
        <is>
          <t>Imen Ben Lazrak</t>
        </is>
      </c>
      <c r="N15" s="10" t="n"/>
      <c r="O15" s="10" t="n"/>
      <c r="P15" s="10" t="inlineStr">
        <is>
          <t>Quinzaine A</t>
        </is>
      </c>
      <c r="Q15" s="9" t="inlineStr">
        <is>
          <t>Original (septembre)</t>
        </is>
      </c>
      <c r="R15" s="9" t="inlineStr"/>
      <c r="S15" s="44">
        <f>IF($M15="","",IF(SUMPRODUCT(($D$4:$D$704=$D15)*($M$4:$M$704=$M15)*($F$4:$F$704&lt;$G15)*($G$4:$G$704&gt;$F15))&gt;1,"⚠ CONFLIT",""))</f>
        <v/>
      </c>
      <c r="T15" s="44">
        <f>IF($J15="","",IF(SUMPRODUCT(($D$4:$D$704=$D15)*($J$4:$J$704=$J15)*($F$4:$F$704&lt;$G15)*($G$4:$G$704&gt;$F15))&gt;1,"⚠ CONFLIT",""))</f>
        <v/>
      </c>
      <c r="U15" s="44">
        <f>IF(COUNTIFS($D$4:$D$704,$D15,$J$4:$J$704,$J15,$F$4:$F$704,$F15,$K$4:$K$704,$K15)&gt;1,"⚠ DOUBLON","")</f>
        <v/>
      </c>
      <c r="V15" s="44">
        <f>COUNTIFS($A$4:$A15,$A15,$J$4:$J15,$J15,$E$4:$E15,$E15)</f>
        <v/>
      </c>
      <c r="W15" s="45">
        <f>$A15&amp;"|"&amp;$J15&amp;"|"&amp;$E15&amp;"|"&amp;$V15</f>
        <v/>
      </c>
      <c r="X15" s="46">
        <f>TEXT($F15,"hh:mm")&amp;" - "&amp;TEXT($G15,"hh:mm")&amp;IF($P15="Quinzaine A","   ◆ Q-A",IF($P15="Quinzaine B","   ◆ Q-B",IF($P15="Exception","   ◆ PONCTUEL","")))&amp;CHAR(10)&amp;$K15&amp;CHAR(10)&amp;$M15&amp;IF($N15&lt;&gt;"",CHAR(10)&amp;"Salle "&amp;$N15,"")&amp;IF($O15="En ligne",CHAR(10)&amp;"◆ EN LIGNE","")&amp;IF($R15&lt;&gt;"",CHAR(10)&amp;$R15,"")</f>
        <v/>
      </c>
      <c r="Y15" s="45" t="inlineStr">
        <is>
          <t>19h-20h30 Anglais /par quinzaine (Imen Ben Lazrak)</t>
        </is>
      </c>
      <c r="Z15" s="45" t="inlineStr">
        <is>
          <t>du 14-09 jusquà le 20-09!H19</t>
        </is>
      </c>
    </row>
    <row r="16" ht="15" customHeight="1">
      <c r="A16" s="10" t="inlineStr">
        <is>
          <t>S1</t>
        </is>
      </c>
      <c r="B16" s="9" t="inlineStr">
        <is>
          <t>du 14 au 20 septembre 2026</t>
        </is>
      </c>
      <c r="C16" s="10" t="inlineStr">
        <is>
          <t>A</t>
        </is>
      </c>
      <c r="D16" s="41" t="n">
        <v>46280</v>
      </c>
      <c r="E16" s="10" t="inlineStr">
        <is>
          <t>Mardi</t>
        </is>
      </c>
      <c r="F16" s="42" t="n">
        <v>0.8125</v>
      </c>
      <c r="G16" s="42" t="n">
        <v>0.875</v>
      </c>
      <c r="H16" s="43">
        <f>IF(OR($F16="",$G16=""),"",($G16-$F16)*24)</f>
        <v/>
      </c>
      <c r="I16" s="10" t="inlineStr">
        <is>
          <t>Collège</t>
        </is>
      </c>
      <c r="J16" s="9" t="inlineStr">
        <is>
          <t>8éme (B)</t>
        </is>
      </c>
      <c r="K16" s="9" t="inlineStr">
        <is>
          <t>Arabe</t>
        </is>
      </c>
      <c r="L16" s="9" t="inlineStr">
        <is>
          <t>Arabe</t>
        </is>
      </c>
      <c r="M16" s="9" t="inlineStr">
        <is>
          <t>Yahya</t>
        </is>
      </c>
      <c r="N16" s="10" t="n"/>
      <c r="O16" s="10" t="n"/>
      <c r="P16" s="10" t="inlineStr">
        <is>
          <t>Hebdomadaire</t>
        </is>
      </c>
      <c r="Q16" s="9" t="inlineStr">
        <is>
          <t>Original (septembre)</t>
        </is>
      </c>
      <c r="R16" s="9" t="inlineStr"/>
      <c r="S16" s="44">
        <f>IF($M16="","",IF(SUMPRODUCT(($D$4:$D$704=$D16)*($M$4:$M$704=$M16)*($F$4:$F$704&lt;$G16)*($G$4:$G$704&gt;$F16))&gt;1,"⚠ CONFLIT",""))</f>
        <v/>
      </c>
      <c r="T16" s="44">
        <f>IF($J16="","",IF(SUMPRODUCT(($D$4:$D$704=$D16)*($J$4:$J$704=$J16)*($F$4:$F$704&lt;$G16)*($G$4:$G$704&gt;$F16))&gt;1,"⚠ CONFLIT",""))</f>
        <v/>
      </c>
      <c r="U16" s="44">
        <f>IF(COUNTIFS($D$4:$D$704,$D16,$J$4:$J$704,$J16,$F$4:$F$704,$F16,$K$4:$K$704,$K16)&gt;1,"⚠ DOUBLON","")</f>
        <v/>
      </c>
      <c r="V16" s="44">
        <f>COUNTIFS($A$4:$A16,$A16,$J$4:$J16,$J16,$E$4:$E16,$E16)</f>
        <v/>
      </c>
      <c r="W16" s="45">
        <f>$A16&amp;"|"&amp;$J16&amp;"|"&amp;$E16&amp;"|"&amp;$V16</f>
        <v/>
      </c>
      <c r="X16" s="46">
        <f>TEXT($F16,"hh:mm")&amp;" - "&amp;TEXT($G16,"hh:mm")&amp;IF($P16="Quinzaine A","   ◆ Q-A",IF($P16="Quinzaine B","   ◆ Q-B",IF($P16="Exception","   ◆ PONCTUEL","")))&amp;CHAR(10)&amp;$K16&amp;CHAR(10)&amp;$M16&amp;IF($N16&lt;&gt;"",CHAR(10)&amp;"Salle "&amp;$N16,"")&amp;IF($O16="En ligne",CHAR(10)&amp;"◆ EN LIGNE","")&amp;IF($R16&lt;&gt;"",CHAR(10)&amp;$R16,"")</f>
        <v/>
      </c>
      <c r="Y16" s="45" t="inlineStr">
        <is>
          <t>19h30-21h Arabe (Yahya)</t>
        </is>
      </c>
      <c r="Z16" s="45" t="inlineStr">
        <is>
          <t>du 14-09 jusquà le 20-09!H31</t>
        </is>
      </c>
    </row>
    <row r="17" ht="15" customHeight="1">
      <c r="A17" s="10" t="inlineStr">
        <is>
          <t>S1</t>
        </is>
      </c>
      <c r="B17" s="9" t="inlineStr">
        <is>
          <t>du 14 au 20 septembre 2026</t>
        </is>
      </c>
      <c r="C17" s="10" t="inlineStr">
        <is>
          <t>A</t>
        </is>
      </c>
      <c r="D17" s="41" t="n">
        <v>46280</v>
      </c>
      <c r="E17" s="10" t="inlineStr">
        <is>
          <t>Mardi</t>
        </is>
      </c>
      <c r="F17" s="42" t="n">
        <v>0.7916666666666666</v>
      </c>
      <c r="G17" s="42" t="n">
        <v>0.8541666666666666</v>
      </c>
      <c r="H17" s="43">
        <f>IF(OR($F17="",$G17=""),"",($G17-$F17)*24)</f>
        <v/>
      </c>
      <c r="I17" s="10" t="inlineStr">
        <is>
          <t>Collège</t>
        </is>
      </c>
      <c r="J17" s="9" t="inlineStr">
        <is>
          <t>9éme (A)</t>
        </is>
      </c>
      <c r="K17" s="9" t="inlineStr">
        <is>
          <t>Math</t>
        </is>
      </c>
      <c r="L17" s="9" t="inlineStr">
        <is>
          <t>Math</t>
        </is>
      </c>
      <c r="M17" s="9" t="inlineStr">
        <is>
          <t>Faouzi</t>
        </is>
      </c>
      <c r="N17" s="10" t="n"/>
      <c r="O17" s="10" t="n"/>
      <c r="P17" s="10" t="inlineStr">
        <is>
          <t>Hebdomadaire</t>
        </is>
      </c>
      <c r="Q17" s="9" t="inlineStr">
        <is>
          <t>Original (septembre)</t>
        </is>
      </c>
      <c r="R17" s="9" t="inlineStr"/>
      <c r="S17" s="44">
        <f>IF($M17="","",IF(SUMPRODUCT(($D$4:$D$704=$D17)*($M$4:$M$704=$M17)*($F$4:$F$704&lt;$G17)*($G$4:$G$704&gt;$F17))&gt;1,"⚠ CONFLIT",""))</f>
        <v/>
      </c>
      <c r="T17" s="44">
        <f>IF($J17="","",IF(SUMPRODUCT(($D$4:$D$704=$D17)*($J$4:$J$704=$J17)*($F$4:$F$704&lt;$G17)*($G$4:$G$704&gt;$F17))&gt;1,"⚠ CONFLIT",""))</f>
        <v/>
      </c>
      <c r="U17" s="44">
        <f>IF(COUNTIFS($D$4:$D$704,$D17,$J$4:$J$704,$J17,$F$4:$F$704,$F17,$K$4:$K$704,$K17)&gt;1,"⚠ DOUBLON","")</f>
        <v/>
      </c>
      <c r="V17" s="44">
        <f>COUNTIFS($A$4:$A17,$A17,$J$4:$J17,$J17,$E$4:$E17,$E17)</f>
        <v/>
      </c>
      <c r="W17" s="45">
        <f>$A17&amp;"|"&amp;$J17&amp;"|"&amp;$E17&amp;"|"&amp;$V17</f>
        <v/>
      </c>
      <c r="X17" s="46">
        <f>TEXT($F17,"hh:mm")&amp;" - "&amp;TEXT($G17,"hh:mm")&amp;IF($P17="Quinzaine A","   ◆ Q-A",IF($P17="Quinzaine B","   ◆ Q-B",IF($P17="Exception","   ◆ PONCTUEL","")))&amp;CHAR(10)&amp;$K17&amp;CHAR(10)&amp;$M17&amp;IF($N17&lt;&gt;"",CHAR(10)&amp;"Salle "&amp;$N17,"")&amp;IF($O17="En ligne",CHAR(10)&amp;"◆ EN LIGNE","")&amp;IF($R17&lt;&gt;"",CHAR(10)&amp;$R17,"")</f>
        <v/>
      </c>
      <c r="Y17" s="45" t="inlineStr">
        <is>
          <t>19h-20h30 Math (Faouzi)</t>
        </is>
      </c>
      <c r="Z17" s="45" t="inlineStr">
        <is>
          <t>du 14-09 jusquà le 20-09!H36</t>
        </is>
      </c>
    </row>
    <row r="18" ht="15" customHeight="1">
      <c r="A18" s="10" t="inlineStr">
        <is>
          <t>S1</t>
        </is>
      </c>
      <c r="B18" s="9" t="inlineStr">
        <is>
          <t>du 14 au 20 septembre 2026</t>
        </is>
      </c>
      <c r="C18" s="10" t="inlineStr">
        <is>
          <t>A</t>
        </is>
      </c>
      <c r="D18" s="41" t="n">
        <v>46280</v>
      </c>
      <c r="E18" s="10" t="inlineStr">
        <is>
          <t>Mardi</t>
        </is>
      </c>
      <c r="F18" s="42" t="n">
        <v>0.8020833333333334</v>
      </c>
      <c r="G18" s="42" t="n">
        <v>0.8645833333333334</v>
      </c>
      <c r="H18" s="43">
        <f>IF(OR($F18="",$G18=""),"",($G18-$F18)*24)</f>
        <v/>
      </c>
      <c r="I18" s="10" t="inlineStr">
        <is>
          <t>Collège</t>
        </is>
      </c>
      <c r="J18" s="9" t="inlineStr">
        <is>
          <t>9éme (B)</t>
        </is>
      </c>
      <c r="K18" s="9" t="inlineStr">
        <is>
          <t>SVT</t>
        </is>
      </c>
      <c r="L18" s="9" t="inlineStr">
        <is>
          <t>SVT</t>
        </is>
      </c>
      <c r="M18" s="9" t="inlineStr">
        <is>
          <t>Imen Jribi</t>
        </is>
      </c>
      <c r="N18" s="10" t="n"/>
      <c r="O18" s="10" t="n"/>
      <c r="P18" s="10" t="inlineStr">
        <is>
          <t>Hebdomadaire</t>
        </is>
      </c>
      <c r="Q18" s="9" t="inlineStr">
        <is>
          <t>Original (septembre)</t>
        </is>
      </c>
      <c r="R18" s="9" t="inlineStr"/>
      <c r="S18" s="44">
        <f>IF($M18="","",IF(SUMPRODUCT(($D$4:$D$704=$D18)*($M$4:$M$704=$M18)*($F$4:$F$704&lt;$G18)*($G$4:$G$704&gt;$F18))&gt;1,"⚠ CONFLIT",""))</f>
        <v/>
      </c>
      <c r="T18" s="44">
        <f>IF($J18="","",IF(SUMPRODUCT(($D$4:$D$704=$D18)*($J$4:$J$704=$J18)*($F$4:$F$704&lt;$G18)*($G$4:$G$704&gt;$F18))&gt;1,"⚠ CONFLIT",""))</f>
        <v/>
      </c>
      <c r="U18" s="44">
        <f>IF(COUNTIFS($D$4:$D$704,$D18,$J$4:$J$704,$J18,$F$4:$F$704,$F18,$K$4:$K$704,$K18)&gt;1,"⚠ DOUBLON","")</f>
        <v/>
      </c>
      <c r="V18" s="44">
        <f>COUNTIFS($A$4:$A18,$A18,$J$4:$J18,$J18,$E$4:$E18,$E18)</f>
        <v/>
      </c>
      <c r="W18" s="45">
        <f>$A18&amp;"|"&amp;$J18&amp;"|"&amp;$E18&amp;"|"&amp;$V18</f>
        <v/>
      </c>
      <c r="X18" s="46">
        <f>TEXT($F18,"hh:mm")&amp;" - "&amp;TEXT($G18,"hh:mm")&amp;IF($P18="Quinzaine A","   ◆ Q-A",IF($P18="Quinzaine B","   ◆ Q-B",IF($P18="Exception","   ◆ PONCTUEL","")))&amp;CHAR(10)&amp;$K18&amp;CHAR(10)&amp;$M18&amp;IF($N18&lt;&gt;"",CHAR(10)&amp;"Salle "&amp;$N18,"")&amp;IF($O18="En ligne",CHAR(10)&amp;"◆ EN LIGNE","")&amp;IF($R18&lt;&gt;"",CHAR(10)&amp;$R18,"")</f>
        <v/>
      </c>
      <c r="Y18" s="45" t="inlineStr">
        <is>
          <t>19h15-20h45 SVT (Imen Jribi)</t>
        </is>
      </c>
      <c r="Z18" s="45" t="inlineStr">
        <is>
          <t>du 14-09 jusquà le 20-09!H43</t>
        </is>
      </c>
    </row>
    <row r="19" ht="15" customHeight="1">
      <c r="A19" s="10" t="inlineStr">
        <is>
          <t>S1</t>
        </is>
      </c>
      <c r="B19" s="9" t="inlineStr">
        <is>
          <t>du 14 au 20 septembre 2026</t>
        </is>
      </c>
      <c r="C19" s="10" t="inlineStr">
        <is>
          <t>A</t>
        </is>
      </c>
      <c r="D19" s="41" t="n">
        <v>46280</v>
      </c>
      <c r="E19" s="10" t="inlineStr">
        <is>
          <t>Mardi</t>
        </is>
      </c>
      <c r="F19" s="42" t="n">
        <v>0.8125</v>
      </c>
      <c r="G19" s="42" t="n">
        <v>0.875</v>
      </c>
      <c r="H19" s="43">
        <f>IF(OR($F19="",$G19=""),"",($G19-$F19)*24)</f>
        <v/>
      </c>
      <c r="I19" s="10" t="inlineStr">
        <is>
          <t>Secondaire</t>
        </is>
      </c>
      <c r="J19" s="9" t="inlineStr">
        <is>
          <t>1ére (A)</t>
        </is>
      </c>
      <c r="K19" s="9" t="inlineStr">
        <is>
          <t>Français</t>
        </is>
      </c>
      <c r="L19" s="9" t="inlineStr">
        <is>
          <t>Français</t>
        </is>
      </c>
      <c r="M19" s="9" t="inlineStr">
        <is>
          <t>Nassima</t>
        </is>
      </c>
      <c r="N19" s="10" t="n"/>
      <c r="O19" s="10" t="n"/>
      <c r="P19" s="10" t="inlineStr">
        <is>
          <t>Hebdomadaire</t>
        </is>
      </c>
      <c r="Q19" s="9" t="inlineStr">
        <is>
          <t>Original (septembre)</t>
        </is>
      </c>
      <c r="R19" s="9" t="inlineStr"/>
      <c r="S19" s="44">
        <f>IF($M19="","",IF(SUMPRODUCT(($D$4:$D$704=$D19)*($M$4:$M$704=$M19)*($F$4:$F$704&lt;$G19)*($G$4:$G$704&gt;$F19))&gt;1,"⚠ CONFLIT",""))</f>
        <v/>
      </c>
      <c r="T19" s="44">
        <f>IF($J19="","",IF(SUMPRODUCT(($D$4:$D$704=$D19)*($J$4:$J$704=$J19)*($F$4:$F$704&lt;$G19)*($G$4:$G$704&gt;$F19))&gt;1,"⚠ CONFLIT",""))</f>
        <v/>
      </c>
      <c r="U19" s="44">
        <f>IF(COUNTIFS($D$4:$D$704,$D19,$J$4:$J$704,$J19,$F$4:$F$704,$F19,$K$4:$K$704,$K19)&gt;1,"⚠ DOUBLON","")</f>
        <v/>
      </c>
      <c r="V19" s="44">
        <f>COUNTIFS($A$4:$A19,$A19,$J$4:$J19,$J19,$E$4:$E19,$E19)</f>
        <v/>
      </c>
      <c r="W19" s="45">
        <f>$A19&amp;"|"&amp;$J19&amp;"|"&amp;$E19&amp;"|"&amp;$V19</f>
        <v/>
      </c>
      <c r="X19" s="46">
        <f>TEXT($F19,"hh:mm")&amp;" - "&amp;TEXT($G19,"hh:mm")&amp;IF($P19="Quinzaine A","   ◆ Q-A",IF($P19="Quinzaine B","   ◆ Q-B",IF($P19="Exception","   ◆ PONCTUEL","")))&amp;CHAR(10)&amp;$K19&amp;CHAR(10)&amp;$M19&amp;IF($N19&lt;&gt;"",CHAR(10)&amp;"Salle "&amp;$N19,"")&amp;IF($O19="En ligne",CHAR(10)&amp;"◆ EN LIGNE","")&amp;IF($R19&lt;&gt;"",CHAR(10)&amp;$R19,"")</f>
        <v/>
      </c>
      <c r="Y19" s="45" t="inlineStr">
        <is>
          <t>19h30-21h Français (Nassima)</t>
        </is>
      </c>
      <c r="Z19" s="45" t="inlineStr">
        <is>
          <t>du 14-09 jusquà le 20-09!H48</t>
        </is>
      </c>
    </row>
    <row r="20" ht="15" customHeight="1">
      <c r="A20" s="10" t="inlineStr">
        <is>
          <t>S1</t>
        </is>
      </c>
      <c r="B20" s="9" t="inlineStr">
        <is>
          <t>du 14 au 20 septembre 2026</t>
        </is>
      </c>
      <c r="C20" s="10" t="inlineStr">
        <is>
          <t>A</t>
        </is>
      </c>
      <c r="D20" s="41" t="n">
        <v>46280</v>
      </c>
      <c r="E20" s="10" t="inlineStr">
        <is>
          <t>Mardi</t>
        </is>
      </c>
      <c r="F20" s="42" t="n">
        <v>0.8125</v>
      </c>
      <c r="G20" s="42" t="n">
        <v>0.875</v>
      </c>
      <c r="H20" s="43">
        <f>IF(OR($F20="",$G20=""),"",($G20-$F20)*24)</f>
        <v/>
      </c>
      <c r="I20" s="10" t="inlineStr">
        <is>
          <t>Secondaire</t>
        </is>
      </c>
      <c r="J20" s="9" t="inlineStr">
        <is>
          <t>1ére (B)</t>
        </is>
      </c>
      <c r="K20" s="9" t="inlineStr">
        <is>
          <t>Math</t>
        </is>
      </c>
      <c r="L20" s="9" t="inlineStr">
        <is>
          <t>Math</t>
        </is>
      </c>
      <c r="M20" s="9" t="inlineStr">
        <is>
          <t>Haythem</t>
        </is>
      </c>
      <c r="N20" s="10" t="n"/>
      <c r="O20" s="10" t="n"/>
      <c r="P20" s="10" t="inlineStr">
        <is>
          <t>Hebdomadaire</t>
        </is>
      </c>
      <c r="Q20" s="9" t="inlineStr">
        <is>
          <t>Original (septembre)</t>
        </is>
      </c>
      <c r="R20" s="9" t="inlineStr"/>
      <c r="S20" s="44">
        <f>IF($M20="","",IF(SUMPRODUCT(($D$4:$D$704=$D20)*($M$4:$M$704=$M20)*($F$4:$F$704&lt;$G20)*($G$4:$G$704&gt;$F20))&gt;1,"⚠ CONFLIT",""))</f>
        <v/>
      </c>
      <c r="T20" s="44">
        <f>IF($J20="","",IF(SUMPRODUCT(($D$4:$D$704=$D20)*($J$4:$J$704=$J20)*($F$4:$F$704&lt;$G20)*($G$4:$G$704&gt;$F20))&gt;1,"⚠ CONFLIT",""))</f>
        <v/>
      </c>
      <c r="U20" s="44">
        <f>IF(COUNTIFS($D$4:$D$704,$D20,$J$4:$J$704,$J20,$F$4:$F$704,$F20,$K$4:$K$704,$K20)&gt;1,"⚠ DOUBLON","")</f>
        <v/>
      </c>
      <c r="V20" s="44">
        <f>COUNTIFS($A$4:$A20,$A20,$J$4:$J20,$J20,$E$4:$E20,$E20)</f>
        <v/>
      </c>
      <c r="W20" s="45">
        <f>$A20&amp;"|"&amp;$J20&amp;"|"&amp;$E20&amp;"|"&amp;$V20</f>
        <v/>
      </c>
      <c r="X20" s="46">
        <f>TEXT($F20,"hh:mm")&amp;" - "&amp;TEXT($G20,"hh:mm")&amp;IF($P20="Quinzaine A","   ◆ Q-A",IF($P20="Quinzaine B","   ◆ Q-B",IF($P20="Exception","   ◆ PONCTUEL","")))&amp;CHAR(10)&amp;$K20&amp;CHAR(10)&amp;$M20&amp;IF($N20&lt;&gt;"",CHAR(10)&amp;"Salle "&amp;$N20,"")&amp;IF($O20="En ligne",CHAR(10)&amp;"◆ EN LIGNE","")&amp;IF($R20&lt;&gt;"",CHAR(10)&amp;$R20,"")</f>
        <v/>
      </c>
      <c r="Y20" s="45" t="inlineStr">
        <is>
          <t>19h30-21h Math (Haythem)</t>
        </is>
      </c>
      <c r="Z20" s="45" t="inlineStr">
        <is>
          <t>du 14-09 jusquà le 20-09!H52</t>
        </is>
      </c>
    </row>
    <row r="21" ht="15" customHeight="1">
      <c r="A21" s="10" t="inlineStr">
        <is>
          <t>S1</t>
        </is>
      </c>
      <c r="B21" s="9" t="inlineStr">
        <is>
          <t>du 14 au 20 septembre 2026</t>
        </is>
      </c>
      <c r="C21" s="10" t="inlineStr">
        <is>
          <t>A</t>
        </is>
      </c>
      <c r="D21" s="41" t="n">
        <v>46280</v>
      </c>
      <c r="E21" s="10" t="inlineStr">
        <is>
          <t>Mardi</t>
        </is>
      </c>
      <c r="F21" s="42" t="n">
        <v>0.8020833333333334</v>
      </c>
      <c r="G21" s="42" t="n">
        <v>0.8645833333333334</v>
      </c>
      <c r="H21" s="43">
        <f>IF(OR($F21="",$G21=""),"",($G21-$F21)*24)</f>
        <v/>
      </c>
      <c r="I21" s="10" t="inlineStr">
        <is>
          <t>Secondaire</t>
        </is>
      </c>
      <c r="J21" s="9" t="inlineStr">
        <is>
          <t>2éme Eco</t>
        </is>
      </c>
      <c r="K21" s="9" t="inlineStr">
        <is>
          <t>Anglais</t>
        </is>
      </c>
      <c r="L21" s="9" t="inlineStr">
        <is>
          <t>Anglais</t>
        </is>
      </c>
      <c r="M21" s="9" t="inlineStr">
        <is>
          <t>Imen Bennour</t>
        </is>
      </c>
      <c r="N21" s="10" t="n"/>
      <c r="O21" s="10" t="n"/>
      <c r="P21" s="10" t="inlineStr">
        <is>
          <t>Quinzaine A</t>
        </is>
      </c>
      <c r="Q21" s="9" t="inlineStr">
        <is>
          <t>Original (septembre)</t>
        </is>
      </c>
      <c r="R21" s="9" t="inlineStr"/>
      <c r="S21" s="44">
        <f>IF($M21="","",IF(SUMPRODUCT(($D$4:$D$704=$D21)*($M$4:$M$704=$M21)*($F$4:$F$704&lt;$G21)*($G$4:$G$704&gt;$F21))&gt;1,"⚠ CONFLIT",""))</f>
        <v/>
      </c>
      <c r="T21" s="44">
        <f>IF($J21="","",IF(SUMPRODUCT(($D$4:$D$704=$D21)*($J$4:$J$704=$J21)*($F$4:$F$704&lt;$G21)*($G$4:$G$704&gt;$F21))&gt;1,"⚠ CONFLIT",""))</f>
        <v/>
      </c>
      <c r="U21" s="44">
        <f>IF(COUNTIFS($D$4:$D$704,$D21,$J$4:$J$704,$J21,$F$4:$F$704,$F21,$K$4:$K$704,$K21)&gt;1,"⚠ DOUBLON","")</f>
        <v/>
      </c>
      <c r="V21" s="44">
        <f>COUNTIFS($A$4:$A21,$A21,$J$4:$J21,$J21,$E$4:$E21,$E21)</f>
        <v/>
      </c>
      <c r="W21" s="45">
        <f>$A21&amp;"|"&amp;$J21&amp;"|"&amp;$E21&amp;"|"&amp;$V21</f>
        <v/>
      </c>
      <c r="X21" s="46">
        <f>TEXT($F21,"hh:mm")&amp;" - "&amp;TEXT($G21,"hh:mm")&amp;IF($P21="Quinzaine A","   ◆ Q-A",IF($P21="Quinzaine B","   ◆ Q-B",IF($P21="Exception","   ◆ PONCTUEL","")))&amp;CHAR(10)&amp;$K21&amp;CHAR(10)&amp;$M21&amp;IF($N21&lt;&gt;"",CHAR(10)&amp;"Salle "&amp;$N21,"")&amp;IF($O21="En ligne",CHAR(10)&amp;"◆ EN LIGNE","")&amp;IF($R21&lt;&gt;"",CHAR(10)&amp;$R21,"")</f>
        <v/>
      </c>
      <c r="Y21" s="45" t="inlineStr">
        <is>
          <t>19h15-20h45 Anglais /par quinzaine (Imen Bennour)</t>
        </is>
      </c>
      <c r="Z21" s="45" t="inlineStr">
        <is>
          <t>du 14-09 jusquà le 20-09!H56</t>
        </is>
      </c>
    </row>
    <row r="22" ht="15" customHeight="1">
      <c r="A22" s="10" t="inlineStr">
        <is>
          <t>S1</t>
        </is>
      </c>
      <c r="B22" s="9" t="inlineStr">
        <is>
          <t>du 14 au 20 septembre 2026</t>
        </is>
      </c>
      <c r="C22" s="10" t="inlineStr">
        <is>
          <t>A</t>
        </is>
      </c>
      <c r="D22" s="41" t="n">
        <v>46280</v>
      </c>
      <c r="E22" s="10" t="inlineStr">
        <is>
          <t>Mardi</t>
        </is>
      </c>
      <c r="F22" s="42" t="n">
        <v>0.8020833333333334</v>
      </c>
      <c r="G22" s="42" t="n">
        <v>0.8645833333333334</v>
      </c>
      <c r="H22" s="43">
        <f>IF(OR($F22="",$G22=""),"",($G22-$F22)*24)</f>
        <v/>
      </c>
      <c r="I22" s="10" t="inlineStr">
        <is>
          <t>Bac</t>
        </is>
      </c>
      <c r="J22" s="9" t="inlineStr">
        <is>
          <t>Bac Eco</t>
        </is>
      </c>
      <c r="K22" s="9" t="inlineStr">
        <is>
          <t>Espagnol</t>
        </is>
      </c>
      <c r="L22" s="9" t="inlineStr">
        <is>
          <t>Espagnol</t>
        </is>
      </c>
      <c r="M22" s="9" t="inlineStr">
        <is>
          <t>Imen</t>
        </is>
      </c>
      <c r="N22" s="10" t="n"/>
      <c r="O22" s="10" t="n"/>
      <c r="P22" s="10" t="inlineStr">
        <is>
          <t>Quinzaine A</t>
        </is>
      </c>
      <c r="Q22" s="9" t="inlineStr">
        <is>
          <t>Original (septembre)</t>
        </is>
      </c>
      <c r="R22" s="9" t="inlineStr"/>
      <c r="S22" s="44">
        <f>IF($M22="","",IF(SUMPRODUCT(($D$4:$D$704=$D22)*($M$4:$M$704=$M22)*($F$4:$F$704&lt;$G22)*($G$4:$G$704&gt;$F22))&gt;1,"⚠ CONFLIT",""))</f>
        <v/>
      </c>
      <c r="T22" s="44">
        <f>IF($J22="","",IF(SUMPRODUCT(($D$4:$D$704=$D22)*($J$4:$J$704=$J22)*($F$4:$F$704&lt;$G22)*($G$4:$G$704&gt;$F22))&gt;1,"⚠ CONFLIT",""))</f>
        <v/>
      </c>
      <c r="U22" s="44">
        <f>IF(COUNTIFS($D$4:$D$704,$D22,$J$4:$J$704,$J22,$F$4:$F$704,$F22,$K$4:$K$704,$K22)&gt;1,"⚠ DOUBLON","")</f>
        <v/>
      </c>
      <c r="V22" s="44">
        <f>COUNTIFS($A$4:$A22,$A22,$J$4:$J22,$J22,$E$4:$E22,$E22)</f>
        <v/>
      </c>
      <c r="W22" s="45">
        <f>$A22&amp;"|"&amp;$J22&amp;"|"&amp;$E22&amp;"|"&amp;$V22</f>
        <v/>
      </c>
      <c r="X22" s="46">
        <f>TEXT($F22,"hh:mm")&amp;" - "&amp;TEXT($G22,"hh:mm")&amp;IF($P22="Quinzaine A","   ◆ Q-A",IF($P22="Quinzaine B","   ◆ Q-B",IF($P22="Exception","   ◆ PONCTUEL","")))&amp;CHAR(10)&amp;$K22&amp;CHAR(10)&amp;$M22&amp;IF($N22&lt;&gt;"",CHAR(10)&amp;"Salle "&amp;$N22,"")&amp;IF($O22="En ligne",CHAR(10)&amp;"◆ EN LIGNE","")&amp;IF($R22&lt;&gt;"",CHAR(10)&amp;$R22,"")</f>
        <v/>
      </c>
      <c r="Y22" s="45" t="inlineStr">
        <is>
          <t>19h15-20h45 Espagnol (Imen)</t>
        </is>
      </c>
      <c r="Z22" s="45" t="inlineStr">
        <is>
          <t>du 14-09 jusquà le 20-09!H68</t>
        </is>
      </c>
    </row>
    <row r="23" ht="15" customHeight="1">
      <c r="A23" s="10" t="inlineStr">
        <is>
          <t>S1</t>
        </is>
      </c>
      <c r="B23" s="9" t="inlineStr">
        <is>
          <t>du 14 au 20 septembre 2026</t>
        </is>
      </c>
      <c r="C23" s="10" t="inlineStr">
        <is>
          <t>A</t>
        </is>
      </c>
      <c r="D23" s="41" t="n">
        <v>46280</v>
      </c>
      <c r="E23" s="10" t="inlineStr">
        <is>
          <t>Mardi</t>
        </is>
      </c>
      <c r="F23" s="42" t="n">
        <v>0.8020833333333334</v>
      </c>
      <c r="G23" s="42" t="n">
        <v>0.8645833333333334</v>
      </c>
      <c r="H23" s="43">
        <f>IF(OR($F23="",$G23=""),"",($G23-$F23)*24)</f>
        <v/>
      </c>
      <c r="I23" s="10" t="inlineStr">
        <is>
          <t>Bac</t>
        </is>
      </c>
      <c r="J23" s="9" t="inlineStr">
        <is>
          <t>Bac SCE</t>
        </is>
      </c>
      <c r="K23" s="9" t="inlineStr">
        <is>
          <t>Italien</t>
        </is>
      </c>
      <c r="L23" s="9" t="inlineStr">
        <is>
          <t>Italien</t>
        </is>
      </c>
      <c r="M23" s="9" t="inlineStr">
        <is>
          <t>Amel</t>
        </is>
      </c>
      <c r="N23" s="10" t="n"/>
      <c r="O23" s="10" t="n"/>
      <c r="P23" s="10" t="inlineStr">
        <is>
          <t>Quinzaine A</t>
        </is>
      </c>
      <c r="Q23" s="9" t="inlineStr">
        <is>
          <t>Original (septembre)</t>
        </is>
      </c>
      <c r="R23" s="9" t="inlineStr"/>
      <c r="S23" s="44">
        <f>IF($M23="","",IF(SUMPRODUCT(($D$4:$D$704=$D23)*($M$4:$M$704=$M23)*($F$4:$F$704&lt;$G23)*($G$4:$G$704&gt;$F23))&gt;1,"⚠ CONFLIT",""))</f>
        <v/>
      </c>
      <c r="T23" s="44">
        <f>IF($J23="","",IF(SUMPRODUCT(($D$4:$D$704=$D23)*($J$4:$J$704=$J23)*($F$4:$F$704&lt;$G23)*($G$4:$G$704&gt;$F23))&gt;1,"⚠ CONFLIT",""))</f>
        <v/>
      </c>
      <c r="U23" s="44">
        <f>IF(COUNTIFS($D$4:$D$704,$D23,$J$4:$J$704,$J23,$F$4:$F$704,$F23,$K$4:$K$704,$K23)&gt;1,"⚠ DOUBLON","")</f>
        <v/>
      </c>
      <c r="V23" s="44">
        <f>COUNTIFS($A$4:$A23,$A23,$J$4:$J23,$J23,$E$4:$E23,$E23)</f>
        <v/>
      </c>
      <c r="W23" s="45">
        <f>$A23&amp;"|"&amp;$J23&amp;"|"&amp;$E23&amp;"|"&amp;$V23</f>
        <v/>
      </c>
      <c r="X23" s="46">
        <f>TEXT($F23,"hh:mm")&amp;" - "&amp;TEXT($G23,"hh:mm")&amp;IF($P23="Quinzaine A","   ◆ Q-A",IF($P23="Quinzaine B","   ◆ Q-B",IF($P23="Exception","   ◆ PONCTUEL","")))&amp;CHAR(10)&amp;$K23&amp;CHAR(10)&amp;$M23&amp;IF($N23&lt;&gt;"",CHAR(10)&amp;"Salle "&amp;$N23,"")&amp;IF($O23="En ligne",CHAR(10)&amp;"◆ EN LIGNE","")&amp;IF($R23&lt;&gt;"",CHAR(10)&amp;$R23,"")</f>
        <v/>
      </c>
      <c r="Y23" s="45" t="inlineStr">
        <is>
          <t>19h15-20h45 Italien (Amel)</t>
        </is>
      </c>
      <c r="Z23" s="45" t="inlineStr">
        <is>
          <t>du 14-09 jusquà le 20-09!H76</t>
        </is>
      </c>
    </row>
    <row r="24" ht="15" customHeight="1">
      <c r="A24" s="10" t="inlineStr">
        <is>
          <t>S1</t>
        </is>
      </c>
      <c r="B24" s="9" t="inlineStr">
        <is>
          <t>du 14 au 20 septembre 2026</t>
        </is>
      </c>
      <c r="C24" s="10" t="inlineStr">
        <is>
          <t>A</t>
        </is>
      </c>
      <c r="D24" s="41" t="n">
        <v>46281</v>
      </c>
      <c r="E24" s="10" t="inlineStr">
        <is>
          <t>Mercredi</t>
        </is>
      </c>
      <c r="F24" s="42" t="n">
        <v>0.7916666666666666</v>
      </c>
      <c r="G24" s="42" t="n">
        <v>0.875</v>
      </c>
      <c r="H24" s="43">
        <f>IF(OR($F24="",$G24=""),"",($G24-$F24)*24)</f>
        <v/>
      </c>
      <c r="I24" s="10" t="inlineStr">
        <is>
          <t>Primaire</t>
        </is>
      </c>
      <c r="J24" s="9" t="inlineStr">
        <is>
          <t>4éme</t>
        </is>
      </c>
      <c r="K24" s="9" t="inlineStr">
        <is>
          <t>رياضيات</t>
        </is>
      </c>
      <c r="L24" s="9" t="inlineStr">
        <is>
          <t>Math</t>
        </is>
      </c>
      <c r="M24" s="9" t="inlineStr">
        <is>
          <t>Bassma</t>
        </is>
      </c>
      <c r="N24" s="10" t="n"/>
      <c r="O24" s="10" t="n"/>
      <c r="P24" s="10" t="inlineStr">
        <is>
          <t>Hebdomadaire</t>
        </is>
      </c>
      <c r="Q24" s="9" t="inlineStr">
        <is>
          <t>Original (septembre)</t>
        </is>
      </c>
      <c r="R24" s="9" t="inlineStr"/>
      <c r="S24" s="44">
        <f>IF($M24="","",IF(SUMPRODUCT(($D$4:$D$704=$D24)*($M$4:$M$704=$M24)*($F$4:$F$704&lt;$G24)*($G$4:$G$704&gt;$F24))&gt;1,"⚠ CONFLIT",""))</f>
        <v/>
      </c>
      <c r="T24" s="44">
        <f>IF($J24="","",IF(SUMPRODUCT(($D$4:$D$704=$D24)*($J$4:$J$704=$J24)*($F$4:$F$704&lt;$G24)*($G$4:$G$704&gt;$F24))&gt;1,"⚠ CONFLIT",""))</f>
        <v/>
      </c>
      <c r="U24" s="44">
        <f>IF(COUNTIFS($D$4:$D$704,$D24,$J$4:$J$704,$J24,$F$4:$F$704,$F24,$K$4:$K$704,$K24)&gt;1,"⚠ DOUBLON","")</f>
        <v/>
      </c>
      <c r="V24" s="44">
        <f>COUNTIFS($A$4:$A24,$A24,$J$4:$J24,$J24,$E$4:$E24,$E24)</f>
        <v/>
      </c>
      <c r="W24" s="45">
        <f>$A24&amp;"|"&amp;$J24&amp;"|"&amp;$E24&amp;"|"&amp;$V24</f>
        <v/>
      </c>
      <c r="X24" s="46">
        <f>TEXT($F24,"hh:mm")&amp;" - "&amp;TEXT($G24,"hh:mm")&amp;IF($P24="Quinzaine A","   ◆ Q-A",IF($P24="Quinzaine B","   ◆ Q-B",IF($P24="Exception","   ◆ PONCTUEL","")))&amp;CHAR(10)&amp;$K24&amp;CHAR(10)&amp;$M24&amp;IF($N24&lt;&gt;"",CHAR(10)&amp;"Salle "&amp;$N24,"")&amp;IF($O24="En ligne",CHAR(10)&amp;"◆ EN LIGNE","")&amp;IF($R24&lt;&gt;"",CHAR(10)&amp;$R24,"")</f>
        <v/>
      </c>
      <c r="Y24" s="45" t="inlineStr">
        <is>
          <t>19h-21h رياضيات (Bassma)</t>
        </is>
      </c>
      <c r="Z24" s="45" t="inlineStr">
        <is>
          <t>du 14-09 jusquà le 20-09!I3</t>
        </is>
      </c>
    </row>
    <row r="25" ht="15" customHeight="1">
      <c r="A25" s="10" t="inlineStr">
        <is>
          <t>S1</t>
        </is>
      </c>
      <c r="B25" s="9" t="inlineStr">
        <is>
          <t>du 14 au 20 septembre 2026</t>
        </is>
      </c>
      <c r="C25" s="10" t="inlineStr">
        <is>
          <t>A</t>
        </is>
      </c>
      <c r="D25" s="41" t="n">
        <v>46281</v>
      </c>
      <c r="E25" s="10" t="inlineStr">
        <is>
          <t>Mercredi</t>
        </is>
      </c>
      <c r="F25" s="42" t="n">
        <v>0.7916666666666666</v>
      </c>
      <c r="G25" s="42" t="n">
        <v>0.875</v>
      </c>
      <c r="H25" s="43">
        <f>IF(OR($F25="",$G25=""),"",($G25-$F25)*24)</f>
        <v/>
      </c>
      <c r="I25" s="10" t="inlineStr">
        <is>
          <t>Primaire</t>
        </is>
      </c>
      <c r="J25" s="9" t="inlineStr">
        <is>
          <t>6éme Pilote (A)</t>
        </is>
      </c>
      <c r="K25" s="9" t="inlineStr">
        <is>
          <t>رياضيات</t>
        </is>
      </c>
      <c r="L25" s="9" t="inlineStr">
        <is>
          <t>Math</t>
        </is>
      </c>
      <c r="M25" s="9" t="inlineStr">
        <is>
          <t>Noura</t>
        </is>
      </c>
      <c r="N25" s="10" t="n"/>
      <c r="O25" s="10" t="n"/>
      <c r="P25" s="10" t="inlineStr">
        <is>
          <t>Hebdomadaire</t>
        </is>
      </c>
      <c r="Q25" s="9" t="inlineStr">
        <is>
          <t>Original (septembre)</t>
        </is>
      </c>
      <c r="R25" s="9" t="inlineStr"/>
      <c r="S25" s="44">
        <f>IF($M25="","",IF(SUMPRODUCT(($D$4:$D$704=$D25)*($M$4:$M$704=$M25)*($F$4:$F$704&lt;$G25)*($G$4:$G$704&gt;$F25))&gt;1,"⚠ CONFLIT",""))</f>
        <v/>
      </c>
      <c r="T25" s="44">
        <f>IF($J25="","",IF(SUMPRODUCT(($D$4:$D$704=$D25)*($J$4:$J$704=$J25)*($F$4:$F$704&lt;$G25)*($G$4:$G$704&gt;$F25))&gt;1,"⚠ CONFLIT",""))</f>
        <v/>
      </c>
      <c r="U25" s="44">
        <f>IF(COUNTIFS($D$4:$D$704,$D25,$J$4:$J$704,$J25,$F$4:$F$704,$F25,$K$4:$K$704,$K25)&gt;1,"⚠ DOUBLON","")</f>
        <v/>
      </c>
      <c r="V25" s="44">
        <f>COUNTIFS($A$4:$A25,$A25,$J$4:$J25,$J25,$E$4:$E25,$E25)</f>
        <v/>
      </c>
      <c r="W25" s="45">
        <f>$A25&amp;"|"&amp;$J25&amp;"|"&amp;$E25&amp;"|"&amp;$V25</f>
        <v/>
      </c>
      <c r="X25" s="46">
        <f>TEXT($F25,"hh:mm")&amp;" - "&amp;TEXT($G25,"hh:mm")&amp;IF($P25="Quinzaine A","   ◆ Q-A",IF($P25="Quinzaine B","   ◆ Q-B",IF($P25="Exception","   ◆ PONCTUEL","")))&amp;CHAR(10)&amp;$K25&amp;CHAR(10)&amp;$M25&amp;IF($N25&lt;&gt;"",CHAR(10)&amp;"Salle "&amp;$N25,"")&amp;IF($O25="En ligne",CHAR(10)&amp;"◆ EN LIGNE","")&amp;IF($R25&lt;&gt;"",CHAR(10)&amp;$R25,"")</f>
        <v/>
      </c>
      <c r="Y25" s="45" t="inlineStr">
        <is>
          <t>19h-21h رياضيات (Noura)</t>
        </is>
      </c>
      <c r="Z25" s="45" t="inlineStr">
        <is>
          <t>du 14-09 jusquà le 20-09!I12</t>
        </is>
      </c>
    </row>
    <row r="26" ht="15" customHeight="1">
      <c r="A26" s="10" t="inlineStr">
        <is>
          <t>S1</t>
        </is>
      </c>
      <c r="B26" s="9" t="inlineStr">
        <is>
          <t>du 14 au 20 septembre 2026</t>
        </is>
      </c>
      <c r="C26" s="10" t="inlineStr">
        <is>
          <t>A</t>
        </is>
      </c>
      <c r="D26" s="41" t="n">
        <v>46281</v>
      </c>
      <c r="E26" s="10" t="inlineStr">
        <is>
          <t>Mercredi</t>
        </is>
      </c>
      <c r="F26" s="42" t="n">
        <v>0.8125</v>
      </c>
      <c r="G26" s="42" t="n">
        <v>0.875</v>
      </c>
      <c r="H26" s="43">
        <f>IF(OR($F26="",$G26=""),"",($G26-$F26)*24)</f>
        <v/>
      </c>
      <c r="I26" s="10" t="inlineStr">
        <is>
          <t>Collège</t>
        </is>
      </c>
      <c r="J26" s="9" t="inlineStr">
        <is>
          <t>7éme (A)</t>
        </is>
      </c>
      <c r="K26" s="9" t="inlineStr">
        <is>
          <t>فيزياء</t>
        </is>
      </c>
      <c r="L26" s="9" t="inlineStr">
        <is>
          <t>Physique</t>
        </is>
      </c>
      <c r="M26" s="9" t="inlineStr">
        <is>
          <t>Melek</t>
        </is>
      </c>
      <c r="N26" s="10" t="n"/>
      <c r="O26" s="10" t="n"/>
      <c r="P26" s="10" t="inlineStr">
        <is>
          <t>Hebdomadaire</t>
        </is>
      </c>
      <c r="Q26" s="9" t="inlineStr">
        <is>
          <t>Original (septembre)</t>
        </is>
      </c>
      <c r="R26" s="9" t="inlineStr"/>
      <c r="S26" s="44">
        <f>IF($M26="","",IF(SUMPRODUCT(($D$4:$D$704=$D26)*($M$4:$M$704=$M26)*($F$4:$F$704&lt;$G26)*($G$4:$G$704&gt;$F26))&gt;1,"⚠ CONFLIT",""))</f>
        <v/>
      </c>
      <c r="T26" s="44">
        <f>IF($J26="","",IF(SUMPRODUCT(($D$4:$D$704=$D26)*($J$4:$J$704=$J26)*($F$4:$F$704&lt;$G26)*($G$4:$G$704&gt;$F26))&gt;1,"⚠ CONFLIT",""))</f>
        <v/>
      </c>
      <c r="U26" s="44">
        <f>IF(COUNTIFS($D$4:$D$704,$D26,$J$4:$J$704,$J26,$F$4:$F$704,$F26,$K$4:$K$704,$K26)&gt;1,"⚠ DOUBLON","")</f>
        <v/>
      </c>
      <c r="V26" s="44">
        <f>COUNTIFS($A$4:$A26,$A26,$J$4:$J26,$J26,$E$4:$E26,$E26)</f>
        <v/>
      </c>
      <c r="W26" s="45">
        <f>$A26&amp;"|"&amp;$J26&amp;"|"&amp;$E26&amp;"|"&amp;$V26</f>
        <v/>
      </c>
      <c r="X26" s="46">
        <f>TEXT($F26,"hh:mm")&amp;" - "&amp;TEXT($G26,"hh:mm")&amp;IF($P26="Quinzaine A","   ◆ Q-A",IF($P26="Quinzaine B","   ◆ Q-B",IF($P26="Exception","   ◆ PONCTUEL","")))&amp;CHAR(10)&amp;$K26&amp;CHAR(10)&amp;$M26&amp;IF($N26&lt;&gt;"",CHAR(10)&amp;"Salle "&amp;$N26,"")&amp;IF($O26="En ligne",CHAR(10)&amp;"◆ EN LIGNE","")&amp;IF($R26&lt;&gt;"",CHAR(10)&amp;$R26,"")</f>
        <v/>
      </c>
      <c r="Y26" s="45" t="inlineStr">
        <is>
          <t>19h30-21h فيزياء /par quinzaine (Melek)</t>
        </is>
      </c>
      <c r="Z26" s="45" t="inlineStr">
        <is>
          <t>du 14-09 jusquà le 20-09!I19</t>
        </is>
      </c>
    </row>
    <row r="27" ht="15" customHeight="1">
      <c r="A27" s="10" t="inlineStr">
        <is>
          <t>S1</t>
        </is>
      </c>
      <c r="B27" s="9" t="inlineStr">
        <is>
          <t>du 14 au 20 septembre 2026</t>
        </is>
      </c>
      <c r="C27" s="10" t="inlineStr">
        <is>
          <t>A</t>
        </is>
      </c>
      <c r="D27" s="41" t="n">
        <v>46281</v>
      </c>
      <c r="E27" s="10" t="inlineStr">
        <is>
          <t>Mercredi</t>
        </is>
      </c>
      <c r="F27" s="42" t="n">
        <v>0.7916666666666666</v>
      </c>
      <c r="G27" s="42" t="n">
        <v>0.8541666666666666</v>
      </c>
      <c r="H27" s="43">
        <f>IF(OR($F27="",$G27=""),"",($G27-$F27)*24)</f>
        <v/>
      </c>
      <c r="I27" s="10" t="inlineStr">
        <is>
          <t>Collège</t>
        </is>
      </c>
      <c r="J27" s="9" t="inlineStr">
        <is>
          <t>8éme (A)</t>
        </is>
      </c>
      <c r="K27" s="9" t="inlineStr">
        <is>
          <t>Arabe</t>
        </is>
      </c>
      <c r="L27" s="9" t="inlineStr">
        <is>
          <t>Arabe</t>
        </is>
      </c>
      <c r="M27" s="9" t="inlineStr">
        <is>
          <t>Awatef</t>
        </is>
      </c>
      <c r="N27" s="10" t="n"/>
      <c r="O27" s="10" t="n"/>
      <c r="P27" s="10" t="inlineStr">
        <is>
          <t>Hebdomadaire</t>
        </is>
      </c>
      <c r="Q27" s="9" t="inlineStr">
        <is>
          <t>Original (septembre)</t>
        </is>
      </c>
      <c r="R27" s="9" t="inlineStr"/>
      <c r="S27" s="44">
        <f>IF($M27="","",IF(SUMPRODUCT(($D$4:$D$704=$D27)*($M$4:$M$704=$M27)*($F$4:$F$704&lt;$G27)*($G$4:$G$704&gt;$F27))&gt;1,"⚠ CONFLIT",""))</f>
        <v/>
      </c>
      <c r="T27" s="44">
        <f>IF($J27="","",IF(SUMPRODUCT(($D$4:$D$704=$D27)*($J$4:$J$704=$J27)*($F$4:$F$704&lt;$G27)*($G$4:$G$704&gt;$F27))&gt;1,"⚠ CONFLIT",""))</f>
        <v/>
      </c>
      <c r="U27" s="44">
        <f>IF(COUNTIFS($D$4:$D$704,$D27,$J$4:$J$704,$J27,$F$4:$F$704,$F27,$K$4:$K$704,$K27)&gt;1,"⚠ DOUBLON","")</f>
        <v/>
      </c>
      <c r="V27" s="44">
        <f>COUNTIFS($A$4:$A27,$A27,$J$4:$J27,$J27,$E$4:$E27,$E27)</f>
        <v/>
      </c>
      <c r="W27" s="45">
        <f>$A27&amp;"|"&amp;$J27&amp;"|"&amp;$E27&amp;"|"&amp;$V27</f>
        <v/>
      </c>
      <c r="X27" s="46">
        <f>TEXT($F27,"hh:mm")&amp;" - "&amp;TEXT($G27,"hh:mm")&amp;IF($P27="Quinzaine A","   ◆ Q-A",IF($P27="Quinzaine B","   ◆ Q-B",IF($P27="Exception","   ◆ PONCTUEL","")))&amp;CHAR(10)&amp;$K27&amp;CHAR(10)&amp;$M27&amp;IF($N27&lt;&gt;"",CHAR(10)&amp;"Salle "&amp;$N27,"")&amp;IF($O27="En ligne",CHAR(10)&amp;"◆ EN LIGNE","")&amp;IF($R27&lt;&gt;"",CHAR(10)&amp;$R27,"")</f>
        <v/>
      </c>
      <c r="Y27" s="45" t="inlineStr">
        <is>
          <t>19h-20h30 Arabe (Awatef)</t>
        </is>
      </c>
      <c r="Z27" s="45" t="inlineStr">
        <is>
          <t>du 14-09 jusquà le 20-09!I27</t>
        </is>
      </c>
    </row>
    <row r="28" ht="15" customHeight="1">
      <c r="A28" s="10" t="inlineStr">
        <is>
          <t>S1</t>
        </is>
      </c>
      <c r="B28" s="9" t="inlineStr">
        <is>
          <t>du 14 au 20 septembre 2026</t>
        </is>
      </c>
      <c r="C28" s="10" t="inlineStr">
        <is>
          <t>A</t>
        </is>
      </c>
      <c r="D28" s="41" t="n">
        <v>46281</v>
      </c>
      <c r="E28" s="10" t="inlineStr">
        <is>
          <t>Mercredi</t>
        </is>
      </c>
      <c r="F28" s="42" t="n">
        <v>0.8020833333333334</v>
      </c>
      <c r="G28" s="42" t="n">
        <v>0.8645833333333334</v>
      </c>
      <c r="H28" s="43">
        <f>IF(OR($F28="",$G28=""),"",($G28-$F28)*24)</f>
        <v/>
      </c>
      <c r="I28" s="10" t="inlineStr">
        <is>
          <t>Collège</t>
        </is>
      </c>
      <c r="J28" s="9" t="inlineStr">
        <is>
          <t>8éme (B)</t>
        </is>
      </c>
      <c r="K28" s="9" t="inlineStr">
        <is>
          <t>Math</t>
        </is>
      </c>
      <c r="L28" s="9" t="inlineStr">
        <is>
          <t>Math</t>
        </is>
      </c>
      <c r="M28" s="9" t="inlineStr">
        <is>
          <t>Khouloud</t>
        </is>
      </c>
      <c r="N28" s="10" t="n"/>
      <c r="O28" s="10" t="n"/>
      <c r="P28" s="10" t="inlineStr">
        <is>
          <t>Hebdomadaire</t>
        </is>
      </c>
      <c r="Q28" s="9" t="inlineStr">
        <is>
          <t>Original (septembre)</t>
        </is>
      </c>
      <c r="R28" s="9" t="inlineStr"/>
      <c r="S28" s="44">
        <f>IF($M28="","",IF(SUMPRODUCT(($D$4:$D$704=$D28)*($M$4:$M$704=$M28)*($F$4:$F$704&lt;$G28)*($G$4:$G$704&gt;$F28))&gt;1,"⚠ CONFLIT",""))</f>
        <v/>
      </c>
      <c r="T28" s="44">
        <f>IF($J28="","",IF(SUMPRODUCT(($D$4:$D$704=$D28)*($J$4:$J$704=$J28)*($F$4:$F$704&lt;$G28)*($G$4:$G$704&gt;$F28))&gt;1,"⚠ CONFLIT",""))</f>
        <v/>
      </c>
      <c r="U28" s="44">
        <f>IF(COUNTIFS($D$4:$D$704,$D28,$J$4:$J$704,$J28,$F$4:$F$704,$F28,$K$4:$K$704,$K28)&gt;1,"⚠ DOUBLON","")</f>
        <v/>
      </c>
      <c r="V28" s="44">
        <f>COUNTIFS($A$4:$A28,$A28,$J$4:$J28,$J28,$E$4:$E28,$E28)</f>
        <v/>
      </c>
      <c r="W28" s="45">
        <f>$A28&amp;"|"&amp;$J28&amp;"|"&amp;$E28&amp;"|"&amp;$V28</f>
        <v/>
      </c>
      <c r="X28" s="46">
        <f>TEXT($F28,"hh:mm")&amp;" - "&amp;TEXT($G28,"hh:mm")&amp;IF($P28="Quinzaine A","   ◆ Q-A",IF($P28="Quinzaine B","   ◆ Q-B",IF($P28="Exception","   ◆ PONCTUEL","")))&amp;CHAR(10)&amp;$K28&amp;CHAR(10)&amp;$M28&amp;IF($N28&lt;&gt;"",CHAR(10)&amp;"Salle "&amp;$N28,"")&amp;IF($O28="En ligne",CHAR(10)&amp;"◆ EN LIGNE","")&amp;IF($R28&lt;&gt;"",CHAR(10)&amp;$R28,"")</f>
        <v/>
      </c>
      <c r="Y28" s="45" t="inlineStr">
        <is>
          <t>19h15-20h45 Math (Khouloud)</t>
        </is>
      </c>
      <c r="Z28" s="45" t="inlineStr">
        <is>
          <t>du 14-09 jusquà le 20-09!I31</t>
        </is>
      </c>
    </row>
    <row r="29" ht="15" customHeight="1">
      <c r="A29" s="10" t="inlineStr">
        <is>
          <t>S1</t>
        </is>
      </c>
      <c r="B29" s="9" t="inlineStr">
        <is>
          <t>du 14 au 20 septembre 2026</t>
        </is>
      </c>
      <c r="C29" s="10" t="inlineStr">
        <is>
          <t>A</t>
        </is>
      </c>
      <c r="D29" s="41" t="n">
        <v>46281</v>
      </c>
      <c r="E29" s="10" t="inlineStr">
        <is>
          <t>Mercredi</t>
        </is>
      </c>
      <c r="F29" s="42" t="n">
        <v>0.8125</v>
      </c>
      <c r="G29" s="42" t="n">
        <v>0.875</v>
      </c>
      <c r="H29" s="43">
        <f>IF(OR($F29="",$G29=""),"",($G29-$F29)*24)</f>
        <v/>
      </c>
      <c r="I29" s="10" t="inlineStr">
        <is>
          <t>Collège</t>
        </is>
      </c>
      <c r="J29" s="9" t="inlineStr">
        <is>
          <t>8éme (C)</t>
        </is>
      </c>
      <c r="K29" s="9" t="inlineStr">
        <is>
          <t>Français</t>
        </is>
      </c>
      <c r="L29" s="9" t="inlineStr">
        <is>
          <t>Français</t>
        </is>
      </c>
      <c r="M29" s="9" t="inlineStr">
        <is>
          <t>Nabil</t>
        </is>
      </c>
      <c r="N29" s="10" t="n"/>
      <c r="O29" s="10" t="n"/>
      <c r="P29" s="10" t="inlineStr">
        <is>
          <t>Hebdomadaire</t>
        </is>
      </c>
      <c r="Q29" s="9" t="inlineStr">
        <is>
          <t>Original (septembre)</t>
        </is>
      </c>
      <c r="R29" s="9" t="inlineStr"/>
      <c r="S29" s="44">
        <f>IF($M29="","",IF(SUMPRODUCT(($D$4:$D$704=$D29)*($M$4:$M$704=$M29)*($F$4:$F$704&lt;$G29)*($G$4:$G$704&gt;$F29))&gt;1,"⚠ CONFLIT",""))</f>
        <v/>
      </c>
      <c r="T29" s="44">
        <f>IF($J29="","",IF(SUMPRODUCT(($D$4:$D$704=$D29)*($J$4:$J$704=$J29)*($F$4:$F$704&lt;$G29)*($G$4:$G$704&gt;$F29))&gt;1,"⚠ CONFLIT",""))</f>
        <v/>
      </c>
      <c r="U29" s="44">
        <f>IF(COUNTIFS($D$4:$D$704,$D29,$J$4:$J$704,$J29,$F$4:$F$704,$F29,$K$4:$K$704,$K29)&gt;1,"⚠ DOUBLON","")</f>
        <v/>
      </c>
      <c r="V29" s="44">
        <f>COUNTIFS($A$4:$A29,$A29,$J$4:$J29,$J29,$E$4:$E29,$E29)</f>
        <v/>
      </c>
      <c r="W29" s="45">
        <f>$A29&amp;"|"&amp;$J29&amp;"|"&amp;$E29&amp;"|"&amp;$V29</f>
        <v/>
      </c>
      <c r="X29" s="46">
        <f>TEXT($F29,"hh:mm")&amp;" - "&amp;TEXT($G29,"hh:mm")&amp;IF($P29="Quinzaine A","   ◆ Q-A",IF($P29="Quinzaine B","   ◆ Q-B",IF($P29="Exception","   ◆ PONCTUEL","")))&amp;CHAR(10)&amp;$K29&amp;CHAR(10)&amp;$M29&amp;IF($N29&lt;&gt;"",CHAR(10)&amp;"Salle "&amp;$N29,"")&amp;IF($O29="En ligne",CHAR(10)&amp;"◆ EN LIGNE","")&amp;IF($R29&lt;&gt;"",CHAR(10)&amp;$R29,"")</f>
        <v/>
      </c>
      <c r="Y29" s="45" t="inlineStr">
        <is>
          <t>19h30-21h Français (Nabil)</t>
        </is>
      </c>
      <c r="Z29" s="45" t="inlineStr">
        <is>
          <t>du 14-09 jusquà le 20-09!I34</t>
        </is>
      </c>
    </row>
    <row r="30" ht="15" customHeight="1">
      <c r="A30" s="10" t="inlineStr">
        <is>
          <t>S1</t>
        </is>
      </c>
      <c r="B30" s="9" t="inlineStr">
        <is>
          <t>du 14 au 20 septembre 2026</t>
        </is>
      </c>
      <c r="C30" s="10" t="inlineStr">
        <is>
          <t>A</t>
        </is>
      </c>
      <c r="D30" s="41" t="n">
        <v>46281</v>
      </c>
      <c r="E30" s="10" t="inlineStr">
        <is>
          <t>Mercredi</t>
        </is>
      </c>
      <c r="F30" s="42" t="n">
        <v>0.8125</v>
      </c>
      <c r="G30" s="42" t="n">
        <v>0.875</v>
      </c>
      <c r="H30" s="43">
        <f>IF(OR($F30="",$G30=""),"",($G30-$F30)*24)</f>
        <v/>
      </c>
      <c r="I30" s="10" t="inlineStr">
        <is>
          <t>Collège</t>
        </is>
      </c>
      <c r="J30" s="9" t="inlineStr">
        <is>
          <t>9éme (B)</t>
        </is>
      </c>
      <c r="K30" s="9" t="inlineStr">
        <is>
          <t>Arabe</t>
        </is>
      </c>
      <c r="L30" s="9" t="inlineStr">
        <is>
          <t>Arabe</t>
        </is>
      </c>
      <c r="M30" s="9" t="inlineStr">
        <is>
          <t>Yahya</t>
        </is>
      </c>
      <c r="N30" s="10" t="n"/>
      <c r="O30" s="10" t="n"/>
      <c r="P30" s="10" t="inlineStr">
        <is>
          <t>Hebdomadaire</t>
        </is>
      </c>
      <c r="Q30" s="9" t="inlineStr">
        <is>
          <t>Original (septembre)</t>
        </is>
      </c>
      <c r="R30" s="9" t="inlineStr"/>
      <c r="S30" s="44">
        <f>IF($M30="","",IF(SUMPRODUCT(($D$4:$D$704=$D30)*($M$4:$M$704=$M30)*($F$4:$F$704&lt;$G30)*($G$4:$G$704&gt;$F30))&gt;1,"⚠ CONFLIT",""))</f>
        <v/>
      </c>
      <c r="T30" s="44">
        <f>IF($J30="","",IF(SUMPRODUCT(($D$4:$D$704=$D30)*($J$4:$J$704=$J30)*($F$4:$F$704&lt;$G30)*($G$4:$G$704&gt;$F30))&gt;1,"⚠ CONFLIT",""))</f>
        <v/>
      </c>
      <c r="U30" s="44">
        <f>IF(COUNTIFS($D$4:$D$704,$D30,$J$4:$J$704,$J30,$F$4:$F$704,$F30,$K$4:$K$704,$K30)&gt;1,"⚠ DOUBLON","")</f>
        <v/>
      </c>
      <c r="V30" s="44">
        <f>COUNTIFS($A$4:$A30,$A30,$J$4:$J30,$J30,$E$4:$E30,$E30)</f>
        <v/>
      </c>
      <c r="W30" s="45">
        <f>$A30&amp;"|"&amp;$J30&amp;"|"&amp;$E30&amp;"|"&amp;$V30</f>
        <v/>
      </c>
      <c r="X30" s="46">
        <f>TEXT($F30,"hh:mm")&amp;" - "&amp;TEXT($G30,"hh:mm")&amp;IF($P30="Quinzaine A","   ◆ Q-A",IF($P30="Quinzaine B","   ◆ Q-B",IF($P30="Exception","   ◆ PONCTUEL","")))&amp;CHAR(10)&amp;$K30&amp;CHAR(10)&amp;$M30&amp;IF($N30&lt;&gt;"",CHAR(10)&amp;"Salle "&amp;$N30,"")&amp;IF($O30="En ligne",CHAR(10)&amp;"◆ EN LIGNE","")&amp;IF($R30&lt;&gt;"",CHAR(10)&amp;$R30,"")</f>
        <v/>
      </c>
      <c r="Y30" s="45" t="inlineStr">
        <is>
          <t>19h30-21h Arabe (Yahya)</t>
        </is>
      </c>
      <c r="Z30" s="45" t="inlineStr">
        <is>
          <t>du 14-09 jusquà le 20-09!I43</t>
        </is>
      </c>
    </row>
    <row r="31" ht="15" customHeight="1">
      <c r="A31" s="10" t="inlineStr">
        <is>
          <t>S1</t>
        </is>
      </c>
      <c r="B31" s="9" t="inlineStr">
        <is>
          <t>du 14 au 20 septembre 2026</t>
        </is>
      </c>
      <c r="C31" s="10" t="inlineStr">
        <is>
          <t>A</t>
        </is>
      </c>
      <c r="D31" s="41" t="n">
        <v>46281</v>
      </c>
      <c r="E31" s="10" t="inlineStr">
        <is>
          <t>Mercredi</t>
        </is>
      </c>
      <c r="F31" s="42" t="n">
        <v>0.8020833333333334</v>
      </c>
      <c r="G31" s="42" t="n">
        <v>0.8645833333333334</v>
      </c>
      <c r="H31" s="43">
        <f>IF(OR($F31="",$G31=""),"",($G31-$F31)*24)</f>
        <v/>
      </c>
      <c r="I31" s="10" t="inlineStr">
        <is>
          <t>Collège</t>
        </is>
      </c>
      <c r="J31" s="9" t="inlineStr">
        <is>
          <t>9éme (C)</t>
        </is>
      </c>
      <c r="K31" s="9" t="inlineStr">
        <is>
          <t>SVT</t>
        </is>
      </c>
      <c r="L31" s="9" t="inlineStr">
        <is>
          <t>SVT</t>
        </is>
      </c>
      <c r="M31" s="9" t="inlineStr">
        <is>
          <t>Imen Jribi</t>
        </is>
      </c>
      <c r="N31" s="10" t="n"/>
      <c r="O31" s="10" t="n"/>
      <c r="P31" s="10" t="inlineStr">
        <is>
          <t>Hebdomadaire</t>
        </is>
      </c>
      <c r="Q31" s="9" t="inlineStr">
        <is>
          <t>Original (septembre)</t>
        </is>
      </c>
      <c r="R31" s="9" t="inlineStr"/>
      <c r="S31" s="44">
        <f>IF($M31="","",IF(SUMPRODUCT(($D$4:$D$704=$D31)*($M$4:$M$704=$M31)*($F$4:$F$704&lt;$G31)*($G$4:$G$704&gt;$F31))&gt;1,"⚠ CONFLIT",""))</f>
        <v/>
      </c>
      <c r="T31" s="44">
        <f>IF($J31="","",IF(SUMPRODUCT(($D$4:$D$704=$D31)*($J$4:$J$704=$J31)*($F$4:$F$704&lt;$G31)*($G$4:$G$704&gt;$F31))&gt;1,"⚠ CONFLIT",""))</f>
        <v/>
      </c>
      <c r="U31" s="44">
        <f>IF(COUNTIFS($D$4:$D$704,$D31,$J$4:$J$704,$J31,$F$4:$F$704,$F31,$K$4:$K$704,$K31)&gt;1,"⚠ DOUBLON","")</f>
        <v/>
      </c>
      <c r="V31" s="44">
        <f>COUNTIFS($A$4:$A31,$A31,$J$4:$J31,$J31,$E$4:$E31,$E31)</f>
        <v/>
      </c>
      <c r="W31" s="45">
        <f>$A31&amp;"|"&amp;$J31&amp;"|"&amp;$E31&amp;"|"&amp;$V31</f>
        <v/>
      </c>
      <c r="X31" s="46">
        <f>TEXT($F31,"hh:mm")&amp;" - "&amp;TEXT($G31,"hh:mm")&amp;IF($P31="Quinzaine A","   ◆ Q-A",IF($P31="Quinzaine B","   ◆ Q-B",IF($P31="Exception","   ◆ PONCTUEL","")))&amp;CHAR(10)&amp;$K31&amp;CHAR(10)&amp;$M31&amp;IF($N31&lt;&gt;"",CHAR(10)&amp;"Salle "&amp;$N31,"")&amp;IF($O31="En ligne",CHAR(10)&amp;"◆ EN LIGNE","")&amp;IF($R31&lt;&gt;"",CHAR(10)&amp;$R31,"")</f>
        <v/>
      </c>
      <c r="Y31" s="45" t="inlineStr">
        <is>
          <t>19h15-20h45 SVT (Imen Jribi)</t>
        </is>
      </c>
      <c r="Z31" s="45" t="inlineStr">
        <is>
          <t>du 14-09 jusquà le 20-09!I46</t>
        </is>
      </c>
    </row>
    <row r="32" ht="15" customHeight="1">
      <c r="A32" s="10" t="inlineStr">
        <is>
          <t>S1</t>
        </is>
      </c>
      <c r="B32" s="9" t="inlineStr">
        <is>
          <t>du 14 au 20 septembre 2026</t>
        </is>
      </c>
      <c r="C32" s="10" t="inlineStr">
        <is>
          <t>A</t>
        </is>
      </c>
      <c r="D32" s="41" t="n">
        <v>46281</v>
      </c>
      <c r="E32" s="10" t="inlineStr">
        <is>
          <t>Mercredi</t>
        </is>
      </c>
      <c r="F32" s="42" t="n">
        <v>0.8125</v>
      </c>
      <c r="G32" s="42" t="n">
        <v>0.875</v>
      </c>
      <c r="H32" s="43">
        <f>IF(OR($F32="",$G32=""),"",($G32-$F32)*24)</f>
        <v/>
      </c>
      <c r="I32" s="10" t="inlineStr">
        <is>
          <t>Secondaire</t>
        </is>
      </c>
      <c r="J32" s="9" t="inlineStr">
        <is>
          <t>1ére (B)</t>
        </is>
      </c>
      <c r="K32" s="9" t="inlineStr">
        <is>
          <t>Français</t>
        </is>
      </c>
      <c r="L32" s="9" t="inlineStr">
        <is>
          <t>Français</t>
        </is>
      </c>
      <c r="M32" s="9" t="inlineStr">
        <is>
          <t>Nassima</t>
        </is>
      </c>
      <c r="N32" s="10" t="n"/>
      <c r="O32" s="10" t="n"/>
      <c r="P32" s="10" t="inlineStr">
        <is>
          <t>Hebdomadaire</t>
        </is>
      </c>
      <c r="Q32" s="9" t="inlineStr">
        <is>
          <t>Original (septembre)</t>
        </is>
      </c>
      <c r="R32" s="9" t="inlineStr"/>
      <c r="S32" s="44">
        <f>IF($M32="","",IF(SUMPRODUCT(($D$4:$D$704=$D32)*($M$4:$M$704=$M32)*($F$4:$F$704&lt;$G32)*($G$4:$G$704&gt;$F32))&gt;1,"⚠ CONFLIT",""))</f>
        <v/>
      </c>
      <c r="T32" s="44">
        <f>IF($J32="","",IF(SUMPRODUCT(($D$4:$D$704=$D32)*($J$4:$J$704=$J32)*($F$4:$F$704&lt;$G32)*($G$4:$G$704&gt;$F32))&gt;1,"⚠ CONFLIT",""))</f>
        <v/>
      </c>
      <c r="U32" s="44">
        <f>IF(COUNTIFS($D$4:$D$704,$D32,$J$4:$J$704,$J32,$F$4:$F$704,$F32,$K$4:$K$704,$K32)&gt;1,"⚠ DOUBLON","")</f>
        <v/>
      </c>
      <c r="V32" s="44">
        <f>COUNTIFS($A$4:$A32,$A32,$J$4:$J32,$J32,$E$4:$E32,$E32)</f>
        <v/>
      </c>
      <c r="W32" s="45">
        <f>$A32&amp;"|"&amp;$J32&amp;"|"&amp;$E32&amp;"|"&amp;$V32</f>
        <v/>
      </c>
      <c r="X32" s="46">
        <f>TEXT($F32,"hh:mm")&amp;" - "&amp;TEXT($G32,"hh:mm")&amp;IF($P32="Quinzaine A","   ◆ Q-A",IF($P32="Quinzaine B","   ◆ Q-B",IF($P32="Exception","   ◆ PONCTUEL","")))&amp;CHAR(10)&amp;$K32&amp;CHAR(10)&amp;$M32&amp;IF($N32&lt;&gt;"",CHAR(10)&amp;"Salle "&amp;$N32,"")&amp;IF($O32="En ligne",CHAR(10)&amp;"◆ EN LIGNE","")&amp;IF($R32&lt;&gt;"",CHAR(10)&amp;$R32,"")</f>
        <v/>
      </c>
      <c r="Y32" s="45" t="inlineStr">
        <is>
          <t>19h30-21h Français (Nassima)</t>
        </is>
      </c>
      <c r="Z32" s="45" t="inlineStr">
        <is>
          <t>du 14-09 jusquà le 20-09!I52</t>
        </is>
      </c>
    </row>
    <row r="33" ht="15" customHeight="1">
      <c r="A33" s="10" t="inlineStr">
        <is>
          <t>S1</t>
        </is>
      </c>
      <c r="B33" s="9" t="inlineStr">
        <is>
          <t>du 14 au 20 septembre 2026</t>
        </is>
      </c>
      <c r="C33" s="10" t="inlineStr">
        <is>
          <t>A</t>
        </is>
      </c>
      <c r="D33" s="41" t="n">
        <v>46281</v>
      </c>
      <c r="E33" s="10" t="inlineStr">
        <is>
          <t>Mercredi</t>
        </is>
      </c>
      <c r="F33" s="42" t="n">
        <v>0.8125</v>
      </c>
      <c r="G33" s="42" t="n">
        <v>0.875</v>
      </c>
      <c r="H33" s="43">
        <f>IF(OR($F33="",$G33=""),"",($G33-$F33)*24)</f>
        <v/>
      </c>
      <c r="I33" s="10" t="inlineStr">
        <is>
          <t>Secondaire</t>
        </is>
      </c>
      <c r="J33" s="9" t="inlineStr">
        <is>
          <t>2éme Eco</t>
        </is>
      </c>
      <c r="K33" s="9" t="inlineStr">
        <is>
          <t>Math</t>
        </is>
      </c>
      <c r="L33" s="9" t="inlineStr">
        <is>
          <t>Math</t>
        </is>
      </c>
      <c r="M33" s="9" t="inlineStr">
        <is>
          <t>Haythem</t>
        </is>
      </c>
      <c r="N33" s="10" t="n"/>
      <c r="O33" s="10" t="n"/>
      <c r="P33" s="10" t="inlineStr">
        <is>
          <t>Hebdomadaire</t>
        </is>
      </c>
      <c r="Q33" s="9" t="inlineStr">
        <is>
          <t>Original (septembre)</t>
        </is>
      </c>
      <c r="R33" s="9" t="inlineStr"/>
      <c r="S33" s="44">
        <f>IF($M33="","",IF(SUMPRODUCT(($D$4:$D$704=$D33)*($M$4:$M$704=$M33)*($F$4:$F$704&lt;$G33)*($G$4:$G$704&gt;$F33))&gt;1,"⚠ CONFLIT",""))</f>
        <v/>
      </c>
      <c r="T33" s="44">
        <f>IF($J33="","",IF(SUMPRODUCT(($D$4:$D$704=$D33)*($J$4:$J$704=$J33)*($F$4:$F$704&lt;$G33)*($G$4:$G$704&gt;$F33))&gt;1,"⚠ CONFLIT",""))</f>
        <v/>
      </c>
      <c r="U33" s="44">
        <f>IF(COUNTIFS($D$4:$D$704,$D33,$J$4:$J$704,$J33,$F$4:$F$704,$F33,$K$4:$K$704,$K33)&gt;1,"⚠ DOUBLON","")</f>
        <v/>
      </c>
      <c r="V33" s="44">
        <f>COUNTIFS($A$4:$A33,$A33,$J$4:$J33,$J33,$E$4:$E33,$E33)</f>
        <v/>
      </c>
      <c r="W33" s="45">
        <f>$A33&amp;"|"&amp;$J33&amp;"|"&amp;$E33&amp;"|"&amp;$V33</f>
        <v/>
      </c>
      <c r="X33" s="46">
        <f>TEXT($F33,"hh:mm")&amp;" - "&amp;TEXT($G33,"hh:mm")&amp;IF($P33="Quinzaine A","   ◆ Q-A",IF($P33="Quinzaine B","   ◆ Q-B",IF($P33="Exception","   ◆ PONCTUEL","")))&amp;CHAR(10)&amp;$K33&amp;CHAR(10)&amp;$M33&amp;IF($N33&lt;&gt;"",CHAR(10)&amp;"Salle "&amp;$N33,"")&amp;IF($O33="En ligne",CHAR(10)&amp;"◆ EN LIGNE","")&amp;IF($R33&lt;&gt;"",CHAR(10)&amp;$R33,"")</f>
        <v/>
      </c>
      <c r="Y33" s="45" t="inlineStr">
        <is>
          <t>19h30-21h Math (Haythem)</t>
        </is>
      </c>
      <c r="Z33" s="45" t="inlineStr">
        <is>
          <t>du 14-09 jusquà le 20-09!I56</t>
        </is>
      </c>
    </row>
    <row r="34" ht="15" customHeight="1">
      <c r="A34" s="10" t="inlineStr">
        <is>
          <t>S1</t>
        </is>
      </c>
      <c r="B34" s="9" t="inlineStr">
        <is>
          <t>du 14 au 20 septembre 2026</t>
        </is>
      </c>
      <c r="C34" s="10" t="inlineStr">
        <is>
          <t>A</t>
        </is>
      </c>
      <c r="D34" s="41" t="n">
        <v>46281</v>
      </c>
      <c r="E34" s="10" t="inlineStr">
        <is>
          <t>Mercredi</t>
        </is>
      </c>
      <c r="F34" s="42" t="n">
        <v>0.7916666666666666</v>
      </c>
      <c r="G34" s="42" t="n">
        <v>0.8541666666666666</v>
      </c>
      <c r="H34" s="43">
        <f>IF(OR($F34="",$G34=""),"",($G34-$F34)*24)</f>
        <v/>
      </c>
      <c r="I34" s="10" t="inlineStr">
        <is>
          <t>Secondaire</t>
        </is>
      </c>
      <c r="J34" s="9" t="inlineStr">
        <is>
          <t>3éme Eco</t>
        </is>
      </c>
      <c r="K34" s="9" t="inlineStr">
        <is>
          <t>Gestion</t>
        </is>
      </c>
      <c r="L34" s="9" t="inlineStr">
        <is>
          <t>Gestion</t>
        </is>
      </c>
      <c r="M34" s="9" t="inlineStr">
        <is>
          <t>Yassine</t>
        </is>
      </c>
      <c r="N34" s="10" t="n"/>
      <c r="O34" s="10" t="n"/>
      <c r="P34" s="10" t="inlineStr">
        <is>
          <t>Hebdomadaire</t>
        </is>
      </c>
      <c r="Q34" s="9" t="inlineStr">
        <is>
          <t>Original (septembre)</t>
        </is>
      </c>
      <c r="R34" s="9" t="inlineStr"/>
      <c r="S34" s="44">
        <f>IF($M34="","",IF(SUMPRODUCT(($D$4:$D$704=$D34)*($M$4:$M$704=$M34)*($F$4:$F$704&lt;$G34)*($G$4:$G$704&gt;$F34))&gt;1,"⚠ CONFLIT",""))</f>
        <v/>
      </c>
      <c r="T34" s="44">
        <f>IF($J34="","",IF(SUMPRODUCT(($D$4:$D$704=$D34)*($J$4:$J$704=$J34)*($F$4:$F$704&lt;$G34)*($G$4:$G$704&gt;$F34))&gt;1,"⚠ CONFLIT",""))</f>
        <v/>
      </c>
      <c r="U34" s="44">
        <f>IF(COUNTIFS($D$4:$D$704,$D34,$J$4:$J$704,$J34,$F$4:$F$704,$F34,$K$4:$K$704,$K34)&gt;1,"⚠ DOUBLON","")</f>
        <v/>
      </c>
      <c r="V34" s="44">
        <f>COUNTIFS($A$4:$A34,$A34,$J$4:$J34,$J34,$E$4:$E34,$E34)</f>
        <v/>
      </c>
      <c r="W34" s="45">
        <f>$A34&amp;"|"&amp;$J34&amp;"|"&amp;$E34&amp;"|"&amp;$V34</f>
        <v/>
      </c>
      <c r="X34" s="46">
        <f>TEXT($F34,"hh:mm")&amp;" - "&amp;TEXT($G34,"hh:mm")&amp;IF($P34="Quinzaine A","   ◆ Q-A",IF($P34="Quinzaine B","   ◆ Q-B",IF($P34="Exception","   ◆ PONCTUEL","")))&amp;CHAR(10)&amp;$K34&amp;CHAR(10)&amp;$M34&amp;IF($N34&lt;&gt;"",CHAR(10)&amp;"Salle "&amp;$N34,"")&amp;IF($O34="En ligne",CHAR(10)&amp;"◆ EN LIGNE","")&amp;IF($R34&lt;&gt;"",CHAR(10)&amp;$R34,"")</f>
        <v/>
      </c>
      <c r="Y34" s="45" t="inlineStr">
        <is>
          <t>19h-20h30 Gestion (Yassine)</t>
        </is>
      </c>
      <c r="Z34" s="45" t="inlineStr">
        <is>
          <t>du 14-09 jusquà le 20-09!I62</t>
        </is>
      </c>
    </row>
    <row r="35" ht="15" customHeight="1">
      <c r="A35" s="10" t="inlineStr">
        <is>
          <t>S1</t>
        </is>
      </c>
      <c r="B35" s="9" t="inlineStr">
        <is>
          <t>du 14 au 20 septembre 2026</t>
        </is>
      </c>
      <c r="C35" s="10" t="inlineStr">
        <is>
          <t>A</t>
        </is>
      </c>
      <c r="D35" s="41" t="n">
        <v>46281</v>
      </c>
      <c r="E35" s="10" t="inlineStr">
        <is>
          <t>Mercredi</t>
        </is>
      </c>
      <c r="F35" s="42" t="n">
        <v>0.8125</v>
      </c>
      <c r="G35" s="42" t="n">
        <v>0.875</v>
      </c>
      <c r="H35" s="43">
        <f>IF(OR($F35="",$G35=""),"",($G35-$F35)*24)</f>
        <v/>
      </c>
      <c r="I35" s="10" t="inlineStr">
        <is>
          <t>Secondaire</t>
        </is>
      </c>
      <c r="J35" s="9" t="inlineStr">
        <is>
          <t>3éme INFO</t>
        </is>
      </c>
      <c r="K35" s="9" t="inlineStr">
        <is>
          <t>Physique</t>
        </is>
      </c>
      <c r="L35" s="9" t="inlineStr">
        <is>
          <t>Physique</t>
        </is>
      </c>
      <c r="M35" s="9" t="inlineStr">
        <is>
          <t>Samia</t>
        </is>
      </c>
      <c r="N35" s="10" t="n"/>
      <c r="O35" s="10" t="n"/>
      <c r="P35" s="10" t="inlineStr">
        <is>
          <t>Hebdomadaire</t>
        </is>
      </c>
      <c r="Q35" s="9" t="inlineStr">
        <is>
          <t>Original (septembre)</t>
        </is>
      </c>
      <c r="R35" s="9" t="inlineStr"/>
      <c r="S35" s="44">
        <f>IF($M35="","",IF(SUMPRODUCT(($D$4:$D$704=$D35)*($M$4:$M$704=$M35)*($F$4:$F$704&lt;$G35)*($G$4:$G$704&gt;$F35))&gt;1,"⚠ CONFLIT",""))</f>
        <v/>
      </c>
      <c r="T35" s="44">
        <f>IF($J35="","",IF(SUMPRODUCT(($D$4:$D$704=$D35)*($J$4:$J$704=$J35)*($F$4:$F$704&lt;$G35)*($G$4:$G$704&gt;$F35))&gt;1,"⚠ CONFLIT",""))</f>
        <v/>
      </c>
      <c r="U35" s="44">
        <f>IF(COUNTIFS($D$4:$D$704,$D35,$J$4:$J$704,$J35,$F$4:$F$704,$F35,$K$4:$K$704,$K35)&gt;1,"⚠ DOUBLON","")</f>
        <v/>
      </c>
      <c r="V35" s="44">
        <f>COUNTIFS($A$4:$A35,$A35,$J$4:$J35,$J35,$E$4:$E35,$E35)</f>
        <v/>
      </c>
      <c r="W35" s="45">
        <f>$A35&amp;"|"&amp;$J35&amp;"|"&amp;$E35&amp;"|"&amp;$V35</f>
        <v/>
      </c>
      <c r="X35" s="46">
        <f>TEXT($F35,"hh:mm")&amp;" - "&amp;TEXT($G35,"hh:mm")&amp;IF($P35="Quinzaine A","   ◆ Q-A",IF($P35="Quinzaine B","   ◆ Q-B",IF($P35="Exception","   ◆ PONCTUEL","")))&amp;CHAR(10)&amp;$K35&amp;CHAR(10)&amp;$M35&amp;IF($N35&lt;&gt;"",CHAR(10)&amp;"Salle "&amp;$N35,"")&amp;IF($O35="En ligne",CHAR(10)&amp;"◆ EN LIGNE","")&amp;IF($R35&lt;&gt;"",CHAR(10)&amp;$R35,"")</f>
        <v/>
      </c>
      <c r="Y35" s="45" t="inlineStr">
        <is>
          <t>19h30-21h Physique (Samia)</t>
        </is>
      </c>
      <c r="Z35" s="45" t="inlineStr">
        <is>
          <t>du 14-09 jusquà le 20-09!I64</t>
        </is>
      </c>
    </row>
    <row r="36" ht="15" customHeight="1">
      <c r="A36" s="10" t="inlineStr">
        <is>
          <t>S1</t>
        </is>
      </c>
      <c r="B36" s="9" t="inlineStr">
        <is>
          <t>du 14 au 20 septembre 2026</t>
        </is>
      </c>
      <c r="C36" s="10" t="inlineStr">
        <is>
          <t>A</t>
        </is>
      </c>
      <c r="D36" s="41" t="n">
        <v>46281</v>
      </c>
      <c r="E36" s="10" t="inlineStr">
        <is>
          <t>Mercredi</t>
        </is>
      </c>
      <c r="F36" s="42" t="n">
        <v>0.7916666666666666</v>
      </c>
      <c r="G36" s="42" t="n">
        <v>0.875</v>
      </c>
      <c r="H36" s="43">
        <f>IF(OR($F36="",$G36=""),"",($G36-$F36)*24)</f>
        <v/>
      </c>
      <c r="I36" s="10" t="inlineStr">
        <is>
          <t>Bac</t>
        </is>
      </c>
      <c r="J36" s="9" t="inlineStr">
        <is>
          <t>Bac SCE</t>
        </is>
      </c>
      <c r="K36" s="9" t="inlineStr">
        <is>
          <t>Math</t>
        </is>
      </c>
      <c r="L36" s="9" t="inlineStr">
        <is>
          <t>Math</t>
        </is>
      </c>
      <c r="M36" s="9" t="inlineStr">
        <is>
          <t>Ahmed</t>
        </is>
      </c>
      <c r="N36" s="10" t="n"/>
      <c r="O36" s="10" t="n"/>
      <c r="P36" s="10" t="inlineStr">
        <is>
          <t>Hebdomadaire</t>
        </is>
      </c>
      <c r="Q36" s="9" t="inlineStr">
        <is>
          <t>Original (septembre)</t>
        </is>
      </c>
      <c r="R36" s="9" t="inlineStr"/>
      <c r="S36" s="44">
        <f>IF($M36="","",IF(SUMPRODUCT(($D$4:$D$704=$D36)*($M$4:$M$704=$M36)*($F$4:$F$704&lt;$G36)*($G$4:$G$704&gt;$F36))&gt;1,"⚠ CONFLIT",""))</f>
        <v/>
      </c>
      <c r="T36" s="44">
        <f>IF($J36="","",IF(SUMPRODUCT(($D$4:$D$704=$D36)*($J$4:$J$704=$J36)*($F$4:$F$704&lt;$G36)*($G$4:$G$704&gt;$F36))&gt;1,"⚠ CONFLIT",""))</f>
        <v/>
      </c>
      <c r="U36" s="44">
        <f>IF(COUNTIFS($D$4:$D$704,$D36,$J$4:$J$704,$J36,$F$4:$F$704,$F36,$K$4:$K$704,$K36)&gt;1,"⚠ DOUBLON","")</f>
        <v/>
      </c>
      <c r="V36" s="44">
        <f>COUNTIFS($A$4:$A36,$A36,$J$4:$J36,$J36,$E$4:$E36,$E36)</f>
        <v/>
      </c>
      <c r="W36" s="45">
        <f>$A36&amp;"|"&amp;$J36&amp;"|"&amp;$E36&amp;"|"&amp;$V36</f>
        <v/>
      </c>
      <c r="X36" s="46">
        <f>TEXT($F36,"hh:mm")&amp;" - "&amp;TEXT($G36,"hh:mm")&amp;IF($P36="Quinzaine A","   ◆ Q-A",IF($P36="Quinzaine B","   ◆ Q-B",IF($P36="Exception","   ◆ PONCTUEL","")))&amp;CHAR(10)&amp;$K36&amp;CHAR(10)&amp;$M36&amp;IF($N36&lt;&gt;"",CHAR(10)&amp;"Salle "&amp;$N36,"")&amp;IF($O36="En ligne",CHAR(10)&amp;"◆ EN LIGNE","")&amp;IF($R36&lt;&gt;"",CHAR(10)&amp;$R36,"")</f>
        <v/>
      </c>
      <c r="Y36" s="45" t="inlineStr">
        <is>
          <t>19h-21h Math (Ahmed)</t>
        </is>
      </c>
      <c r="Z36" s="45" t="inlineStr">
        <is>
          <t>du 14-09 jusquà le 20-09!I74</t>
        </is>
      </c>
    </row>
    <row r="37" ht="15" customHeight="1">
      <c r="A37" s="10" t="inlineStr">
        <is>
          <t>S1</t>
        </is>
      </c>
      <c r="B37" s="9" t="inlineStr">
        <is>
          <t>du 14 au 20 septembre 2026</t>
        </is>
      </c>
      <c r="C37" s="10" t="inlineStr">
        <is>
          <t>A</t>
        </is>
      </c>
      <c r="D37" s="41" t="n">
        <v>46282</v>
      </c>
      <c r="E37" s="10" t="inlineStr">
        <is>
          <t>Jeudi</t>
        </is>
      </c>
      <c r="F37" s="42" t="n">
        <v>0.7916666666666666</v>
      </c>
      <c r="G37" s="42" t="n">
        <v>0.875</v>
      </c>
      <c r="H37" s="43">
        <f>IF(OR($F37="",$G37=""),"",($G37-$F37)*24)</f>
        <v/>
      </c>
      <c r="I37" s="10" t="inlineStr">
        <is>
          <t>Primaire</t>
        </is>
      </c>
      <c r="J37" s="9" t="inlineStr">
        <is>
          <t>5éme</t>
        </is>
      </c>
      <c r="K37" s="9" t="inlineStr">
        <is>
          <t>رياضيات</t>
        </is>
      </c>
      <c r="L37" s="9" t="inlineStr">
        <is>
          <t>Math</t>
        </is>
      </c>
      <c r="M37" s="9" t="inlineStr">
        <is>
          <t>Bassma</t>
        </is>
      </c>
      <c r="N37" s="10" t="n"/>
      <c r="O37" s="10" t="n"/>
      <c r="P37" s="10" t="inlineStr">
        <is>
          <t>Hebdomadaire</t>
        </is>
      </c>
      <c r="Q37" s="9" t="inlineStr">
        <is>
          <t>Original (septembre)</t>
        </is>
      </c>
      <c r="R37" s="9" t="inlineStr"/>
      <c r="S37" s="44">
        <f>IF($M37="","",IF(SUMPRODUCT(($D$4:$D$704=$D37)*($M$4:$M$704=$M37)*($F$4:$F$704&lt;$G37)*($G$4:$G$704&gt;$F37))&gt;1,"⚠ CONFLIT",""))</f>
        <v/>
      </c>
      <c r="T37" s="44">
        <f>IF($J37="","",IF(SUMPRODUCT(($D$4:$D$704=$D37)*($J$4:$J$704=$J37)*($F$4:$F$704&lt;$G37)*($G$4:$G$704&gt;$F37))&gt;1,"⚠ CONFLIT",""))</f>
        <v/>
      </c>
      <c r="U37" s="44">
        <f>IF(COUNTIFS($D$4:$D$704,$D37,$J$4:$J$704,$J37,$F$4:$F$704,$F37,$K$4:$K$704,$K37)&gt;1,"⚠ DOUBLON","")</f>
        <v/>
      </c>
      <c r="V37" s="44">
        <f>COUNTIFS($A$4:$A37,$A37,$J$4:$J37,$J37,$E$4:$E37,$E37)</f>
        <v/>
      </c>
      <c r="W37" s="45">
        <f>$A37&amp;"|"&amp;$J37&amp;"|"&amp;$E37&amp;"|"&amp;$V37</f>
        <v/>
      </c>
      <c r="X37" s="46">
        <f>TEXT($F37,"hh:mm")&amp;" - "&amp;TEXT($G37,"hh:mm")&amp;IF($P37="Quinzaine A","   ◆ Q-A",IF($P37="Quinzaine B","   ◆ Q-B",IF($P37="Exception","   ◆ PONCTUEL","")))&amp;CHAR(10)&amp;$K37&amp;CHAR(10)&amp;$M37&amp;IF($N37&lt;&gt;"",CHAR(10)&amp;"Salle "&amp;$N37,"")&amp;IF($O37="En ligne",CHAR(10)&amp;"◆ EN LIGNE","")&amp;IF($R37&lt;&gt;"",CHAR(10)&amp;$R37,"")</f>
        <v/>
      </c>
      <c r="Y37" s="45" t="inlineStr">
        <is>
          <t>19h-21h رياضيات (Bassma)</t>
        </is>
      </c>
      <c r="Z37" s="45" t="inlineStr">
        <is>
          <t>du 14-09 jusquà le 20-09!J6</t>
        </is>
      </c>
    </row>
    <row r="38" ht="15" customHeight="1">
      <c r="A38" s="10" t="inlineStr">
        <is>
          <t>S1</t>
        </is>
      </c>
      <c r="B38" s="9" t="inlineStr">
        <is>
          <t>du 14 au 20 septembre 2026</t>
        </is>
      </c>
      <c r="C38" s="10" t="inlineStr">
        <is>
          <t>A</t>
        </is>
      </c>
      <c r="D38" s="41" t="n">
        <v>46282</v>
      </c>
      <c r="E38" s="10" t="inlineStr">
        <is>
          <t>Jeudi</t>
        </is>
      </c>
      <c r="F38" s="42" t="n">
        <v>0.7916666666666666</v>
      </c>
      <c r="G38" s="42" t="n">
        <v>0.875</v>
      </c>
      <c r="H38" s="43">
        <f>IF(OR($F38="",$G38=""),"",($G38-$F38)*24)</f>
        <v/>
      </c>
      <c r="I38" s="10" t="inlineStr">
        <is>
          <t>Primaire</t>
        </is>
      </c>
      <c r="J38" s="9" t="inlineStr">
        <is>
          <t>6éme (B)</t>
        </is>
      </c>
      <c r="K38" s="9" t="inlineStr">
        <is>
          <t>رياضيات</t>
        </is>
      </c>
      <c r="L38" s="9" t="inlineStr">
        <is>
          <t>Math</t>
        </is>
      </c>
      <c r="M38" s="9" t="inlineStr">
        <is>
          <t>Noura</t>
        </is>
      </c>
      <c r="N38" s="10" t="n"/>
      <c r="O38" s="10" t="n"/>
      <c r="P38" s="10" t="inlineStr">
        <is>
          <t>Hebdomadaire</t>
        </is>
      </c>
      <c r="Q38" s="9" t="inlineStr">
        <is>
          <t>Original (septembre)</t>
        </is>
      </c>
      <c r="R38" s="9" t="inlineStr"/>
      <c r="S38" s="44">
        <f>IF($M38="","",IF(SUMPRODUCT(($D$4:$D$704=$D38)*($M$4:$M$704=$M38)*($F$4:$F$704&lt;$G38)*($G$4:$G$704&gt;$F38))&gt;1,"⚠ CONFLIT",""))</f>
        <v/>
      </c>
      <c r="T38" s="44">
        <f>IF($J38="","",IF(SUMPRODUCT(($D$4:$D$704=$D38)*($J$4:$J$704=$J38)*($F$4:$F$704&lt;$G38)*($G$4:$G$704&gt;$F38))&gt;1,"⚠ CONFLIT",""))</f>
        <v/>
      </c>
      <c r="U38" s="44">
        <f>IF(COUNTIFS($D$4:$D$704,$D38,$J$4:$J$704,$J38,$F$4:$F$704,$F38,$K$4:$K$704,$K38)&gt;1,"⚠ DOUBLON","")</f>
        <v/>
      </c>
      <c r="V38" s="44">
        <f>COUNTIFS($A$4:$A38,$A38,$J$4:$J38,$J38,$E$4:$E38,$E38)</f>
        <v/>
      </c>
      <c r="W38" s="45">
        <f>$A38&amp;"|"&amp;$J38&amp;"|"&amp;$E38&amp;"|"&amp;$V38</f>
        <v/>
      </c>
      <c r="X38" s="46">
        <f>TEXT($F38,"hh:mm")&amp;" - "&amp;TEXT($G38,"hh:mm")&amp;IF($P38="Quinzaine A","   ◆ Q-A",IF($P38="Quinzaine B","   ◆ Q-B",IF($P38="Exception","   ◆ PONCTUEL","")))&amp;CHAR(10)&amp;$K38&amp;CHAR(10)&amp;$M38&amp;IF($N38&lt;&gt;"",CHAR(10)&amp;"Salle "&amp;$N38,"")&amp;IF($O38="En ligne",CHAR(10)&amp;"◆ EN LIGNE","")&amp;IF($R38&lt;&gt;"",CHAR(10)&amp;$R38,"")</f>
        <v/>
      </c>
      <c r="Y38" s="45" t="inlineStr">
        <is>
          <t>19h-21h رياضيات (Noura)</t>
        </is>
      </c>
      <c r="Z38" s="45" t="inlineStr">
        <is>
          <t>du 14-09 jusquà le 20-09!J16</t>
        </is>
      </c>
    </row>
    <row r="39" ht="15" customHeight="1">
      <c r="A39" s="10" t="inlineStr">
        <is>
          <t>S1</t>
        </is>
      </c>
      <c r="B39" s="9" t="inlineStr">
        <is>
          <t>du 14 au 20 septembre 2026</t>
        </is>
      </c>
      <c r="C39" s="10" t="inlineStr">
        <is>
          <t>A</t>
        </is>
      </c>
      <c r="D39" s="41" t="n">
        <v>46282</v>
      </c>
      <c r="E39" s="10" t="inlineStr">
        <is>
          <t>Jeudi</t>
        </is>
      </c>
      <c r="F39" s="42" t="n">
        <v>0.8125</v>
      </c>
      <c r="G39" s="42" t="n">
        <v>0.875</v>
      </c>
      <c r="H39" s="43">
        <f>IF(OR($F39="",$G39=""),"",($G39-$F39)*24)</f>
        <v/>
      </c>
      <c r="I39" s="10" t="inlineStr">
        <is>
          <t>Collège</t>
        </is>
      </c>
      <c r="J39" s="9" t="inlineStr">
        <is>
          <t>8éme (A)</t>
        </is>
      </c>
      <c r="K39" s="9" t="inlineStr">
        <is>
          <t>Français</t>
        </is>
      </c>
      <c r="L39" s="9" t="inlineStr">
        <is>
          <t>Français</t>
        </is>
      </c>
      <c r="M39" s="9" t="inlineStr">
        <is>
          <t>Nassima</t>
        </is>
      </c>
      <c r="N39" s="10" t="n"/>
      <c r="O39" s="10" t="n"/>
      <c r="P39" s="10" t="inlineStr">
        <is>
          <t>Hebdomadaire</t>
        </is>
      </c>
      <c r="Q39" s="9" t="inlineStr">
        <is>
          <t>Original (septembre)</t>
        </is>
      </c>
      <c r="R39" s="9" t="inlineStr"/>
      <c r="S39" s="44">
        <f>IF($M39="","",IF(SUMPRODUCT(($D$4:$D$704=$D39)*($M$4:$M$704=$M39)*($F$4:$F$704&lt;$G39)*($G$4:$G$704&gt;$F39))&gt;1,"⚠ CONFLIT",""))</f>
        <v/>
      </c>
      <c r="T39" s="44">
        <f>IF($J39="","",IF(SUMPRODUCT(($D$4:$D$704=$D39)*($J$4:$J$704=$J39)*($F$4:$F$704&lt;$G39)*($G$4:$G$704&gt;$F39))&gt;1,"⚠ CONFLIT",""))</f>
        <v/>
      </c>
      <c r="U39" s="44">
        <f>IF(COUNTIFS($D$4:$D$704,$D39,$J$4:$J$704,$J39,$F$4:$F$704,$F39,$K$4:$K$704,$K39)&gt;1,"⚠ DOUBLON","")</f>
        <v/>
      </c>
      <c r="V39" s="44">
        <f>COUNTIFS($A$4:$A39,$A39,$J$4:$J39,$J39,$E$4:$E39,$E39)</f>
        <v/>
      </c>
      <c r="W39" s="45">
        <f>$A39&amp;"|"&amp;$J39&amp;"|"&amp;$E39&amp;"|"&amp;$V39</f>
        <v/>
      </c>
      <c r="X39" s="46">
        <f>TEXT($F39,"hh:mm")&amp;" - "&amp;TEXT($G39,"hh:mm")&amp;IF($P39="Quinzaine A","   ◆ Q-A",IF($P39="Quinzaine B","   ◆ Q-B",IF($P39="Exception","   ◆ PONCTUEL","")))&amp;CHAR(10)&amp;$K39&amp;CHAR(10)&amp;$M39&amp;IF($N39&lt;&gt;"",CHAR(10)&amp;"Salle "&amp;$N39,"")&amp;IF($O39="En ligne",CHAR(10)&amp;"◆ EN LIGNE","")&amp;IF($R39&lt;&gt;"",CHAR(10)&amp;$R39,"")</f>
        <v/>
      </c>
      <c r="Y39" s="45" t="inlineStr">
        <is>
          <t>19h30-21h Français (Nassima)</t>
        </is>
      </c>
      <c r="Z39" s="45" t="inlineStr">
        <is>
          <t>du 14-09 jusquà le 20-09!J27</t>
        </is>
      </c>
    </row>
    <row r="40" ht="15" customHeight="1">
      <c r="A40" s="10" t="inlineStr">
        <is>
          <t>S1</t>
        </is>
      </c>
      <c r="B40" s="9" t="inlineStr">
        <is>
          <t>du 14 au 20 septembre 2026</t>
        </is>
      </c>
      <c r="C40" s="10" t="inlineStr">
        <is>
          <t>A</t>
        </is>
      </c>
      <c r="D40" s="41" t="n">
        <v>46282</v>
      </c>
      <c r="E40" s="10" t="inlineStr">
        <is>
          <t>Jeudi</t>
        </is>
      </c>
      <c r="F40" s="42" t="n">
        <v>0.8020833333333334</v>
      </c>
      <c r="G40" s="42" t="n">
        <v>0.8645833333333334</v>
      </c>
      <c r="H40" s="43">
        <f>IF(OR($F40="",$G40=""),"",($G40-$F40)*24)</f>
        <v/>
      </c>
      <c r="I40" s="10" t="inlineStr">
        <is>
          <t>Collège</t>
        </is>
      </c>
      <c r="J40" s="9" t="inlineStr">
        <is>
          <t>8éme (C)</t>
        </is>
      </c>
      <c r="K40" s="9" t="inlineStr">
        <is>
          <t>Math</t>
        </is>
      </c>
      <c r="L40" s="9" t="inlineStr">
        <is>
          <t>Math</t>
        </is>
      </c>
      <c r="M40" s="9" t="inlineStr">
        <is>
          <t>Khouloud</t>
        </is>
      </c>
      <c r="N40" s="10" t="n"/>
      <c r="O40" s="10" t="n"/>
      <c r="P40" s="10" t="inlineStr">
        <is>
          <t>Hebdomadaire</t>
        </is>
      </c>
      <c r="Q40" s="9" t="inlineStr">
        <is>
          <t>Original (septembre)</t>
        </is>
      </c>
      <c r="R40" s="9" t="inlineStr"/>
      <c r="S40" s="44">
        <f>IF($M40="","",IF(SUMPRODUCT(($D$4:$D$704=$D40)*($M$4:$M$704=$M40)*($F$4:$F$704&lt;$G40)*($G$4:$G$704&gt;$F40))&gt;1,"⚠ CONFLIT",""))</f>
        <v/>
      </c>
      <c r="T40" s="44">
        <f>IF($J40="","",IF(SUMPRODUCT(($D$4:$D$704=$D40)*($J$4:$J$704=$J40)*($F$4:$F$704&lt;$G40)*($G$4:$G$704&gt;$F40))&gt;1,"⚠ CONFLIT",""))</f>
        <v/>
      </c>
      <c r="U40" s="44">
        <f>IF(COUNTIFS($D$4:$D$704,$D40,$J$4:$J$704,$J40,$F$4:$F$704,$F40,$K$4:$K$704,$K40)&gt;1,"⚠ DOUBLON","")</f>
        <v/>
      </c>
      <c r="V40" s="44">
        <f>COUNTIFS($A$4:$A40,$A40,$J$4:$J40,$J40,$E$4:$E40,$E40)</f>
        <v/>
      </c>
      <c r="W40" s="45">
        <f>$A40&amp;"|"&amp;$J40&amp;"|"&amp;$E40&amp;"|"&amp;$V40</f>
        <v/>
      </c>
      <c r="X40" s="46">
        <f>TEXT($F40,"hh:mm")&amp;" - "&amp;TEXT($G40,"hh:mm")&amp;IF($P40="Quinzaine A","   ◆ Q-A",IF($P40="Quinzaine B","   ◆ Q-B",IF($P40="Exception","   ◆ PONCTUEL","")))&amp;CHAR(10)&amp;$K40&amp;CHAR(10)&amp;$M40&amp;IF($N40&lt;&gt;"",CHAR(10)&amp;"Salle "&amp;$N40,"")&amp;IF($O40="En ligne",CHAR(10)&amp;"◆ EN LIGNE","")&amp;IF($R40&lt;&gt;"",CHAR(10)&amp;$R40,"")</f>
        <v/>
      </c>
      <c r="Y40" s="45" t="inlineStr">
        <is>
          <t>19h15-20h45 Math (Khouloud)</t>
        </is>
      </c>
      <c r="Z40" s="45" t="inlineStr">
        <is>
          <t>du 14-09 jusquà le 20-09!J34</t>
        </is>
      </c>
    </row>
    <row r="41" ht="15" customHeight="1">
      <c r="A41" s="10" t="inlineStr">
        <is>
          <t>S1</t>
        </is>
      </c>
      <c r="B41" s="9" t="inlineStr">
        <is>
          <t>du 14 au 20 septembre 2026</t>
        </is>
      </c>
      <c r="C41" s="10" t="inlineStr">
        <is>
          <t>A</t>
        </is>
      </c>
      <c r="D41" s="41" t="n">
        <v>46282</v>
      </c>
      <c r="E41" s="10" t="inlineStr">
        <is>
          <t>Jeudi</t>
        </is>
      </c>
      <c r="F41" s="42" t="n">
        <v>0.8020833333333334</v>
      </c>
      <c r="G41" s="42" t="n">
        <v>0.8645833333333334</v>
      </c>
      <c r="H41" s="43">
        <f>IF(OR($F41="",$G41=""),"",($G41-$F41)*24)</f>
        <v/>
      </c>
      <c r="I41" s="10" t="inlineStr">
        <is>
          <t>Collège</t>
        </is>
      </c>
      <c r="J41" s="9" t="inlineStr">
        <is>
          <t>9éme (A)</t>
        </is>
      </c>
      <c r="K41" s="9" t="inlineStr">
        <is>
          <t>SVT</t>
        </is>
      </c>
      <c r="L41" s="9" t="inlineStr">
        <is>
          <t>SVT</t>
        </is>
      </c>
      <c r="M41" s="9" t="inlineStr">
        <is>
          <t>Imen Jribi</t>
        </is>
      </c>
      <c r="N41" s="10" t="n"/>
      <c r="O41" s="10" t="n"/>
      <c r="P41" s="10" t="inlineStr">
        <is>
          <t>Hebdomadaire</t>
        </is>
      </c>
      <c r="Q41" s="9" t="inlineStr">
        <is>
          <t>Original (septembre)</t>
        </is>
      </c>
      <c r="R41" s="9" t="inlineStr"/>
      <c r="S41" s="44">
        <f>IF($M41="","",IF(SUMPRODUCT(($D$4:$D$704=$D41)*($M$4:$M$704=$M41)*($F$4:$F$704&lt;$G41)*($G$4:$G$704&gt;$F41))&gt;1,"⚠ CONFLIT",""))</f>
        <v/>
      </c>
      <c r="T41" s="44">
        <f>IF($J41="","",IF(SUMPRODUCT(($D$4:$D$704=$D41)*($J$4:$J$704=$J41)*($F$4:$F$704&lt;$G41)*($G$4:$G$704&gt;$F41))&gt;1,"⚠ CONFLIT",""))</f>
        <v/>
      </c>
      <c r="U41" s="44">
        <f>IF(COUNTIFS($D$4:$D$704,$D41,$J$4:$J$704,$J41,$F$4:$F$704,$F41,$K$4:$K$704,$K41)&gt;1,"⚠ DOUBLON","")</f>
        <v/>
      </c>
      <c r="V41" s="44">
        <f>COUNTIFS($A$4:$A41,$A41,$J$4:$J41,$J41,$E$4:$E41,$E41)</f>
        <v/>
      </c>
      <c r="W41" s="45">
        <f>$A41&amp;"|"&amp;$J41&amp;"|"&amp;$E41&amp;"|"&amp;$V41</f>
        <v/>
      </c>
      <c r="X41" s="46">
        <f>TEXT($F41,"hh:mm")&amp;" - "&amp;TEXT($G41,"hh:mm")&amp;IF($P41="Quinzaine A","   ◆ Q-A",IF($P41="Quinzaine B","   ◆ Q-B",IF($P41="Exception","   ◆ PONCTUEL","")))&amp;CHAR(10)&amp;$K41&amp;CHAR(10)&amp;$M41&amp;IF($N41&lt;&gt;"",CHAR(10)&amp;"Salle "&amp;$N41,"")&amp;IF($O41="En ligne",CHAR(10)&amp;"◆ EN LIGNE","")&amp;IF($R41&lt;&gt;"",CHAR(10)&amp;$R41,"")</f>
        <v/>
      </c>
      <c r="Y41" s="45" t="inlineStr">
        <is>
          <t>19h15-20h45 SVT (Imen Jribi)</t>
        </is>
      </c>
      <c r="Z41" s="45" t="inlineStr">
        <is>
          <t>du 14-09 jusquà le 20-09!J36</t>
        </is>
      </c>
    </row>
    <row r="42" ht="15" customHeight="1">
      <c r="A42" s="10" t="inlineStr">
        <is>
          <t>S1</t>
        </is>
      </c>
      <c r="B42" s="9" t="inlineStr">
        <is>
          <t>du 14 au 20 septembre 2026</t>
        </is>
      </c>
      <c r="C42" s="10" t="inlineStr">
        <is>
          <t>A</t>
        </is>
      </c>
      <c r="D42" s="41" t="n">
        <v>46282</v>
      </c>
      <c r="E42" s="10" t="inlineStr">
        <is>
          <t>Jeudi</t>
        </is>
      </c>
      <c r="F42" s="42" t="n">
        <v>0.8125</v>
      </c>
      <c r="G42" s="42" t="n">
        <v>0.875</v>
      </c>
      <c r="H42" s="43">
        <f>IF(OR($F42="",$G42=""),"",($G42-$F42)*24)</f>
        <v/>
      </c>
      <c r="I42" s="10" t="inlineStr">
        <is>
          <t>Collège</t>
        </is>
      </c>
      <c r="J42" s="9" t="inlineStr">
        <is>
          <t>9éme (C)</t>
        </is>
      </c>
      <c r="K42" s="9" t="inlineStr">
        <is>
          <t>Anglais</t>
        </is>
      </c>
      <c r="L42" s="9" t="inlineStr">
        <is>
          <t>Anglais</t>
        </is>
      </c>
      <c r="M42" s="9" t="inlineStr">
        <is>
          <t>Saber</t>
        </is>
      </c>
      <c r="N42" s="10" t="n"/>
      <c r="O42" s="10" t="n"/>
      <c r="P42" s="10" t="inlineStr">
        <is>
          <t>Hebdomadaire</t>
        </is>
      </c>
      <c r="Q42" s="9" t="inlineStr">
        <is>
          <t>Original (septembre)</t>
        </is>
      </c>
      <c r="R42" s="9" t="inlineStr"/>
      <c r="S42" s="44">
        <f>IF($M42="","",IF(SUMPRODUCT(($D$4:$D$704=$D42)*($M$4:$M$704=$M42)*($F$4:$F$704&lt;$G42)*($G$4:$G$704&gt;$F42))&gt;1,"⚠ CONFLIT",""))</f>
        <v/>
      </c>
      <c r="T42" s="44">
        <f>IF($J42="","",IF(SUMPRODUCT(($D$4:$D$704=$D42)*($J$4:$J$704=$J42)*($F$4:$F$704&lt;$G42)*($G$4:$G$704&gt;$F42))&gt;1,"⚠ CONFLIT",""))</f>
        <v/>
      </c>
      <c r="U42" s="44">
        <f>IF(COUNTIFS($D$4:$D$704,$D42,$J$4:$J$704,$J42,$F$4:$F$704,$F42,$K$4:$K$704,$K42)&gt;1,"⚠ DOUBLON","")</f>
        <v/>
      </c>
      <c r="V42" s="44">
        <f>COUNTIFS($A$4:$A42,$A42,$J$4:$J42,$J42,$E$4:$E42,$E42)</f>
        <v/>
      </c>
      <c r="W42" s="45">
        <f>$A42&amp;"|"&amp;$J42&amp;"|"&amp;$E42&amp;"|"&amp;$V42</f>
        <v/>
      </c>
      <c r="X42" s="46">
        <f>TEXT($F42,"hh:mm")&amp;" - "&amp;TEXT($G42,"hh:mm")&amp;IF($P42="Quinzaine A","   ◆ Q-A",IF($P42="Quinzaine B","   ◆ Q-B",IF($P42="Exception","   ◆ PONCTUEL","")))&amp;CHAR(10)&amp;$K42&amp;CHAR(10)&amp;$M42&amp;IF($N42&lt;&gt;"",CHAR(10)&amp;"Salle "&amp;$N42,"")&amp;IF($O42="En ligne",CHAR(10)&amp;"◆ EN LIGNE","")&amp;IF($R42&lt;&gt;"",CHAR(10)&amp;$R42,"")</f>
        <v/>
      </c>
      <c r="Y42" s="45" t="inlineStr">
        <is>
          <t>19h30-21h Anglais (Saber)</t>
        </is>
      </c>
      <c r="Z42" s="45" t="inlineStr">
        <is>
          <t>du 14-09 jusquà le 20-09!J46</t>
        </is>
      </c>
    </row>
    <row r="43" ht="15" customHeight="1">
      <c r="A43" s="10" t="inlineStr">
        <is>
          <t>S1</t>
        </is>
      </c>
      <c r="B43" s="9" t="inlineStr">
        <is>
          <t>du 14 au 20 septembre 2026</t>
        </is>
      </c>
      <c r="C43" s="10" t="inlineStr">
        <is>
          <t>A</t>
        </is>
      </c>
      <c r="D43" s="41" t="n">
        <v>46282</v>
      </c>
      <c r="E43" s="10" t="inlineStr">
        <is>
          <t>Jeudi</t>
        </is>
      </c>
      <c r="F43" s="42" t="n">
        <v>0.8020833333333334</v>
      </c>
      <c r="G43" s="42" t="n">
        <v>0.8645833333333334</v>
      </c>
      <c r="H43" s="43">
        <f>IF(OR($F43="",$G43=""),"",($G43-$F43)*24)</f>
        <v/>
      </c>
      <c r="I43" s="10" t="inlineStr">
        <is>
          <t>Secondaire</t>
        </is>
      </c>
      <c r="J43" s="9" t="inlineStr">
        <is>
          <t>1ére (A)</t>
        </is>
      </c>
      <c r="K43" s="9" t="inlineStr">
        <is>
          <t>Anglais</t>
        </is>
      </c>
      <c r="L43" s="9" t="inlineStr">
        <is>
          <t>Anglais</t>
        </is>
      </c>
      <c r="M43" s="9" t="inlineStr">
        <is>
          <t>Imen Bennour</t>
        </is>
      </c>
      <c r="N43" s="10" t="n"/>
      <c r="O43" s="10" t="n"/>
      <c r="P43" s="10" t="inlineStr">
        <is>
          <t>Quinzaine A</t>
        </is>
      </c>
      <c r="Q43" s="9" t="inlineStr">
        <is>
          <t>Original (septembre)</t>
        </is>
      </c>
      <c r="R43" s="9" t="inlineStr"/>
      <c r="S43" s="44">
        <f>IF($M43="","",IF(SUMPRODUCT(($D$4:$D$704=$D43)*($M$4:$M$704=$M43)*($F$4:$F$704&lt;$G43)*($G$4:$G$704&gt;$F43))&gt;1,"⚠ CONFLIT",""))</f>
        <v/>
      </c>
      <c r="T43" s="44">
        <f>IF($J43="","",IF(SUMPRODUCT(($D$4:$D$704=$D43)*($J$4:$J$704=$J43)*($F$4:$F$704&lt;$G43)*($G$4:$G$704&gt;$F43))&gt;1,"⚠ CONFLIT",""))</f>
        <v/>
      </c>
      <c r="U43" s="44">
        <f>IF(COUNTIFS($D$4:$D$704,$D43,$J$4:$J$704,$J43,$F$4:$F$704,$F43,$K$4:$K$704,$K43)&gt;1,"⚠ DOUBLON","")</f>
        <v/>
      </c>
      <c r="V43" s="44">
        <f>COUNTIFS($A$4:$A43,$A43,$J$4:$J43,$J43,$E$4:$E43,$E43)</f>
        <v/>
      </c>
      <c r="W43" s="45">
        <f>$A43&amp;"|"&amp;$J43&amp;"|"&amp;$E43&amp;"|"&amp;$V43</f>
        <v/>
      </c>
      <c r="X43" s="46">
        <f>TEXT($F43,"hh:mm")&amp;" - "&amp;TEXT($G43,"hh:mm")&amp;IF($P43="Quinzaine A","   ◆ Q-A",IF($P43="Quinzaine B","   ◆ Q-B",IF($P43="Exception","   ◆ PONCTUEL","")))&amp;CHAR(10)&amp;$K43&amp;CHAR(10)&amp;$M43&amp;IF($N43&lt;&gt;"",CHAR(10)&amp;"Salle "&amp;$N43,"")&amp;IF($O43="En ligne",CHAR(10)&amp;"◆ EN LIGNE","")&amp;IF($R43&lt;&gt;"",CHAR(10)&amp;$R43,"")</f>
        <v/>
      </c>
      <c r="Y43" s="45" t="inlineStr">
        <is>
          <t>19h15-20h45 Anglais /par quinzaine (Imen Bennour)</t>
        </is>
      </c>
      <c r="Z43" s="45" t="inlineStr">
        <is>
          <t>du 14-09 jusquà le 20-09!J48</t>
        </is>
      </c>
    </row>
    <row r="44" ht="15" customHeight="1">
      <c r="A44" s="10" t="inlineStr">
        <is>
          <t>S1</t>
        </is>
      </c>
      <c r="B44" s="9" t="inlineStr">
        <is>
          <t>du 14 au 20 septembre 2026</t>
        </is>
      </c>
      <c r="C44" s="10" t="inlineStr">
        <is>
          <t>A</t>
        </is>
      </c>
      <c r="D44" s="41" t="n">
        <v>46282</v>
      </c>
      <c r="E44" s="10" t="inlineStr">
        <is>
          <t>Jeudi</t>
        </is>
      </c>
      <c r="F44" s="42" t="n">
        <v>0.7916666666666666</v>
      </c>
      <c r="G44" s="42" t="n">
        <v>0.8541666666666666</v>
      </c>
      <c r="H44" s="43">
        <f>IF(OR($F44="",$G44=""),"",($G44-$F44)*24)</f>
        <v/>
      </c>
      <c r="I44" s="10" t="inlineStr">
        <is>
          <t>Secondaire</t>
        </is>
      </c>
      <c r="J44" s="9" t="inlineStr">
        <is>
          <t>2éme Eco</t>
        </is>
      </c>
      <c r="K44" s="9" t="inlineStr">
        <is>
          <t>Gestion</t>
        </is>
      </c>
      <c r="L44" s="9" t="inlineStr">
        <is>
          <t>Gestion</t>
        </is>
      </c>
      <c r="M44" s="9" t="inlineStr">
        <is>
          <t>Yassine</t>
        </is>
      </c>
      <c r="N44" s="10" t="n"/>
      <c r="O44" s="10" t="n"/>
      <c r="P44" s="10" t="inlineStr">
        <is>
          <t>Hebdomadaire</t>
        </is>
      </c>
      <c r="Q44" s="9" t="inlineStr">
        <is>
          <t>Original (septembre)</t>
        </is>
      </c>
      <c r="R44" s="9" t="inlineStr"/>
      <c r="S44" s="44">
        <f>IF($M44="","",IF(SUMPRODUCT(($D$4:$D$704=$D44)*($M$4:$M$704=$M44)*($F$4:$F$704&lt;$G44)*($G$4:$G$704&gt;$F44))&gt;1,"⚠ CONFLIT",""))</f>
        <v/>
      </c>
      <c r="T44" s="44">
        <f>IF($J44="","",IF(SUMPRODUCT(($D$4:$D$704=$D44)*($J$4:$J$704=$J44)*($F$4:$F$704&lt;$G44)*($G$4:$G$704&gt;$F44))&gt;1,"⚠ CONFLIT",""))</f>
        <v/>
      </c>
      <c r="U44" s="44">
        <f>IF(COUNTIFS($D$4:$D$704,$D44,$J$4:$J$704,$J44,$F$4:$F$704,$F44,$K$4:$K$704,$K44)&gt;1,"⚠ DOUBLON","")</f>
        <v/>
      </c>
      <c r="V44" s="44">
        <f>COUNTIFS($A$4:$A44,$A44,$J$4:$J44,$J44,$E$4:$E44,$E44)</f>
        <v/>
      </c>
      <c r="W44" s="45">
        <f>$A44&amp;"|"&amp;$J44&amp;"|"&amp;$E44&amp;"|"&amp;$V44</f>
        <v/>
      </c>
      <c r="X44" s="46">
        <f>TEXT($F44,"hh:mm")&amp;" - "&amp;TEXT($G44,"hh:mm")&amp;IF($P44="Quinzaine A","   ◆ Q-A",IF($P44="Quinzaine B","   ◆ Q-B",IF($P44="Exception","   ◆ PONCTUEL","")))&amp;CHAR(10)&amp;$K44&amp;CHAR(10)&amp;$M44&amp;IF($N44&lt;&gt;"",CHAR(10)&amp;"Salle "&amp;$N44,"")&amp;IF($O44="En ligne",CHAR(10)&amp;"◆ EN LIGNE","")&amp;IF($R44&lt;&gt;"",CHAR(10)&amp;$R44,"")</f>
        <v/>
      </c>
      <c r="Y44" s="45" t="inlineStr">
        <is>
          <t>19h-20h30 Gestion (Yassine)</t>
        </is>
      </c>
      <c r="Z44" s="45" t="inlineStr">
        <is>
          <t>du 14-09 jusquà le 20-09!J56</t>
        </is>
      </c>
    </row>
    <row r="45" ht="15" customHeight="1">
      <c r="A45" s="10" t="inlineStr">
        <is>
          <t>S1</t>
        </is>
      </c>
      <c r="B45" s="9" t="inlineStr">
        <is>
          <t>du 14 au 20 septembre 2026</t>
        </is>
      </c>
      <c r="C45" s="10" t="inlineStr">
        <is>
          <t>A</t>
        </is>
      </c>
      <c r="D45" s="41" t="n">
        <v>46282</v>
      </c>
      <c r="E45" s="10" t="inlineStr">
        <is>
          <t>Jeudi</t>
        </is>
      </c>
      <c r="F45" s="42" t="n">
        <v>0.8125</v>
      </c>
      <c r="G45" s="42" t="n">
        <v>0.875</v>
      </c>
      <c r="H45" s="43">
        <f>IF(OR($F45="",$G45=""),"",($G45-$F45)*24)</f>
        <v/>
      </c>
      <c r="I45" s="10" t="inlineStr">
        <is>
          <t>Secondaire</t>
        </is>
      </c>
      <c r="J45" s="9" t="inlineStr">
        <is>
          <t>2éme SCE</t>
        </is>
      </c>
      <c r="K45" s="9" t="inlineStr">
        <is>
          <t>Math</t>
        </is>
      </c>
      <c r="L45" s="9" t="inlineStr">
        <is>
          <t>Math</t>
        </is>
      </c>
      <c r="M45" s="9" t="inlineStr">
        <is>
          <t>Haythem</t>
        </is>
      </c>
      <c r="N45" s="10" t="n"/>
      <c r="O45" s="10" t="n"/>
      <c r="P45" s="10" t="inlineStr">
        <is>
          <t>Hebdomadaire</t>
        </is>
      </c>
      <c r="Q45" s="9" t="inlineStr">
        <is>
          <t>Original (septembre)</t>
        </is>
      </c>
      <c r="R45" s="9" t="inlineStr"/>
      <c r="S45" s="44">
        <f>IF($M45="","",IF(SUMPRODUCT(($D$4:$D$704=$D45)*($M$4:$M$704=$M45)*($F$4:$F$704&lt;$G45)*($G$4:$G$704&gt;$F45))&gt;1,"⚠ CONFLIT",""))</f>
        <v/>
      </c>
      <c r="T45" s="44">
        <f>IF($J45="","",IF(SUMPRODUCT(($D$4:$D$704=$D45)*($J$4:$J$704=$J45)*($F$4:$F$704&lt;$G45)*($G$4:$G$704&gt;$F45))&gt;1,"⚠ CONFLIT",""))</f>
        <v/>
      </c>
      <c r="U45" s="44">
        <f>IF(COUNTIFS($D$4:$D$704,$D45,$J$4:$J$704,$J45,$F$4:$F$704,$F45,$K$4:$K$704,$K45)&gt;1,"⚠ DOUBLON","")</f>
        <v/>
      </c>
      <c r="V45" s="44">
        <f>COUNTIFS($A$4:$A45,$A45,$J$4:$J45,$J45,$E$4:$E45,$E45)</f>
        <v/>
      </c>
      <c r="W45" s="45">
        <f>$A45&amp;"|"&amp;$J45&amp;"|"&amp;$E45&amp;"|"&amp;$V45</f>
        <v/>
      </c>
      <c r="X45" s="46">
        <f>TEXT($F45,"hh:mm")&amp;" - "&amp;TEXT($G45,"hh:mm")&amp;IF($P45="Quinzaine A","   ◆ Q-A",IF($P45="Quinzaine B","   ◆ Q-B",IF($P45="Exception","   ◆ PONCTUEL","")))&amp;CHAR(10)&amp;$K45&amp;CHAR(10)&amp;$M45&amp;IF($N45&lt;&gt;"",CHAR(10)&amp;"Salle "&amp;$N45,"")&amp;IF($O45="En ligne",CHAR(10)&amp;"◆ EN LIGNE","")&amp;IF($R45&lt;&gt;"",CHAR(10)&amp;$R45,"")</f>
        <v/>
      </c>
      <c r="Y45" s="45" t="inlineStr">
        <is>
          <t>19h30-21h Math (Haythem)</t>
        </is>
      </c>
      <c r="Z45" s="45" t="inlineStr">
        <is>
          <t>du 14-09 jusquà le 20-09!J58</t>
        </is>
      </c>
    </row>
    <row r="46" ht="15" customHeight="1">
      <c r="A46" s="10" t="inlineStr">
        <is>
          <t>S1</t>
        </is>
      </c>
      <c r="B46" s="9" t="inlineStr">
        <is>
          <t>du 14 au 20 septembre 2026</t>
        </is>
      </c>
      <c r="C46" s="10" t="inlineStr">
        <is>
          <t>A</t>
        </is>
      </c>
      <c r="D46" s="41" t="n">
        <v>46282</v>
      </c>
      <c r="E46" s="10" t="inlineStr">
        <is>
          <t>Jeudi</t>
        </is>
      </c>
      <c r="F46" s="42" t="n">
        <v>0.8125</v>
      </c>
      <c r="G46" s="42" t="n">
        <v>0.875</v>
      </c>
      <c r="H46" s="43">
        <f>IF(OR($F46="",$G46=""),"",($G46-$F46)*24)</f>
        <v/>
      </c>
      <c r="I46" s="10" t="inlineStr">
        <is>
          <t>Secondaire</t>
        </is>
      </c>
      <c r="J46" s="9" t="inlineStr">
        <is>
          <t>2éme INFO</t>
        </is>
      </c>
      <c r="K46" s="9" t="inlineStr">
        <is>
          <t>Physique</t>
        </is>
      </c>
      <c r="L46" s="9" t="inlineStr">
        <is>
          <t>Physique</t>
        </is>
      </c>
      <c r="M46" s="9" t="inlineStr">
        <is>
          <t>Samia</t>
        </is>
      </c>
      <c r="N46" s="10" t="n"/>
      <c r="O46" s="10" t="n"/>
      <c r="P46" s="10" t="inlineStr">
        <is>
          <t>Hebdomadaire</t>
        </is>
      </c>
      <c r="Q46" s="9" t="inlineStr">
        <is>
          <t>Original (septembre)</t>
        </is>
      </c>
      <c r="R46" s="9" t="inlineStr"/>
      <c r="S46" s="44">
        <f>IF($M46="","",IF(SUMPRODUCT(($D$4:$D$704=$D46)*($M$4:$M$704=$M46)*($F$4:$F$704&lt;$G46)*($G$4:$G$704&gt;$F46))&gt;1,"⚠ CONFLIT",""))</f>
        <v/>
      </c>
      <c r="T46" s="44">
        <f>IF($J46="","",IF(SUMPRODUCT(($D$4:$D$704=$D46)*($J$4:$J$704=$J46)*($F$4:$F$704&lt;$G46)*($G$4:$G$704&gt;$F46))&gt;1,"⚠ CONFLIT",""))</f>
        <v/>
      </c>
      <c r="U46" s="44">
        <f>IF(COUNTIFS($D$4:$D$704,$D46,$J$4:$J$704,$J46,$F$4:$F$704,$F46,$K$4:$K$704,$K46)&gt;1,"⚠ DOUBLON","")</f>
        <v/>
      </c>
      <c r="V46" s="44">
        <f>COUNTIFS($A$4:$A46,$A46,$J$4:$J46,$J46,$E$4:$E46,$E46)</f>
        <v/>
      </c>
      <c r="W46" s="45">
        <f>$A46&amp;"|"&amp;$J46&amp;"|"&amp;$E46&amp;"|"&amp;$V46</f>
        <v/>
      </c>
      <c r="X46" s="46">
        <f>TEXT($F46,"hh:mm")&amp;" - "&amp;TEXT($G46,"hh:mm")&amp;IF($P46="Quinzaine A","   ◆ Q-A",IF($P46="Quinzaine B","   ◆ Q-B",IF($P46="Exception","   ◆ PONCTUEL","")))&amp;CHAR(10)&amp;$K46&amp;CHAR(10)&amp;$M46&amp;IF($N46&lt;&gt;"",CHAR(10)&amp;"Salle "&amp;$N46,"")&amp;IF($O46="En ligne",CHAR(10)&amp;"◆ EN LIGNE","")&amp;IF($R46&lt;&gt;"",CHAR(10)&amp;$R46,"")</f>
        <v/>
      </c>
      <c r="Y46" s="45" t="inlineStr">
        <is>
          <t>19h30-21h Physique (Samia)</t>
        </is>
      </c>
      <c r="Z46" s="45" t="inlineStr">
        <is>
          <t>du 14-09 jusquà le 20-09!J60</t>
        </is>
      </c>
    </row>
    <row r="47" ht="15" customHeight="1">
      <c r="A47" s="10" t="inlineStr">
        <is>
          <t>S1</t>
        </is>
      </c>
      <c r="B47" s="9" t="inlineStr">
        <is>
          <t>du 14 au 20 septembre 2026</t>
        </is>
      </c>
      <c r="C47" s="10" t="inlineStr">
        <is>
          <t>A</t>
        </is>
      </c>
      <c r="D47" s="41" t="n">
        <v>46282</v>
      </c>
      <c r="E47" s="10" t="inlineStr">
        <is>
          <t>Jeudi</t>
        </is>
      </c>
      <c r="F47" s="42" t="n">
        <v>0.8125</v>
      </c>
      <c r="G47" s="42" t="n">
        <v>0.875</v>
      </c>
      <c r="H47" s="43">
        <f>IF(OR($F47="",$G47=""),"",($G47-$F47)*24)</f>
        <v/>
      </c>
      <c r="I47" s="10" t="inlineStr">
        <is>
          <t>Secondaire</t>
        </is>
      </c>
      <c r="J47" s="9" t="inlineStr">
        <is>
          <t>3éme Eco</t>
        </is>
      </c>
      <c r="K47" s="9" t="inlineStr">
        <is>
          <t>Arabe</t>
        </is>
      </c>
      <c r="L47" s="9" t="inlineStr">
        <is>
          <t>Arabe</t>
        </is>
      </c>
      <c r="M47" s="9" t="inlineStr">
        <is>
          <t>Najet</t>
        </is>
      </c>
      <c r="N47" s="10" t="n"/>
      <c r="O47" s="10" t="n"/>
      <c r="P47" s="10" t="inlineStr">
        <is>
          <t>Quinzaine A</t>
        </is>
      </c>
      <c r="Q47" s="9" t="inlineStr">
        <is>
          <t>Original (septembre)</t>
        </is>
      </c>
      <c r="R47" s="9" t="inlineStr"/>
      <c r="S47" s="44">
        <f>IF($M47="","",IF(SUMPRODUCT(($D$4:$D$704=$D47)*($M$4:$M$704=$M47)*($F$4:$F$704&lt;$G47)*($G$4:$G$704&gt;$F47))&gt;1,"⚠ CONFLIT",""))</f>
        <v/>
      </c>
      <c r="T47" s="44">
        <f>IF($J47="","",IF(SUMPRODUCT(($D$4:$D$704=$D47)*($J$4:$J$704=$J47)*($F$4:$F$704&lt;$G47)*($G$4:$G$704&gt;$F47))&gt;1,"⚠ CONFLIT",""))</f>
        <v/>
      </c>
      <c r="U47" s="44">
        <f>IF(COUNTIFS($D$4:$D$704,$D47,$J$4:$J$704,$J47,$F$4:$F$704,$F47,$K$4:$K$704,$K47)&gt;1,"⚠ DOUBLON","")</f>
        <v/>
      </c>
      <c r="V47" s="44">
        <f>COUNTIFS($A$4:$A47,$A47,$J$4:$J47,$J47,$E$4:$E47,$E47)</f>
        <v/>
      </c>
      <c r="W47" s="45">
        <f>$A47&amp;"|"&amp;$J47&amp;"|"&amp;$E47&amp;"|"&amp;$V47</f>
        <v/>
      </c>
      <c r="X47" s="46">
        <f>TEXT($F47,"hh:mm")&amp;" - "&amp;TEXT($G47,"hh:mm")&amp;IF($P47="Quinzaine A","   ◆ Q-A",IF($P47="Quinzaine B","   ◆ Q-B",IF($P47="Exception","   ◆ PONCTUEL","")))&amp;CHAR(10)&amp;$K47&amp;CHAR(10)&amp;$M47&amp;IF($N47&lt;&gt;"",CHAR(10)&amp;"Salle "&amp;$N47,"")&amp;IF($O47="En ligne",CHAR(10)&amp;"◆ EN LIGNE","")&amp;IF($R47&lt;&gt;"",CHAR(10)&amp;$R47,"")</f>
        <v/>
      </c>
      <c r="Y47" s="45" t="inlineStr">
        <is>
          <t>19h30-21h Arabe (Najet) /par quinzaine</t>
        </is>
      </c>
      <c r="Z47" s="45" t="inlineStr">
        <is>
          <t>du 14-09 jusquà le 20-09!J62</t>
        </is>
      </c>
    </row>
    <row r="48" ht="15" customHeight="1">
      <c r="A48" s="10" t="inlineStr">
        <is>
          <t>S1</t>
        </is>
      </c>
      <c r="B48" s="9" t="inlineStr">
        <is>
          <t>du 14 au 20 septembre 2026</t>
        </is>
      </c>
      <c r="C48" s="10" t="inlineStr">
        <is>
          <t>A</t>
        </is>
      </c>
      <c r="D48" s="41" t="n">
        <v>46282</v>
      </c>
      <c r="E48" s="10" t="inlineStr">
        <is>
          <t>Jeudi</t>
        </is>
      </c>
      <c r="F48" s="42" t="n">
        <v>0.7916666666666666</v>
      </c>
      <c r="G48" s="42" t="n">
        <v>0.8541666666666666</v>
      </c>
      <c r="H48" s="43">
        <f>IF(OR($F48="",$G48=""),"",($G48-$F48)*24)</f>
        <v/>
      </c>
      <c r="I48" s="10" t="inlineStr">
        <is>
          <t>Bac</t>
        </is>
      </c>
      <c r="J48" s="9" t="inlineStr">
        <is>
          <t>Bac Eco</t>
        </is>
      </c>
      <c r="K48" s="9" t="inlineStr">
        <is>
          <t>Philo</t>
        </is>
      </c>
      <c r="L48" s="9" t="inlineStr">
        <is>
          <t>Philo</t>
        </is>
      </c>
      <c r="M48" s="9" t="inlineStr">
        <is>
          <t>Fayssel</t>
        </is>
      </c>
      <c r="N48" s="10" t="n"/>
      <c r="O48" s="10" t="n"/>
      <c r="P48" s="10" t="inlineStr">
        <is>
          <t>Quinzaine A</t>
        </is>
      </c>
      <c r="Q48" s="9" t="inlineStr">
        <is>
          <t>Original (septembre)</t>
        </is>
      </c>
      <c r="R48" s="9" t="inlineStr"/>
      <c r="S48" s="44">
        <f>IF($M48="","",IF(SUMPRODUCT(($D$4:$D$704=$D48)*($M$4:$M$704=$M48)*($F$4:$F$704&lt;$G48)*($G$4:$G$704&gt;$F48))&gt;1,"⚠ CONFLIT",""))</f>
        <v/>
      </c>
      <c r="T48" s="44">
        <f>IF($J48="","",IF(SUMPRODUCT(($D$4:$D$704=$D48)*($J$4:$J$704=$J48)*($F$4:$F$704&lt;$G48)*($G$4:$G$704&gt;$F48))&gt;1,"⚠ CONFLIT",""))</f>
        <v/>
      </c>
      <c r="U48" s="44">
        <f>IF(COUNTIFS($D$4:$D$704,$D48,$J$4:$J$704,$J48,$F$4:$F$704,$F48,$K$4:$K$704,$K48)&gt;1,"⚠ DOUBLON","")</f>
        <v/>
      </c>
      <c r="V48" s="44">
        <f>COUNTIFS($A$4:$A48,$A48,$J$4:$J48,$J48,$E$4:$E48,$E48)</f>
        <v/>
      </c>
      <c r="W48" s="45">
        <f>$A48&amp;"|"&amp;$J48&amp;"|"&amp;$E48&amp;"|"&amp;$V48</f>
        <v/>
      </c>
      <c r="X48" s="46">
        <f>TEXT($F48,"hh:mm")&amp;" - "&amp;TEXT($G48,"hh:mm")&amp;IF($P48="Quinzaine A","   ◆ Q-A",IF($P48="Quinzaine B","   ◆ Q-B",IF($P48="Exception","   ◆ PONCTUEL","")))&amp;CHAR(10)&amp;$K48&amp;CHAR(10)&amp;$M48&amp;IF($N48&lt;&gt;"",CHAR(10)&amp;"Salle "&amp;$N48,"")&amp;IF($O48="En ligne",CHAR(10)&amp;"◆ EN LIGNE","")&amp;IF($R48&lt;&gt;"",CHAR(10)&amp;$R48,"")</f>
        <v/>
      </c>
      <c r="Y48" s="45" t="inlineStr">
        <is>
          <t>19h-20h30 Philo (Fayssel) /par quizaine</t>
        </is>
      </c>
      <c r="Z48" s="45" t="inlineStr">
        <is>
          <t>du 14-09 jusquà le 20-09!J68</t>
        </is>
      </c>
    </row>
    <row r="49" ht="15" customHeight="1">
      <c r="A49" s="10" t="inlineStr">
        <is>
          <t>S1</t>
        </is>
      </c>
      <c r="B49" s="9" t="inlineStr">
        <is>
          <t>du 14 au 20 septembre 2026</t>
        </is>
      </c>
      <c r="C49" s="10" t="inlineStr">
        <is>
          <t>A</t>
        </is>
      </c>
      <c r="D49" s="41" t="n">
        <v>46283</v>
      </c>
      <c r="E49" s="10" t="inlineStr">
        <is>
          <t>Vendredi</t>
        </is>
      </c>
      <c r="F49" s="42" t="n">
        <v>0.7916666666666666</v>
      </c>
      <c r="G49" s="42" t="n">
        <v>0.8541666666666666</v>
      </c>
      <c r="H49" s="43">
        <f>IF(OR($F49="",$G49=""),"",($G49-$F49)*24)</f>
        <v/>
      </c>
      <c r="I49" s="10" t="inlineStr">
        <is>
          <t>Primaire</t>
        </is>
      </c>
      <c r="J49" s="9" t="inlineStr">
        <is>
          <t>4éme</t>
        </is>
      </c>
      <c r="K49" s="9" t="inlineStr">
        <is>
          <t>إيقاظ علمي</t>
        </is>
      </c>
      <c r="L49" s="9" t="inlineStr">
        <is>
          <t>Éveil scientifique</t>
        </is>
      </c>
      <c r="M49" s="9" t="inlineStr">
        <is>
          <t>Bassma</t>
        </is>
      </c>
      <c r="N49" s="10" t="n"/>
      <c r="O49" s="10" t="n"/>
      <c r="P49" s="10" t="inlineStr">
        <is>
          <t>Quinzaine A</t>
        </is>
      </c>
      <c r="Q49" s="9" t="inlineStr">
        <is>
          <t>Original (septembre)</t>
        </is>
      </c>
      <c r="R49" s="9" t="inlineStr"/>
      <c r="S49" s="44">
        <f>IF($M49="","",IF(SUMPRODUCT(($D$4:$D$704=$D49)*($M$4:$M$704=$M49)*($F$4:$F$704&lt;$G49)*($G$4:$G$704&gt;$F49))&gt;1,"⚠ CONFLIT",""))</f>
        <v/>
      </c>
      <c r="T49" s="44">
        <f>IF($J49="","",IF(SUMPRODUCT(($D$4:$D$704=$D49)*($J$4:$J$704=$J49)*($F$4:$F$704&lt;$G49)*($G$4:$G$704&gt;$F49))&gt;1,"⚠ CONFLIT",""))</f>
        <v/>
      </c>
      <c r="U49" s="44">
        <f>IF(COUNTIFS($D$4:$D$704,$D49,$J$4:$J$704,$J49,$F$4:$F$704,$F49,$K$4:$K$704,$K49)&gt;1,"⚠ DOUBLON","")</f>
        <v/>
      </c>
      <c r="V49" s="44">
        <f>COUNTIFS($A$4:$A49,$A49,$J$4:$J49,$J49,$E$4:$E49,$E49)</f>
        <v/>
      </c>
      <c r="W49" s="45">
        <f>$A49&amp;"|"&amp;$J49&amp;"|"&amp;$E49&amp;"|"&amp;$V49</f>
        <v/>
      </c>
      <c r="X49" s="46">
        <f>TEXT($F49,"hh:mm")&amp;" - "&amp;TEXT($G49,"hh:mm")&amp;IF($P49="Quinzaine A","   ◆ Q-A",IF($P49="Quinzaine B","   ◆ Q-B",IF($P49="Exception","   ◆ PONCTUEL","")))&amp;CHAR(10)&amp;$K49&amp;CHAR(10)&amp;$M49&amp;IF($N49&lt;&gt;"",CHAR(10)&amp;"Salle "&amp;$N49,"")&amp;IF($O49="En ligne",CHAR(10)&amp;"◆ EN LIGNE","")&amp;IF($R49&lt;&gt;"",CHAR(10)&amp;$R49,"")</f>
        <v/>
      </c>
      <c r="Y49" s="45" t="inlineStr">
        <is>
          <t>19h-20h30 إيقاظ علمي /par quinzaine (Bassma)</t>
        </is>
      </c>
      <c r="Z49" s="45" t="inlineStr">
        <is>
          <t>du 14-09 jusquà le 20-09!K3</t>
        </is>
      </c>
    </row>
    <row r="50" ht="15" customHeight="1">
      <c r="A50" s="10" t="inlineStr">
        <is>
          <t>S1</t>
        </is>
      </c>
      <c r="B50" s="9" t="inlineStr">
        <is>
          <t>du 14 au 20 septembre 2026</t>
        </is>
      </c>
      <c r="C50" s="10" t="inlineStr">
        <is>
          <t>A</t>
        </is>
      </c>
      <c r="D50" s="41" t="n">
        <v>46283</v>
      </c>
      <c r="E50" s="10" t="inlineStr">
        <is>
          <t>Vendredi</t>
        </is>
      </c>
      <c r="F50" s="42" t="n">
        <v>0.8125</v>
      </c>
      <c r="G50" s="42" t="n">
        <v>0.875</v>
      </c>
      <c r="H50" s="43">
        <f>IF(OR($F50="",$G50=""),"",($G50-$F50)*24)</f>
        <v/>
      </c>
      <c r="I50" s="10" t="inlineStr">
        <is>
          <t>Primaire</t>
        </is>
      </c>
      <c r="J50" s="9" t="inlineStr">
        <is>
          <t>6éme Pilote (A)</t>
        </is>
      </c>
      <c r="K50" s="9" t="inlineStr">
        <is>
          <t>إيقاظ علمي</t>
        </is>
      </c>
      <c r="L50" s="9" t="inlineStr">
        <is>
          <t>Éveil scientifique</t>
        </is>
      </c>
      <c r="M50" s="9" t="inlineStr">
        <is>
          <t>Noura</t>
        </is>
      </c>
      <c r="N50" s="10" t="n"/>
      <c r="O50" s="10" t="n"/>
      <c r="P50" s="10" t="inlineStr">
        <is>
          <t>Hebdomadaire</t>
        </is>
      </c>
      <c r="Q50" s="9" t="inlineStr">
        <is>
          <t>Original (septembre)</t>
        </is>
      </c>
      <c r="R50" s="9" t="inlineStr"/>
      <c r="S50" s="44">
        <f>IF($M50="","",IF(SUMPRODUCT(($D$4:$D$704=$D50)*($M$4:$M$704=$M50)*($F$4:$F$704&lt;$G50)*($G$4:$G$704&gt;$F50))&gt;1,"⚠ CONFLIT",""))</f>
        <v/>
      </c>
      <c r="T50" s="44">
        <f>IF($J50="","",IF(SUMPRODUCT(($D$4:$D$704=$D50)*($J$4:$J$704=$J50)*($F$4:$F$704&lt;$G50)*($G$4:$G$704&gt;$F50))&gt;1,"⚠ CONFLIT",""))</f>
        <v/>
      </c>
      <c r="U50" s="44">
        <f>IF(COUNTIFS($D$4:$D$704,$D50,$J$4:$J$704,$J50,$F$4:$F$704,$F50,$K$4:$K$704,$K50)&gt;1,"⚠ DOUBLON","")</f>
        <v/>
      </c>
      <c r="V50" s="44">
        <f>COUNTIFS($A$4:$A50,$A50,$J$4:$J50,$J50,$E$4:$E50,$E50)</f>
        <v/>
      </c>
      <c r="W50" s="45">
        <f>$A50&amp;"|"&amp;$J50&amp;"|"&amp;$E50&amp;"|"&amp;$V50</f>
        <v/>
      </c>
      <c r="X50" s="46">
        <f>TEXT($F50,"hh:mm")&amp;" - "&amp;TEXT($G50,"hh:mm")&amp;IF($P50="Quinzaine A","   ◆ Q-A",IF($P50="Quinzaine B","   ◆ Q-B",IF($P50="Exception","   ◆ PONCTUEL","")))&amp;CHAR(10)&amp;$K50&amp;CHAR(10)&amp;$M50&amp;IF($N50&lt;&gt;"",CHAR(10)&amp;"Salle "&amp;$N50,"")&amp;IF($O50="En ligne",CHAR(10)&amp;"◆ EN LIGNE","")&amp;IF($R50&lt;&gt;"",CHAR(10)&amp;$R50,"")</f>
        <v/>
      </c>
      <c r="Y50" s="45" t="inlineStr">
        <is>
          <t>19h30-21h إيقاظ علمي (Noura)</t>
        </is>
      </c>
      <c r="Z50" s="45" t="inlineStr">
        <is>
          <t>du 14-09 jusquà le 20-09!K12</t>
        </is>
      </c>
    </row>
    <row r="51" ht="15" customHeight="1">
      <c r="A51" s="10" t="inlineStr">
        <is>
          <t>S1</t>
        </is>
      </c>
      <c r="B51" s="9" t="inlineStr">
        <is>
          <t>du 14 au 20 septembre 2026</t>
        </is>
      </c>
      <c r="C51" s="10" t="inlineStr">
        <is>
          <t>A</t>
        </is>
      </c>
      <c r="D51" s="41" t="n">
        <v>46283</v>
      </c>
      <c r="E51" s="10" t="inlineStr">
        <is>
          <t>Vendredi</t>
        </is>
      </c>
      <c r="F51" s="42" t="n">
        <v>0.75</v>
      </c>
      <c r="G51" s="42" t="n">
        <v>0.8125</v>
      </c>
      <c r="H51" s="43">
        <f>IF(OR($F51="",$G51=""),"",($G51-$F51)*24)</f>
        <v/>
      </c>
      <c r="I51" s="10" t="inlineStr">
        <is>
          <t>Collège</t>
        </is>
      </c>
      <c r="J51" s="9" t="inlineStr">
        <is>
          <t>7éme (A)</t>
        </is>
      </c>
      <c r="K51" s="9" t="inlineStr">
        <is>
          <t>Math</t>
        </is>
      </c>
      <c r="L51" s="9" t="inlineStr">
        <is>
          <t>Math</t>
        </is>
      </c>
      <c r="M51" s="9" t="inlineStr">
        <is>
          <t>Khouloud</t>
        </is>
      </c>
      <c r="N51" s="10" t="n"/>
      <c r="O51" s="10" t="n"/>
      <c r="P51" s="10" t="inlineStr">
        <is>
          <t>Hebdomadaire</t>
        </is>
      </c>
      <c r="Q51" s="9" t="inlineStr">
        <is>
          <t>Original (septembre)</t>
        </is>
      </c>
      <c r="R51" s="9" t="inlineStr"/>
      <c r="S51" s="44">
        <f>IF($M51="","",IF(SUMPRODUCT(($D$4:$D$704=$D51)*($M$4:$M$704=$M51)*($F$4:$F$704&lt;$G51)*($G$4:$G$704&gt;$F51))&gt;1,"⚠ CONFLIT",""))</f>
        <v/>
      </c>
      <c r="T51" s="44">
        <f>IF($J51="","",IF(SUMPRODUCT(($D$4:$D$704=$D51)*($J$4:$J$704=$J51)*($F$4:$F$704&lt;$G51)*($G$4:$G$704&gt;$F51))&gt;1,"⚠ CONFLIT",""))</f>
        <v/>
      </c>
      <c r="U51" s="44">
        <f>IF(COUNTIFS($D$4:$D$704,$D51,$J$4:$J$704,$J51,$F$4:$F$704,$F51,$K$4:$K$704,$K51)&gt;1,"⚠ DOUBLON","")</f>
        <v/>
      </c>
      <c r="V51" s="44">
        <f>COUNTIFS($A$4:$A51,$A51,$J$4:$J51,$J51,$E$4:$E51,$E51)</f>
        <v/>
      </c>
      <c r="W51" s="45">
        <f>$A51&amp;"|"&amp;$J51&amp;"|"&amp;$E51&amp;"|"&amp;$V51</f>
        <v/>
      </c>
      <c r="X51" s="46">
        <f>TEXT($F51,"hh:mm")&amp;" - "&amp;TEXT($G51,"hh:mm")&amp;IF($P51="Quinzaine A","   ◆ Q-A",IF($P51="Quinzaine B","   ◆ Q-B",IF($P51="Exception","   ◆ PONCTUEL","")))&amp;CHAR(10)&amp;$K51&amp;CHAR(10)&amp;$M51&amp;IF($N51&lt;&gt;"",CHAR(10)&amp;"Salle "&amp;$N51,"")&amp;IF($O51="En ligne",CHAR(10)&amp;"◆ EN LIGNE","")&amp;IF($R51&lt;&gt;"",CHAR(10)&amp;$R51,"")</f>
        <v/>
      </c>
      <c r="Y51" s="45" t="inlineStr">
        <is>
          <t>18h-19h30 Math (Khouloud)</t>
        </is>
      </c>
      <c r="Z51" s="45" t="inlineStr">
        <is>
          <t>du 14-09 jusquà le 20-09!K19</t>
        </is>
      </c>
    </row>
    <row r="52" ht="15" customHeight="1">
      <c r="A52" s="10" t="inlineStr">
        <is>
          <t>S1</t>
        </is>
      </c>
      <c r="B52" s="9" t="inlineStr">
        <is>
          <t>du 14 au 20 septembre 2026</t>
        </is>
      </c>
      <c r="C52" s="10" t="inlineStr">
        <is>
          <t>A</t>
        </is>
      </c>
      <c r="D52" s="41" t="n">
        <v>46283</v>
      </c>
      <c r="E52" s="10" t="inlineStr">
        <is>
          <t>Vendredi</t>
        </is>
      </c>
      <c r="F52" s="42" t="n">
        <v>0.8125</v>
      </c>
      <c r="G52" s="42" t="n">
        <v>0.875</v>
      </c>
      <c r="H52" s="43">
        <f>IF(OR($F52="",$G52=""),"",($G52-$F52)*24)</f>
        <v/>
      </c>
      <c r="I52" s="10" t="inlineStr">
        <is>
          <t>Collège</t>
        </is>
      </c>
      <c r="J52" s="9" t="inlineStr">
        <is>
          <t>7éme (B)</t>
        </is>
      </c>
      <c r="K52" s="9" t="inlineStr">
        <is>
          <t>Math</t>
        </is>
      </c>
      <c r="L52" s="9" t="inlineStr">
        <is>
          <t>Math</t>
        </is>
      </c>
      <c r="M52" s="9" t="inlineStr">
        <is>
          <t>Khouloud</t>
        </is>
      </c>
      <c r="N52" s="10" t="n"/>
      <c r="O52" s="10" t="n"/>
      <c r="P52" s="10" t="inlineStr">
        <is>
          <t>Hebdomadaire</t>
        </is>
      </c>
      <c r="Q52" s="9" t="inlineStr">
        <is>
          <t>Original (septembre)</t>
        </is>
      </c>
      <c r="R52" s="9" t="inlineStr"/>
      <c r="S52" s="44">
        <f>IF($M52="","",IF(SUMPRODUCT(($D$4:$D$704=$D52)*($M$4:$M$704=$M52)*($F$4:$F$704&lt;$G52)*($G$4:$G$704&gt;$F52))&gt;1,"⚠ CONFLIT",""))</f>
        <v/>
      </c>
      <c r="T52" s="44">
        <f>IF($J52="","",IF(SUMPRODUCT(($D$4:$D$704=$D52)*($J$4:$J$704=$J52)*($F$4:$F$704&lt;$G52)*($G$4:$G$704&gt;$F52))&gt;1,"⚠ CONFLIT",""))</f>
        <v/>
      </c>
      <c r="U52" s="44">
        <f>IF(COUNTIFS($D$4:$D$704,$D52,$J$4:$J$704,$J52,$F$4:$F$704,$F52,$K$4:$K$704,$K52)&gt;1,"⚠ DOUBLON","")</f>
        <v/>
      </c>
      <c r="V52" s="44">
        <f>COUNTIFS($A$4:$A52,$A52,$J$4:$J52,$J52,$E$4:$E52,$E52)</f>
        <v/>
      </c>
      <c r="W52" s="45">
        <f>$A52&amp;"|"&amp;$J52&amp;"|"&amp;$E52&amp;"|"&amp;$V52</f>
        <v/>
      </c>
      <c r="X52" s="46">
        <f>TEXT($F52,"hh:mm")&amp;" - "&amp;TEXT($G52,"hh:mm")&amp;IF($P52="Quinzaine A","   ◆ Q-A",IF($P52="Quinzaine B","   ◆ Q-B",IF($P52="Exception","   ◆ PONCTUEL","")))&amp;CHAR(10)&amp;$K52&amp;CHAR(10)&amp;$M52&amp;IF($N52&lt;&gt;"",CHAR(10)&amp;"Salle "&amp;$N52,"")&amp;IF($O52="En ligne",CHAR(10)&amp;"◆ EN LIGNE","")&amp;IF($R52&lt;&gt;"",CHAR(10)&amp;$R52,"")</f>
        <v/>
      </c>
      <c r="Y52" s="45" t="inlineStr">
        <is>
          <t>19h30-21h Math (Khouloud)</t>
        </is>
      </c>
      <c r="Z52" s="45" t="inlineStr">
        <is>
          <t>du 14-09 jusquà le 20-09!K23</t>
        </is>
      </c>
    </row>
    <row r="53" ht="15" customHeight="1">
      <c r="A53" s="10" t="inlineStr">
        <is>
          <t>S1</t>
        </is>
      </c>
      <c r="B53" s="9" t="inlineStr">
        <is>
          <t>du 14 au 20 septembre 2026</t>
        </is>
      </c>
      <c r="C53" s="10" t="inlineStr">
        <is>
          <t>A</t>
        </is>
      </c>
      <c r="D53" s="41" t="n">
        <v>46283</v>
      </c>
      <c r="E53" s="10" t="inlineStr">
        <is>
          <t>Vendredi</t>
        </is>
      </c>
      <c r="F53" s="42" t="n">
        <v>0.8125</v>
      </c>
      <c r="G53" s="42" t="n">
        <v>0.875</v>
      </c>
      <c r="H53" s="43">
        <f>IF(OR($F53="",$G53=""),"",($G53-$F53)*24)</f>
        <v/>
      </c>
      <c r="I53" s="10" t="inlineStr">
        <is>
          <t>Collège</t>
        </is>
      </c>
      <c r="J53" s="9" t="inlineStr">
        <is>
          <t>8éme (A)</t>
        </is>
      </c>
      <c r="K53" s="9" t="inlineStr">
        <is>
          <t>فيزياء</t>
        </is>
      </c>
      <c r="L53" s="9" t="inlineStr">
        <is>
          <t>Physique</t>
        </is>
      </c>
      <c r="M53" s="9" t="inlineStr">
        <is>
          <t>Melek</t>
        </is>
      </c>
      <c r="N53" s="10" t="n"/>
      <c r="O53" s="10" t="n"/>
      <c r="P53" s="10" t="inlineStr">
        <is>
          <t>Hebdomadaire</t>
        </is>
      </c>
      <c r="Q53" s="9" t="inlineStr">
        <is>
          <t>Original (septembre)</t>
        </is>
      </c>
      <c r="R53" s="9" t="inlineStr"/>
      <c r="S53" s="44">
        <f>IF($M53="","",IF(SUMPRODUCT(($D$4:$D$704=$D53)*($M$4:$M$704=$M53)*($F$4:$F$704&lt;$G53)*($G$4:$G$704&gt;$F53))&gt;1,"⚠ CONFLIT",""))</f>
        <v/>
      </c>
      <c r="T53" s="44">
        <f>IF($J53="","",IF(SUMPRODUCT(($D$4:$D$704=$D53)*($J$4:$J$704=$J53)*($F$4:$F$704&lt;$G53)*($G$4:$G$704&gt;$F53))&gt;1,"⚠ CONFLIT",""))</f>
        <v/>
      </c>
      <c r="U53" s="44">
        <f>IF(COUNTIFS($D$4:$D$704,$D53,$J$4:$J$704,$J53,$F$4:$F$704,$F53,$K$4:$K$704,$K53)&gt;1,"⚠ DOUBLON","")</f>
        <v/>
      </c>
      <c r="V53" s="44">
        <f>COUNTIFS($A$4:$A53,$A53,$J$4:$J53,$J53,$E$4:$E53,$E53)</f>
        <v/>
      </c>
      <c r="W53" s="45">
        <f>$A53&amp;"|"&amp;$J53&amp;"|"&amp;$E53&amp;"|"&amp;$V53</f>
        <v/>
      </c>
      <c r="X53" s="46">
        <f>TEXT($F53,"hh:mm")&amp;" - "&amp;TEXT($G53,"hh:mm")&amp;IF($P53="Quinzaine A","   ◆ Q-A",IF($P53="Quinzaine B","   ◆ Q-B",IF($P53="Exception","   ◆ PONCTUEL","")))&amp;CHAR(10)&amp;$K53&amp;CHAR(10)&amp;$M53&amp;IF($N53&lt;&gt;"",CHAR(10)&amp;"Salle "&amp;$N53,"")&amp;IF($O53="En ligne",CHAR(10)&amp;"◆ EN LIGNE","")&amp;IF($R53&lt;&gt;"",CHAR(10)&amp;$R53,"")</f>
        <v/>
      </c>
      <c r="Y53" s="45" t="inlineStr">
        <is>
          <t>19h30-21h فيزياء /par quinzaine (Melek)</t>
        </is>
      </c>
      <c r="Z53" s="45" t="inlineStr">
        <is>
          <t>du 14-09 jusquà le 20-09!K27</t>
        </is>
      </c>
    </row>
    <row r="54" ht="15" customHeight="1">
      <c r="A54" s="10" t="inlineStr">
        <is>
          <t>S1</t>
        </is>
      </c>
      <c r="B54" s="9" t="inlineStr">
        <is>
          <t>du 14 au 20 septembre 2026</t>
        </is>
      </c>
      <c r="C54" s="10" t="inlineStr">
        <is>
          <t>A</t>
        </is>
      </c>
      <c r="D54" s="41" t="n">
        <v>46283</v>
      </c>
      <c r="E54" s="10" t="inlineStr">
        <is>
          <t>Vendredi</t>
        </is>
      </c>
      <c r="F54" s="42" t="n">
        <v>0.8125</v>
      </c>
      <c r="G54" s="42" t="n">
        <v>0.875</v>
      </c>
      <c r="H54" s="43">
        <f>IF(OR($F54="",$G54=""),"",($G54-$F54)*24)</f>
        <v/>
      </c>
      <c r="I54" s="10" t="inlineStr">
        <is>
          <t>Collège</t>
        </is>
      </c>
      <c r="J54" s="9" t="inlineStr">
        <is>
          <t>9éme (C)</t>
        </is>
      </c>
      <c r="K54" s="9" t="inlineStr">
        <is>
          <t>Arabe</t>
        </is>
      </c>
      <c r="L54" s="9" t="inlineStr">
        <is>
          <t>Arabe</t>
        </is>
      </c>
      <c r="M54" s="9" t="inlineStr">
        <is>
          <t>Yahya</t>
        </is>
      </c>
      <c r="N54" s="10" t="n"/>
      <c r="O54" s="10" t="n"/>
      <c r="P54" s="10" t="inlineStr">
        <is>
          <t>Hebdomadaire</t>
        </is>
      </c>
      <c r="Q54" s="9" t="inlineStr">
        <is>
          <t>Original (septembre)</t>
        </is>
      </c>
      <c r="R54" s="9" t="inlineStr"/>
      <c r="S54" s="44">
        <f>IF($M54="","",IF(SUMPRODUCT(($D$4:$D$704=$D54)*($M$4:$M$704=$M54)*($F$4:$F$704&lt;$G54)*($G$4:$G$704&gt;$F54))&gt;1,"⚠ CONFLIT",""))</f>
        <v/>
      </c>
      <c r="T54" s="44">
        <f>IF($J54="","",IF(SUMPRODUCT(($D$4:$D$704=$D54)*($J$4:$J$704=$J54)*($F$4:$F$704&lt;$G54)*($G$4:$G$704&gt;$F54))&gt;1,"⚠ CONFLIT",""))</f>
        <v/>
      </c>
      <c r="U54" s="44">
        <f>IF(COUNTIFS($D$4:$D$704,$D54,$J$4:$J$704,$J54,$F$4:$F$704,$F54,$K$4:$K$704,$K54)&gt;1,"⚠ DOUBLON","")</f>
        <v/>
      </c>
      <c r="V54" s="44">
        <f>COUNTIFS($A$4:$A54,$A54,$J$4:$J54,$J54,$E$4:$E54,$E54)</f>
        <v/>
      </c>
      <c r="W54" s="45">
        <f>$A54&amp;"|"&amp;$J54&amp;"|"&amp;$E54&amp;"|"&amp;$V54</f>
        <v/>
      </c>
      <c r="X54" s="46">
        <f>TEXT($F54,"hh:mm")&amp;" - "&amp;TEXT($G54,"hh:mm")&amp;IF($P54="Quinzaine A","   ◆ Q-A",IF($P54="Quinzaine B","   ◆ Q-B",IF($P54="Exception","   ◆ PONCTUEL","")))&amp;CHAR(10)&amp;$K54&amp;CHAR(10)&amp;$M54&amp;IF($N54&lt;&gt;"",CHAR(10)&amp;"Salle "&amp;$N54,"")&amp;IF($O54="En ligne",CHAR(10)&amp;"◆ EN LIGNE","")&amp;IF($R54&lt;&gt;"",CHAR(10)&amp;$R54,"")</f>
        <v/>
      </c>
      <c r="Y54" s="45" t="inlineStr">
        <is>
          <t>19h30-21h Arabe (Yahya)</t>
        </is>
      </c>
      <c r="Z54" s="45" t="inlineStr">
        <is>
          <t>du 14-09 jusquà le 20-09!K46</t>
        </is>
      </c>
    </row>
    <row r="55" ht="15" customHeight="1">
      <c r="A55" s="10" t="inlineStr">
        <is>
          <t>S1</t>
        </is>
      </c>
      <c r="B55" s="9" t="inlineStr">
        <is>
          <t>du 14 au 20 septembre 2026</t>
        </is>
      </c>
      <c r="C55" s="10" t="inlineStr">
        <is>
          <t>A</t>
        </is>
      </c>
      <c r="D55" s="41" t="n">
        <v>46283</v>
      </c>
      <c r="E55" s="10" t="inlineStr">
        <is>
          <t>Vendredi</t>
        </is>
      </c>
      <c r="F55" s="42" t="n">
        <v>0.7291666666666666</v>
      </c>
      <c r="G55" s="42" t="n">
        <v>0.7916666666666666</v>
      </c>
      <c r="H55" s="43">
        <f>IF(OR($F55="",$G55=""),"",($G55-$F55)*24)</f>
        <v/>
      </c>
      <c r="I55" s="10" t="inlineStr">
        <is>
          <t>Secondaire</t>
        </is>
      </c>
      <c r="J55" s="9" t="inlineStr">
        <is>
          <t>1ére (A)</t>
        </is>
      </c>
      <c r="K55" s="9" t="inlineStr">
        <is>
          <t>Arabe</t>
        </is>
      </c>
      <c r="L55" s="9" t="inlineStr">
        <is>
          <t>Arabe</t>
        </is>
      </c>
      <c r="M55" s="9" t="inlineStr">
        <is>
          <t>Najet</t>
        </is>
      </c>
      <c r="N55" s="10" t="n"/>
      <c r="O55" s="10" t="n"/>
      <c r="P55" s="10" t="inlineStr">
        <is>
          <t>Hebdomadaire</t>
        </is>
      </c>
      <c r="Q55" s="9" t="inlineStr">
        <is>
          <t>Original (septembre)</t>
        </is>
      </c>
      <c r="R55" s="9" t="inlineStr"/>
      <c r="S55" s="44">
        <f>IF($M55="","",IF(SUMPRODUCT(($D$4:$D$704=$D55)*($M$4:$M$704=$M55)*($F$4:$F$704&lt;$G55)*($G$4:$G$704&gt;$F55))&gt;1,"⚠ CONFLIT",""))</f>
        <v/>
      </c>
      <c r="T55" s="44">
        <f>IF($J55="","",IF(SUMPRODUCT(($D$4:$D$704=$D55)*($J$4:$J$704=$J55)*($F$4:$F$704&lt;$G55)*($G$4:$G$704&gt;$F55))&gt;1,"⚠ CONFLIT",""))</f>
        <v/>
      </c>
      <c r="U55" s="44">
        <f>IF(COUNTIFS($D$4:$D$704,$D55,$J$4:$J$704,$J55,$F$4:$F$704,$F55,$K$4:$K$704,$K55)&gt;1,"⚠ DOUBLON","")</f>
        <v/>
      </c>
      <c r="V55" s="44">
        <f>COUNTIFS($A$4:$A55,$A55,$J$4:$J55,$J55,$E$4:$E55,$E55)</f>
        <v/>
      </c>
      <c r="W55" s="45">
        <f>$A55&amp;"|"&amp;$J55&amp;"|"&amp;$E55&amp;"|"&amp;$V55</f>
        <v/>
      </c>
      <c r="X55" s="46">
        <f>TEXT($F55,"hh:mm")&amp;" - "&amp;TEXT($G55,"hh:mm")&amp;IF($P55="Quinzaine A","   ◆ Q-A",IF($P55="Quinzaine B","   ◆ Q-B",IF($P55="Exception","   ◆ PONCTUEL","")))&amp;CHAR(10)&amp;$K55&amp;CHAR(10)&amp;$M55&amp;IF($N55&lt;&gt;"",CHAR(10)&amp;"Salle "&amp;$N55,"")&amp;IF($O55="En ligne",CHAR(10)&amp;"◆ EN LIGNE","")&amp;IF($R55&lt;&gt;"",CHAR(10)&amp;$R55,"")</f>
        <v/>
      </c>
      <c r="Y55" s="45" t="inlineStr">
        <is>
          <t>17h30-19h Arabe (Najet)</t>
        </is>
      </c>
      <c r="Z55" s="45" t="inlineStr">
        <is>
          <t>du 14-09 jusquà le 20-09!K48</t>
        </is>
      </c>
    </row>
    <row r="56" ht="15" customHeight="1">
      <c r="A56" s="10" t="inlineStr">
        <is>
          <t>S1</t>
        </is>
      </c>
      <c r="B56" s="9" t="inlineStr">
        <is>
          <t>du 14 au 20 septembre 2026</t>
        </is>
      </c>
      <c r="C56" s="10" t="inlineStr">
        <is>
          <t>A</t>
        </is>
      </c>
      <c r="D56" s="41" t="n">
        <v>46283</v>
      </c>
      <c r="E56" s="10" t="inlineStr">
        <is>
          <t>Vendredi</t>
        </is>
      </c>
      <c r="F56" s="42" t="n">
        <v>0.7916666666666666</v>
      </c>
      <c r="G56" s="42" t="n">
        <v>0.8541666666666666</v>
      </c>
      <c r="H56" s="43">
        <f>IF(OR($F56="",$G56=""),"",($G56-$F56)*24)</f>
        <v/>
      </c>
      <c r="I56" s="10" t="inlineStr">
        <is>
          <t>Secondaire</t>
        </is>
      </c>
      <c r="J56" s="9" t="inlineStr">
        <is>
          <t>1ére (B)</t>
        </is>
      </c>
      <c r="K56" s="9" t="inlineStr">
        <is>
          <t>Arabe</t>
        </is>
      </c>
      <c r="L56" s="9" t="inlineStr">
        <is>
          <t>Arabe</t>
        </is>
      </c>
      <c r="M56" s="9" t="inlineStr">
        <is>
          <t>Najet</t>
        </is>
      </c>
      <c r="N56" s="10" t="n"/>
      <c r="O56" s="10" t="n"/>
      <c r="P56" s="10" t="inlineStr">
        <is>
          <t>Hebdomadaire</t>
        </is>
      </c>
      <c r="Q56" s="9" t="inlineStr">
        <is>
          <t>Original (septembre)</t>
        </is>
      </c>
      <c r="R56" s="9" t="inlineStr"/>
      <c r="S56" s="44">
        <f>IF($M56="","",IF(SUMPRODUCT(($D$4:$D$704=$D56)*($M$4:$M$704=$M56)*($F$4:$F$704&lt;$G56)*($G$4:$G$704&gt;$F56))&gt;1,"⚠ CONFLIT",""))</f>
        <v/>
      </c>
      <c r="T56" s="44">
        <f>IF($J56="","",IF(SUMPRODUCT(($D$4:$D$704=$D56)*($J$4:$J$704=$J56)*($F$4:$F$704&lt;$G56)*($G$4:$G$704&gt;$F56))&gt;1,"⚠ CONFLIT",""))</f>
        <v/>
      </c>
      <c r="U56" s="44">
        <f>IF(COUNTIFS($D$4:$D$704,$D56,$J$4:$J$704,$J56,$F$4:$F$704,$F56,$K$4:$K$704,$K56)&gt;1,"⚠ DOUBLON","")</f>
        <v/>
      </c>
      <c r="V56" s="44">
        <f>COUNTIFS($A$4:$A56,$A56,$J$4:$J56,$J56,$E$4:$E56,$E56)</f>
        <v/>
      </c>
      <c r="W56" s="45">
        <f>$A56&amp;"|"&amp;$J56&amp;"|"&amp;$E56&amp;"|"&amp;$V56</f>
        <v/>
      </c>
      <c r="X56" s="46">
        <f>TEXT($F56,"hh:mm")&amp;" - "&amp;TEXT($G56,"hh:mm")&amp;IF($P56="Quinzaine A","   ◆ Q-A",IF($P56="Quinzaine B","   ◆ Q-B",IF($P56="Exception","   ◆ PONCTUEL","")))&amp;CHAR(10)&amp;$K56&amp;CHAR(10)&amp;$M56&amp;IF($N56&lt;&gt;"",CHAR(10)&amp;"Salle "&amp;$N56,"")&amp;IF($O56="En ligne",CHAR(10)&amp;"◆ EN LIGNE","")&amp;IF($R56&lt;&gt;"",CHAR(10)&amp;$R56,"")</f>
        <v/>
      </c>
      <c r="Y56" s="45" t="inlineStr">
        <is>
          <t>19h-20h30 Arabe (Najet)</t>
        </is>
      </c>
      <c r="Z56" s="45" t="inlineStr">
        <is>
          <t>du 14-09 jusquà le 20-09!K52</t>
        </is>
      </c>
    </row>
    <row r="57" ht="15" customHeight="1">
      <c r="A57" s="10" t="inlineStr">
        <is>
          <t>S1</t>
        </is>
      </c>
      <c r="B57" s="9" t="inlineStr">
        <is>
          <t>du 14 au 20 septembre 2026</t>
        </is>
      </c>
      <c r="C57" s="10" t="inlineStr">
        <is>
          <t>A</t>
        </is>
      </c>
      <c r="D57" s="41" t="n">
        <v>46283</v>
      </c>
      <c r="E57" s="10" t="inlineStr">
        <is>
          <t>Vendredi</t>
        </is>
      </c>
      <c r="F57" s="42" t="n">
        <v>0.7291666666666666</v>
      </c>
      <c r="G57" s="42" t="n">
        <v>0.7916666666666666</v>
      </c>
      <c r="H57" s="43">
        <f>IF(OR($F57="",$G57=""),"",($G57-$F57)*24)</f>
        <v/>
      </c>
      <c r="I57" s="10" t="inlineStr">
        <is>
          <t>Secondaire</t>
        </is>
      </c>
      <c r="J57" s="9" t="inlineStr">
        <is>
          <t>2éme Eco</t>
        </is>
      </c>
      <c r="K57" s="9" t="inlineStr">
        <is>
          <t>Français</t>
        </is>
      </c>
      <c r="L57" s="9" t="inlineStr">
        <is>
          <t>Français</t>
        </is>
      </c>
      <c r="M57" s="9" t="inlineStr">
        <is>
          <t>Nabil</t>
        </is>
      </c>
      <c r="N57" s="10" t="n"/>
      <c r="O57" s="10" t="n"/>
      <c r="P57" s="10" t="inlineStr">
        <is>
          <t>Quinzaine A</t>
        </is>
      </c>
      <c r="Q57" s="9" t="inlineStr">
        <is>
          <t>Original (septembre)</t>
        </is>
      </c>
      <c r="R57" s="9" t="inlineStr"/>
      <c r="S57" s="44">
        <f>IF($M57="","",IF(SUMPRODUCT(($D$4:$D$704=$D57)*($M$4:$M$704=$M57)*($F$4:$F$704&lt;$G57)*($G$4:$G$704&gt;$F57))&gt;1,"⚠ CONFLIT",""))</f>
        <v/>
      </c>
      <c r="T57" s="44">
        <f>IF($J57="","",IF(SUMPRODUCT(($D$4:$D$704=$D57)*($J$4:$J$704=$J57)*($F$4:$F$704&lt;$G57)*($G$4:$G$704&gt;$F57))&gt;1,"⚠ CONFLIT",""))</f>
        <v/>
      </c>
      <c r="U57" s="44">
        <f>IF(COUNTIFS($D$4:$D$704,$D57,$J$4:$J$704,$J57,$F$4:$F$704,$F57,$K$4:$K$704,$K57)&gt;1,"⚠ DOUBLON","")</f>
        <v/>
      </c>
      <c r="V57" s="44">
        <f>COUNTIFS($A$4:$A57,$A57,$J$4:$J57,$J57,$E$4:$E57,$E57)</f>
        <v/>
      </c>
      <c r="W57" s="45">
        <f>$A57&amp;"|"&amp;$J57&amp;"|"&amp;$E57&amp;"|"&amp;$V57</f>
        <v/>
      </c>
      <c r="X57" s="46">
        <f>TEXT($F57,"hh:mm")&amp;" - "&amp;TEXT($G57,"hh:mm")&amp;IF($P57="Quinzaine A","   ◆ Q-A",IF($P57="Quinzaine B","   ◆ Q-B",IF($P57="Exception","   ◆ PONCTUEL","")))&amp;CHAR(10)&amp;$K57&amp;CHAR(10)&amp;$M57&amp;IF($N57&lt;&gt;"",CHAR(10)&amp;"Salle "&amp;$N57,"")&amp;IF($O57="En ligne",CHAR(10)&amp;"◆ EN LIGNE","")&amp;IF($R57&lt;&gt;"",CHAR(10)&amp;$R57,"")</f>
        <v/>
      </c>
      <c r="Y57" s="45" t="inlineStr">
        <is>
          <t>17h30-19h Français (Nabil)</t>
        </is>
      </c>
      <c r="Z57" s="45" t="inlineStr">
        <is>
          <t>du 14-09 jusquà le 20-09!K56</t>
        </is>
      </c>
    </row>
    <row r="58" ht="15" customHeight="1">
      <c r="A58" s="10" t="inlineStr">
        <is>
          <t>S1</t>
        </is>
      </c>
      <c r="B58" s="9" t="inlineStr">
        <is>
          <t>du 14 au 20 septembre 2026</t>
        </is>
      </c>
      <c r="C58" s="10" t="inlineStr">
        <is>
          <t>A</t>
        </is>
      </c>
      <c r="D58" s="41" t="n">
        <v>46283</v>
      </c>
      <c r="E58" s="10" t="inlineStr">
        <is>
          <t>Vendredi</t>
        </is>
      </c>
      <c r="F58" s="42" t="n">
        <v>0.8125</v>
      </c>
      <c r="G58" s="42" t="n">
        <v>0.875</v>
      </c>
      <c r="H58" s="43">
        <f>IF(OR($F58="",$G58=""),"",($G58-$F58)*24)</f>
        <v/>
      </c>
      <c r="I58" s="10" t="inlineStr">
        <is>
          <t>Secondaire</t>
        </is>
      </c>
      <c r="J58" s="9" t="inlineStr">
        <is>
          <t>2éme INFO</t>
        </is>
      </c>
      <c r="K58" s="9" t="inlineStr">
        <is>
          <t>Math</t>
        </is>
      </c>
      <c r="L58" s="9" t="inlineStr">
        <is>
          <t>Math</t>
        </is>
      </c>
      <c r="M58" s="9" t="inlineStr">
        <is>
          <t>Haythem</t>
        </is>
      </c>
      <c r="N58" s="10" t="n"/>
      <c r="O58" s="10" t="n"/>
      <c r="P58" s="10" t="inlineStr">
        <is>
          <t>Hebdomadaire</t>
        </is>
      </c>
      <c r="Q58" s="9" t="inlineStr">
        <is>
          <t>Original (septembre)</t>
        </is>
      </c>
      <c r="R58" s="9" t="inlineStr"/>
      <c r="S58" s="44">
        <f>IF($M58="","",IF(SUMPRODUCT(($D$4:$D$704=$D58)*($M$4:$M$704=$M58)*($F$4:$F$704&lt;$G58)*($G$4:$G$704&gt;$F58))&gt;1,"⚠ CONFLIT",""))</f>
        <v/>
      </c>
      <c r="T58" s="44">
        <f>IF($J58="","",IF(SUMPRODUCT(($D$4:$D$704=$D58)*($J$4:$J$704=$J58)*($F$4:$F$704&lt;$G58)*($G$4:$G$704&gt;$F58))&gt;1,"⚠ CONFLIT",""))</f>
        <v/>
      </c>
      <c r="U58" s="44">
        <f>IF(COUNTIFS($D$4:$D$704,$D58,$J$4:$J$704,$J58,$F$4:$F$704,$F58,$K$4:$K$704,$K58)&gt;1,"⚠ DOUBLON","")</f>
        <v/>
      </c>
      <c r="V58" s="44">
        <f>COUNTIFS($A$4:$A58,$A58,$J$4:$J58,$J58,$E$4:$E58,$E58)</f>
        <v/>
      </c>
      <c r="W58" s="45">
        <f>$A58&amp;"|"&amp;$J58&amp;"|"&amp;$E58&amp;"|"&amp;$V58</f>
        <v/>
      </c>
      <c r="X58" s="46">
        <f>TEXT($F58,"hh:mm")&amp;" - "&amp;TEXT($G58,"hh:mm")&amp;IF($P58="Quinzaine A","   ◆ Q-A",IF($P58="Quinzaine B","   ◆ Q-B",IF($P58="Exception","   ◆ PONCTUEL","")))&amp;CHAR(10)&amp;$K58&amp;CHAR(10)&amp;$M58&amp;IF($N58&lt;&gt;"",CHAR(10)&amp;"Salle "&amp;$N58,"")&amp;IF($O58="En ligne",CHAR(10)&amp;"◆ EN LIGNE","")&amp;IF($R58&lt;&gt;"",CHAR(10)&amp;$R58,"")</f>
        <v/>
      </c>
      <c r="Y58" s="45" t="inlineStr">
        <is>
          <t>19h30-21h Math (Haythem)</t>
        </is>
      </c>
      <c r="Z58" s="45" t="inlineStr">
        <is>
          <t>du 14-09 jusquà le 20-09!K61</t>
        </is>
      </c>
    </row>
    <row r="59" ht="15" customHeight="1">
      <c r="A59" s="10" t="inlineStr">
        <is>
          <t>S1</t>
        </is>
      </c>
      <c r="B59" s="9" t="inlineStr">
        <is>
          <t>du 14 au 20 septembre 2026</t>
        </is>
      </c>
      <c r="C59" s="10" t="inlineStr">
        <is>
          <t>A</t>
        </is>
      </c>
      <c r="D59" s="41" t="n">
        <v>46283</v>
      </c>
      <c r="E59" s="10" t="inlineStr">
        <is>
          <t>Vendredi</t>
        </is>
      </c>
      <c r="F59" s="42" t="n">
        <v>0.7916666666666666</v>
      </c>
      <c r="G59" s="42" t="n">
        <v>0.8541666666666666</v>
      </c>
      <c r="H59" s="43">
        <f>IF(OR($F59="",$G59=""),"",($G59-$F59)*24)</f>
        <v/>
      </c>
      <c r="I59" s="10" t="inlineStr">
        <is>
          <t>Secondaire</t>
        </is>
      </c>
      <c r="J59" s="9" t="inlineStr">
        <is>
          <t>3éme Eco</t>
        </is>
      </c>
      <c r="K59" s="9" t="inlineStr">
        <is>
          <t>Français</t>
        </is>
      </c>
      <c r="L59" s="9" t="inlineStr">
        <is>
          <t>Français</t>
        </is>
      </c>
      <c r="M59" s="9" t="inlineStr">
        <is>
          <t>Nabil</t>
        </is>
      </c>
      <c r="N59" s="10" t="n"/>
      <c r="O59" s="10" t="n"/>
      <c r="P59" s="10" t="inlineStr">
        <is>
          <t>Quinzaine A</t>
        </is>
      </c>
      <c r="Q59" s="9" t="inlineStr">
        <is>
          <t>Original (septembre)</t>
        </is>
      </c>
      <c r="R59" s="9" t="inlineStr"/>
      <c r="S59" s="44">
        <f>IF($M59="","",IF(SUMPRODUCT(($D$4:$D$704=$D59)*($M$4:$M$704=$M59)*($F$4:$F$704&lt;$G59)*($G$4:$G$704&gt;$F59))&gt;1,"⚠ CONFLIT",""))</f>
        <v/>
      </c>
      <c r="T59" s="44">
        <f>IF($J59="","",IF(SUMPRODUCT(($D$4:$D$704=$D59)*($J$4:$J$704=$J59)*($F$4:$F$704&lt;$G59)*($G$4:$G$704&gt;$F59))&gt;1,"⚠ CONFLIT",""))</f>
        <v/>
      </c>
      <c r="U59" s="44">
        <f>IF(COUNTIFS($D$4:$D$704,$D59,$J$4:$J$704,$J59,$F$4:$F$704,$F59,$K$4:$K$704,$K59)&gt;1,"⚠ DOUBLON","")</f>
        <v/>
      </c>
      <c r="V59" s="44">
        <f>COUNTIFS($A$4:$A59,$A59,$J$4:$J59,$J59,$E$4:$E59,$E59)</f>
        <v/>
      </c>
      <c r="W59" s="45">
        <f>$A59&amp;"|"&amp;$J59&amp;"|"&amp;$E59&amp;"|"&amp;$V59</f>
        <v/>
      </c>
      <c r="X59" s="46">
        <f>TEXT($F59,"hh:mm")&amp;" - "&amp;TEXT($G59,"hh:mm")&amp;IF($P59="Quinzaine A","   ◆ Q-A",IF($P59="Quinzaine B","   ◆ Q-B",IF($P59="Exception","   ◆ PONCTUEL","")))&amp;CHAR(10)&amp;$K59&amp;CHAR(10)&amp;$M59&amp;IF($N59&lt;&gt;"",CHAR(10)&amp;"Salle "&amp;$N59,"")&amp;IF($O59="En ligne",CHAR(10)&amp;"◆ EN LIGNE","")&amp;IF($R59&lt;&gt;"",CHAR(10)&amp;$R59,"")</f>
        <v/>
      </c>
      <c r="Y59" s="45" t="inlineStr">
        <is>
          <t>19h-20h30 Français (Nabil) /par quinzaine</t>
        </is>
      </c>
      <c r="Z59" s="45" t="inlineStr">
        <is>
          <t>du 14-09 jusquà le 20-09!K62</t>
        </is>
      </c>
    </row>
    <row r="60" ht="15" customHeight="1">
      <c r="A60" s="10" t="inlineStr">
        <is>
          <t>S1</t>
        </is>
      </c>
      <c r="B60" s="9" t="inlineStr">
        <is>
          <t>du 14 au 20 septembre 2026</t>
        </is>
      </c>
      <c r="C60" s="10" t="inlineStr">
        <is>
          <t>A</t>
        </is>
      </c>
      <c r="D60" s="41" t="n">
        <v>46283</v>
      </c>
      <c r="E60" s="10" t="inlineStr">
        <is>
          <t>Vendredi</t>
        </is>
      </c>
      <c r="F60" s="42" t="n">
        <v>0.7291666666666666</v>
      </c>
      <c r="G60" s="42" t="n">
        <v>0.7916666666666666</v>
      </c>
      <c r="H60" s="43">
        <f>IF(OR($F60="",$G60=""),"",($G60-$F60)*24)</f>
        <v/>
      </c>
      <c r="I60" s="10" t="inlineStr">
        <is>
          <t>Bac</t>
        </is>
      </c>
      <c r="J60" s="9" t="inlineStr">
        <is>
          <t>Bac Eco</t>
        </is>
      </c>
      <c r="K60" s="9" t="inlineStr">
        <is>
          <t>Anglais</t>
        </is>
      </c>
      <c r="L60" s="9" t="inlineStr">
        <is>
          <t>Anglais</t>
        </is>
      </c>
      <c r="M60" s="9" t="inlineStr">
        <is>
          <t>Khaled</t>
        </is>
      </c>
      <c r="N60" s="10" t="n"/>
      <c r="O60" s="10" t="n"/>
      <c r="P60" s="10" t="inlineStr">
        <is>
          <t>Quinzaine A</t>
        </is>
      </c>
      <c r="Q60" s="9" t="inlineStr">
        <is>
          <t>Original (septembre)</t>
        </is>
      </c>
      <c r="R60" s="9" t="inlineStr"/>
      <c r="S60" s="44">
        <f>IF($M60="","",IF(SUMPRODUCT(($D$4:$D$704=$D60)*($M$4:$M$704=$M60)*($F$4:$F$704&lt;$G60)*($G$4:$G$704&gt;$F60))&gt;1,"⚠ CONFLIT",""))</f>
        <v/>
      </c>
      <c r="T60" s="44">
        <f>IF($J60="","",IF(SUMPRODUCT(($D$4:$D$704=$D60)*($J$4:$J$704=$J60)*($F$4:$F$704&lt;$G60)*($G$4:$G$704&gt;$F60))&gt;1,"⚠ CONFLIT",""))</f>
        <v/>
      </c>
      <c r="U60" s="44">
        <f>IF(COUNTIFS($D$4:$D$704,$D60,$J$4:$J$704,$J60,$F$4:$F$704,$F60,$K$4:$K$704,$K60)&gt;1,"⚠ DOUBLON","")</f>
        <v/>
      </c>
      <c r="V60" s="44">
        <f>COUNTIFS($A$4:$A60,$A60,$J$4:$J60,$J60,$E$4:$E60,$E60)</f>
        <v/>
      </c>
      <c r="W60" s="45">
        <f>$A60&amp;"|"&amp;$J60&amp;"|"&amp;$E60&amp;"|"&amp;$V60</f>
        <v/>
      </c>
      <c r="X60" s="46">
        <f>TEXT($F60,"hh:mm")&amp;" - "&amp;TEXT($G60,"hh:mm")&amp;IF($P60="Quinzaine A","   ◆ Q-A",IF($P60="Quinzaine B","   ◆ Q-B",IF($P60="Exception","   ◆ PONCTUEL","")))&amp;CHAR(10)&amp;$K60&amp;CHAR(10)&amp;$M60&amp;IF($N60&lt;&gt;"",CHAR(10)&amp;"Salle "&amp;$N60,"")&amp;IF($O60="En ligne",CHAR(10)&amp;"◆ EN LIGNE","")&amp;IF($R60&lt;&gt;"",CHAR(10)&amp;$R60,"")</f>
        <v/>
      </c>
      <c r="Y60" s="45" t="inlineStr">
        <is>
          <t>17h30-19h Anglais (Khaled) /par quinzaine</t>
        </is>
      </c>
      <c r="Z60" s="45" t="inlineStr">
        <is>
          <t>du 14-09 jusquà le 20-09!K68</t>
        </is>
      </c>
    </row>
    <row r="61" ht="15" customHeight="1">
      <c r="A61" s="10" t="inlineStr">
        <is>
          <t>S1</t>
        </is>
      </c>
      <c r="B61" s="9" t="inlineStr">
        <is>
          <t>du 14 au 20 septembre 2026</t>
        </is>
      </c>
      <c r="C61" s="10" t="inlineStr">
        <is>
          <t>A</t>
        </is>
      </c>
      <c r="D61" s="41" t="n">
        <v>46284</v>
      </c>
      <c r="E61" s="10" t="inlineStr">
        <is>
          <t>Samedi</t>
        </is>
      </c>
      <c r="F61" s="42" t="n">
        <v>0.6666666666666666</v>
      </c>
      <c r="G61" s="42" t="n">
        <v>0.7291666666666666</v>
      </c>
      <c r="H61" s="43">
        <f>IF(OR($F61="",$G61=""),"",($G61-$F61)*24)</f>
        <v/>
      </c>
      <c r="I61" s="10" t="inlineStr">
        <is>
          <t>Primaire</t>
        </is>
      </c>
      <c r="J61" s="9" t="inlineStr">
        <is>
          <t>4éme</t>
        </is>
      </c>
      <c r="K61" s="9" t="inlineStr">
        <is>
          <t>Français</t>
        </is>
      </c>
      <c r="L61" s="9" t="inlineStr">
        <is>
          <t>Français</t>
        </is>
      </c>
      <c r="M61" s="9" t="inlineStr">
        <is>
          <t>Hend</t>
        </is>
      </c>
      <c r="N61" s="10" t="n"/>
      <c r="O61" s="10" t="n"/>
      <c r="P61" s="10" t="inlineStr">
        <is>
          <t>Hebdomadaire</t>
        </is>
      </c>
      <c r="Q61" s="9" t="inlineStr">
        <is>
          <t>Original (septembre)</t>
        </is>
      </c>
      <c r="R61" s="9" t="inlineStr"/>
      <c r="S61" s="44">
        <f>IF($M61="","",IF(SUMPRODUCT(($D$4:$D$704=$D61)*($M$4:$M$704=$M61)*($F$4:$F$704&lt;$G61)*($G$4:$G$704&gt;$F61))&gt;1,"⚠ CONFLIT",""))</f>
        <v/>
      </c>
      <c r="T61" s="44">
        <f>IF($J61="","",IF(SUMPRODUCT(($D$4:$D$704=$D61)*($J$4:$J$704=$J61)*($F$4:$F$704&lt;$G61)*($G$4:$G$704&gt;$F61))&gt;1,"⚠ CONFLIT",""))</f>
        <v/>
      </c>
      <c r="U61" s="44">
        <f>IF(COUNTIFS($D$4:$D$704,$D61,$J$4:$J$704,$J61,$F$4:$F$704,$F61,$K$4:$K$704,$K61)&gt;1,"⚠ DOUBLON","")</f>
        <v/>
      </c>
      <c r="V61" s="44">
        <f>COUNTIFS($A$4:$A61,$A61,$J$4:$J61,$J61,$E$4:$E61,$E61)</f>
        <v/>
      </c>
      <c r="W61" s="45">
        <f>$A61&amp;"|"&amp;$J61&amp;"|"&amp;$E61&amp;"|"&amp;$V61</f>
        <v/>
      </c>
      <c r="X61" s="46">
        <f>TEXT($F61,"hh:mm")&amp;" - "&amp;TEXT($G61,"hh:mm")&amp;IF($P61="Quinzaine A","   ◆ Q-A",IF($P61="Quinzaine B","   ◆ Q-B",IF($P61="Exception","   ◆ PONCTUEL","")))&amp;CHAR(10)&amp;$K61&amp;CHAR(10)&amp;$M61&amp;IF($N61&lt;&gt;"",CHAR(10)&amp;"Salle "&amp;$N61,"")&amp;IF($O61="En ligne",CHAR(10)&amp;"◆ EN LIGNE","")&amp;IF($R61&lt;&gt;"",CHAR(10)&amp;$R61,"")</f>
        <v/>
      </c>
      <c r="Y61" s="45" t="inlineStr">
        <is>
          <t>16h-17h30 Français (Hend)</t>
        </is>
      </c>
      <c r="Z61" s="45" t="inlineStr">
        <is>
          <t>du 14-09 jusquà le 20-09!L3</t>
        </is>
      </c>
    </row>
    <row r="62" ht="15" customHeight="1">
      <c r="A62" s="10" t="inlineStr">
        <is>
          <t>S1</t>
        </is>
      </c>
      <c r="B62" s="9" t="inlineStr">
        <is>
          <t>du 14 au 20 septembre 2026</t>
        </is>
      </c>
      <c r="C62" s="10" t="inlineStr">
        <is>
          <t>A</t>
        </is>
      </c>
      <c r="D62" s="41" t="n">
        <v>46284</v>
      </c>
      <c r="E62" s="10" t="inlineStr">
        <is>
          <t>Samedi</t>
        </is>
      </c>
      <c r="F62" s="42" t="n">
        <v>0.75</v>
      </c>
      <c r="G62" s="42" t="n">
        <v>0.8125</v>
      </c>
      <c r="H62" s="43">
        <f>IF(OR($F62="",$G62=""),"",($G62-$F62)*24)</f>
        <v/>
      </c>
      <c r="I62" s="10" t="inlineStr">
        <is>
          <t>Primaire</t>
        </is>
      </c>
      <c r="J62" s="9" t="inlineStr">
        <is>
          <t>5éme</t>
        </is>
      </c>
      <c r="K62" s="9" t="inlineStr">
        <is>
          <t>Français</t>
        </is>
      </c>
      <c r="L62" s="9" t="inlineStr">
        <is>
          <t>Français</t>
        </is>
      </c>
      <c r="M62" s="9" t="inlineStr">
        <is>
          <t>Hend</t>
        </is>
      </c>
      <c r="N62" s="10" t="n"/>
      <c r="O62" s="10" t="n"/>
      <c r="P62" s="10" t="inlineStr">
        <is>
          <t>Hebdomadaire</t>
        </is>
      </c>
      <c r="Q62" s="9" t="inlineStr">
        <is>
          <t>Original (septembre)</t>
        </is>
      </c>
      <c r="R62" s="9" t="inlineStr"/>
      <c r="S62" s="44">
        <f>IF($M62="","",IF(SUMPRODUCT(($D$4:$D$704=$D62)*($M$4:$M$704=$M62)*($F$4:$F$704&lt;$G62)*($G$4:$G$704&gt;$F62))&gt;1,"⚠ CONFLIT",""))</f>
        <v/>
      </c>
      <c r="T62" s="44">
        <f>IF($J62="","",IF(SUMPRODUCT(($D$4:$D$704=$D62)*($J$4:$J$704=$J62)*($F$4:$F$704&lt;$G62)*($G$4:$G$704&gt;$F62))&gt;1,"⚠ CONFLIT",""))</f>
        <v/>
      </c>
      <c r="U62" s="44">
        <f>IF(COUNTIFS($D$4:$D$704,$D62,$J$4:$J$704,$J62,$F$4:$F$704,$F62,$K$4:$K$704,$K62)&gt;1,"⚠ DOUBLON","")</f>
        <v/>
      </c>
      <c r="V62" s="44">
        <f>COUNTIFS($A$4:$A62,$A62,$J$4:$J62,$J62,$E$4:$E62,$E62)</f>
        <v/>
      </c>
      <c r="W62" s="45">
        <f>$A62&amp;"|"&amp;$J62&amp;"|"&amp;$E62&amp;"|"&amp;$V62</f>
        <v/>
      </c>
      <c r="X62" s="46">
        <f>TEXT($F62,"hh:mm")&amp;" - "&amp;TEXT($G62,"hh:mm")&amp;IF($P62="Quinzaine A","   ◆ Q-A",IF($P62="Quinzaine B","   ◆ Q-B",IF($P62="Exception","   ◆ PONCTUEL","")))&amp;CHAR(10)&amp;$K62&amp;CHAR(10)&amp;$M62&amp;IF($N62&lt;&gt;"",CHAR(10)&amp;"Salle "&amp;$N62,"")&amp;IF($O62="En ligne",CHAR(10)&amp;"◆ EN LIGNE","")&amp;IF($R62&lt;&gt;"",CHAR(10)&amp;$R62,"")</f>
        <v/>
      </c>
      <c r="Y62" s="45" t="inlineStr">
        <is>
          <t>18h-19h30 Français (Hend)</t>
        </is>
      </c>
      <c r="Z62" s="45" t="inlineStr">
        <is>
          <t>du 14-09 jusquà le 20-09!L6</t>
        </is>
      </c>
    </row>
    <row r="63" ht="15" customHeight="1">
      <c r="A63" s="10" t="inlineStr">
        <is>
          <t>S1</t>
        </is>
      </c>
      <c r="B63" s="9" t="inlineStr">
        <is>
          <t>du 14 au 20 septembre 2026</t>
        </is>
      </c>
      <c r="C63" s="10" t="inlineStr">
        <is>
          <t>A</t>
        </is>
      </c>
      <c r="D63" s="41" t="n">
        <v>46284</v>
      </c>
      <c r="E63" s="10" t="inlineStr">
        <is>
          <t>Samedi</t>
        </is>
      </c>
      <c r="F63" s="42" t="n">
        <v>0.7916666666666666</v>
      </c>
      <c r="G63" s="42" t="n">
        <v>0.875</v>
      </c>
      <c r="H63" s="43">
        <f>IF(OR($F63="",$G63=""),"",($G63-$F63)*24)</f>
        <v/>
      </c>
      <c r="I63" s="10" t="inlineStr">
        <is>
          <t>Primaire</t>
        </is>
      </c>
      <c r="J63" s="9" t="inlineStr">
        <is>
          <t>6éme Pilote (A)</t>
        </is>
      </c>
      <c r="K63" s="9" t="inlineStr">
        <is>
          <t>عربية</t>
        </is>
      </c>
      <c r="L63" s="9" t="inlineStr">
        <is>
          <t>Arabe</t>
        </is>
      </c>
      <c r="M63" s="9" t="inlineStr">
        <is>
          <t>Lobna</t>
        </is>
      </c>
      <c r="N63" s="10" t="n"/>
      <c r="O63" s="10" t="n"/>
      <c r="P63" s="10" t="inlineStr">
        <is>
          <t>Hebdomadaire</t>
        </is>
      </c>
      <c r="Q63" s="9" t="inlineStr">
        <is>
          <t>Original (septembre)</t>
        </is>
      </c>
      <c r="R63" s="9" t="inlineStr"/>
      <c r="S63" s="44">
        <f>IF($M63="","",IF(SUMPRODUCT(($D$4:$D$704=$D63)*($M$4:$M$704=$M63)*($F$4:$F$704&lt;$G63)*($G$4:$G$704&gt;$F63))&gt;1,"⚠ CONFLIT",""))</f>
        <v/>
      </c>
      <c r="T63" s="44">
        <f>IF($J63="","",IF(SUMPRODUCT(($D$4:$D$704=$D63)*($J$4:$J$704=$J63)*($F$4:$F$704&lt;$G63)*($G$4:$G$704&gt;$F63))&gt;1,"⚠ CONFLIT",""))</f>
        <v/>
      </c>
      <c r="U63" s="44">
        <f>IF(COUNTIFS($D$4:$D$704,$D63,$J$4:$J$704,$J63,$F$4:$F$704,$F63,$K$4:$K$704,$K63)&gt;1,"⚠ DOUBLON","")</f>
        <v/>
      </c>
      <c r="V63" s="44">
        <f>COUNTIFS($A$4:$A63,$A63,$J$4:$J63,$J63,$E$4:$E63,$E63)</f>
        <v/>
      </c>
      <c r="W63" s="45">
        <f>$A63&amp;"|"&amp;$J63&amp;"|"&amp;$E63&amp;"|"&amp;$V63</f>
        <v/>
      </c>
      <c r="X63" s="46">
        <f>TEXT($F63,"hh:mm")&amp;" - "&amp;TEXT($G63,"hh:mm")&amp;IF($P63="Quinzaine A","   ◆ Q-A",IF($P63="Quinzaine B","   ◆ Q-B",IF($P63="Exception","   ◆ PONCTUEL","")))&amp;CHAR(10)&amp;$K63&amp;CHAR(10)&amp;$M63&amp;IF($N63&lt;&gt;"",CHAR(10)&amp;"Salle "&amp;$N63,"")&amp;IF($O63="En ligne",CHAR(10)&amp;"◆ EN LIGNE","")&amp;IF($R63&lt;&gt;"",CHAR(10)&amp;$R63,"")</f>
        <v/>
      </c>
      <c r="Y63" s="45" t="inlineStr">
        <is>
          <t>19h-21h عربية (Lobna)</t>
        </is>
      </c>
      <c r="Z63" s="45" t="inlineStr">
        <is>
          <t>du 14-09 jusquà le 20-09!L12</t>
        </is>
      </c>
    </row>
    <row r="64" ht="15" customHeight="1">
      <c r="A64" s="10" t="inlineStr">
        <is>
          <t>S1</t>
        </is>
      </c>
      <c r="B64" s="9" t="inlineStr">
        <is>
          <t>du 14 au 20 septembre 2026</t>
        </is>
      </c>
      <c r="C64" s="10" t="inlineStr">
        <is>
          <t>A</t>
        </is>
      </c>
      <c r="D64" s="41" t="n">
        <v>46284</v>
      </c>
      <c r="E64" s="10" t="inlineStr">
        <is>
          <t>Samedi</t>
        </is>
      </c>
      <c r="F64" s="42" t="n">
        <v>0.7083333333333334</v>
      </c>
      <c r="G64" s="42" t="n">
        <v>0.7916666666666666</v>
      </c>
      <c r="H64" s="43">
        <f>IF(OR($F64="",$G64=""),"",($G64-$F64)*24)</f>
        <v/>
      </c>
      <c r="I64" s="10" t="inlineStr">
        <is>
          <t>Primaire</t>
        </is>
      </c>
      <c r="J64" s="9" t="inlineStr">
        <is>
          <t>6éme (B)</t>
        </is>
      </c>
      <c r="K64" s="9" t="inlineStr">
        <is>
          <t>عربية</t>
        </is>
      </c>
      <c r="L64" s="9" t="inlineStr">
        <is>
          <t>Arabe</t>
        </is>
      </c>
      <c r="M64" s="9" t="inlineStr">
        <is>
          <t>Lobna</t>
        </is>
      </c>
      <c r="N64" s="10" t="n"/>
      <c r="O64" s="10" t="n"/>
      <c r="P64" s="10" t="inlineStr">
        <is>
          <t>Hebdomadaire</t>
        </is>
      </c>
      <c r="Q64" s="9" t="inlineStr">
        <is>
          <t>Original (septembre)</t>
        </is>
      </c>
      <c r="R64" s="9" t="inlineStr"/>
      <c r="S64" s="44">
        <f>IF($M64="","",IF(SUMPRODUCT(($D$4:$D$704=$D64)*($M$4:$M$704=$M64)*($F$4:$F$704&lt;$G64)*($G$4:$G$704&gt;$F64))&gt;1,"⚠ CONFLIT",""))</f>
        <v/>
      </c>
      <c r="T64" s="44">
        <f>IF($J64="","",IF(SUMPRODUCT(($D$4:$D$704=$D64)*($J$4:$J$704=$J64)*($F$4:$F$704&lt;$G64)*($G$4:$G$704&gt;$F64))&gt;1,"⚠ CONFLIT",""))</f>
        <v/>
      </c>
      <c r="U64" s="44">
        <f>IF(COUNTIFS($D$4:$D$704,$D64,$J$4:$J$704,$J64,$F$4:$F$704,$F64,$K$4:$K$704,$K64)&gt;1,"⚠ DOUBLON","")</f>
        <v/>
      </c>
      <c r="V64" s="44">
        <f>COUNTIFS($A$4:$A64,$A64,$J$4:$J64,$J64,$E$4:$E64,$E64)</f>
        <v/>
      </c>
      <c r="W64" s="45">
        <f>$A64&amp;"|"&amp;$J64&amp;"|"&amp;$E64&amp;"|"&amp;$V64</f>
        <v/>
      </c>
      <c r="X64" s="46">
        <f>TEXT($F64,"hh:mm")&amp;" - "&amp;TEXT($G64,"hh:mm")&amp;IF($P64="Quinzaine A","   ◆ Q-A",IF($P64="Quinzaine B","   ◆ Q-B",IF($P64="Exception","   ◆ PONCTUEL","")))&amp;CHAR(10)&amp;$K64&amp;CHAR(10)&amp;$M64&amp;IF($N64&lt;&gt;"",CHAR(10)&amp;"Salle "&amp;$N64,"")&amp;IF($O64="En ligne",CHAR(10)&amp;"◆ EN LIGNE","")&amp;IF($R64&lt;&gt;"",CHAR(10)&amp;$R64,"")</f>
        <v/>
      </c>
      <c r="Y64" s="45" t="inlineStr">
        <is>
          <t>17h-19h عربية (Lobna)</t>
        </is>
      </c>
      <c r="Z64" s="45" t="inlineStr">
        <is>
          <t>du 14-09 jusquà le 20-09!L16</t>
        </is>
      </c>
    </row>
    <row r="65" ht="15" customHeight="1">
      <c r="A65" s="10" t="inlineStr">
        <is>
          <t>S1</t>
        </is>
      </c>
      <c r="B65" s="9" t="inlineStr">
        <is>
          <t>du 14 au 20 septembre 2026</t>
        </is>
      </c>
      <c r="C65" s="10" t="inlineStr">
        <is>
          <t>A</t>
        </is>
      </c>
      <c r="D65" s="41" t="n">
        <v>46284</v>
      </c>
      <c r="E65" s="10" t="inlineStr">
        <is>
          <t>Samedi</t>
        </is>
      </c>
      <c r="F65" s="42" t="n">
        <v>0.6666666666666666</v>
      </c>
      <c r="G65" s="42" t="n">
        <v>0.7291666666666666</v>
      </c>
      <c r="H65" s="43">
        <f>IF(OR($F65="",$G65=""),"",($G65-$F65)*24)</f>
        <v/>
      </c>
      <c r="I65" s="10" t="inlineStr">
        <is>
          <t>Collège</t>
        </is>
      </c>
      <c r="J65" s="9" t="inlineStr">
        <is>
          <t>7éme (A)</t>
        </is>
      </c>
      <c r="K65" s="9" t="inlineStr">
        <is>
          <t>SVT</t>
        </is>
      </c>
      <c r="L65" s="9" t="inlineStr">
        <is>
          <t>SVT</t>
        </is>
      </c>
      <c r="M65" s="9" t="inlineStr">
        <is>
          <t>Sabrine</t>
        </is>
      </c>
      <c r="N65" s="10" t="n"/>
      <c r="O65" s="10" t="n"/>
      <c r="P65" s="10" t="inlineStr">
        <is>
          <t>Quinzaine A</t>
        </is>
      </c>
      <c r="Q65" s="9" t="inlineStr">
        <is>
          <t>Original (septembre)</t>
        </is>
      </c>
      <c r="R65" s="9" t="inlineStr"/>
      <c r="S65" s="44">
        <f>IF($M65="","",IF(SUMPRODUCT(($D$4:$D$704=$D65)*($M$4:$M$704=$M65)*($F$4:$F$704&lt;$G65)*($G$4:$G$704&gt;$F65))&gt;1,"⚠ CONFLIT",""))</f>
        <v/>
      </c>
      <c r="T65" s="44">
        <f>IF($J65="","",IF(SUMPRODUCT(($D$4:$D$704=$D65)*($J$4:$J$704=$J65)*($F$4:$F$704&lt;$G65)*($G$4:$G$704&gt;$F65))&gt;1,"⚠ CONFLIT",""))</f>
        <v/>
      </c>
      <c r="U65" s="44">
        <f>IF(COUNTIFS($D$4:$D$704,$D65,$J$4:$J$704,$J65,$F$4:$F$704,$F65,$K$4:$K$704,$K65)&gt;1,"⚠ DOUBLON","")</f>
        <v/>
      </c>
      <c r="V65" s="44">
        <f>COUNTIFS($A$4:$A65,$A65,$J$4:$J65,$J65,$E$4:$E65,$E65)</f>
        <v/>
      </c>
      <c r="W65" s="45">
        <f>$A65&amp;"|"&amp;$J65&amp;"|"&amp;$E65&amp;"|"&amp;$V65</f>
        <v/>
      </c>
      <c r="X65" s="46">
        <f>TEXT($F65,"hh:mm")&amp;" - "&amp;TEXT($G65,"hh:mm")&amp;IF($P65="Quinzaine A","   ◆ Q-A",IF($P65="Quinzaine B","   ◆ Q-B",IF($P65="Exception","   ◆ PONCTUEL","")))&amp;CHAR(10)&amp;$K65&amp;CHAR(10)&amp;$M65&amp;IF($N65&lt;&gt;"",CHAR(10)&amp;"Salle "&amp;$N65,"")&amp;IF($O65="En ligne",CHAR(10)&amp;"◆ EN LIGNE","")&amp;IF($R65&lt;&gt;"",CHAR(10)&amp;$R65,"")</f>
        <v/>
      </c>
      <c r="Y65" s="45" t="inlineStr">
        <is>
          <t>16h-17h30 SVT /par quinzaine (Sabrine)</t>
        </is>
      </c>
      <c r="Z65" s="45" t="inlineStr">
        <is>
          <t>du 14-09 jusquà le 20-09!L19</t>
        </is>
      </c>
    </row>
    <row r="66" ht="15" customHeight="1">
      <c r="A66" s="10" t="inlineStr">
        <is>
          <t>S1</t>
        </is>
      </c>
      <c r="B66" s="9" t="inlineStr">
        <is>
          <t>du 14 au 20 septembre 2026</t>
        </is>
      </c>
      <c r="C66" s="10" t="inlineStr">
        <is>
          <t>A</t>
        </is>
      </c>
      <c r="D66" s="41" t="n">
        <v>46284</v>
      </c>
      <c r="E66" s="10" t="inlineStr">
        <is>
          <t>Samedi</t>
        </is>
      </c>
      <c r="F66" s="42" t="n">
        <v>0.75</v>
      </c>
      <c r="G66" s="42" t="n">
        <v>0.8125</v>
      </c>
      <c r="H66" s="43">
        <f>IF(OR($F66="",$G66=""),"",($G66-$F66)*24)</f>
        <v/>
      </c>
      <c r="I66" s="10" t="inlineStr">
        <is>
          <t>Collège</t>
        </is>
      </c>
      <c r="J66" s="9" t="inlineStr">
        <is>
          <t>7éme (A)</t>
        </is>
      </c>
      <c r="K66" s="9" t="inlineStr">
        <is>
          <t>Arabe</t>
        </is>
      </c>
      <c r="L66" s="9" t="inlineStr">
        <is>
          <t>Arabe</t>
        </is>
      </c>
      <c r="M66" s="9" t="inlineStr">
        <is>
          <t>Awatef</t>
        </is>
      </c>
      <c r="N66" s="10" t="n"/>
      <c r="O66" s="10" t="n"/>
      <c r="P66" s="10" t="inlineStr">
        <is>
          <t>Hebdomadaire</t>
        </is>
      </c>
      <c r="Q66" s="9" t="inlineStr">
        <is>
          <t>Original (septembre)</t>
        </is>
      </c>
      <c r="R66" s="9" t="inlineStr"/>
      <c r="S66" s="44">
        <f>IF($M66="","",IF(SUMPRODUCT(($D$4:$D$704=$D66)*($M$4:$M$704=$M66)*($F$4:$F$704&lt;$G66)*($G$4:$G$704&gt;$F66))&gt;1,"⚠ CONFLIT",""))</f>
        <v/>
      </c>
      <c r="T66" s="44">
        <f>IF($J66="","",IF(SUMPRODUCT(($D$4:$D$704=$D66)*($J$4:$J$704=$J66)*($F$4:$F$704&lt;$G66)*($G$4:$G$704&gt;$F66))&gt;1,"⚠ CONFLIT",""))</f>
        <v/>
      </c>
      <c r="U66" s="44">
        <f>IF(COUNTIFS($D$4:$D$704,$D66,$J$4:$J$704,$J66,$F$4:$F$704,$F66,$K$4:$K$704,$K66)&gt;1,"⚠ DOUBLON","")</f>
        <v/>
      </c>
      <c r="V66" s="44">
        <f>COUNTIFS($A$4:$A66,$A66,$J$4:$J66,$J66,$E$4:$E66,$E66)</f>
        <v/>
      </c>
      <c r="W66" s="45">
        <f>$A66&amp;"|"&amp;$J66&amp;"|"&amp;$E66&amp;"|"&amp;$V66</f>
        <v/>
      </c>
      <c r="X66" s="46">
        <f>TEXT($F66,"hh:mm")&amp;" - "&amp;TEXT($G66,"hh:mm")&amp;IF($P66="Quinzaine A","   ◆ Q-A",IF($P66="Quinzaine B","   ◆ Q-B",IF($P66="Exception","   ◆ PONCTUEL","")))&amp;CHAR(10)&amp;$K66&amp;CHAR(10)&amp;$M66&amp;IF($N66&lt;&gt;"",CHAR(10)&amp;"Salle "&amp;$N66,"")&amp;IF($O66="En ligne",CHAR(10)&amp;"◆ EN LIGNE","")&amp;IF($R66&lt;&gt;"",CHAR(10)&amp;$R66,"")</f>
        <v/>
      </c>
      <c r="Y66" s="45" t="inlineStr">
        <is>
          <t>18h-19h30 Arabe (Awatef)</t>
        </is>
      </c>
      <c r="Z66" s="45" t="inlineStr">
        <is>
          <t>du 14-09 jusquà le 20-09!L20</t>
        </is>
      </c>
    </row>
    <row r="67" ht="15" customHeight="1">
      <c r="A67" s="10" t="inlineStr">
        <is>
          <t>S1</t>
        </is>
      </c>
      <c r="B67" s="9" t="inlineStr">
        <is>
          <t>du 14 au 20 septembre 2026</t>
        </is>
      </c>
      <c r="C67" s="10" t="inlineStr">
        <is>
          <t>A</t>
        </is>
      </c>
      <c r="D67" s="41" t="n">
        <v>46284</v>
      </c>
      <c r="E67" s="10" t="inlineStr">
        <is>
          <t>Samedi</t>
        </is>
      </c>
      <c r="F67" s="42" t="n">
        <v>0.7291666666666666</v>
      </c>
      <c r="G67" s="42" t="n">
        <v>0.7916666666666666</v>
      </c>
      <c r="H67" s="43">
        <f>IF(OR($F67="",$G67=""),"",($G67-$F67)*24)</f>
        <v/>
      </c>
      <c r="I67" s="10" t="inlineStr">
        <is>
          <t>Collège</t>
        </is>
      </c>
      <c r="J67" s="9" t="inlineStr">
        <is>
          <t>8éme (A)</t>
        </is>
      </c>
      <c r="K67" s="9" t="inlineStr">
        <is>
          <t>SVT</t>
        </is>
      </c>
      <c r="L67" s="9" t="inlineStr">
        <is>
          <t>SVT</t>
        </is>
      </c>
      <c r="M67" s="9" t="inlineStr">
        <is>
          <t>Sabrine</t>
        </is>
      </c>
      <c r="N67" s="10" t="n"/>
      <c r="O67" s="10" t="n"/>
      <c r="P67" s="10" t="inlineStr">
        <is>
          <t>Quinzaine A</t>
        </is>
      </c>
      <c r="Q67" s="9" t="inlineStr">
        <is>
          <t>Original (septembre)</t>
        </is>
      </c>
      <c r="R67" s="9" t="inlineStr"/>
      <c r="S67" s="44">
        <f>IF($M67="","",IF(SUMPRODUCT(($D$4:$D$704=$D67)*($M$4:$M$704=$M67)*($F$4:$F$704&lt;$G67)*($G$4:$G$704&gt;$F67))&gt;1,"⚠ CONFLIT",""))</f>
        <v/>
      </c>
      <c r="T67" s="44">
        <f>IF($J67="","",IF(SUMPRODUCT(($D$4:$D$704=$D67)*($J$4:$J$704=$J67)*($F$4:$F$704&lt;$G67)*($G$4:$G$704&gt;$F67))&gt;1,"⚠ CONFLIT",""))</f>
        <v/>
      </c>
      <c r="U67" s="44">
        <f>IF(COUNTIFS($D$4:$D$704,$D67,$J$4:$J$704,$J67,$F$4:$F$704,$F67,$K$4:$K$704,$K67)&gt;1,"⚠ DOUBLON","")</f>
        <v/>
      </c>
      <c r="V67" s="44">
        <f>COUNTIFS($A$4:$A67,$A67,$J$4:$J67,$J67,$E$4:$E67,$E67)</f>
        <v/>
      </c>
      <c r="W67" s="45">
        <f>$A67&amp;"|"&amp;$J67&amp;"|"&amp;$E67&amp;"|"&amp;$V67</f>
        <v/>
      </c>
      <c r="X67" s="46">
        <f>TEXT($F67,"hh:mm")&amp;" - "&amp;TEXT($G67,"hh:mm")&amp;IF($P67="Quinzaine A","   ◆ Q-A",IF($P67="Quinzaine B","   ◆ Q-B",IF($P67="Exception","   ◆ PONCTUEL","")))&amp;CHAR(10)&amp;$K67&amp;CHAR(10)&amp;$M67&amp;IF($N67&lt;&gt;"",CHAR(10)&amp;"Salle "&amp;$N67,"")&amp;IF($O67="En ligne",CHAR(10)&amp;"◆ EN LIGNE","")&amp;IF($R67&lt;&gt;"",CHAR(10)&amp;$R67,"")</f>
        <v/>
      </c>
      <c r="Y67" s="45" t="inlineStr">
        <is>
          <t>17h30-19h SVT /par quinzaine (Sabrine)</t>
        </is>
      </c>
      <c r="Z67" s="45" t="inlineStr">
        <is>
          <t>du 14-09 jusquà le 20-09!L27</t>
        </is>
      </c>
    </row>
    <row r="68" ht="15" customHeight="1">
      <c r="A68" s="10" t="inlineStr">
        <is>
          <t>S1</t>
        </is>
      </c>
      <c r="B68" s="9" t="inlineStr">
        <is>
          <t>du 14 au 20 septembre 2026</t>
        </is>
      </c>
      <c r="C68" s="10" t="inlineStr">
        <is>
          <t>A</t>
        </is>
      </c>
      <c r="D68" s="41" t="n">
        <v>46284</v>
      </c>
      <c r="E68" s="10" t="inlineStr">
        <is>
          <t>Samedi</t>
        </is>
      </c>
      <c r="F68" s="42" t="n">
        <v>0.7291666666666666</v>
      </c>
      <c r="G68" s="42" t="n">
        <v>0.7916666666666666</v>
      </c>
      <c r="H68" s="43">
        <f>IF(OR($F68="",$G68=""),"",($G68-$F68)*24)</f>
        <v/>
      </c>
      <c r="I68" s="10" t="inlineStr">
        <is>
          <t>Collège</t>
        </is>
      </c>
      <c r="J68" s="9" t="inlineStr">
        <is>
          <t>8éme (B)</t>
        </is>
      </c>
      <c r="K68" s="9" t="inlineStr">
        <is>
          <t>Anglais</t>
        </is>
      </c>
      <c r="L68" s="9" t="inlineStr">
        <is>
          <t>Anglais</t>
        </is>
      </c>
      <c r="M68" s="9" t="inlineStr">
        <is>
          <t>Imen Ben Lazrak</t>
        </is>
      </c>
      <c r="N68" s="10" t="n"/>
      <c r="O68" s="10" t="n"/>
      <c r="P68" s="10" t="inlineStr">
        <is>
          <t>Quinzaine A</t>
        </is>
      </c>
      <c r="Q68" s="9" t="inlineStr">
        <is>
          <t>Original (septembre)</t>
        </is>
      </c>
      <c r="R68" s="9" t="inlineStr"/>
      <c r="S68" s="44">
        <f>IF($M68="","",IF(SUMPRODUCT(($D$4:$D$704=$D68)*($M$4:$M$704=$M68)*($F$4:$F$704&lt;$G68)*($G$4:$G$704&gt;$F68))&gt;1,"⚠ CONFLIT",""))</f>
        <v/>
      </c>
      <c r="T68" s="44">
        <f>IF($J68="","",IF(SUMPRODUCT(($D$4:$D$704=$D68)*($J$4:$J$704=$J68)*($F$4:$F$704&lt;$G68)*($G$4:$G$704&gt;$F68))&gt;1,"⚠ CONFLIT",""))</f>
        <v/>
      </c>
      <c r="U68" s="44">
        <f>IF(COUNTIFS($D$4:$D$704,$D68,$J$4:$J$704,$J68,$F$4:$F$704,$F68,$K$4:$K$704,$K68)&gt;1,"⚠ DOUBLON","")</f>
        <v/>
      </c>
      <c r="V68" s="44">
        <f>COUNTIFS($A$4:$A68,$A68,$J$4:$J68,$J68,$E$4:$E68,$E68)</f>
        <v/>
      </c>
      <c r="W68" s="45">
        <f>$A68&amp;"|"&amp;$J68&amp;"|"&amp;$E68&amp;"|"&amp;$V68</f>
        <v/>
      </c>
      <c r="X68" s="46">
        <f>TEXT($F68,"hh:mm")&amp;" - "&amp;TEXT($G68,"hh:mm")&amp;IF($P68="Quinzaine A","   ◆ Q-A",IF($P68="Quinzaine B","   ◆ Q-B",IF($P68="Exception","   ◆ PONCTUEL","")))&amp;CHAR(10)&amp;$K68&amp;CHAR(10)&amp;$M68&amp;IF($N68&lt;&gt;"",CHAR(10)&amp;"Salle "&amp;$N68,"")&amp;IF($O68="En ligne",CHAR(10)&amp;"◆ EN LIGNE","")&amp;IF($R68&lt;&gt;"",CHAR(10)&amp;$R68,"")</f>
        <v/>
      </c>
      <c r="Y68" s="45" t="inlineStr">
        <is>
          <t>17h30-19h Anglais /par quinzaine (Imen Ben Lazrak)</t>
        </is>
      </c>
      <c r="Z68" s="45" t="inlineStr">
        <is>
          <t>du 14-09 jusquà le 20-09!L31</t>
        </is>
      </c>
    </row>
    <row r="69" ht="15" customHeight="1">
      <c r="A69" s="10" t="inlineStr">
        <is>
          <t>S1</t>
        </is>
      </c>
      <c r="B69" s="9" t="inlineStr">
        <is>
          <t>du 14 au 20 septembre 2026</t>
        </is>
      </c>
      <c r="C69" s="10" t="inlineStr">
        <is>
          <t>A</t>
        </is>
      </c>
      <c r="D69" s="41" t="n">
        <v>46284</v>
      </c>
      <c r="E69" s="10" t="inlineStr">
        <is>
          <t>Samedi</t>
        </is>
      </c>
      <c r="F69" s="42" t="n">
        <v>0.6875</v>
      </c>
      <c r="G69" s="42" t="n">
        <v>0.75</v>
      </c>
      <c r="H69" s="43">
        <f>IF(OR($F69="",$G69=""),"",($G69-$F69)*24)</f>
        <v/>
      </c>
      <c r="I69" s="10" t="inlineStr">
        <is>
          <t>Collège</t>
        </is>
      </c>
      <c r="J69" s="9" t="inlineStr">
        <is>
          <t>9éme (A)</t>
        </is>
      </c>
      <c r="K69" s="9" t="inlineStr">
        <is>
          <t>Arabe</t>
        </is>
      </c>
      <c r="L69" s="9" t="inlineStr">
        <is>
          <t>Arabe</t>
        </is>
      </c>
      <c r="M69" s="9" t="inlineStr">
        <is>
          <t>Awatef</t>
        </is>
      </c>
      <c r="N69" s="10" t="n"/>
      <c r="O69" s="10" t="n"/>
      <c r="P69" s="10" t="inlineStr">
        <is>
          <t>Hebdomadaire</t>
        </is>
      </c>
      <c r="Q69" s="9" t="inlineStr">
        <is>
          <t>Original (septembre)</t>
        </is>
      </c>
      <c r="R69" s="9" t="inlineStr"/>
      <c r="S69" s="44">
        <f>IF($M69="","",IF(SUMPRODUCT(($D$4:$D$704=$D69)*($M$4:$M$704=$M69)*($F$4:$F$704&lt;$G69)*($G$4:$G$704&gt;$F69))&gt;1,"⚠ CONFLIT",""))</f>
        <v/>
      </c>
      <c r="T69" s="44">
        <f>IF($J69="","",IF(SUMPRODUCT(($D$4:$D$704=$D69)*($J$4:$J$704=$J69)*($F$4:$F$704&lt;$G69)*($G$4:$G$704&gt;$F69))&gt;1,"⚠ CONFLIT",""))</f>
        <v/>
      </c>
      <c r="U69" s="44">
        <f>IF(COUNTIFS($D$4:$D$704,$D69,$J$4:$J$704,$J69,$F$4:$F$704,$F69,$K$4:$K$704,$K69)&gt;1,"⚠ DOUBLON","")</f>
        <v/>
      </c>
      <c r="V69" s="44">
        <f>COUNTIFS($A$4:$A69,$A69,$J$4:$J69,$J69,$E$4:$E69,$E69)</f>
        <v/>
      </c>
      <c r="W69" s="45">
        <f>$A69&amp;"|"&amp;$J69&amp;"|"&amp;$E69&amp;"|"&amp;$V69</f>
        <v/>
      </c>
      <c r="X69" s="46">
        <f>TEXT($F69,"hh:mm")&amp;" - "&amp;TEXT($G69,"hh:mm")&amp;IF($P69="Quinzaine A","   ◆ Q-A",IF($P69="Quinzaine B","   ◆ Q-B",IF($P69="Exception","   ◆ PONCTUEL","")))&amp;CHAR(10)&amp;$K69&amp;CHAR(10)&amp;$M69&amp;IF($N69&lt;&gt;"",CHAR(10)&amp;"Salle "&amp;$N69,"")&amp;IF($O69="En ligne",CHAR(10)&amp;"◆ EN LIGNE","")&amp;IF($R69&lt;&gt;"",CHAR(10)&amp;$R69,"")</f>
        <v/>
      </c>
      <c r="Y69" s="45" t="inlineStr">
        <is>
          <t>16h30-18h Arabe (Awatef)</t>
        </is>
      </c>
      <c r="Z69" s="45" t="inlineStr">
        <is>
          <t>du 14-09 jusquà le 20-09!L36</t>
        </is>
      </c>
    </row>
    <row r="70" ht="15" customHeight="1">
      <c r="A70" s="10" t="inlineStr">
        <is>
          <t>S1</t>
        </is>
      </c>
      <c r="B70" s="9" t="inlineStr">
        <is>
          <t>du 14 au 20 septembre 2026</t>
        </is>
      </c>
      <c r="C70" s="10" t="inlineStr">
        <is>
          <t>A</t>
        </is>
      </c>
      <c r="D70" s="41" t="n">
        <v>46284</v>
      </c>
      <c r="E70" s="10" t="inlineStr">
        <is>
          <t>Samedi</t>
        </is>
      </c>
      <c r="F70" s="42" t="n">
        <v>0.75</v>
      </c>
      <c r="G70" s="42" t="n">
        <v>0.8125</v>
      </c>
      <c r="H70" s="43">
        <f>IF(OR($F70="",$G70=""),"",($G70-$F70)*24)</f>
        <v/>
      </c>
      <c r="I70" s="10" t="inlineStr">
        <is>
          <t>Collège</t>
        </is>
      </c>
      <c r="J70" s="9" t="inlineStr">
        <is>
          <t>9éme (B)</t>
        </is>
      </c>
      <c r="K70" s="9" t="inlineStr">
        <is>
          <t>Math</t>
        </is>
      </c>
      <c r="L70" s="9" t="inlineStr">
        <is>
          <t>Math</t>
        </is>
      </c>
      <c r="M70" s="9" t="inlineStr">
        <is>
          <t>Hajer</t>
        </is>
      </c>
      <c r="N70" s="10" t="n"/>
      <c r="O70" s="10" t="n"/>
      <c r="P70" s="10" t="inlineStr">
        <is>
          <t>Hebdomadaire</t>
        </is>
      </c>
      <c r="Q70" s="9" t="inlineStr">
        <is>
          <t>Original (septembre)</t>
        </is>
      </c>
      <c r="R70" s="9" t="inlineStr"/>
      <c r="S70" s="44">
        <f>IF($M70="","",IF(SUMPRODUCT(($D$4:$D$704=$D70)*($M$4:$M$704=$M70)*($F$4:$F$704&lt;$G70)*($G$4:$G$704&gt;$F70))&gt;1,"⚠ CONFLIT",""))</f>
        <v/>
      </c>
      <c r="T70" s="44">
        <f>IF($J70="","",IF(SUMPRODUCT(($D$4:$D$704=$D70)*($J$4:$J$704=$J70)*($F$4:$F$704&lt;$G70)*($G$4:$G$704&gt;$F70))&gt;1,"⚠ CONFLIT",""))</f>
        <v/>
      </c>
      <c r="U70" s="44">
        <f>IF(COUNTIFS($D$4:$D$704,$D70,$J$4:$J$704,$J70,$F$4:$F$704,$F70,$K$4:$K$704,$K70)&gt;1,"⚠ DOUBLON","")</f>
        <v/>
      </c>
      <c r="V70" s="44">
        <f>COUNTIFS($A$4:$A70,$A70,$J$4:$J70,$J70,$E$4:$E70,$E70)</f>
        <v/>
      </c>
      <c r="W70" s="45">
        <f>$A70&amp;"|"&amp;$J70&amp;"|"&amp;$E70&amp;"|"&amp;$V70</f>
        <v/>
      </c>
      <c r="X70" s="46">
        <f>TEXT($F70,"hh:mm")&amp;" - "&amp;TEXT($G70,"hh:mm")&amp;IF($P70="Quinzaine A","   ◆ Q-A",IF($P70="Quinzaine B","   ◆ Q-B",IF($P70="Exception","   ◆ PONCTUEL","")))&amp;CHAR(10)&amp;$K70&amp;CHAR(10)&amp;$M70&amp;IF($N70&lt;&gt;"",CHAR(10)&amp;"Salle "&amp;$N70,"")&amp;IF($O70="En ligne",CHAR(10)&amp;"◆ EN LIGNE","")&amp;IF($R70&lt;&gt;"",CHAR(10)&amp;$R70,"")</f>
        <v/>
      </c>
      <c r="Y70" s="45" t="inlineStr">
        <is>
          <t>18h-19h30 Math (Hajer)</t>
        </is>
      </c>
      <c r="Z70" s="45" t="inlineStr">
        <is>
          <t>du 14-09 jusquà le 20-09!L43</t>
        </is>
      </c>
    </row>
    <row r="71" ht="15" customHeight="1">
      <c r="A71" s="10" t="inlineStr">
        <is>
          <t>S1</t>
        </is>
      </c>
      <c r="B71" s="9" t="inlineStr">
        <is>
          <t>du 14 au 20 septembre 2026</t>
        </is>
      </c>
      <c r="C71" s="10" t="inlineStr">
        <is>
          <t>A</t>
        </is>
      </c>
      <c r="D71" s="41" t="n">
        <v>46284</v>
      </c>
      <c r="E71" s="10" t="inlineStr">
        <is>
          <t>Samedi</t>
        </is>
      </c>
      <c r="F71" s="42" t="n">
        <v>0.8125</v>
      </c>
      <c r="G71" s="42" t="n">
        <v>0.875</v>
      </c>
      <c r="H71" s="43">
        <f>IF(OR($F71="",$G71=""),"",($G71-$F71)*24)</f>
        <v/>
      </c>
      <c r="I71" s="10" t="inlineStr">
        <is>
          <t>Collège</t>
        </is>
      </c>
      <c r="J71" s="9" t="inlineStr">
        <is>
          <t>9éme (C)</t>
        </is>
      </c>
      <c r="K71" s="9" t="inlineStr">
        <is>
          <t>Math</t>
        </is>
      </c>
      <c r="L71" s="9" t="inlineStr">
        <is>
          <t>Math</t>
        </is>
      </c>
      <c r="M71" s="9" t="inlineStr">
        <is>
          <t>Hajer</t>
        </is>
      </c>
      <c r="N71" s="10" t="n"/>
      <c r="O71" s="10" t="n"/>
      <c r="P71" s="10" t="inlineStr">
        <is>
          <t>Hebdomadaire</t>
        </is>
      </c>
      <c r="Q71" s="9" t="inlineStr">
        <is>
          <t>Original (septembre)</t>
        </is>
      </c>
      <c r="R71" s="9" t="inlineStr"/>
      <c r="S71" s="44">
        <f>IF($M71="","",IF(SUMPRODUCT(($D$4:$D$704=$D71)*($M$4:$M$704=$M71)*($F$4:$F$704&lt;$G71)*($G$4:$G$704&gt;$F71))&gt;1,"⚠ CONFLIT",""))</f>
        <v/>
      </c>
      <c r="T71" s="44">
        <f>IF($J71="","",IF(SUMPRODUCT(($D$4:$D$704=$D71)*($J$4:$J$704=$J71)*($F$4:$F$704&lt;$G71)*($G$4:$G$704&gt;$F71))&gt;1,"⚠ CONFLIT",""))</f>
        <v/>
      </c>
      <c r="U71" s="44">
        <f>IF(COUNTIFS($D$4:$D$704,$D71,$J$4:$J$704,$J71,$F$4:$F$704,$F71,$K$4:$K$704,$K71)&gt;1,"⚠ DOUBLON","")</f>
        <v/>
      </c>
      <c r="V71" s="44">
        <f>COUNTIFS($A$4:$A71,$A71,$J$4:$J71,$J71,$E$4:$E71,$E71)</f>
        <v/>
      </c>
      <c r="W71" s="45">
        <f>$A71&amp;"|"&amp;$J71&amp;"|"&amp;$E71&amp;"|"&amp;$V71</f>
        <v/>
      </c>
      <c r="X71" s="46">
        <f>TEXT($F71,"hh:mm")&amp;" - "&amp;TEXT($G71,"hh:mm")&amp;IF($P71="Quinzaine A","   ◆ Q-A",IF($P71="Quinzaine B","   ◆ Q-B",IF($P71="Exception","   ◆ PONCTUEL","")))&amp;CHAR(10)&amp;$K71&amp;CHAR(10)&amp;$M71&amp;IF($N71&lt;&gt;"",CHAR(10)&amp;"Salle "&amp;$N71,"")&amp;IF($O71="En ligne",CHAR(10)&amp;"◆ EN LIGNE","")&amp;IF($R71&lt;&gt;"",CHAR(10)&amp;$R71,"")</f>
        <v/>
      </c>
      <c r="Y71" s="45" t="inlineStr">
        <is>
          <t>19h30-21h Math (Hajer)</t>
        </is>
      </c>
      <c r="Z71" s="45" t="inlineStr">
        <is>
          <t>du 14-09 jusquà le 20-09!L46</t>
        </is>
      </c>
    </row>
    <row r="72" ht="15" customHeight="1">
      <c r="A72" s="10" t="inlineStr">
        <is>
          <t>S1</t>
        </is>
      </c>
      <c r="B72" s="9" t="inlineStr">
        <is>
          <t>du 14 au 20 septembre 2026</t>
        </is>
      </c>
      <c r="C72" s="10" t="inlineStr">
        <is>
          <t>A</t>
        </is>
      </c>
      <c r="D72" s="41" t="n">
        <v>46284</v>
      </c>
      <c r="E72" s="10" t="inlineStr">
        <is>
          <t>Samedi</t>
        </is>
      </c>
      <c r="F72" s="42" t="n">
        <v>0.6458333333333334</v>
      </c>
      <c r="G72" s="42" t="n">
        <v>0.7083333333333334</v>
      </c>
      <c r="H72" s="43">
        <f>IF(OR($F72="",$G72=""),"",($G72-$F72)*24)</f>
        <v/>
      </c>
      <c r="I72" s="10" t="inlineStr">
        <is>
          <t>Secondaire</t>
        </is>
      </c>
      <c r="J72" s="9" t="inlineStr">
        <is>
          <t>2éme Eco</t>
        </is>
      </c>
      <c r="K72" s="9" t="inlineStr">
        <is>
          <t>Histoire</t>
        </is>
      </c>
      <c r="L72" s="9" t="inlineStr">
        <is>
          <t>Histoire</t>
        </is>
      </c>
      <c r="M72" s="9" t="inlineStr">
        <is>
          <t>Abdelwaheb</t>
        </is>
      </c>
      <c r="N72" s="10" t="n"/>
      <c r="O72" s="10" t="n"/>
      <c r="P72" s="10" t="inlineStr">
        <is>
          <t>Quinzaine A</t>
        </is>
      </c>
      <c r="Q72" s="9" t="inlineStr">
        <is>
          <t>Original (septembre)</t>
        </is>
      </c>
      <c r="R72" s="9" t="inlineStr"/>
      <c r="S72" s="44">
        <f>IF($M72="","",IF(SUMPRODUCT(($D$4:$D$704=$D72)*($M$4:$M$704=$M72)*($F$4:$F$704&lt;$G72)*($G$4:$G$704&gt;$F72))&gt;1,"⚠ CONFLIT",""))</f>
        <v/>
      </c>
      <c r="T72" s="44">
        <f>IF($J72="","",IF(SUMPRODUCT(($D$4:$D$704=$D72)*($J$4:$J$704=$J72)*($F$4:$F$704&lt;$G72)*($G$4:$G$704&gt;$F72))&gt;1,"⚠ CONFLIT",""))</f>
        <v/>
      </c>
      <c r="U72" s="44">
        <f>IF(COUNTIFS($D$4:$D$704,$D72,$J$4:$J$704,$J72,$F$4:$F$704,$F72,$K$4:$K$704,$K72)&gt;1,"⚠ DOUBLON","")</f>
        <v/>
      </c>
      <c r="V72" s="44">
        <f>COUNTIFS($A$4:$A72,$A72,$J$4:$J72,$J72,$E$4:$E72,$E72)</f>
        <v/>
      </c>
      <c r="W72" s="45">
        <f>$A72&amp;"|"&amp;$J72&amp;"|"&amp;$E72&amp;"|"&amp;$V72</f>
        <v/>
      </c>
      <c r="X72" s="46">
        <f>TEXT($F72,"hh:mm")&amp;" - "&amp;TEXT($G72,"hh:mm")&amp;IF($P72="Quinzaine A","   ◆ Q-A",IF($P72="Quinzaine B","   ◆ Q-B",IF($P72="Exception","   ◆ PONCTUEL","")))&amp;CHAR(10)&amp;$K72&amp;CHAR(10)&amp;$M72&amp;IF($N72&lt;&gt;"",CHAR(10)&amp;"Salle "&amp;$N72,"")&amp;IF($O72="En ligne",CHAR(10)&amp;"◆ EN LIGNE","")&amp;IF($R72&lt;&gt;"",CHAR(10)&amp;$R72,"")</f>
        <v/>
      </c>
      <c r="Y72" s="45" t="inlineStr">
        <is>
          <t>15h30-17h Histoire (Abdelwaheb)</t>
        </is>
      </c>
      <c r="Z72" s="45" t="inlineStr">
        <is>
          <t>du 14-09 jusquà le 20-09!L56</t>
        </is>
      </c>
    </row>
    <row r="73" ht="15" customHeight="1">
      <c r="A73" s="10" t="inlineStr">
        <is>
          <t>S1</t>
        </is>
      </c>
      <c r="B73" s="9" t="inlineStr">
        <is>
          <t>du 14 au 20 septembre 2026</t>
        </is>
      </c>
      <c r="C73" s="10" t="inlineStr">
        <is>
          <t>A</t>
        </is>
      </c>
      <c r="D73" s="41" t="n">
        <v>46284</v>
      </c>
      <c r="E73" s="10" t="inlineStr">
        <is>
          <t>Samedi</t>
        </is>
      </c>
      <c r="F73" s="42" t="n">
        <v>0.6666666666666666</v>
      </c>
      <c r="G73" s="42" t="n">
        <v>0.7291666666666666</v>
      </c>
      <c r="H73" s="43">
        <f>IF(OR($F73="",$G73=""),"",($G73-$F73)*24)</f>
        <v/>
      </c>
      <c r="I73" s="10" t="inlineStr">
        <is>
          <t>Secondaire</t>
        </is>
      </c>
      <c r="J73" s="9" t="inlineStr">
        <is>
          <t>2éme SCE</t>
        </is>
      </c>
      <c r="K73" s="9" t="inlineStr">
        <is>
          <t>SVT</t>
        </is>
      </c>
      <c r="L73" s="9" t="inlineStr">
        <is>
          <t>SVT</t>
        </is>
      </c>
      <c r="M73" s="9" t="inlineStr">
        <is>
          <t>Rym</t>
        </is>
      </c>
      <c r="N73" s="10" t="n"/>
      <c r="O73" s="10" t="n"/>
      <c r="P73" s="10" t="inlineStr">
        <is>
          <t>Hebdomadaire</t>
        </is>
      </c>
      <c r="Q73" s="9" t="inlineStr">
        <is>
          <t>Original (septembre)</t>
        </is>
      </c>
      <c r="R73" s="9" t="inlineStr"/>
      <c r="S73" s="44">
        <f>IF($M73="","",IF(SUMPRODUCT(($D$4:$D$704=$D73)*($M$4:$M$704=$M73)*($F$4:$F$704&lt;$G73)*($G$4:$G$704&gt;$F73))&gt;1,"⚠ CONFLIT",""))</f>
        <v/>
      </c>
      <c r="T73" s="44">
        <f>IF($J73="","",IF(SUMPRODUCT(($D$4:$D$704=$D73)*($J$4:$J$704=$J73)*($F$4:$F$704&lt;$G73)*($G$4:$G$704&gt;$F73))&gt;1,"⚠ CONFLIT",""))</f>
        <v/>
      </c>
      <c r="U73" s="44">
        <f>IF(COUNTIFS($D$4:$D$704,$D73,$J$4:$J$704,$J73,$F$4:$F$704,$F73,$K$4:$K$704,$K73)&gt;1,"⚠ DOUBLON","")</f>
        <v/>
      </c>
      <c r="V73" s="44">
        <f>COUNTIFS($A$4:$A73,$A73,$J$4:$J73,$J73,$E$4:$E73,$E73)</f>
        <v/>
      </c>
      <c r="W73" s="45">
        <f>$A73&amp;"|"&amp;$J73&amp;"|"&amp;$E73&amp;"|"&amp;$V73</f>
        <v/>
      </c>
      <c r="X73" s="46">
        <f>TEXT($F73,"hh:mm")&amp;" - "&amp;TEXT($G73,"hh:mm")&amp;IF($P73="Quinzaine A","   ◆ Q-A",IF($P73="Quinzaine B","   ◆ Q-B",IF($P73="Exception","   ◆ PONCTUEL","")))&amp;CHAR(10)&amp;$K73&amp;CHAR(10)&amp;$M73&amp;IF($N73&lt;&gt;"",CHAR(10)&amp;"Salle "&amp;$N73,"")&amp;IF($O73="En ligne",CHAR(10)&amp;"◆ EN LIGNE","")&amp;IF($R73&lt;&gt;"",CHAR(10)&amp;$R73,"")</f>
        <v/>
      </c>
      <c r="Y73" s="45" t="inlineStr">
        <is>
          <t>16h-17h30 SVT (Rym)</t>
        </is>
      </c>
      <c r="Z73" s="45" t="inlineStr">
        <is>
          <t>du 14-09 jusquà le 20-09!L58</t>
        </is>
      </c>
    </row>
    <row r="74" ht="15" customHeight="1">
      <c r="A74" s="10" t="inlineStr">
        <is>
          <t>S1</t>
        </is>
      </c>
      <c r="B74" s="9" t="inlineStr">
        <is>
          <t>du 14 au 20 septembre 2026</t>
        </is>
      </c>
      <c r="C74" s="10" t="inlineStr">
        <is>
          <t>A</t>
        </is>
      </c>
      <c r="D74" s="41" t="n">
        <v>46284</v>
      </c>
      <c r="E74" s="10" t="inlineStr">
        <is>
          <t>Samedi</t>
        </is>
      </c>
      <c r="F74" s="42" t="n">
        <v>0.7083333333333334</v>
      </c>
      <c r="G74" s="42" t="n">
        <v>0.7708333333333334</v>
      </c>
      <c r="H74" s="43">
        <f>IF(OR($F74="",$G74=""),"",($G74-$F74)*24)</f>
        <v/>
      </c>
      <c r="I74" s="10" t="inlineStr">
        <is>
          <t>Secondaire</t>
        </is>
      </c>
      <c r="J74" s="9" t="inlineStr">
        <is>
          <t>3éme Eco</t>
        </is>
      </c>
      <c r="K74" s="9" t="inlineStr">
        <is>
          <t>Histoire</t>
        </is>
      </c>
      <c r="L74" s="9" t="inlineStr">
        <is>
          <t>Histoire</t>
        </is>
      </c>
      <c r="M74" s="9" t="inlineStr">
        <is>
          <t>Abdelwaheb</t>
        </is>
      </c>
      <c r="N74" s="10" t="n"/>
      <c r="O74" s="10" t="n"/>
      <c r="P74" s="10" t="inlineStr">
        <is>
          <t>Quinzaine A</t>
        </is>
      </c>
      <c r="Q74" s="9" t="inlineStr">
        <is>
          <t>Original (septembre)</t>
        </is>
      </c>
      <c r="R74" s="9" t="inlineStr"/>
      <c r="S74" s="44">
        <f>IF($M74="","",IF(SUMPRODUCT(($D$4:$D$704=$D74)*($M$4:$M$704=$M74)*($F$4:$F$704&lt;$G74)*($G$4:$G$704&gt;$F74))&gt;1,"⚠ CONFLIT",""))</f>
        <v/>
      </c>
      <c r="T74" s="44">
        <f>IF($J74="","",IF(SUMPRODUCT(($D$4:$D$704=$D74)*($J$4:$J$704=$J74)*($F$4:$F$704&lt;$G74)*($G$4:$G$704&gt;$F74))&gt;1,"⚠ CONFLIT",""))</f>
        <v/>
      </c>
      <c r="U74" s="44">
        <f>IF(COUNTIFS($D$4:$D$704,$D74,$J$4:$J$704,$J74,$F$4:$F$704,$F74,$K$4:$K$704,$K74)&gt;1,"⚠ DOUBLON","")</f>
        <v/>
      </c>
      <c r="V74" s="44">
        <f>COUNTIFS($A$4:$A74,$A74,$J$4:$J74,$J74,$E$4:$E74,$E74)</f>
        <v/>
      </c>
      <c r="W74" s="45">
        <f>$A74&amp;"|"&amp;$J74&amp;"|"&amp;$E74&amp;"|"&amp;$V74</f>
        <v/>
      </c>
      <c r="X74" s="46">
        <f>TEXT($F74,"hh:mm")&amp;" - "&amp;TEXT($G74,"hh:mm")&amp;IF($P74="Quinzaine A","   ◆ Q-A",IF($P74="Quinzaine B","   ◆ Q-B",IF($P74="Exception","   ◆ PONCTUEL","")))&amp;CHAR(10)&amp;$K74&amp;CHAR(10)&amp;$M74&amp;IF($N74&lt;&gt;"",CHAR(10)&amp;"Salle "&amp;$N74,"")&amp;IF($O74="En ligne",CHAR(10)&amp;"◆ EN LIGNE","")&amp;IF($R74&lt;&gt;"",CHAR(10)&amp;$R74,"")</f>
        <v/>
      </c>
      <c r="Y74" s="45" t="inlineStr">
        <is>
          <t>17h-18h30 Histoire (Abdelwaheb)</t>
        </is>
      </c>
      <c r="Z74" s="45" t="inlineStr">
        <is>
          <t>du 14-09 jusquà le 20-09!L62</t>
        </is>
      </c>
    </row>
    <row r="75" ht="15" customHeight="1">
      <c r="A75" s="10" t="inlineStr">
        <is>
          <t>S1</t>
        </is>
      </c>
      <c r="B75" s="9" t="inlineStr">
        <is>
          <t>du 14 au 20 septembre 2026</t>
        </is>
      </c>
      <c r="C75" s="10" t="inlineStr">
        <is>
          <t>A</t>
        </is>
      </c>
      <c r="D75" s="41" t="n">
        <v>46284</v>
      </c>
      <c r="E75" s="10" t="inlineStr">
        <is>
          <t>Samedi</t>
        </is>
      </c>
      <c r="F75" s="42" t="n">
        <v>0.625</v>
      </c>
      <c r="G75" s="42" t="n">
        <v>0.7083333333333334</v>
      </c>
      <c r="H75" s="43">
        <f>IF(OR($F75="",$G75=""),"",($G75-$F75)*24)</f>
        <v/>
      </c>
      <c r="I75" s="10" t="inlineStr">
        <is>
          <t>Secondaire</t>
        </is>
      </c>
      <c r="J75" s="9" t="inlineStr">
        <is>
          <t>3éme INFO</t>
        </is>
      </c>
      <c r="K75" s="9" t="inlineStr">
        <is>
          <t>ALGO</t>
        </is>
      </c>
      <c r="L75" s="9" t="inlineStr">
        <is>
          <t>ALGO</t>
        </is>
      </c>
      <c r="M75" s="9" t="inlineStr">
        <is>
          <t>Aymen</t>
        </is>
      </c>
      <c r="N75" s="10" t="n"/>
      <c r="O75" s="10" t="n"/>
      <c r="P75" s="10" t="inlineStr">
        <is>
          <t>Hebdomadaire</t>
        </is>
      </c>
      <c r="Q75" s="9" t="inlineStr">
        <is>
          <t>Original (septembre)</t>
        </is>
      </c>
      <c r="R75" s="9" t="inlineStr"/>
      <c r="S75" s="44">
        <f>IF($M75="","",IF(SUMPRODUCT(($D$4:$D$704=$D75)*($M$4:$M$704=$M75)*($F$4:$F$704&lt;$G75)*($G$4:$G$704&gt;$F75))&gt;1,"⚠ CONFLIT",""))</f>
        <v/>
      </c>
      <c r="T75" s="44">
        <f>IF($J75="","",IF(SUMPRODUCT(($D$4:$D$704=$D75)*($J$4:$J$704=$J75)*($F$4:$F$704&lt;$G75)*($G$4:$G$704&gt;$F75))&gt;1,"⚠ CONFLIT",""))</f>
        <v/>
      </c>
      <c r="U75" s="44">
        <f>IF(COUNTIFS($D$4:$D$704,$D75,$J$4:$J$704,$J75,$F$4:$F$704,$F75,$K$4:$K$704,$K75)&gt;1,"⚠ DOUBLON","")</f>
        <v/>
      </c>
      <c r="V75" s="44">
        <f>COUNTIFS($A$4:$A75,$A75,$J$4:$J75,$J75,$E$4:$E75,$E75)</f>
        <v/>
      </c>
      <c r="W75" s="45">
        <f>$A75&amp;"|"&amp;$J75&amp;"|"&amp;$E75&amp;"|"&amp;$V75</f>
        <v/>
      </c>
      <c r="X75" s="46">
        <f>TEXT($F75,"hh:mm")&amp;" - "&amp;TEXT($G75,"hh:mm")&amp;IF($P75="Quinzaine A","   ◆ Q-A",IF($P75="Quinzaine B","   ◆ Q-B",IF($P75="Exception","   ◆ PONCTUEL","")))&amp;CHAR(10)&amp;$K75&amp;CHAR(10)&amp;$M75&amp;IF($N75&lt;&gt;"",CHAR(10)&amp;"Salle "&amp;$N75,"")&amp;IF($O75="En ligne",CHAR(10)&amp;"◆ EN LIGNE","")&amp;IF($R75&lt;&gt;"",CHAR(10)&amp;$R75,"")</f>
        <v/>
      </c>
      <c r="Y75" s="45" t="inlineStr">
        <is>
          <t>15h-17h ALGO (Aymen)</t>
        </is>
      </c>
      <c r="Z75" s="45" t="inlineStr">
        <is>
          <t>du 14-09 jusquà le 20-09!L64</t>
        </is>
      </c>
    </row>
    <row r="76" ht="15" customHeight="1">
      <c r="A76" s="10" t="inlineStr">
        <is>
          <t>S1</t>
        </is>
      </c>
      <c r="B76" s="9" t="inlineStr">
        <is>
          <t>du 14 au 20 septembre 2026</t>
        </is>
      </c>
      <c r="C76" s="10" t="inlineStr">
        <is>
          <t>A</t>
        </is>
      </c>
      <c r="D76" s="41" t="n">
        <v>46284</v>
      </c>
      <c r="E76" s="10" t="inlineStr">
        <is>
          <t>Samedi</t>
        </is>
      </c>
      <c r="F76" s="42" t="n">
        <v>0.7291666666666666</v>
      </c>
      <c r="G76" s="42" t="n">
        <v>0.7916666666666666</v>
      </c>
      <c r="H76" s="43">
        <f>IF(OR($F76="",$G76=""),"",($G76-$F76)*24)</f>
        <v/>
      </c>
      <c r="I76" s="10" t="inlineStr">
        <is>
          <t>Secondaire</t>
        </is>
      </c>
      <c r="J76" s="9" t="inlineStr">
        <is>
          <t>3éme SCE</t>
        </is>
      </c>
      <c r="K76" s="9" t="inlineStr">
        <is>
          <t>SVT</t>
        </is>
      </c>
      <c r="L76" s="9" t="inlineStr">
        <is>
          <t>SVT</t>
        </is>
      </c>
      <c r="M76" s="9" t="inlineStr">
        <is>
          <t>Rym</t>
        </is>
      </c>
      <c r="N76" s="10" t="n"/>
      <c r="O76" s="10" t="n"/>
      <c r="P76" s="10" t="inlineStr">
        <is>
          <t>Hebdomadaire</t>
        </is>
      </c>
      <c r="Q76" s="9" t="inlineStr">
        <is>
          <t>Original (septembre)</t>
        </is>
      </c>
      <c r="R76" s="9" t="inlineStr"/>
      <c r="S76" s="44">
        <f>IF($M76="","",IF(SUMPRODUCT(($D$4:$D$704=$D76)*($M$4:$M$704=$M76)*($F$4:$F$704&lt;$G76)*($G$4:$G$704&gt;$F76))&gt;1,"⚠ CONFLIT",""))</f>
        <v/>
      </c>
      <c r="T76" s="44">
        <f>IF($J76="","",IF(SUMPRODUCT(($D$4:$D$704=$D76)*($J$4:$J$704=$J76)*($F$4:$F$704&lt;$G76)*($G$4:$G$704&gt;$F76))&gt;1,"⚠ CONFLIT",""))</f>
        <v/>
      </c>
      <c r="U76" s="44">
        <f>IF(COUNTIFS($D$4:$D$704,$D76,$J$4:$J$704,$J76,$F$4:$F$704,$F76,$K$4:$K$704,$K76)&gt;1,"⚠ DOUBLON","")</f>
        <v/>
      </c>
      <c r="V76" s="44">
        <f>COUNTIFS($A$4:$A76,$A76,$J$4:$J76,$J76,$E$4:$E76,$E76)</f>
        <v/>
      </c>
      <c r="W76" s="45">
        <f>$A76&amp;"|"&amp;$J76&amp;"|"&amp;$E76&amp;"|"&amp;$V76</f>
        <v/>
      </c>
      <c r="X76" s="46">
        <f>TEXT($F76,"hh:mm")&amp;" - "&amp;TEXT($G76,"hh:mm")&amp;IF($P76="Quinzaine A","   ◆ Q-A",IF($P76="Quinzaine B","   ◆ Q-B",IF($P76="Exception","   ◆ PONCTUEL","")))&amp;CHAR(10)&amp;$K76&amp;CHAR(10)&amp;$M76&amp;IF($N76&lt;&gt;"",CHAR(10)&amp;"Salle "&amp;$N76,"")&amp;IF($O76="En ligne",CHAR(10)&amp;"◆ EN LIGNE","")&amp;IF($R76&lt;&gt;"",CHAR(10)&amp;$R76,"")</f>
        <v/>
      </c>
      <c r="Y76" s="45" t="inlineStr">
        <is>
          <t>17h30-19h SVT (Rym)</t>
        </is>
      </c>
      <c r="Z76" s="45" t="inlineStr">
        <is>
          <t>du 14-09 jusquà le 20-09!L66</t>
        </is>
      </c>
    </row>
    <row r="77" ht="15" customHeight="1">
      <c r="A77" s="10" t="inlineStr">
        <is>
          <t>S1</t>
        </is>
      </c>
      <c r="B77" s="9" t="inlineStr">
        <is>
          <t>du 14 au 20 septembre 2026</t>
        </is>
      </c>
      <c r="C77" s="10" t="inlineStr">
        <is>
          <t>A</t>
        </is>
      </c>
      <c r="D77" s="41" t="n">
        <v>46284</v>
      </c>
      <c r="E77" s="10" t="inlineStr">
        <is>
          <t>Samedi</t>
        </is>
      </c>
      <c r="F77" s="42" t="n">
        <v>0.7708333333333334</v>
      </c>
      <c r="G77" s="42" t="n">
        <v>0.8333333333333334</v>
      </c>
      <c r="H77" s="43">
        <f>IF(OR($F77="",$G77=""),"",($G77-$F77)*24)</f>
        <v/>
      </c>
      <c r="I77" s="10" t="inlineStr">
        <is>
          <t>Bac</t>
        </is>
      </c>
      <c r="J77" s="9" t="inlineStr">
        <is>
          <t>Bac Eco</t>
        </is>
      </c>
      <c r="K77" s="9" t="inlineStr">
        <is>
          <t>Histoire</t>
        </is>
      </c>
      <c r="L77" s="9" t="inlineStr">
        <is>
          <t>Histoire</t>
        </is>
      </c>
      <c r="M77" s="9" t="inlineStr">
        <is>
          <t>Abdelwaheb</t>
        </is>
      </c>
      <c r="N77" s="10" t="n"/>
      <c r="O77" s="10" t="n"/>
      <c r="P77" s="10" t="inlineStr">
        <is>
          <t>Quinzaine A</t>
        </is>
      </c>
      <c r="Q77" s="9" t="inlineStr">
        <is>
          <t>Original (septembre)</t>
        </is>
      </c>
      <c r="R77" s="9" t="inlineStr"/>
      <c r="S77" s="44">
        <f>IF($M77="","",IF(SUMPRODUCT(($D$4:$D$704=$D77)*($M$4:$M$704=$M77)*($F$4:$F$704&lt;$G77)*($G$4:$G$704&gt;$F77))&gt;1,"⚠ CONFLIT",""))</f>
        <v/>
      </c>
      <c r="T77" s="44">
        <f>IF($J77="","",IF(SUMPRODUCT(($D$4:$D$704=$D77)*($J$4:$J$704=$J77)*($F$4:$F$704&lt;$G77)*($G$4:$G$704&gt;$F77))&gt;1,"⚠ CONFLIT",""))</f>
        <v/>
      </c>
      <c r="U77" s="44">
        <f>IF(COUNTIFS($D$4:$D$704,$D77,$J$4:$J$704,$J77,$F$4:$F$704,$F77,$K$4:$K$704,$K77)&gt;1,"⚠ DOUBLON","")</f>
        <v/>
      </c>
      <c r="V77" s="44">
        <f>COUNTIFS($A$4:$A77,$A77,$J$4:$J77,$J77,$E$4:$E77,$E77)</f>
        <v/>
      </c>
      <c r="W77" s="45">
        <f>$A77&amp;"|"&amp;$J77&amp;"|"&amp;$E77&amp;"|"&amp;$V77</f>
        <v/>
      </c>
      <c r="X77" s="46">
        <f>TEXT($F77,"hh:mm")&amp;" - "&amp;TEXT($G77,"hh:mm")&amp;IF($P77="Quinzaine A","   ◆ Q-A",IF($P77="Quinzaine B","   ◆ Q-B",IF($P77="Exception","   ◆ PONCTUEL","")))&amp;CHAR(10)&amp;$K77&amp;CHAR(10)&amp;$M77&amp;IF($N77&lt;&gt;"",CHAR(10)&amp;"Salle "&amp;$N77,"")&amp;IF($O77="En ligne",CHAR(10)&amp;"◆ EN LIGNE","")&amp;IF($R77&lt;&gt;"",CHAR(10)&amp;$R77,"")</f>
        <v/>
      </c>
      <c r="Y77" s="45" t="inlineStr">
        <is>
          <t>18h30-20h Histoire (Abdelwaheb)</t>
        </is>
      </c>
      <c r="Z77" s="45" t="inlineStr">
        <is>
          <t>du 14-09 jusquà le 20-09!L68</t>
        </is>
      </c>
    </row>
    <row r="78" ht="15" customHeight="1">
      <c r="A78" s="10" t="inlineStr">
        <is>
          <t>S1</t>
        </is>
      </c>
      <c r="B78" s="9" t="inlineStr">
        <is>
          <t>du 14 au 20 septembre 2026</t>
        </is>
      </c>
      <c r="C78" s="10" t="inlineStr">
        <is>
          <t>A</t>
        </is>
      </c>
      <c r="D78" s="41" t="n">
        <v>46284</v>
      </c>
      <c r="E78" s="10" t="inlineStr">
        <is>
          <t>Samedi</t>
        </is>
      </c>
      <c r="F78" s="42" t="n">
        <v>0.7916666666666666</v>
      </c>
      <c r="G78" s="42" t="n">
        <v>0.8541666666666666</v>
      </c>
      <c r="H78" s="43">
        <f>IF(OR($F78="",$G78=""),"",($G78-$F78)*24)</f>
        <v/>
      </c>
      <c r="I78" s="10" t="inlineStr">
        <is>
          <t>Bac</t>
        </is>
      </c>
      <c r="J78" s="9" t="inlineStr">
        <is>
          <t>Bac SCE</t>
        </is>
      </c>
      <c r="K78" s="9" t="inlineStr">
        <is>
          <t>SVT</t>
        </is>
      </c>
      <c r="L78" s="9" t="inlineStr">
        <is>
          <t>SVT</t>
        </is>
      </c>
      <c r="M78" s="9" t="inlineStr">
        <is>
          <t>Rym</t>
        </is>
      </c>
      <c r="N78" s="10" t="n"/>
      <c r="O78" s="10" t="n"/>
      <c r="P78" s="10" t="inlineStr">
        <is>
          <t>Hebdomadaire</t>
        </is>
      </c>
      <c r="Q78" s="9" t="inlineStr">
        <is>
          <t>Original (septembre)</t>
        </is>
      </c>
      <c r="R78" s="9" t="inlineStr"/>
      <c r="S78" s="44">
        <f>IF($M78="","",IF(SUMPRODUCT(($D$4:$D$704=$D78)*($M$4:$M$704=$M78)*($F$4:$F$704&lt;$G78)*($G$4:$G$704&gt;$F78))&gt;1,"⚠ CONFLIT",""))</f>
        <v/>
      </c>
      <c r="T78" s="44">
        <f>IF($J78="","",IF(SUMPRODUCT(($D$4:$D$704=$D78)*($J$4:$J$704=$J78)*($F$4:$F$704&lt;$G78)*($G$4:$G$704&gt;$F78))&gt;1,"⚠ CONFLIT",""))</f>
        <v/>
      </c>
      <c r="U78" s="44">
        <f>IF(COUNTIFS($D$4:$D$704,$D78,$J$4:$J$704,$J78,$F$4:$F$704,$F78,$K$4:$K$704,$K78)&gt;1,"⚠ DOUBLON","")</f>
        <v/>
      </c>
      <c r="V78" s="44">
        <f>COUNTIFS($A$4:$A78,$A78,$J$4:$J78,$J78,$E$4:$E78,$E78)</f>
        <v/>
      </c>
      <c r="W78" s="45">
        <f>$A78&amp;"|"&amp;$J78&amp;"|"&amp;$E78&amp;"|"&amp;$V78</f>
        <v/>
      </c>
      <c r="X78" s="46">
        <f>TEXT($F78,"hh:mm")&amp;" - "&amp;TEXT($G78,"hh:mm")&amp;IF($P78="Quinzaine A","   ◆ Q-A",IF($P78="Quinzaine B","   ◆ Q-B",IF($P78="Exception","   ◆ PONCTUEL","")))&amp;CHAR(10)&amp;$K78&amp;CHAR(10)&amp;$M78&amp;IF($N78&lt;&gt;"",CHAR(10)&amp;"Salle "&amp;$N78,"")&amp;IF($O78="En ligne",CHAR(10)&amp;"◆ EN LIGNE","")&amp;IF($R78&lt;&gt;"",CHAR(10)&amp;$R78,"")</f>
        <v/>
      </c>
      <c r="Y78" s="45" t="inlineStr">
        <is>
          <t>19h-20h30 SVT (Rym)</t>
        </is>
      </c>
      <c r="Z78" s="45" t="inlineStr">
        <is>
          <t>du 14-09 jusquà le 20-09!L74</t>
        </is>
      </c>
    </row>
    <row r="79" ht="15" customHeight="1">
      <c r="A79" s="10" t="inlineStr">
        <is>
          <t>S1</t>
        </is>
      </c>
      <c r="B79" s="9" t="inlineStr">
        <is>
          <t>du 14 au 20 septembre 2026</t>
        </is>
      </c>
      <c r="C79" s="10" t="inlineStr">
        <is>
          <t>A</t>
        </is>
      </c>
      <c r="D79" s="41" t="n">
        <v>46284</v>
      </c>
      <c r="E79" s="10" t="inlineStr">
        <is>
          <t>Samedi</t>
        </is>
      </c>
      <c r="F79" s="42" t="n">
        <v>0.7916666666666666</v>
      </c>
      <c r="G79" s="42" t="n">
        <v>0.875</v>
      </c>
      <c r="H79" s="43">
        <f>IF(OR($F79="",$G79=""),"",($G79-$F79)*24)</f>
        <v/>
      </c>
      <c r="I79" s="10" t="inlineStr">
        <is>
          <t>Bac</t>
        </is>
      </c>
      <c r="J79" s="9" t="inlineStr">
        <is>
          <t>Bac INFO</t>
        </is>
      </c>
      <c r="K79" s="9" t="inlineStr">
        <is>
          <t>ALGO</t>
        </is>
      </c>
      <c r="L79" s="9" t="inlineStr">
        <is>
          <t>ALGO</t>
        </is>
      </c>
      <c r="M79" s="9" t="inlineStr">
        <is>
          <t>Heni</t>
        </is>
      </c>
      <c r="N79" s="10" t="n"/>
      <c r="O79" s="10" t="n"/>
      <c r="P79" s="10" t="inlineStr">
        <is>
          <t>Hebdomadaire</t>
        </is>
      </c>
      <c r="Q79" s="9" t="inlineStr">
        <is>
          <t>Original (septembre)</t>
        </is>
      </c>
      <c r="R79" s="9" t="inlineStr"/>
      <c r="S79" s="44">
        <f>IF($M79="","",IF(SUMPRODUCT(($D$4:$D$704=$D79)*($M$4:$M$704=$M79)*($F$4:$F$704&lt;$G79)*($G$4:$G$704&gt;$F79))&gt;1,"⚠ CONFLIT",""))</f>
        <v/>
      </c>
      <c r="T79" s="44">
        <f>IF($J79="","",IF(SUMPRODUCT(($D$4:$D$704=$D79)*($J$4:$J$704=$J79)*($F$4:$F$704&lt;$G79)*($G$4:$G$704&gt;$F79))&gt;1,"⚠ CONFLIT",""))</f>
        <v/>
      </c>
      <c r="U79" s="44">
        <f>IF(COUNTIFS($D$4:$D$704,$D79,$J$4:$J$704,$J79,$F$4:$F$704,$F79,$K$4:$K$704,$K79)&gt;1,"⚠ DOUBLON","")</f>
        <v/>
      </c>
      <c r="V79" s="44">
        <f>COUNTIFS($A$4:$A79,$A79,$J$4:$J79,$J79,$E$4:$E79,$E79)</f>
        <v/>
      </c>
      <c r="W79" s="45">
        <f>$A79&amp;"|"&amp;$J79&amp;"|"&amp;$E79&amp;"|"&amp;$V79</f>
        <v/>
      </c>
      <c r="X79" s="46">
        <f>TEXT($F79,"hh:mm")&amp;" - "&amp;TEXT($G79,"hh:mm")&amp;IF($P79="Quinzaine A","   ◆ Q-A",IF($P79="Quinzaine B","   ◆ Q-B",IF($P79="Exception","   ◆ PONCTUEL","")))&amp;CHAR(10)&amp;$K79&amp;CHAR(10)&amp;$M79&amp;IF($N79&lt;&gt;"",CHAR(10)&amp;"Salle "&amp;$N79,"")&amp;IF($O79="En ligne",CHAR(10)&amp;"◆ EN LIGNE","")&amp;IF($R79&lt;&gt;"",CHAR(10)&amp;$R79,"")</f>
        <v/>
      </c>
      <c r="Y79" s="45" t="inlineStr">
        <is>
          <t>19h-21h ALGO (Heni)</t>
        </is>
      </c>
      <c r="Z79" s="45" t="inlineStr">
        <is>
          <t>du 14-09 jusquà le 20-09!L78</t>
        </is>
      </c>
    </row>
    <row r="80" ht="15" customHeight="1">
      <c r="A80" s="10" t="inlineStr">
        <is>
          <t>S1</t>
        </is>
      </c>
      <c r="B80" s="9" t="inlineStr">
        <is>
          <t>du 14 au 20 septembre 2026</t>
        </is>
      </c>
      <c r="C80" s="10" t="inlineStr">
        <is>
          <t>A</t>
        </is>
      </c>
      <c r="D80" s="41" t="n">
        <v>46285</v>
      </c>
      <c r="E80" s="10" t="inlineStr">
        <is>
          <t>Dimanche</t>
        </is>
      </c>
      <c r="F80" s="42" t="n">
        <v>0.4375</v>
      </c>
      <c r="G80" s="42" t="n">
        <v>0.5</v>
      </c>
      <c r="H80" s="43">
        <f>IF(OR($F80="",$G80=""),"",($G80-$F80)*24)</f>
        <v/>
      </c>
      <c r="I80" s="10" t="inlineStr">
        <is>
          <t>Primaire</t>
        </is>
      </c>
      <c r="J80" s="9" t="inlineStr">
        <is>
          <t>4éme</t>
        </is>
      </c>
      <c r="K80" s="9" t="inlineStr">
        <is>
          <t>Anglais</t>
        </is>
      </c>
      <c r="L80" s="9" t="inlineStr">
        <is>
          <t>Anglais</t>
        </is>
      </c>
      <c r="M80" s="9" t="inlineStr">
        <is>
          <t>Samar</t>
        </is>
      </c>
      <c r="N80" s="10" t="n"/>
      <c r="O80" s="10" t="n"/>
      <c r="P80" s="10" t="inlineStr">
        <is>
          <t>Quinzaine A</t>
        </is>
      </c>
      <c r="Q80" s="9" t="inlineStr">
        <is>
          <t>Original (septembre)</t>
        </is>
      </c>
      <c r="R80" s="9" t="inlineStr"/>
      <c r="S80" s="44">
        <f>IF($M80="","",IF(SUMPRODUCT(($D$4:$D$704=$D80)*($M$4:$M$704=$M80)*($F$4:$F$704&lt;$G80)*($G$4:$G$704&gt;$F80))&gt;1,"⚠ CONFLIT",""))</f>
        <v/>
      </c>
      <c r="T80" s="44">
        <f>IF($J80="","",IF(SUMPRODUCT(($D$4:$D$704=$D80)*($J$4:$J$704=$J80)*($F$4:$F$704&lt;$G80)*($G$4:$G$704&gt;$F80))&gt;1,"⚠ CONFLIT",""))</f>
        <v/>
      </c>
      <c r="U80" s="44">
        <f>IF(COUNTIFS($D$4:$D$704,$D80,$J$4:$J$704,$J80,$F$4:$F$704,$F80,$K$4:$K$704,$K80)&gt;1,"⚠ DOUBLON","")</f>
        <v/>
      </c>
      <c r="V80" s="44">
        <f>COUNTIFS($A$4:$A80,$A80,$J$4:$J80,$J80,$E$4:$E80,$E80)</f>
        <v/>
      </c>
      <c r="W80" s="45">
        <f>$A80&amp;"|"&amp;$J80&amp;"|"&amp;$E80&amp;"|"&amp;$V80</f>
        <v/>
      </c>
      <c r="X80" s="46">
        <f>TEXT($F80,"hh:mm")&amp;" - "&amp;TEXT($G80,"hh:mm")&amp;IF($P80="Quinzaine A","   ◆ Q-A",IF($P80="Quinzaine B","   ◆ Q-B",IF($P80="Exception","   ◆ PONCTUEL","")))&amp;CHAR(10)&amp;$K80&amp;CHAR(10)&amp;$M80&amp;IF($N80&lt;&gt;"",CHAR(10)&amp;"Salle "&amp;$N80,"")&amp;IF($O80="En ligne",CHAR(10)&amp;"◆ EN LIGNE","")&amp;IF($R80&lt;&gt;"",CHAR(10)&amp;$R80,"")</f>
        <v/>
      </c>
      <c r="Y80" s="45" t="inlineStr">
        <is>
          <t>10h30-12h Anglais /par quinzaine (Samar)</t>
        </is>
      </c>
      <c r="Z80" s="45" t="inlineStr">
        <is>
          <t>du 14-09 jusquà le 20-09!M3</t>
        </is>
      </c>
    </row>
    <row r="81" ht="15" customHeight="1">
      <c r="A81" s="10" t="inlineStr">
        <is>
          <t>S1</t>
        </is>
      </c>
      <c r="B81" s="9" t="inlineStr">
        <is>
          <t>du 14 au 20 septembre 2026</t>
        </is>
      </c>
      <c r="C81" s="10" t="inlineStr">
        <is>
          <t>A</t>
        </is>
      </c>
      <c r="D81" s="41" t="n">
        <v>46285</v>
      </c>
      <c r="E81" s="10" t="inlineStr">
        <is>
          <t>Dimanche</t>
        </is>
      </c>
      <c r="F81" s="42" t="n">
        <v>0.5</v>
      </c>
      <c r="G81" s="42" t="n">
        <v>0.5625</v>
      </c>
      <c r="H81" s="43">
        <f>IF(OR($F81="",$G81=""),"",($G81-$F81)*24)</f>
        <v/>
      </c>
      <c r="I81" s="10" t="inlineStr">
        <is>
          <t>Primaire</t>
        </is>
      </c>
      <c r="J81" s="9" t="inlineStr">
        <is>
          <t>6éme Pilote (A)</t>
        </is>
      </c>
      <c r="K81" s="9" t="inlineStr">
        <is>
          <t>Anglais</t>
        </is>
      </c>
      <c r="L81" s="9" t="inlineStr">
        <is>
          <t>Anglais</t>
        </is>
      </c>
      <c r="M81" s="9" t="inlineStr">
        <is>
          <t>Samar</t>
        </is>
      </c>
      <c r="N81" s="10" t="n"/>
      <c r="O81" s="10" t="n"/>
      <c r="P81" s="10" t="inlineStr">
        <is>
          <t>Quinzaine A</t>
        </is>
      </c>
      <c r="Q81" s="9" t="inlineStr">
        <is>
          <t>Original (septembre)</t>
        </is>
      </c>
      <c r="R81" s="9" t="inlineStr"/>
      <c r="S81" s="44">
        <f>IF($M81="","",IF(SUMPRODUCT(($D$4:$D$704=$D81)*($M$4:$M$704=$M81)*($F$4:$F$704&lt;$G81)*($G$4:$G$704&gt;$F81))&gt;1,"⚠ CONFLIT",""))</f>
        <v/>
      </c>
      <c r="T81" s="44">
        <f>IF($J81="","",IF(SUMPRODUCT(($D$4:$D$704=$D81)*($J$4:$J$704=$J81)*($F$4:$F$704&lt;$G81)*($G$4:$G$704&gt;$F81))&gt;1,"⚠ CONFLIT",""))</f>
        <v/>
      </c>
      <c r="U81" s="44">
        <f>IF(COUNTIFS($D$4:$D$704,$D81,$J$4:$J$704,$J81,$F$4:$F$704,$F81,$K$4:$K$704,$K81)&gt;1,"⚠ DOUBLON","")</f>
        <v/>
      </c>
      <c r="V81" s="44">
        <f>COUNTIFS($A$4:$A81,$A81,$J$4:$J81,$J81,$E$4:$E81,$E81)</f>
        <v/>
      </c>
      <c r="W81" s="45">
        <f>$A81&amp;"|"&amp;$J81&amp;"|"&amp;$E81&amp;"|"&amp;$V81</f>
        <v/>
      </c>
      <c r="X81" s="46">
        <f>TEXT($F81,"hh:mm")&amp;" - "&amp;TEXT($G81,"hh:mm")&amp;IF($P81="Quinzaine A","   ◆ Q-A",IF($P81="Quinzaine B","   ◆ Q-B",IF($P81="Exception","   ◆ PONCTUEL","")))&amp;CHAR(10)&amp;$K81&amp;CHAR(10)&amp;$M81&amp;IF($N81&lt;&gt;"",CHAR(10)&amp;"Salle "&amp;$N81,"")&amp;IF($O81="En ligne",CHAR(10)&amp;"◆ EN LIGNE","")&amp;IF($R81&lt;&gt;"",CHAR(10)&amp;$R81,"")</f>
        <v/>
      </c>
      <c r="Y81" s="45" t="inlineStr">
        <is>
          <t>12h-13h30 Anglais /par quinzaine (Samar)</t>
        </is>
      </c>
      <c r="Z81" s="45" t="inlineStr">
        <is>
          <t>du 14-09 jusquà le 20-09!M12</t>
        </is>
      </c>
    </row>
    <row r="82" ht="15" customHeight="1">
      <c r="A82" s="10" t="inlineStr">
        <is>
          <t>S1</t>
        </is>
      </c>
      <c r="B82" s="9" t="inlineStr">
        <is>
          <t>du 14 au 20 septembre 2026</t>
        </is>
      </c>
      <c r="C82" s="10" t="inlineStr">
        <is>
          <t>A</t>
        </is>
      </c>
      <c r="D82" s="41" t="n">
        <v>46285</v>
      </c>
      <c r="E82" s="10" t="inlineStr">
        <is>
          <t>Dimanche</t>
        </is>
      </c>
      <c r="F82" s="42" t="n">
        <v>0.5833333333333334</v>
      </c>
      <c r="G82" s="42" t="n">
        <v>0.6458333333333334</v>
      </c>
      <c r="H82" s="43">
        <f>IF(OR($F82="",$G82=""),"",($G82-$F82)*24)</f>
        <v/>
      </c>
      <c r="I82" s="10" t="inlineStr">
        <is>
          <t>Collège</t>
        </is>
      </c>
      <c r="J82" s="9" t="inlineStr">
        <is>
          <t>7éme (A)</t>
        </is>
      </c>
      <c r="K82" s="9" t="inlineStr">
        <is>
          <t>Français</t>
        </is>
      </c>
      <c r="L82" s="9" t="inlineStr">
        <is>
          <t>Français</t>
        </is>
      </c>
      <c r="M82" s="9" t="inlineStr">
        <is>
          <t>Marwa</t>
        </is>
      </c>
      <c r="N82" s="10" t="n"/>
      <c r="O82" s="10" t="n"/>
      <c r="P82" s="10" t="inlineStr">
        <is>
          <t>Hebdomadaire</t>
        </is>
      </c>
      <c r="Q82" s="9" t="inlineStr">
        <is>
          <t>Original (septembre)</t>
        </is>
      </c>
      <c r="R82" s="9" t="inlineStr"/>
      <c r="S82" s="44">
        <f>IF($M82="","",IF(SUMPRODUCT(($D$4:$D$704=$D82)*($M$4:$M$704=$M82)*($F$4:$F$704&lt;$G82)*($G$4:$G$704&gt;$F82))&gt;1,"⚠ CONFLIT",""))</f>
        <v/>
      </c>
      <c r="T82" s="44">
        <f>IF($J82="","",IF(SUMPRODUCT(($D$4:$D$704=$D82)*($J$4:$J$704=$J82)*($F$4:$F$704&lt;$G82)*($G$4:$G$704&gt;$F82))&gt;1,"⚠ CONFLIT",""))</f>
        <v/>
      </c>
      <c r="U82" s="44">
        <f>IF(COUNTIFS($D$4:$D$704,$D82,$J$4:$J$704,$J82,$F$4:$F$704,$F82,$K$4:$K$704,$K82)&gt;1,"⚠ DOUBLON","")</f>
        <v/>
      </c>
      <c r="V82" s="44">
        <f>COUNTIFS($A$4:$A82,$A82,$J$4:$J82,$J82,$E$4:$E82,$E82)</f>
        <v/>
      </c>
      <c r="W82" s="45">
        <f>$A82&amp;"|"&amp;$J82&amp;"|"&amp;$E82&amp;"|"&amp;$V82</f>
        <v/>
      </c>
      <c r="X82" s="46">
        <f>TEXT($F82,"hh:mm")&amp;" - "&amp;TEXT($G82,"hh:mm")&amp;IF($P82="Quinzaine A","   ◆ Q-A",IF($P82="Quinzaine B","   ◆ Q-B",IF($P82="Exception","   ◆ PONCTUEL","")))&amp;CHAR(10)&amp;$K82&amp;CHAR(10)&amp;$M82&amp;IF($N82&lt;&gt;"",CHAR(10)&amp;"Salle "&amp;$N82,"")&amp;IF($O82="En ligne",CHAR(10)&amp;"◆ EN LIGNE","")&amp;IF($R82&lt;&gt;"",CHAR(10)&amp;$R82,"")</f>
        <v/>
      </c>
      <c r="Y82" s="45" t="inlineStr">
        <is>
          <t>14h-15h30 Français (Marwa)</t>
        </is>
      </c>
      <c r="Z82" s="45" t="inlineStr">
        <is>
          <t>du 14-09 jusquà le 20-09!M19</t>
        </is>
      </c>
    </row>
    <row r="83" ht="15" customHeight="1">
      <c r="A83" s="10" t="inlineStr">
        <is>
          <t>S1</t>
        </is>
      </c>
      <c r="B83" s="9" t="inlineStr">
        <is>
          <t>du 14 au 20 septembre 2026</t>
        </is>
      </c>
      <c r="C83" s="10" t="inlineStr">
        <is>
          <t>A</t>
        </is>
      </c>
      <c r="D83" s="41" t="n">
        <v>46285</v>
      </c>
      <c r="E83" s="10" t="inlineStr">
        <is>
          <t>Dimanche</t>
        </is>
      </c>
      <c r="F83" s="42" t="n">
        <v>0.6458333333333334</v>
      </c>
      <c r="G83" s="42" t="n">
        <v>0.7083333333333334</v>
      </c>
      <c r="H83" s="43">
        <f>IF(OR($F83="",$G83=""),"",($G83-$F83)*24)</f>
        <v/>
      </c>
      <c r="I83" s="10" t="inlineStr">
        <is>
          <t>Collège</t>
        </is>
      </c>
      <c r="J83" s="9" t="inlineStr">
        <is>
          <t>7éme (B)</t>
        </is>
      </c>
      <c r="K83" s="9" t="inlineStr">
        <is>
          <t>Français</t>
        </is>
      </c>
      <c r="L83" s="9" t="inlineStr">
        <is>
          <t>Français</t>
        </is>
      </c>
      <c r="M83" s="9" t="inlineStr">
        <is>
          <t>Marwa</t>
        </is>
      </c>
      <c r="N83" s="10" t="n"/>
      <c r="O83" s="10" t="n"/>
      <c r="P83" s="10" t="inlineStr">
        <is>
          <t>Hebdomadaire</t>
        </is>
      </c>
      <c r="Q83" s="9" t="inlineStr">
        <is>
          <t>Original (septembre)</t>
        </is>
      </c>
      <c r="R83" s="9" t="inlineStr"/>
      <c r="S83" s="44">
        <f>IF($M83="","",IF(SUMPRODUCT(($D$4:$D$704=$D83)*($M$4:$M$704=$M83)*($F$4:$F$704&lt;$G83)*($G$4:$G$704&gt;$F83))&gt;1,"⚠ CONFLIT",""))</f>
        <v/>
      </c>
      <c r="T83" s="44">
        <f>IF($J83="","",IF(SUMPRODUCT(($D$4:$D$704=$D83)*($J$4:$J$704=$J83)*($F$4:$F$704&lt;$G83)*($G$4:$G$704&gt;$F83))&gt;1,"⚠ CONFLIT",""))</f>
        <v/>
      </c>
      <c r="U83" s="44">
        <f>IF(COUNTIFS($D$4:$D$704,$D83,$J$4:$J$704,$J83,$F$4:$F$704,$F83,$K$4:$K$704,$K83)&gt;1,"⚠ DOUBLON","")</f>
        <v/>
      </c>
      <c r="V83" s="44">
        <f>COUNTIFS($A$4:$A83,$A83,$J$4:$J83,$J83,$E$4:$E83,$E83)</f>
        <v/>
      </c>
      <c r="W83" s="45">
        <f>$A83&amp;"|"&amp;$J83&amp;"|"&amp;$E83&amp;"|"&amp;$V83</f>
        <v/>
      </c>
      <c r="X83" s="46">
        <f>TEXT($F83,"hh:mm")&amp;" - "&amp;TEXT($G83,"hh:mm")&amp;IF($P83="Quinzaine A","   ◆ Q-A",IF($P83="Quinzaine B","   ◆ Q-B",IF($P83="Exception","   ◆ PONCTUEL","")))&amp;CHAR(10)&amp;$K83&amp;CHAR(10)&amp;$M83&amp;IF($N83&lt;&gt;"",CHAR(10)&amp;"Salle "&amp;$N83,"")&amp;IF($O83="En ligne",CHAR(10)&amp;"◆ EN LIGNE","")&amp;IF($R83&lt;&gt;"",CHAR(10)&amp;$R83,"")</f>
        <v/>
      </c>
      <c r="Y83" s="45" t="inlineStr">
        <is>
          <t>15h30-17h Français (Marwa)</t>
        </is>
      </c>
      <c r="Z83" s="45" t="inlineStr">
        <is>
          <t>du 14-09 jusquà le 20-09!M23</t>
        </is>
      </c>
    </row>
    <row r="84" ht="15" customHeight="1">
      <c r="A84" s="10" t="inlineStr">
        <is>
          <t>S1</t>
        </is>
      </c>
      <c r="B84" s="9" t="inlineStr">
        <is>
          <t>du 14 au 20 septembre 2026</t>
        </is>
      </c>
      <c r="C84" s="10" t="inlineStr">
        <is>
          <t>A</t>
        </is>
      </c>
      <c r="D84" s="41" t="n">
        <v>46285</v>
      </c>
      <c r="E84" s="10" t="inlineStr">
        <is>
          <t>Dimanche</t>
        </is>
      </c>
      <c r="F84" s="42" t="n">
        <v>0.5625</v>
      </c>
      <c r="G84" s="42" t="n">
        <v>0.625</v>
      </c>
      <c r="H84" s="43">
        <f>IF(OR($F84="",$G84=""),"",($G84-$F84)*24)</f>
        <v/>
      </c>
      <c r="I84" s="10" t="inlineStr">
        <is>
          <t>Collège</t>
        </is>
      </c>
      <c r="J84" s="9" t="inlineStr">
        <is>
          <t>8éme (A)</t>
        </is>
      </c>
      <c r="K84" s="9" t="inlineStr">
        <is>
          <t>Math</t>
        </is>
      </c>
      <c r="L84" s="9" t="inlineStr">
        <is>
          <t>Math</t>
        </is>
      </c>
      <c r="M84" s="9" t="inlineStr">
        <is>
          <t>Hajer</t>
        </is>
      </c>
      <c r="N84" s="10" t="n"/>
      <c r="O84" s="10" t="n"/>
      <c r="P84" s="10" t="inlineStr">
        <is>
          <t>Hebdomadaire</t>
        </is>
      </c>
      <c r="Q84" s="9" t="inlineStr">
        <is>
          <t>Original (septembre)</t>
        </is>
      </c>
      <c r="R84" s="9" t="inlineStr"/>
      <c r="S84" s="44">
        <f>IF($M84="","",IF(SUMPRODUCT(($D$4:$D$704=$D84)*($M$4:$M$704=$M84)*($F$4:$F$704&lt;$G84)*($G$4:$G$704&gt;$F84))&gt;1,"⚠ CONFLIT",""))</f>
        <v/>
      </c>
      <c r="T84" s="44">
        <f>IF($J84="","",IF(SUMPRODUCT(($D$4:$D$704=$D84)*($J$4:$J$704=$J84)*($F$4:$F$704&lt;$G84)*($G$4:$G$704&gt;$F84))&gt;1,"⚠ CONFLIT",""))</f>
        <v/>
      </c>
      <c r="U84" s="44">
        <f>IF(COUNTIFS($D$4:$D$704,$D84,$J$4:$J$704,$J84,$F$4:$F$704,$F84,$K$4:$K$704,$K84)&gt;1,"⚠ DOUBLON","")</f>
        <v/>
      </c>
      <c r="V84" s="44">
        <f>COUNTIFS($A$4:$A84,$A84,$J$4:$J84,$J84,$E$4:$E84,$E84)</f>
        <v/>
      </c>
      <c r="W84" s="45">
        <f>$A84&amp;"|"&amp;$J84&amp;"|"&amp;$E84&amp;"|"&amp;$V84</f>
        <v/>
      </c>
      <c r="X84" s="46">
        <f>TEXT($F84,"hh:mm")&amp;" - "&amp;TEXT($G84,"hh:mm")&amp;IF($P84="Quinzaine A","   ◆ Q-A",IF($P84="Quinzaine B","   ◆ Q-B",IF($P84="Exception","   ◆ PONCTUEL","")))&amp;CHAR(10)&amp;$K84&amp;CHAR(10)&amp;$M84&amp;IF($N84&lt;&gt;"",CHAR(10)&amp;"Salle "&amp;$N84,"")&amp;IF($O84="En ligne",CHAR(10)&amp;"◆ EN LIGNE","")&amp;IF($R84&lt;&gt;"",CHAR(10)&amp;$R84,"")</f>
        <v/>
      </c>
      <c r="Y84" s="45" t="inlineStr">
        <is>
          <t>13h30-15h Math (Hajer)</t>
        </is>
      </c>
      <c r="Z84" s="45" t="inlineStr">
        <is>
          <t>du 14-09 jusquà le 20-09!M27</t>
        </is>
      </c>
    </row>
    <row r="85" ht="15" customHeight="1">
      <c r="A85" s="10" t="inlineStr">
        <is>
          <t>S1</t>
        </is>
      </c>
      <c r="B85" s="9" t="inlineStr">
        <is>
          <t>du 14 au 20 septembre 2026</t>
        </is>
      </c>
      <c r="C85" s="10" t="inlineStr">
        <is>
          <t>A</t>
        </is>
      </c>
      <c r="D85" s="41" t="n">
        <v>46285</v>
      </c>
      <c r="E85" s="10" t="inlineStr">
        <is>
          <t>Dimanche</t>
        </is>
      </c>
      <c r="F85" s="42" t="n">
        <v>0.7083333333333334</v>
      </c>
      <c r="G85" s="42" t="n">
        <v>0.7708333333333334</v>
      </c>
      <c r="H85" s="43">
        <f>IF(OR($F85="",$G85=""),"",($G85-$F85)*24)</f>
        <v/>
      </c>
      <c r="I85" s="10" t="inlineStr">
        <is>
          <t>Collège</t>
        </is>
      </c>
      <c r="J85" s="9" t="inlineStr">
        <is>
          <t>8éme (B)</t>
        </is>
      </c>
      <c r="K85" s="9" t="inlineStr">
        <is>
          <t>Français</t>
        </is>
      </c>
      <c r="L85" s="9" t="inlineStr">
        <is>
          <t>Français</t>
        </is>
      </c>
      <c r="M85" s="9" t="inlineStr">
        <is>
          <t>Marwa</t>
        </is>
      </c>
      <c r="N85" s="10" t="n"/>
      <c r="O85" s="10" t="n"/>
      <c r="P85" s="10" t="inlineStr">
        <is>
          <t>Hebdomadaire</t>
        </is>
      </c>
      <c r="Q85" s="9" t="inlineStr">
        <is>
          <t>Original (septembre)</t>
        </is>
      </c>
      <c r="R85" s="9" t="inlineStr"/>
      <c r="S85" s="44">
        <f>IF($M85="","",IF(SUMPRODUCT(($D$4:$D$704=$D85)*($M$4:$M$704=$M85)*($F$4:$F$704&lt;$G85)*($G$4:$G$704&gt;$F85))&gt;1,"⚠ CONFLIT",""))</f>
        <v/>
      </c>
      <c r="T85" s="44">
        <f>IF($J85="","",IF(SUMPRODUCT(($D$4:$D$704=$D85)*($J$4:$J$704=$J85)*($F$4:$F$704&lt;$G85)*($G$4:$G$704&gt;$F85))&gt;1,"⚠ CONFLIT",""))</f>
        <v/>
      </c>
      <c r="U85" s="44">
        <f>IF(COUNTIFS($D$4:$D$704,$D85,$J$4:$J$704,$J85,$F$4:$F$704,$F85,$K$4:$K$704,$K85)&gt;1,"⚠ DOUBLON","")</f>
        <v/>
      </c>
      <c r="V85" s="44">
        <f>COUNTIFS($A$4:$A85,$A85,$J$4:$J85,$J85,$E$4:$E85,$E85)</f>
        <v/>
      </c>
      <c r="W85" s="45">
        <f>$A85&amp;"|"&amp;$J85&amp;"|"&amp;$E85&amp;"|"&amp;$V85</f>
        <v/>
      </c>
      <c r="X85" s="46">
        <f>TEXT($F85,"hh:mm")&amp;" - "&amp;TEXT($G85,"hh:mm")&amp;IF($P85="Quinzaine A","   ◆ Q-A",IF($P85="Quinzaine B","   ◆ Q-B",IF($P85="Exception","   ◆ PONCTUEL","")))&amp;CHAR(10)&amp;$K85&amp;CHAR(10)&amp;$M85&amp;IF($N85&lt;&gt;"",CHAR(10)&amp;"Salle "&amp;$N85,"")&amp;IF($O85="En ligne",CHAR(10)&amp;"◆ EN LIGNE","")&amp;IF($R85&lt;&gt;"",CHAR(10)&amp;$R85,"")</f>
        <v/>
      </c>
      <c r="Y85" s="45" t="inlineStr">
        <is>
          <t>17h-18h30 Français (Marwa)</t>
        </is>
      </c>
      <c r="Z85" s="45" t="inlineStr">
        <is>
          <t>du 14-09 jusquà le 20-09!M31</t>
        </is>
      </c>
    </row>
    <row r="86" ht="15" customHeight="1">
      <c r="A86" s="10" t="inlineStr">
        <is>
          <t>S1</t>
        </is>
      </c>
      <c r="B86" s="9" t="inlineStr">
        <is>
          <t>du 14 au 20 septembre 2026</t>
        </is>
      </c>
      <c r="C86" s="10" t="inlineStr">
        <is>
          <t>A</t>
        </is>
      </c>
      <c r="D86" s="41" t="n">
        <v>46285</v>
      </c>
      <c r="E86" s="10" t="inlineStr">
        <is>
          <t>Dimanche</t>
        </is>
      </c>
      <c r="F86" s="42" t="n">
        <v>0.4375</v>
      </c>
      <c r="G86" s="42" t="n">
        <v>0.5</v>
      </c>
      <c r="H86" s="43">
        <f>IF(OR($F86="",$G86=""),"",($G86-$F86)*24)</f>
        <v/>
      </c>
      <c r="I86" s="10" t="inlineStr">
        <is>
          <t>Collège</t>
        </is>
      </c>
      <c r="J86" s="9" t="inlineStr">
        <is>
          <t>9éme (A)</t>
        </is>
      </c>
      <c r="K86" s="9" t="inlineStr">
        <is>
          <t>Anglais</t>
        </is>
      </c>
      <c r="L86" s="9" t="inlineStr">
        <is>
          <t>Anglais</t>
        </is>
      </c>
      <c r="M86" s="9" t="inlineStr">
        <is>
          <t>Bassma</t>
        </is>
      </c>
      <c r="N86" s="10" t="n"/>
      <c r="O86" s="10" t="n"/>
      <c r="P86" s="10" t="inlineStr">
        <is>
          <t>Hebdomadaire</t>
        </is>
      </c>
      <c r="Q86" s="9" t="inlineStr">
        <is>
          <t>Original (septembre)</t>
        </is>
      </c>
      <c r="R86" s="9" t="inlineStr"/>
      <c r="S86" s="44">
        <f>IF($M86="","",IF(SUMPRODUCT(($D$4:$D$704=$D86)*($M$4:$M$704=$M86)*($F$4:$F$704&lt;$G86)*($G$4:$G$704&gt;$F86))&gt;1,"⚠ CONFLIT",""))</f>
        <v/>
      </c>
      <c r="T86" s="44">
        <f>IF($J86="","",IF(SUMPRODUCT(($D$4:$D$704=$D86)*($J$4:$J$704=$J86)*($F$4:$F$704&lt;$G86)*($G$4:$G$704&gt;$F86))&gt;1,"⚠ CONFLIT",""))</f>
        <v/>
      </c>
      <c r="U86" s="44">
        <f>IF(COUNTIFS($D$4:$D$704,$D86,$J$4:$J$704,$J86,$F$4:$F$704,$F86,$K$4:$K$704,$K86)&gt;1,"⚠ DOUBLON","")</f>
        <v/>
      </c>
      <c r="V86" s="44">
        <f>COUNTIFS($A$4:$A86,$A86,$J$4:$J86,$J86,$E$4:$E86,$E86)</f>
        <v/>
      </c>
      <c r="W86" s="45">
        <f>$A86&amp;"|"&amp;$J86&amp;"|"&amp;$E86&amp;"|"&amp;$V86</f>
        <v/>
      </c>
      <c r="X86" s="46">
        <f>TEXT($F86,"hh:mm")&amp;" - "&amp;TEXT($G86,"hh:mm")&amp;IF($P86="Quinzaine A","   ◆ Q-A",IF($P86="Quinzaine B","   ◆ Q-B",IF($P86="Exception","   ◆ PONCTUEL","")))&amp;CHAR(10)&amp;$K86&amp;CHAR(10)&amp;$M86&amp;IF($N86&lt;&gt;"",CHAR(10)&amp;"Salle "&amp;$N86,"")&amp;IF($O86="En ligne",CHAR(10)&amp;"◆ EN LIGNE","")&amp;IF($R86&lt;&gt;"",CHAR(10)&amp;$R86,"")</f>
        <v/>
      </c>
      <c r="Y86" s="45" t="inlineStr">
        <is>
          <t>10h30-12h Anglais (Bassma)</t>
        </is>
      </c>
      <c r="Z86" s="45" t="inlineStr">
        <is>
          <t>du 14-09 jusquà le 20-09!M36</t>
        </is>
      </c>
    </row>
    <row r="87" ht="15" customHeight="1">
      <c r="A87" s="10" t="inlineStr">
        <is>
          <t>S1</t>
        </is>
      </c>
      <c r="B87" s="9" t="inlineStr">
        <is>
          <t>du 14 au 20 septembre 2026</t>
        </is>
      </c>
      <c r="C87" s="10" t="inlineStr">
        <is>
          <t>A</t>
        </is>
      </c>
      <c r="D87" s="41" t="n">
        <v>46285</v>
      </c>
      <c r="E87" s="10" t="inlineStr">
        <is>
          <t>Dimanche</t>
        </is>
      </c>
      <c r="F87" s="42" t="n">
        <v>0.6458333333333334</v>
      </c>
      <c r="G87" s="42" t="n">
        <v>0.7083333333333334</v>
      </c>
      <c r="H87" s="43">
        <f>IF(OR($F87="",$G87=""),"",($G87-$F87)*24)</f>
        <v/>
      </c>
      <c r="I87" s="10" t="inlineStr">
        <is>
          <t>Collège</t>
        </is>
      </c>
      <c r="J87" s="9" t="inlineStr">
        <is>
          <t>9éme (A)</t>
        </is>
      </c>
      <c r="K87" s="9" t="inlineStr">
        <is>
          <t>Français</t>
        </is>
      </c>
      <c r="L87" s="9" t="inlineStr">
        <is>
          <t>Français</t>
        </is>
      </c>
      <c r="M87" s="9" t="inlineStr">
        <is>
          <t>Nassima</t>
        </is>
      </c>
      <c r="N87" s="10" t="n"/>
      <c r="O87" s="10" t="n"/>
      <c r="P87" s="10" t="inlineStr">
        <is>
          <t>Hebdomadaire</t>
        </is>
      </c>
      <c r="Q87" s="9" t="inlineStr">
        <is>
          <t>Original (septembre)</t>
        </is>
      </c>
      <c r="R87" s="9" t="inlineStr"/>
      <c r="S87" s="44">
        <f>IF($M87="","",IF(SUMPRODUCT(($D$4:$D$704=$D87)*($M$4:$M$704=$M87)*($F$4:$F$704&lt;$G87)*($G$4:$G$704&gt;$F87))&gt;1,"⚠ CONFLIT",""))</f>
        <v/>
      </c>
      <c r="T87" s="44">
        <f>IF($J87="","",IF(SUMPRODUCT(($D$4:$D$704=$D87)*($J$4:$J$704=$J87)*($F$4:$F$704&lt;$G87)*($G$4:$G$704&gt;$F87))&gt;1,"⚠ CONFLIT",""))</f>
        <v/>
      </c>
      <c r="U87" s="44">
        <f>IF(COUNTIFS($D$4:$D$704,$D87,$J$4:$J$704,$J87,$F$4:$F$704,$F87,$K$4:$K$704,$K87)&gt;1,"⚠ DOUBLON","")</f>
        <v/>
      </c>
      <c r="V87" s="44">
        <f>COUNTIFS($A$4:$A87,$A87,$J$4:$J87,$J87,$E$4:$E87,$E87)</f>
        <v/>
      </c>
      <c r="W87" s="45">
        <f>$A87&amp;"|"&amp;$J87&amp;"|"&amp;$E87&amp;"|"&amp;$V87</f>
        <v/>
      </c>
      <c r="X87" s="46">
        <f>TEXT($F87,"hh:mm")&amp;" - "&amp;TEXT($G87,"hh:mm")&amp;IF($P87="Quinzaine A","   ◆ Q-A",IF($P87="Quinzaine B","   ◆ Q-B",IF($P87="Exception","   ◆ PONCTUEL","")))&amp;CHAR(10)&amp;$K87&amp;CHAR(10)&amp;$M87&amp;IF($N87&lt;&gt;"",CHAR(10)&amp;"Salle "&amp;$N87,"")&amp;IF($O87="En ligne",CHAR(10)&amp;"◆ EN LIGNE","")&amp;IF($R87&lt;&gt;"",CHAR(10)&amp;$R87,"")</f>
        <v/>
      </c>
      <c r="Y87" s="45" t="inlineStr">
        <is>
          <t>15h30-17h Français (Nassima)</t>
        </is>
      </c>
      <c r="Z87" s="45" t="inlineStr">
        <is>
          <t>du 14-09 jusquà le 20-09!M39</t>
        </is>
      </c>
    </row>
    <row r="88" ht="15" customHeight="1">
      <c r="A88" s="10" t="inlineStr">
        <is>
          <t>S1</t>
        </is>
      </c>
      <c r="B88" s="9" t="inlineStr">
        <is>
          <t>du 14 au 20 septembre 2026</t>
        </is>
      </c>
      <c r="C88" s="10" t="inlineStr">
        <is>
          <t>A</t>
        </is>
      </c>
      <c r="D88" s="41" t="n">
        <v>46285</v>
      </c>
      <c r="E88" s="10" t="inlineStr">
        <is>
          <t>Dimanche</t>
        </is>
      </c>
      <c r="F88" s="42" t="n">
        <v>0.375</v>
      </c>
      <c r="G88" s="42" t="n">
        <v>0.4375</v>
      </c>
      <c r="H88" s="43">
        <f>IF(OR($F88="",$G88=""),"",($G88-$F88)*24)</f>
        <v/>
      </c>
      <c r="I88" s="10" t="inlineStr">
        <is>
          <t>Collège</t>
        </is>
      </c>
      <c r="J88" s="9" t="inlineStr">
        <is>
          <t>9éme (B)</t>
        </is>
      </c>
      <c r="K88" s="9" t="inlineStr">
        <is>
          <t>Anglais</t>
        </is>
      </c>
      <c r="L88" s="9" t="inlineStr">
        <is>
          <t>Anglais</t>
        </is>
      </c>
      <c r="M88" s="9" t="inlineStr">
        <is>
          <t>Bassma</t>
        </is>
      </c>
      <c r="N88" s="10" t="n"/>
      <c r="O88" s="10" t="n"/>
      <c r="P88" s="10" t="inlineStr">
        <is>
          <t>Hebdomadaire</t>
        </is>
      </c>
      <c r="Q88" s="9" t="inlineStr">
        <is>
          <t>Original (septembre)</t>
        </is>
      </c>
      <c r="R88" s="9" t="inlineStr"/>
      <c r="S88" s="44">
        <f>IF($M88="","",IF(SUMPRODUCT(($D$4:$D$704=$D88)*($M$4:$M$704=$M88)*($F$4:$F$704&lt;$G88)*($G$4:$G$704&gt;$F88))&gt;1,"⚠ CONFLIT",""))</f>
        <v/>
      </c>
      <c r="T88" s="44">
        <f>IF($J88="","",IF(SUMPRODUCT(($D$4:$D$704=$D88)*($J$4:$J$704=$J88)*($F$4:$F$704&lt;$G88)*($G$4:$G$704&gt;$F88))&gt;1,"⚠ CONFLIT",""))</f>
        <v/>
      </c>
      <c r="U88" s="44">
        <f>IF(COUNTIFS($D$4:$D$704,$D88,$J$4:$J$704,$J88,$F$4:$F$704,$F88,$K$4:$K$704,$K88)&gt;1,"⚠ DOUBLON","")</f>
        <v/>
      </c>
      <c r="V88" s="44">
        <f>COUNTIFS($A$4:$A88,$A88,$J$4:$J88,$J88,$E$4:$E88,$E88)</f>
        <v/>
      </c>
      <c r="W88" s="45">
        <f>$A88&amp;"|"&amp;$J88&amp;"|"&amp;$E88&amp;"|"&amp;$V88</f>
        <v/>
      </c>
      <c r="X88" s="46">
        <f>TEXT($F88,"hh:mm")&amp;" - "&amp;TEXT($G88,"hh:mm")&amp;IF($P88="Quinzaine A","   ◆ Q-A",IF($P88="Quinzaine B","   ◆ Q-B",IF($P88="Exception","   ◆ PONCTUEL","")))&amp;CHAR(10)&amp;$K88&amp;CHAR(10)&amp;$M88&amp;IF($N88&lt;&gt;"",CHAR(10)&amp;"Salle "&amp;$N88,"")&amp;IF($O88="En ligne",CHAR(10)&amp;"◆ EN LIGNE","")&amp;IF($R88&lt;&gt;"",CHAR(10)&amp;$R88,"")</f>
        <v/>
      </c>
      <c r="Y88" s="45" t="inlineStr">
        <is>
          <t>9h-10h30 Anglais (Bassma)</t>
        </is>
      </c>
      <c r="Z88" s="45" t="inlineStr">
        <is>
          <t>du 14-09 jusquà le 20-09!M43</t>
        </is>
      </c>
    </row>
    <row r="89" ht="15" customHeight="1">
      <c r="A89" s="10" t="inlineStr">
        <is>
          <t>S1</t>
        </is>
      </c>
      <c r="B89" s="9" t="inlineStr">
        <is>
          <t>du 14 au 20 septembre 2026</t>
        </is>
      </c>
      <c r="C89" s="10" t="inlineStr">
        <is>
          <t>A</t>
        </is>
      </c>
      <c r="D89" s="41" t="n">
        <v>46285</v>
      </c>
      <c r="E89" s="10" t="inlineStr">
        <is>
          <t>Dimanche</t>
        </is>
      </c>
      <c r="F89" s="42" t="n">
        <v>0.7083333333333334</v>
      </c>
      <c r="G89" s="42" t="n">
        <v>0.7708333333333334</v>
      </c>
      <c r="H89" s="43">
        <f>IF(OR($F89="",$G89=""),"",($G89-$F89)*24)</f>
        <v/>
      </c>
      <c r="I89" s="10" t="inlineStr">
        <is>
          <t>Collège</t>
        </is>
      </c>
      <c r="J89" s="9" t="inlineStr">
        <is>
          <t>9éme (B)</t>
        </is>
      </c>
      <c r="K89" s="9" t="inlineStr">
        <is>
          <t>Français</t>
        </is>
      </c>
      <c r="L89" s="9" t="inlineStr">
        <is>
          <t>Français</t>
        </is>
      </c>
      <c r="M89" s="9" t="inlineStr">
        <is>
          <t>Nassima</t>
        </is>
      </c>
      <c r="N89" s="10" t="n"/>
      <c r="O89" s="10" t="n"/>
      <c r="P89" s="10" t="inlineStr">
        <is>
          <t>Hebdomadaire</t>
        </is>
      </c>
      <c r="Q89" s="9" t="inlineStr">
        <is>
          <t>Original (septembre)</t>
        </is>
      </c>
      <c r="R89" s="9" t="inlineStr"/>
      <c r="S89" s="44">
        <f>IF($M89="","",IF(SUMPRODUCT(($D$4:$D$704=$D89)*($M$4:$M$704=$M89)*($F$4:$F$704&lt;$G89)*($G$4:$G$704&gt;$F89))&gt;1,"⚠ CONFLIT",""))</f>
        <v/>
      </c>
      <c r="T89" s="44">
        <f>IF($J89="","",IF(SUMPRODUCT(($D$4:$D$704=$D89)*($J$4:$J$704=$J89)*($F$4:$F$704&lt;$G89)*($G$4:$G$704&gt;$F89))&gt;1,"⚠ CONFLIT",""))</f>
        <v/>
      </c>
      <c r="U89" s="44">
        <f>IF(COUNTIFS($D$4:$D$704,$D89,$J$4:$J$704,$J89,$F$4:$F$704,$F89,$K$4:$K$704,$K89)&gt;1,"⚠ DOUBLON","")</f>
        <v/>
      </c>
      <c r="V89" s="44">
        <f>COUNTIFS($A$4:$A89,$A89,$J$4:$J89,$J89,$E$4:$E89,$E89)</f>
        <v/>
      </c>
      <c r="W89" s="45">
        <f>$A89&amp;"|"&amp;$J89&amp;"|"&amp;$E89&amp;"|"&amp;$V89</f>
        <v/>
      </c>
      <c r="X89" s="46">
        <f>TEXT($F89,"hh:mm")&amp;" - "&amp;TEXT($G89,"hh:mm")&amp;IF($P89="Quinzaine A","   ◆ Q-A",IF($P89="Quinzaine B","   ◆ Q-B",IF($P89="Exception","   ◆ PONCTUEL","")))&amp;CHAR(10)&amp;$K89&amp;CHAR(10)&amp;$M89&amp;IF($N89&lt;&gt;"",CHAR(10)&amp;"Salle "&amp;$N89,"")&amp;IF($O89="En ligne",CHAR(10)&amp;"◆ EN LIGNE","")&amp;IF($R89&lt;&gt;"",CHAR(10)&amp;$R89,"")</f>
        <v/>
      </c>
      <c r="Y89" s="45" t="inlineStr">
        <is>
          <t>17h-18h30 Français (Nassima)</t>
        </is>
      </c>
      <c r="Z89" s="45" t="inlineStr">
        <is>
          <t>du 14-09 jusquà le 20-09!M45</t>
        </is>
      </c>
    </row>
    <row r="90" ht="15" customHeight="1">
      <c r="A90" s="10" t="inlineStr">
        <is>
          <t>S1</t>
        </is>
      </c>
      <c r="B90" s="9" t="inlineStr">
        <is>
          <t>du 14 au 20 septembre 2026</t>
        </is>
      </c>
      <c r="C90" s="10" t="inlineStr">
        <is>
          <t>A</t>
        </is>
      </c>
      <c r="D90" s="41" t="n">
        <v>46285</v>
      </c>
      <c r="E90" s="10" t="inlineStr">
        <is>
          <t>Dimanche</t>
        </is>
      </c>
      <c r="F90" s="42" t="n">
        <v>0.375</v>
      </c>
      <c r="G90" s="42" t="n">
        <v>0.4375</v>
      </c>
      <c r="H90" s="43">
        <f>IF(OR($F90="",$G90=""),"",($G90-$F90)*24)</f>
        <v/>
      </c>
      <c r="I90" s="10" t="inlineStr">
        <is>
          <t>Secondaire</t>
        </is>
      </c>
      <c r="J90" s="9" t="inlineStr">
        <is>
          <t>1ére (A)</t>
        </is>
      </c>
      <c r="K90" s="9" t="inlineStr">
        <is>
          <t>Physique</t>
        </is>
      </c>
      <c r="L90" s="9" t="inlineStr">
        <is>
          <t>Physique</t>
        </is>
      </c>
      <c r="M90" s="9" t="inlineStr">
        <is>
          <t>Refka</t>
        </is>
      </c>
      <c r="N90" s="10" t="n"/>
      <c r="O90" s="10" t="n"/>
      <c r="P90" s="10" t="inlineStr">
        <is>
          <t>Hebdomadaire</t>
        </is>
      </c>
      <c r="Q90" s="9" t="inlineStr">
        <is>
          <t>Original (septembre)</t>
        </is>
      </c>
      <c r="R90" s="9" t="inlineStr"/>
      <c r="S90" s="44">
        <f>IF($M90="","",IF(SUMPRODUCT(($D$4:$D$704=$D90)*($M$4:$M$704=$M90)*($F$4:$F$704&lt;$G90)*($G$4:$G$704&gt;$F90))&gt;1,"⚠ CONFLIT",""))</f>
        <v/>
      </c>
      <c r="T90" s="44">
        <f>IF($J90="","",IF(SUMPRODUCT(($D$4:$D$704=$D90)*($J$4:$J$704=$J90)*($F$4:$F$704&lt;$G90)*($G$4:$G$704&gt;$F90))&gt;1,"⚠ CONFLIT",""))</f>
        <v/>
      </c>
      <c r="U90" s="44">
        <f>IF(COUNTIFS($D$4:$D$704,$D90,$J$4:$J$704,$J90,$F$4:$F$704,$F90,$K$4:$K$704,$K90)&gt;1,"⚠ DOUBLON","")</f>
        <v/>
      </c>
      <c r="V90" s="44">
        <f>COUNTIFS($A$4:$A90,$A90,$J$4:$J90,$J90,$E$4:$E90,$E90)</f>
        <v/>
      </c>
      <c r="W90" s="45">
        <f>$A90&amp;"|"&amp;$J90&amp;"|"&amp;$E90&amp;"|"&amp;$V90</f>
        <v/>
      </c>
      <c r="X90" s="46">
        <f>TEXT($F90,"hh:mm")&amp;" - "&amp;TEXT($G90,"hh:mm")&amp;IF($P90="Quinzaine A","   ◆ Q-A",IF($P90="Quinzaine B","   ◆ Q-B",IF($P90="Exception","   ◆ PONCTUEL","")))&amp;CHAR(10)&amp;$K90&amp;CHAR(10)&amp;$M90&amp;IF($N90&lt;&gt;"",CHAR(10)&amp;"Salle "&amp;$N90,"")&amp;IF($O90="En ligne",CHAR(10)&amp;"◆ EN LIGNE","")&amp;IF($R90&lt;&gt;"",CHAR(10)&amp;$R90,"")</f>
        <v/>
      </c>
      <c r="Y90" s="45" t="inlineStr">
        <is>
          <t>9h-10h30 Physique (Refka)</t>
        </is>
      </c>
      <c r="Z90" s="45" t="inlineStr">
        <is>
          <t>du 14-09 jusquà le 20-09!M48</t>
        </is>
      </c>
    </row>
    <row r="91" ht="15" customHeight="1">
      <c r="A91" s="10" t="inlineStr">
        <is>
          <t>S1</t>
        </is>
      </c>
      <c r="B91" s="9" t="inlineStr">
        <is>
          <t>du 14 au 20 septembre 2026</t>
        </is>
      </c>
      <c r="C91" s="10" t="inlineStr">
        <is>
          <t>A</t>
        </is>
      </c>
      <c r="D91" s="41" t="n">
        <v>46285</v>
      </c>
      <c r="E91" s="10" t="inlineStr">
        <is>
          <t>Dimanche</t>
        </is>
      </c>
      <c r="F91" s="42" t="n">
        <v>0.5416666666666666</v>
      </c>
      <c r="G91" s="42" t="n">
        <v>0.6041666666666666</v>
      </c>
      <c r="H91" s="43">
        <f>IF(OR($F91="",$G91=""),"",($G91-$F91)*24)</f>
        <v/>
      </c>
      <c r="I91" s="10" t="inlineStr">
        <is>
          <t>Secondaire</t>
        </is>
      </c>
      <c r="J91" s="9" t="inlineStr">
        <is>
          <t>1ére (A)</t>
        </is>
      </c>
      <c r="K91" s="9" t="inlineStr">
        <is>
          <t>SVT</t>
        </is>
      </c>
      <c r="L91" s="9" t="inlineStr">
        <is>
          <t>SVT</t>
        </is>
      </c>
      <c r="M91" s="9" t="inlineStr">
        <is>
          <t>Imen Ghoumeme</t>
        </is>
      </c>
      <c r="N91" s="10" t="n"/>
      <c r="O91" s="10" t="n"/>
      <c r="P91" s="10" t="inlineStr">
        <is>
          <t>Quinzaine A</t>
        </is>
      </c>
      <c r="Q91" s="9" t="inlineStr">
        <is>
          <t>Original (septembre)</t>
        </is>
      </c>
      <c r="R91" s="9" t="inlineStr"/>
      <c r="S91" s="44">
        <f>IF($M91="","",IF(SUMPRODUCT(($D$4:$D$704=$D91)*($M$4:$M$704=$M91)*($F$4:$F$704&lt;$G91)*($G$4:$G$704&gt;$F91))&gt;1,"⚠ CONFLIT",""))</f>
        <v/>
      </c>
      <c r="T91" s="44">
        <f>IF($J91="","",IF(SUMPRODUCT(($D$4:$D$704=$D91)*($J$4:$J$704=$J91)*($F$4:$F$704&lt;$G91)*($G$4:$G$704&gt;$F91))&gt;1,"⚠ CONFLIT",""))</f>
        <v/>
      </c>
      <c r="U91" s="44">
        <f>IF(COUNTIFS($D$4:$D$704,$D91,$J$4:$J$704,$J91,$F$4:$F$704,$F91,$K$4:$K$704,$K91)&gt;1,"⚠ DOUBLON","")</f>
        <v/>
      </c>
      <c r="V91" s="44">
        <f>COUNTIFS($A$4:$A91,$A91,$J$4:$J91,$J91,$E$4:$E91,$E91)</f>
        <v/>
      </c>
      <c r="W91" s="45">
        <f>$A91&amp;"|"&amp;$J91&amp;"|"&amp;$E91&amp;"|"&amp;$V91</f>
        <v/>
      </c>
      <c r="X91" s="46">
        <f>TEXT($F91,"hh:mm")&amp;" - "&amp;TEXT($G91,"hh:mm")&amp;IF($P91="Quinzaine A","   ◆ Q-A",IF($P91="Quinzaine B","   ◆ Q-B",IF($P91="Exception","   ◆ PONCTUEL","")))&amp;CHAR(10)&amp;$K91&amp;CHAR(10)&amp;$M91&amp;IF($N91&lt;&gt;"",CHAR(10)&amp;"Salle "&amp;$N91,"")&amp;IF($O91="En ligne",CHAR(10)&amp;"◆ EN LIGNE","")&amp;IF($R91&lt;&gt;"",CHAR(10)&amp;$R91,"")</f>
        <v/>
      </c>
      <c r="Y91" s="45" t="inlineStr">
        <is>
          <t>13h-14h30 SVT (Imen Ghoumeme) /par quinzaine</t>
        </is>
      </c>
      <c r="Z91" s="45" t="inlineStr">
        <is>
          <t>du 14-09 jusquà le 20-09!M50</t>
        </is>
      </c>
    </row>
    <row r="92" ht="15" customHeight="1">
      <c r="A92" s="10" t="inlineStr">
        <is>
          <t>S1</t>
        </is>
      </c>
      <c r="B92" s="9" t="inlineStr">
        <is>
          <t>du 14 au 20 septembre 2026</t>
        </is>
      </c>
      <c r="C92" s="10" t="inlineStr">
        <is>
          <t>A</t>
        </is>
      </c>
      <c r="D92" s="41" t="n">
        <v>46285</v>
      </c>
      <c r="E92" s="10" t="inlineStr">
        <is>
          <t>Dimanche</t>
        </is>
      </c>
      <c r="F92" s="42" t="n">
        <v>0.4375</v>
      </c>
      <c r="G92" s="42" t="n">
        <v>0.5</v>
      </c>
      <c r="H92" s="43">
        <f>IF(OR($F92="",$G92=""),"",($G92-$F92)*24)</f>
        <v/>
      </c>
      <c r="I92" s="10" t="inlineStr">
        <is>
          <t>Secondaire</t>
        </is>
      </c>
      <c r="J92" s="9" t="inlineStr">
        <is>
          <t>1ére (B)</t>
        </is>
      </c>
      <c r="K92" s="9" t="inlineStr">
        <is>
          <t>Physique</t>
        </is>
      </c>
      <c r="L92" s="9" t="inlineStr">
        <is>
          <t>Physique</t>
        </is>
      </c>
      <c r="M92" s="9" t="inlineStr">
        <is>
          <t>Refka</t>
        </is>
      </c>
      <c r="N92" s="10" t="n"/>
      <c r="O92" s="10" t="n"/>
      <c r="P92" s="10" t="inlineStr">
        <is>
          <t>Hebdomadaire</t>
        </is>
      </c>
      <c r="Q92" s="9" t="inlineStr">
        <is>
          <t>Original (septembre)</t>
        </is>
      </c>
      <c r="R92" s="9" t="inlineStr"/>
      <c r="S92" s="44">
        <f>IF($M92="","",IF(SUMPRODUCT(($D$4:$D$704=$D92)*($M$4:$M$704=$M92)*($F$4:$F$704&lt;$G92)*($G$4:$G$704&gt;$F92))&gt;1,"⚠ CONFLIT",""))</f>
        <v/>
      </c>
      <c r="T92" s="44">
        <f>IF($J92="","",IF(SUMPRODUCT(($D$4:$D$704=$D92)*($J$4:$J$704=$J92)*($F$4:$F$704&lt;$G92)*($G$4:$G$704&gt;$F92))&gt;1,"⚠ CONFLIT",""))</f>
        <v/>
      </c>
      <c r="U92" s="44">
        <f>IF(COUNTIFS($D$4:$D$704,$D92,$J$4:$J$704,$J92,$F$4:$F$704,$F92,$K$4:$K$704,$K92)&gt;1,"⚠ DOUBLON","")</f>
        <v/>
      </c>
      <c r="V92" s="44">
        <f>COUNTIFS($A$4:$A92,$A92,$J$4:$J92,$J92,$E$4:$E92,$E92)</f>
        <v/>
      </c>
      <c r="W92" s="45">
        <f>$A92&amp;"|"&amp;$J92&amp;"|"&amp;$E92&amp;"|"&amp;$V92</f>
        <v/>
      </c>
      <c r="X92" s="46">
        <f>TEXT($F92,"hh:mm")&amp;" - "&amp;TEXT($G92,"hh:mm")&amp;IF($P92="Quinzaine A","   ◆ Q-A",IF($P92="Quinzaine B","   ◆ Q-B",IF($P92="Exception","   ◆ PONCTUEL","")))&amp;CHAR(10)&amp;$K92&amp;CHAR(10)&amp;$M92&amp;IF($N92&lt;&gt;"",CHAR(10)&amp;"Salle "&amp;$N92,"")&amp;IF($O92="En ligne",CHAR(10)&amp;"◆ EN LIGNE","")&amp;IF($R92&lt;&gt;"",CHAR(10)&amp;$R92,"")</f>
        <v/>
      </c>
      <c r="Y92" s="45" t="inlineStr">
        <is>
          <t>10h30-12h Physique (Refka)</t>
        </is>
      </c>
      <c r="Z92" s="45" t="inlineStr">
        <is>
          <t>du 14-09 jusquà le 20-09!M52</t>
        </is>
      </c>
    </row>
    <row r="93" ht="15" customHeight="1">
      <c r="A93" s="10" t="inlineStr">
        <is>
          <t>S1</t>
        </is>
      </c>
      <c r="B93" s="9" t="inlineStr">
        <is>
          <t>du 14 au 20 septembre 2026</t>
        </is>
      </c>
      <c r="C93" s="10" t="inlineStr">
        <is>
          <t>A</t>
        </is>
      </c>
      <c r="D93" s="41" t="n">
        <v>46285</v>
      </c>
      <c r="E93" s="10" t="inlineStr">
        <is>
          <t>Dimanche</t>
        </is>
      </c>
      <c r="F93" s="42" t="n">
        <v>0.375</v>
      </c>
      <c r="G93" s="42" t="n">
        <v>0.4375</v>
      </c>
      <c r="H93" s="43">
        <f>IF(OR($F93="",$G93=""),"",($G93-$F93)*24)</f>
        <v/>
      </c>
      <c r="I93" s="10" t="inlineStr">
        <is>
          <t>Secondaire</t>
        </is>
      </c>
      <c r="J93" s="9" t="inlineStr">
        <is>
          <t>2éme Eco</t>
        </is>
      </c>
      <c r="K93" s="9" t="inlineStr">
        <is>
          <t>Eco</t>
        </is>
      </c>
      <c r="L93" s="9" t="inlineStr">
        <is>
          <t>Eco</t>
        </is>
      </c>
      <c r="M93" s="9" t="inlineStr">
        <is>
          <t>Rym</t>
        </is>
      </c>
      <c r="N93" s="10" t="n"/>
      <c r="O93" s="10" t="n"/>
      <c r="P93" s="10" t="inlineStr">
        <is>
          <t>Hebdomadaire</t>
        </is>
      </c>
      <c r="Q93" s="9" t="inlineStr">
        <is>
          <t>Original (septembre)</t>
        </is>
      </c>
      <c r="R93" s="9" t="inlineStr"/>
      <c r="S93" s="44">
        <f>IF($M93="","",IF(SUMPRODUCT(($D$4:$D$704=$D93)*($M$4:$M$704=$M93)*($F$4:$F$704&lt;$G93)*($G$4:$G$704&gt;$F93))&gt;1,"⚠ CONFLIT",""))</f>
        <v/>
      </c>
      <c r="T93" s="44">
        <f>IF($J93="","",IF(SUMPRODUCT(($D$4:$D$704=$D93)*($J$4:$J$704=$J93)*($F$4:$F$704&lt;$G93)*($G$4:$G$704&gt;$F93))&gt;1,"⚠ CONFLIT",""))</f>
        <v/>
      </c>
      <c r="U93" s="44">
        <f>IF(COUNTIFS($D$4:$D$704,$D93,$J$4:$J$704,$J93,$F$4:$F$704,$F93,$K$4:$K$704,$K93)&gt;1,"⚠ DOUBLON","")</f>
        <v/>
      </c>
      <c r="V93" s="44">
        <f>COUNTIFS($A$4:$A93,$A93,$J$4:$J93,$J93,$E$4:$E93,$E93)</f>
        <v/>
      </c>
      <c r="W93" s="45">
        <f>$A93&amp;"|"&amp;$J93&amp;"|"&amp;$E93&amp;"|"&amp;$V93</f>
        <v/>
      </c>
      <c r="X93" s="46">
        <f>TEXT($F93,"hh:mm")&amp;" - "&amp;TEXT($G93,"hh:mm")&amp;IF($P93="Quinzaine A","   ◆ Q-A",IF($P93="Quinzaine B","   ◆ Q-B",IF($P93="Exception","   ◆ PONCTUEL","")))&amp;CHAR(10)&amp;$K93&amp;CHAR(10)&amp;$M93&amp;IF($N93&lt;&gt;"",CHAR(10)&amp;"Salle "&amp;$N93,"")&amp;IF($O93="En ligne",CHAR(10)&amp;"◆ EN LIGNE","")&amp;IF($R93&lt;&gt;"",CHAR(10)&amp;$R93,"")</f>
        <v/>
      </c>
      <c r="Y93" s="45" t="inlineStr">
        <is>
          <t>9h-10h30 Eco (Rym)</t>
        </is>
      </c>
      <c r="Z93" s="45" t="inlineStr">
        <is>
          <t>du 14-09 jusquà le 20-09!M56</t>
        </is>
      </c>
    </row>
    <row r="94" ht="15" customHeight="1">
      <c r="A94" s="10" t="inlineStr">
        <is>
          <t>S1</t>
        </is>
      </c>
      <c r="B94" s="9" t="inlineStr">
        <is>
          <t>du 14 au 20 septembre 2026</t>
        </is>
      </c>
      <c r="C94" s="10" t="inlineStr">
        <is>
          <t>A</t>
        </is>
      </c>
      <c r="D94" s="41" t="n">
        <v>46285</v>
      </c>
      <c r="E94" s="10" t="inlineStr">
        <is>
          <t>Dimanche</t>
        </is>
      </c>
      <c r="F94" s="42" t="n">
        <v>0.5</v>
      </c>
      <c r="G94" s="42" t="n">
        <v>0.5625</v>
      </c>
      <c r="H94" s="43">
        <f>IF(OR($F94="",$G94=""),"",($G94-$F94)*24)</f>
        <v/>
      </c>
      <c r="I94" s="10" t="inlineStr">
        <is>
          <t>Secondaire</t>
        </is>
      </c>
      <c r="J94" s="9" t="inlineStr">
        <is>
          <t>2éme SCE</t>
        </is>
      </c>
      <c r="K94" s="9" t="inlineStr">
        <is>
          <t>Physique</t>
        </is>
      </c>
      <c r="L94" s="9" t="inlineStr">
        <is>
          <t>Physique</t>
        </is>
      </c>
      <c r="M94" s="9" t="inlineStr">
        <is>
          <t>Refka</t>
        </is>
      </c>
      <c r="N94" s="10" t="n"/>
      <c r="O94" s="10" t="n"/>
      <c r="P94" s="10" t="inlineStr">
        <is>
          <t>Hebdomadaire</t>
        </is>
      </c>
      <c r="Q94" s="9" t="inlineStr">
        <is>
          <t>Original (septembre)</t>
        </is>
      </c>
      <c r="R94" s="9" t="inlineStr"/>
      <c r="S94" s="44">
        <f>IF($M94="","",IF(SUMPRODUCT(($D$4:$D$704=$D94)*($M$4:$M$704=$M94)*($F$4:$F$704&lt;$G94)*($G$4:$G$704&gt;$F94))&gt;1,"⚠ CONFLIT",""))</f>
        <v/>
      </c>
      <c r="T94" s="44">
        <f>IF($J94="","",IF(SUMPRODUCT(($D$4:$D$704=$D94)*($J$4:$J$704=$J94)*($F$4:$F$704&lt;$G94)*($G$4:$G$704&gt;$F94))&gt;1,"⚠ CONFLIT",""))</f>
        <v/>
      </c>
      <c r="U94" s="44">
        <f>IF(COUNTIFS($D$4:$D$704,$D94,$J$4:$J$704,$J94,$F$4:$F$704,$F94,$K$4:$K$704,$K94)&gt;1,"⚠ DOUBLON","")</f>
        <v/>
      </c>
      <c r="V94" s="44">
        <f>COUNTIFS($A$4:$A94,$A94,$J$4:$J94,$J94,$E$4:$E94,$E94)</f>
        <v/>
      </c>
      <c r="W94" s="45">
        <f>$A94&amp;"|"&amp;$J94&amp;"|"&amp;$E94&amp;"|"&amp;$V94</f>
        <v/>
      </c>
      <c r="X94" s="46">
        <f>TEXT($F94,"hh:mm")&amp;" - "&amp;TEXT($G94,"hh:mm")&amp;IF($P94="Quinzaine A","   ◆ Q-A",IF($P94="Quinzaine B","   ◆ Q-B",IF($P94="Exception","   ◆ PONCTUEL","")))&amp;CHAR(10)&amp;$K94&amp;CHAR(10)&amp;$M94&amp;IF($N94&lt;&gt;"",CHAR(10)&amp;"Salle "&amp;$N94,"")&amp;IF($O94="En ligne",CHAR(10)&amp;"◆ EN LIGNE","")&amp;IF($R94&lt;&gt;"",CHAR(10)&amp;$R94,"")</f>
        <v/>
      </c>
      <c r="Y94" s="45" t="inlineStr">
        <is>
          <t>12h-13h30 Physique (Refka)</t>
        </is>
      </c>
      <c r="Z94" s="45" t="inlineStr">
        <is>
          <t>du 14-09 jusquà le 20-09!M58</t>
        </is>
      </c>
    </row>
    <row r="95" ht="15" customHeight="1">
      <c r="A95" s="10" t="inlineStr">
        <is>
          <t>S1</t>
        </is>
      </c>
      <c r="B95" s="9" t="inlineStr">
        <is>
          <t>du 14 au 20 septembre 2026</t>
        </is>
      </c>
      <c r="C95" s="10" t="inlineStr">
        <is>
          <t>A</t>
        </is>
      </c>
      <c r="D95" s="41" t="n">
        <v>46285</v>
      </c>
      <c r="E95" s="10" t="inlineStr">
        <is>
          <t>Dimanche</t>
        </is>
      </c>
      <c r="F95" s="42" t="n">
        <v>0.4375</v>
      </c>
      <c r="G95" s="42" t="n">
        <v>0.5</v>
      </c>
      <c r="H95" s="43">
        <f>IF(OR($F95="",$G95=""),"",($G95-$F95)*24)</f>
        <v/>
      </c>
      <c r="I95" s="10" t="inlineStr">
        <is>
          <t>Secondaire</t>
        </is>
      </c>
      <c r="J95" s="9" t="inlineStr">
        <is>
          <t>3éme Eco</t>
        </is>
      </c>
      <c r="K95" s="9" t="inlineStr">
        <is>
          <t>Eco</t>
        </is>
      </c>
      <c r="L95" s="9" t="inlineStr">
        <is>
          <t>Eco</t>
        </is>
      </c>
      <c r="M95" s="9" t="inlineStr">
        <is>
          <t>Rym</t>
        </is>
      </c>
      <c r="N95" s="10" t="n"/>
      <c r="O95" s="10" t="n"/>
      <c r="P95" s="10" t="inlineStr">
        <is>
          <t>Hebdomadaire</t>
        </is>
      </c>
      <c r="Q95" s="9" t="inlineStr">
        <is>
          <t>Original (septembre)</t>
        </is>
      </c>
      <c r="R95" s="9" t="inlineStr"/>
      <c r="S95" s="44">
        <f>IF($M95="","",IF(SUMPRODUCT(($D$4:$D$704=$D95)*($M$4:$M$704=$M95)*($F$4:$F$704&lt;$G95)*($G$4:$G$704&gt;$F95))&gt;1,"⚠ CONFLIT",""))</f>
        <v/>
      </c>
      <c r="T95" s="44">
        <f>IF($J95="","",IF(SUMPRODUCT(($D$4:$D$704=$D95)*($J$4:$J$704=$J95)*($F$4:$F$704&lt;$G95)*($G$4:$G$704&gt;$F95))&gt;1,"⚠ CONFLIT",""))</f>
        <v/>
      </c>
      <c r="U95" s="44">
        <f>IF(COUNTIFS($D$4:$D$704,$D95,$J$4:$J$704,$J95,$F$4:$F$704,$F95,$K$4:$K$704,$K95)&gt;1,"⚠ DOUBLON","")</f>
        <v/>
      </c>
      <c r="V95" s="44">
        <f>COUNTIFS($A$4:$A95,$A95,$J$4:$J95,$J95,$E$4:$E95,$E95)</f>
        <v/>
      </c>
      <c r="W95" s="45">
        <f>$A95&amp;"|"&amp;$J95&amp;"|"&amp;$E95&amp;"|"&amp;$V95</f>
        <v/>
      </c>
      <c r="X95" s="46">
        <f>TEXT($F95,"hh:mm")&amp;" - "&amp;TEXT($G95,"hh:mm")&amp;IF($P95="Quinzaine A","   ◆ Q-A",IF($P95="Quinzaine B","   ◆ Q-B",IF($P95="Exception","   ◆ PONCTUEL","")))&amp;CHAR(10)&amp;$K95&amp;CHAR(10)&amp;$M95&amp;IF($N95&lt;&gt;"",CHAR(10)&amp;"Salle "&amp;$N95,"")&amp;IF($O95="En ligne",CHAR(10)&amp;"◆ EN LIGNE","")&amp;IF($R95&lt;&gt;"",CHAR(10)&amp;$R95,"")</f>
        <v/>
      </c>
      <c r="Y95" s="45" t="inlineStr">
        <is>
          <t>10h30-12h Eco (Rym)</t>
        </is>
      </c>
      <c r="Z95" s="45" t="inlineStr">
        <is>
          <t>du 14-09 jusquà le 20-09!M62</t>
        </is>
      </c>
    </row>
    <row r="96" ht="15" customHeight="1">
      <c r="A96" s="10" t="inlineStr">
        <is>
          <t>S1</t>
        </is>
      </c>
      <c r="B96" s="9" t="inlineStr">
        <is>
          <t>du 14 au 20 septembre 2026</t>
        </is>
      </c>
      <c r="C96" s="10" t="inlineStr">
        <is>
          <t>A</t>
        </is>
      </c>
      <c r="D96" s="41" t="n">
        <v>46285</v>
      </c>
      <c r="E96" s="10" t="inlineStr">
        <is>
          <t>Dimanche</t>
        </is>
      </c>
      <c r="F96" s="42" t="n">
        <v>0.6666666666666666</v>
      </c>
      <c r="G96" s="42" t="n">
        <v>0.7291666666666666</v>
      </c>
      <c r="H96" s="43">
        <f>IF(OR($F96="",$G96=""),"",($G96-$F96)*24)</f>
        <v/>
      </c>
      <c r="I96" s="10" t="inlineStr">
        <is>
          <t>Secondaire</t>
        </is>
      </c>
      <c r="J96" s="9" t="inlineStr">
        <is>
          <t>3éme Eco</t>
        </is>
      </c>
      <c r="K96" s="9" t="inlineStr">
        <is>
          <t>Math</t>
        </is>
      </c>
      <c r="L96" s="9" t="inlineStr">
        <is>
          <t>Math</t>
        </is>
      </c>
      <c r="M96" s="9" t="inlineStr">
        <is>
          <t>Lotfi</t>
        </is>
      </c>
      <c r="N96" s="10" t="n"/>
      <c r="O96" s="10" t="n"/>
      <c r="P96" s="10" t="inlineStr">
        <is>
          <t>Hebdomadaire</t>
        </is>
      </c>
      <c r="Q96" s="9" t="inlineStr">
        <is>
          <t>Original (septembre)</t>
        </is>
      </c>
      <c r="R96" s="9" t="inlineStr"/>
      <c r="S96" s="44">
        <f>IF($M96="","",IF(SUMPRODUCT(($D$4:$D$704=$D96)*($M$4:$M$704=$M96)*($F$4:$F$704&lt;$G96)*($G$4:$G$704&gt;$F96))&gt;1,"⚠ CONFLIT",""))</f>
        <v/>
      </c>
      <c r="T96" s="44">
        <f>IF($J96="","",IF(SUMPRODUCT(($D$4:$D$704=$D96)*($J$4:$J$704=$J96)*($F$4:$F$704&lt;$G96)*($G$4:$G$704&gt;$F96))&gt;1,"⚠ CONFLIT",""))</f>
        <v/>
      </c>
      <c r="U96" s="44">
        <f>IF(COUNTIFS($D$4:$D$704,$D96,$J$4:$J$704,$J96,$F$4:$F$704,$F96,$K$4:$K$704,$K96)&gt;1,"⚠ DOUBLON","")</f>
        <v/>
      </c>
      <c r="V96" s="44">
        <f>COUNTIFS($A$4:$A96,$A96,$J$4:$J96,$J96,$E$4:$E96,$E96)</f>
        <v/>
      </c>
      <c r="W96" s="45">
        <f>$A96&amp;"|"&amp;$J96&amp;"|"&amp;$E96&amp;"|"&amp;$V96</f>
        <v/>
      </c>
      <c r="X96" s="46">
        <f>TEXT($F96,"hh:mm")&amp;" - "&amp;TEXT($G96,"hh:mm")&amp;IF($P96="Quinzaine A","   ◆ Q-A",IF($P96="Quinzaine B","   ◆ Q-B",IF($P96="Exception","   ◆ PONCTUEL","")))&amp;CHAR(10)&amp;$K96&amp;CHAR(10)&amp;$M96&amp;IF($N96&lt;&gt;"",CHAR(10)&amp;"Salle "&amp;$N96,"")&amp;IF($O96="En ligne",CHAR(10)&amp;"◆ EN LIGNE","")&amp;IF($R96&lt;&gt;"",CHAR(10)&amp;$R96,"")</f>
        <v/>
      </c>
      <c r="Y96" s="45" t="inlineStr">
        <is>
          <t>16h-17h30 Math (Lotfi)</t>
        </is>
      </c>
      <c r="Z96" s="45" t="inlineStr">
        <is>
          <t>du 14-09 jusquà le 20-09!M63</t>
        </is>
      </c>
    </row>
    <row r="97" ht="15" customHeight="1">
      <c r="A97" s="10" t="inlineStr">
        <is>
          <t>S1</t>
        </is>
      </c>
      <c r="B97" s="9" t="inlineStr">
        <is>
          <t>du 14 au 20 septembre 2026</t>
        </is>
      </c>
      <c r="C97" s="10" t="inlineStr">
        <is>
          <t>A</t>
        </is>
      </c>
      <c r="D97" s="41" t="n">
        <v>46285</v>
      </c>
      <c r="E97" s="10" t="inlineStr">
        <is>
          <t>Dimanche</t>
        </is>
      </c>
      <c r="F97" s="42" t="n">
        <v>0.7291666666666666</v>
      </c>
      <c r="G97" s="42" t="n">
        <v>0.7916666666666666</v>
      </c>
      <c r="H97" s="43">
        <f>IF(OR($F97="",$G97=""),"",($G97-$F97)*24)</f>
        <v/>
      </c>
      <c r="I97" s="10" t="inlineStr">
        <is>
          <t>Secondaire</t>
        </is>
      </c>
      <c r="J97" s="9" t="inlineStr">
        <is>
          <t>3éme INFO</t>
        </is>
      </c>
      <c r="K97" s="9" t="inlineStr">
        <is>
          <t>Math</t>
        </is>
      </c>
      <c r="L97" s="9" t="inlineStr">
        <is>
          <t>Math</t>
        </is>
      </c>
      <c r="M97" s="9" t="inlineStr">
        <is>
          <t>Lotfi</t>
        </is>
      </c>
      <c r="N97" s="10" t="n"/>
      <c r="O97" s="10" t="n"/>
      <c r="P97" s="10" t="inlineStr">
        <is>
          <t>Hebdomadaire</t>
        </is>
      </c>
      <c r="Q97" s="9" t="inlineStr">
        <is>
          <t>Original (septembre)</t>
        </is>
      </c>
      <c r="R97" s="9" t="inlineStr"/>
      <c r="S97" s="44">
        <f>IF($M97="","",IF(SUMPRODUCT(($D$4:$D$704=$D97)*($M$4:$M$704=$M97)*($F$4:$F$704&lt;$G97)*($G$4:$G$704&gt;$F97))&gt;1,"⚠ CONFLIT",""))</f>
        <v/>
      </c>
      <c r="T97" s="44">
        <f>IF($J97="","",IF(SUMPRODUCT(($D$4:$D$704=$D97)*($J$4:$J$704=$J97)*($F$4:$F$704&lt;$G97)*($G$4:$G$704&gt;$F97))&gt;1,"⚠ CONFLIT",""))</f>
        <v/>
      </c>
      <c r="U97" s="44">
        <f>IF(COUNTIFS($D$4:$D$704,$D97,$J$4:$J$704,$J97,$F$4:$F$704,$F97,$K$4:$K$704,$K97)&gt;1,"⚠ DOUBLON","")</f>
        <v/>
      </c>
      <c r="V97" s="44">
        <f>COUNTIFS($A$4:$A97,$A97,$J$4:$J97,$J97,$E$4:$E97,$E97)</f>
        <v/>
      </c>
      <c r="W97" s="45">
        <f>$A97&amp;"|"&amp;$J97&amp;"|"&amp;$E97&amp;"|"&amp;$V97</f>
        <v/>
      </c>
      <c r="X97" s="46">
        <f>TEXT($F97,"hh:mm")&amp;" - "&amp;TEXT($G97,"hh:mm")&amp;IF($P97="Quinzaine A","   ◆ Q-A",IF($P97="Quinzaine B","   ◆ Q-B",IF($P97="Exception","   ◆ PONCTUEL","")))&amp;CHAR(10)&amp;$K97&amp;CHAR(10)&amp;$M97&amp;IF($N97&lt;&gt;"",CHAR(10)&amp;"Salle "&amp;$N97,"")&amp;IF($O97="En ligne",CHAR(10)&amp;"◆ EN LIGNE","")&amp;IF($R97&lt;&gt;"",CHAR(10)&amp;$R97,"")</f>
        <v/>
      </c>
      <c r="Y97" s="45" t="inlineStr">
        <is>
          <t>17h30-19h Math (Lotfi)</t>
        </is>
      </c>
      <c r="Z97" s="45" t="inlineStr">
        <is>
          <t>du 14-09 jusquà le 20-09!M64</t>
        </is>
      </c>
    </row>
    <row r="98" ht="15" customHeight="1">
      <c r="A98" s="10" t="inlineStr">
        <is>
          <t>S1</t>
        </is>
      </c>
      <c r="B98" s="9" t="inlineStr">
        <is>
          <t>du 14 au 20 septembre 2026</t>
        </is>
      </c>
      <c r="C98" s="10" t="inlineStr">
        <is>
          <t>A</t>
        </is>
      </c>
      <c r="D98" s="41" t="n">
        <v>46285</v>
      </c>
      <c r="E98" s="10" t="inlineStr">
        <is>
          <t>Dimanche</t>
        </is>
      </c>
      <c r="F98" s="42" t="n">
        <v>0.4375</v>
      </c>
      <c r="G98" s="42" t="n">
        <v>0.5</v>
      </c>
      <c r="H98" s="43">
        <f>IF(OR($F98="",$G98=""),"",($G98-$F98)*24)</f>
        <v/>
      </c>
      <c r="I98" s="10" t="inlineStr">
        <is>
          <t>Secondaire</t>
        </is>
      </c>
      <c r="J98" s="9" t="inlineStr">
        <is>
          <t>3éme SCE</t>
        </is>
      </c>
      <c r="K98" s="9" t="inlineStr">
        <is>
          <t>Physique</t>
        </is>
      </c>
      <c r="L98" s="9" t="inlineStr">
        <is>
          <t>Physique</t>
        </is>
      </c>
      <c r="M98" s="9" t="inlineStr">
        <is>
          <t>Sondes</t>
        </is>
      </c>
      <c r="N98" s="10" t="n"/>
      <c r="O98" s="10" t="n"/>
      <c r="P98" s="10" t="inlineStr">
        <is>
          <t>Hebdomadaire</t>
        </is>
      </c>
      <c r="Q98" s="9" t="inlineStr">
        <is>
          <t>Original (septembre)</t>
        </is>
      </c>
      <c r="R98" s="9" t="inlineStr"/>
      <c r="S98" s="44">
        <f>IF($M98="","",IF(SUMPRODUCT(($D$4:$D$704=$D98)*($M$4:$M$704=$M98)*($F$4:$F$704&lt;$G98)*($G$4:$G$704&gt;$F98))&gt;1,"⚠ CONFLIT",""))</f>
        <v/>
      </c>
      <c r="T98" s="44">
        <f>IF($J98="","",IF(SUMPRODUCT(($D$4:$D$704=$D98)*($J$4:$J$704=$J98)*($F$4:$F$704&lt;$G98)*($G$4:$G$704&gt;$F98))&gt;1,"⚠ CONFLIT",""))</f>
        <v/>
      </c>
      <c r="U98" s="44">
        <f>IF(COUNTIFS($D$4:$D$704,$D98,$J$4:$J$704,$J98,$F$4:$F$704,$F98,$K$4:$K$704,$K98)&gt;1,"⚠ DOUBLON","")</f>
        <v/>
      </c>
      <c r="V98" s="44">
        <f>COUNTIFS($A$4:$A98,$A98,$J$4:$J98,$J98,$E$4:$E98,$E98)</f>
        <v/>
      </c>
      <c r="W98" s="45">
        <f>$A98&amp;"|"&amp;$J98&amp;"|"&amp;$E98&amp;"|"&amp;$V98</f>
        <v/>
      </c>
      <c r="X98" s="46">
        <f>TEXT($F98,"hh:mm")&amp;" - "&amp;TEXT($G98,"hh:mm")&amp;IF($P98="Quinzaine A","   ◆ Q-A",IF($P98="Quinzaine B","   ◆ Q-B",IF($P98="Exception","   ◆ PONCTUEL","")))&amp;CHAR(10)&amp;$K98&amp;CHAR(10)&amp;$M98&amp;IF($N98&lt;&gt;"",CHAR(10)&amp;"Salle "&amp;$N98,"")&amp;IF($O98="En ligne",CHAR(10)&amp;"◆ EN LIGNE","")&amp;IF($R98&lt;&gt;"",CHAR(10)&amp;$R98,"")</f>
        <v/>
      </c>
      <c r="Y98" s="45" t="inlineStr">
        <is>
          <t>10h30-12h Physique (Sondes)</t>
        </is>
      </c>
      <c r="Z98" s="45" t="inlineStr">
        <is>
          <t>du 14-09 jusquà le 20-09!M67</t>
        </is>
      </c>
    </row>
    <row r="99" ht="15" customHeight="1">
      <c r="A99" s="10" t="inlineStr">
        <is>
          <t>S1</t>
        </is>
      </c>
      <c r="B99" s="9" t="inlineStr">
        <is>
          <t>du 14 au 20 septembre 2026</t>
        </is>
      </c>
      <c r="C99" s="10" t="inlineStr">
        <is>
          <t>A</t>
        </is>
      </c>
      <c r="D99" s="41" t="n">
        <v>46285</v>
      </c>
      <c r="E99" s="10" t="inlineStr">
        <is>
          <t>Dimanche</t>
        </is>
      </c>
      <c r="F99" s="42" t="n">
        <v>0.5625</v>
      </c>
      <c r="G99" s="42" t="n">
        <v>0.625</v>
      </c>
      <c r="H99" s="43">
        <f>IF(OR($F99="",$G99=""),"",($G99-$F99)*24)</f>
        <v/>
      </c>
      <c r="I99" s="10" t="inlineStr">
        <is>
          <t>Secondaire</t>
        </is>
      </c>
      <c r="J99" s="9" t="inlineStr">
        <is>
          <t>3éme SCE</t>
        </is>
      </c>
      <c r="K99" s="9" t="inlineStr">
        <is>
          <t>Math</t>
        </is>
      </c>
      <c r="L99" s="9" t="inlineStr">
        <is>
          <t>Math</t>
        </is>
      </c>
      <c r="M99" s="9" t="inlineStr">
        <is>
          <t>Lotfi</t>
        </is>
      </c>
      <c r="N99" s="10" t="n"/>
      <c r="O99" s="10" t="n"/>
      <c r="P99" s="10" t="inlineStr">
        <is>
          <t>Ponctuelle / modifiée</t>
        </is>
      </c>
      <c r="Q99" s="9" t="inlineStr">
        <is>
          <t>Original (septembre)</t>
        </is>
      </c>
      <c r="R99" s="9" t="inlineStr"/>
      <c r="S99" s="44">
        <f>IF($M99="","",IF(SUMPRODUCT(($D$4:$D$704=$D99)*($M$4:$M$704=$M99)*($F$4:$F$704&lt;$G99)*($G$4:$G$704&gt;$F99))&gt;1,"⚠ CONFLIT",""))</f>
        <v/>
      </c>
      <c r="T99" s="44">
        <f>IF($J99="","",IF(SUMPRODUCT(($D$4:$D$704=$D99)*($J$4:$J$704=$J99)*($F$4:$F$704&lt;$G99)*($G$4:$G$704&gt;$F99))&gt;1,"⚠ CONFLIT",""))</f>
        <v/>
      </c>
      <c r="U99" s="44">
        <f>IF(COUNTIFS($D$4:$D$704,$D99,$J$4:$J$704,$J99,$F$4:$F$704,$F99,$K$4:$K$704,$K99)&gt;1,"⚠ DOUBLON","")</f>
        <v/>
      </c>
      <c r="V99" s="44">
        <f>COUNTIFS($A$4:$A99,$A99,$J$4:$J99,$J99,$E$4:$E99,$E99)</f>
        <v/>
      </c>
      <c r="W99" s="45">
        <f>$A99&amp;"|"&amp;$J99&amp;"|"&amp;$E99&amp;"|"&amp;$V99</f>
        <v/>
      </c>
      <c r="X99" s="46">
        <f>TEXT($F99,"hh:mm")&amp;" - "&amp;TEXT($G99,"hh:mm")&amp;IF($P99="Quinzaine A","   ◆ Q-A",IF($P99="Quinzaine B","   ◆ Q-B",IF($P99="Exception","   ◆ PONCTUEL","")))&amp;CHAR(10)&amp;$K99&amp;CHAR(10)&amp;$M99&amp;IF($N99&lt;&gt;"",CHAR(10)&amp;"Salle "&amp;$N99,"")&amp;IF($O99="En ligne",CHAR(10)&amp;"◆ EN LIGNE","")&amp;IF($R99&lt;&gt;"",CHAR(10)&amp;$R99,"")</f>
        <v/>
      </c>
      <c r="Y99" s="45" t="inlineStr">
        <is>
          <t>13h30-15h Math (Lotfi)</t>
        </is>
      </c>
      <c r="Z99" s="45" t="inlineStr">
        <is>
          <t>du 14-09 jusquà le 20-09!M66</t>
        </is>
      </c>
    </row>
    <row r="100" ht="15" customHeight="1">
      <c r="A100" s="10" t="inlineStr">
        <is>
          <t>S1</t>
        </is>
      </c>
      <c r="B100" s="9" t="inlineStr">
        <is>
          <t>du 14 au 20 septembre 2026</t>
        </is>
      </c>
      <c r="C100" s="10" t="inlineStr">
        <is>
          <t>A</t>
        </is>
      </c>
      <c r="D100" s="41" t="n">
        <v>46285</v>
      </c>
      <c r="E100" s="10" t="inlineStr">
        <is>
          <t>Dimanche</t>
        </is>
      </c>
      <c r="F100" s="42" t="n">
        <v>0.4375</v>
      </c>
      <c r="G100" s="42" t="n">
        <v>0.5</v>
      </c>
      <c r="H100" s="43">
        <f>IF(OR($F100="",$G100=""),"",($G100-$F100)*24)</f>
        <v/>
      </c>
      <c r="I100" s="10" t="inlineStr">
        <is>
          <t>Bac</t>
        </is>
      </c>
      <c r="J100" s="9" t="inlineStr">
        <is>
          <t>Bac Eco</t>
        </is>
      </c>
      <c r="K100" s="9" t="inlineStr">
        <is>
          <t>Math</t>
        </is>
      </c>
      <c r="L100" s="9" t="inlineStr">
        <is>
          <t>Math</t>
        </is>
      </c>
      <c r="M100" s="9" t="inlineStr">
        <is>
          <t>Lotfi</t>
        </is>
      </c>
      <c r="N100" s="10" t="n"/>
      <c r="O100" s="10" t="n"/>
      <c r="P100" s="10" t="inlineStr">
        <is>
          <t>Hebdomadaire</t>
        </is>
      </c>
      <c r="Q100" s="9" t="inlineStr">
        <is>
          <t>Original (septembre)</t>
        </is>
      </c>
      <c r="R100" s="9" t="inlineStr"/>
      <c r="S100" s="44">
        <f>IF($M100="","",IF(SUMPRODUCT(($D$4:$D$704=$D100)*($M$4:$M$704=$M100)*($F$4:$F$704&lt;$G100)*($G$4:$G$704&gt;$F100))&gt;1,"⚠ CONFLIT",""))</f>
        <v/>
      </c>
      <c r="T100" s="44">
        <f>IF($J100="","",IF(SUMPRODUCT(($D$4:$D$704=$D100)*($J$4:$J$704=$J100)*($F$4:$F$704&lt;$G100)*($G$4:$G$704&gt;$F100))&gt;1,"⚠ CONFLIT",""))</f>
        <v/>
      </c>
      <c r="U100" s="44">
        <f>IF(COUNTIFS($D$4:$D$704,$D100,$J$4:$J$704,$J100,$F$4:$F$704,$F100,$K$4:$K$704,$K100)&gt;1,"⚠ DOUBLON","")</f>
        <v/>
      </c>
      <c r="V100" s="44">
        <f>COUNTIFS($A$4:$A100,$A100,$J$4:$J100,$J100,$E$4:$E100,$E100)</f>
        <v/>
      </c>
      <c r="W100" s="45">
        <f>$A100&amp;"|"&amp;$J100&amp;"|"&amp;$E100&amp;"|"&amp;$V100</f>
        <v/>
      </c>
      <c r="X100" s="46">
        <f>TEXT($F100,"hh:mm")&amp;" - "&amp;TEXT($G100,"hh:mm")&amp;IF($P100="Quinzaine A","   ◆ Q-A",IF($P100="Quinzaine B","   ◆ Q-B",IF($P100="Exception","   ◆ PONCTUEL","")))&amp;CHAR(10)&amp;$K100&amp;CHAR(10)&amp;$M100&amp;IF($N100&lt;&gt;"",CHAR(10)&amp;"Salle "&amp;$N100,"")&amp;IF($O100="En ligne",CHAR(10)&amp;"◆ EN LIGNE","")&amp;IF($R100&lt;&gt;"",CHAR(10)&amp;$R100,"")</f>
        <v/>
      </c>
      <c r="Y100" s="45" t="inlineStr">
        <is>
          <t>10h30-12h Math (Lotfi)</t>
        </is>
      </c>
      <c r="Z100" s="45" t="inlineStr">
        <is>
          <t>du 14-09 jusquà le 20-09!M72</t>
        </is>
      </c>
    </row>
    <row r="101" ht="15" customHeight="1">
      <c r="A101" s="10" t="inlineStr">
        <is>
          <t>S1</t>
        </is>
      </c>
      <c r="B101" s="9" t="inlineStr">
        <is>
          <t>du 14 au 20 septembre 2026</t>
        </is>
      </c>
      <c r="C101" s="10" t="inlineStr">
        <is>
          <t>A</t>
        </is>
      </c>
      <c r="D101" s="41" t="n">
        <v>46285</v>
      </c>
      <c r="E101" s="10" t="inlineStr">
        <is>
          <t>Dimanche</t>
        </is>
      </c>
      <c r="F101" s="42" t="n">
        <v>0.5208333333333334</v>
      </c>
      <c r="G101" s="42" t="n">
        <v>0.6041666666666666</v>
      </c>
      <c r="H101" s="43">
        <f>IF(OR($F101="",$G101=""),"",($G101-$F101)*24)</f>
        <v/>
      </c>
      <c r="I101" s="10" t="inlineStr">
        <is>
          <t>Bac</t>
        </is>
      </c>
      <c r="J101" s="9" t="inlineStr">
        <is>
          <t>Bac Eco</t>
        </is>
      </c>
      <c r="K101" s="9" t="inlineStr">
        <is>
          <t>Eco</t>
        </is>
      </c>
      <c r="L101" s="9" t="inlineStr">
        <is>
          <t>Eco</t>
        </is>
      </c>
      <c r="M101" s="9" t="inlineStr">
        <is>
          <t>Rym</t>
        </is>
      </c>
      <c r="N101" s="10" t="n"/>
      <c r="O101" s="10" t="n"/>
      <c r="P101" s="10" t="inlineStr">
        <is>
          <t>Hebdomadaire</t>
        </is>
      </c>
      <c r="Q101" s="9" t="inlineStr">
        <is>
          <t>Original (septembre)</t>
        </is>
      </c>
      <c r="R101" s="9" t="inlineStr"/>
      <c r="S101" s="44">
        <f>IF($M101="","",IF(SUMPRODUCT(($D$4:$D$704=$D101)*($M$4:$M$704=$M101)*($F$4:$F$704&lt;$G101)*($G$4:$G$704&gt;$F101))&gt;1,"⚠ CONFLIT",""))</f>
        <v/>
      </c>
      <c r="T101" s="44">
        <f>IF($J101="","",IF(SUMPRODUCT(($D$4:$D$704=$D101)*($J$4:$J$704=$J101)*($F$4:$F$704&lt;$G101)*($G$4:$G$704&gt;$F101))&gt;1,"⚠ CONFLIT",""))</f>
        <v/>
      </c>
      <c r="U101" s="44">
        <f>IF(COUNTIFS($D$4:$D$704,$D101,$J$4:$J$704,$J101,$F$4:$F$704,$F101,$K$4:$K$704,$K101)&gt;1,"⚠ DOUBLON","")</f>
        <v/>
      </c>
      <c r="V101" s="44">
        <f>COUNTIFS($A$4:$A101,$A101,$J$4:$J101,$J101,$E$4:$E101,$E101)</f>
        <v/>
      </c>
      <c r="W101" s="45">
        <f>$A101&amp;"|"&amp;$J101&amp;"|"&amp;$E101&amp;"|"&amp;$V101</f>
        <v/>
      </c>
      <c r="X101" s="46">
        <f>TEXT($F101,"hh:mm")&amp;" - "&amp;TEXT($G101,"hh:mm")&amp;IF($P101="Quinzaine A","   ◆ Q-A",IF($P101="Quinzaine B","   ◆ Q-B",IF($P101="Exception","   ◆ PONCTUEL","")))&amp;CHAR(10)&amp;$K101&amp;CHAR(10)&amp;$M101&amp;IF($N101&lt;&gt;"",CHAR(10)&amp;"Salle "&amp;$N101,"")&amp;IF($O101="En ligne",CHAR(10)&amp;"◆ EN LIGNE","")&amp;IF($R101&lt;&gt;"",CHAR(10)&amp;$R101,"")</f>
        <v/>
      </c>
      <c r="Y101" s="45" t="inlineStr">
        <is>
          <t>12h30-14h30 Eco (Rym)</t>
        </is>
      </c>
      <c r="Z101" s="45" t="inlineStr">
        <is>
          <t>du 14-09 jusquà le 20-09!M68</t>
        </is>
      </c>
    </row>
    <row r="102" ht="15" customHeight="1">
      <c r="A102" s="10" t="inlineStr">
        <is>
          <t>S1</t>
        </is>
      </c>
      <c r="B102" s="9" t="inlineStr">
        <is>
          <t>du 14 au 20 septembre 2026</t>
        </is>
      </c>
      <c r="C102" s="10" t="inlineStr">
        <is>
          <t>A</t>
        </is>
      </c>
      <c r="D102" s="41" t="n">
        <v>46285</v>
      </c>
      <c r="E102" s="10" t="inlineStr">
        <is>
          <t>Dimanche</t>
        </is>
      </c>
      <c r="F102" s="42" t="n">
        <v>0.5</v>
      </c>
      <c r="G102" s="42" t="n">
        <v>0.5625</v>
      </c>
      <c r="H102" s="43">
        <f>IF(OR($F102="",$G102=""),"",($G102-$F102)*24)</f>
        <v/>
      </c>
      <c r="I102" s="10" t="inlineStr">
        <is>
          <t>Bac</t>
        </is>
      </c>
      <c r="J102" s="9" t="inlineStr">
        <is>
          <t>Bac INFO</t>
        </is>
      </c>
      <c r="K102" s="9" t="inlineStr">
        <is>
          <t>Math</t>
        </is>
      </c>
      <c r="L102" s="9" t="inlineStr">
        <is>
          <t>Math</t>
        </is>
      </c>
      <c r="M102" s="9" t="inlineStr">
        <is>
          <t>Lotfi</t>
        </is>
      </c>
      <c r="N102" s="10" t="n"/>
      <c r="O102" s="10" t="n"/>
      <c r="P102" s="10" t="inlineStr">
        <is>
          <t>Hebdomadaire</t>
        </is>
      </c>
      <c r="Q102" s="9" t="inlineStr">
        <is>
          <t>Original (septembre)</t>
        </is>
      </c>
      <c r="R102" s="9" t="inlineStr"/>
      <c r="S102" s="44">
        <f>IF($M102="","",IF(SUMPRODUCT(($D$4:$D$704=$D102)*($M$4:$M$704=$M102)*($F$4:$F$704&lt;$G102)*($G$4:$G$704&gt;$F102))&gt;1,"⚠ CONFLIT",""))</f>
        <v/>
      </c>
      <c r="T102" s="44">
        <f>IF($J102="","",IF(SUMPRODUCT(($D$4:$D$704=$D102)*($J$4:$J$704=$J102)*($F$4:$F$704&lt;$G102)*($G$4:$G$704&gt;$F102))&gt;1,"⚠ CONFLIT",""))</f>
        <v/>
      </c>
      <c r="U102" s="44">
        <f>IF(COUNTIFS($D$4:$D$704,$D102,$J$4:$J$704,$J102,$F$4:$F$704,$F102,$K$4:$K$704,$K102)&gt;1,"⚠ DOUBLON","")</f>
        <v/>
      </c>
      <c r="V102" s="44">
        <f>COUNTIFS($A$4:$A102,$A102,$J$4:$J102,$J102,$E$4:$E102,$E102)</f>
        <v/>
      </c>
      <c r="W102" s="45">
        <f>$A102&amp;"|"&amp;$J102&amp;"|"&amp;$E102&amp;"|"&amp;$V102</f>
        <v/>
      </c>
      <c r="X102" s="46">
        <f>TEXT($F102,"hh:mm")&amp;" - "&amp;TEXT($G102,"hh:mm")&amp;IF($P102="Quinzaine A","   ◆ Q-A",IF($P102="Quinzaine B","   ◆ Q-B",IF($P102="Exception","   ◆ PONCTUEL","")))&amp;CHAR(10)&amp;$K102&amp;CHAR(10)&amp;$M102&amp;IF($N102&lt;&gt;"",CHAR(10)&amp;"Salle "&amp;$N102,"")&amp;IF($O102="En ligne",CHAR(10)&amp;"◆ EN LIGNE","")&amp;IF($R102&lt;&gt;"",CHAR(10)&amp;$R102,"")</f>
        <v/>
      </c>
      <c r="Y102" s="45" t="inlineStr">
        <is>
          <t>12h-13h30 Math (Lotfi)</t>
        </is>
      </c>
      <c r="Z102" s="45" t="inlineStr">
        <is>
          <t>du 14-09 jusquà le 20-09!M78</t>
        </is>
      </c>
    </row>
    <row r="103" ht="15" customHeight="1">
      <c r="A103" s="10" t="inlineStr">
        <is>
          <t>S1</t>
        </is>
      </c>
      <c r="B103" s="9" t="inlineStr">
        <is>
          <t>du 14 au 20 septembre 2026</t>
        </is>
      </c>
      <c r="C103" s="10" t="inlineStr">
        <is>
          <t>A</t>
        </is>
      </c>
      <c r="D103" s="41" t="n">
        <v>46285</v>
      </c>
      <c r="E103" s="10" t="inlineStr">
        <is>
          <t>Dimanche</t>
        </is>
      </c>
      <c r="F103" s="42" t="n">
        <v>0.6458333333333334</v>
      </c>
      <c r="G103" s="42" t="n">
        <v>0.7083333333333334</v>
      </c>
      <c r="H103" s="43">
        <f>IF(OR($F103="",$G103=""),"",($G103-$F103)*24)</f>
        <v/>
      </c>
      <c r="I103" s="10" t="inlineStr">
        <is>
          <t>Bac</t>
        </is>
      </c>
      <c r="J103" s="9" t="inlineStr">
        <is>
          <t>Bac INFO</t>
        </is>
      </c>
      <c r="K103" s="9" t="inlineStr">
        <is>
          <t>STI</t>
        </is>
      </c>
      <c r="L103" s="9" t="inlineStr">
        <is>
          <t>STI</t>
        </is>
      </c>
      <c r="M103" s="9" t="inlineStr">
        <is>
          <t>Aymen</t>
        </is>
      </c>
      <c r="N103" s="10" t="n"/>
      <c r="O103" s="10" t="n"/>
      <c r="P103" s="10" t="inlineStr">
        <is>
          <t>Ponctuelle / modifiée</t>
        </is>
      </c>
      <c r="Q103" s="9" t="inlineStr">
        <is>
          <t>Original (septembre)</t>
        </is>
      </c>
      <c r="R103" s="9" t="inlineStr"/>
      <c r="S103" s="44">
        <f>IF($M103="","",IF(SUMPRODUCT(($D$4:$D$704=$D103)*($M$4:$M$704=$M103)*($F$4:$F$704&lt;$G103)*($G$4:$G$704&gt;$F103))&gt;1,"⚠ CONFLIT",""))</f>
        <v/>
      </c>
      <c r="T103" s="44">
        <f>IF($J103="","",IF(SUMPRODUCT(($D$4:$D$704=$D103)*($J$4:$J$704=$J103)*($F$4:$F$704&lt;$G103)*($G$4:$G$704&gt;$F103))&gt;1,"⚠ CONFLIT",""))</f>
        <v/>
      </c>
      <c r="U103" s="44">
        <f>IF(COUNTIFS($D$4:$D$704,$D103,$J$4:$J$704,$J103,$F$4:$F$704,$F103,$K$4:$K$704,$K103)&gt;1,"⚠ DOUBLON","")</f>
        <v/>
      </c>
      <c r="V103" s="44">
        <f>COUNTIFS($A$4:$A103,$A103,$J$4:$J103,$J103,$E$4:$E103,$E103)</f>
        <v/>
      </c>
      <c r="W103" s="45">
        <f>$A103&amp;"|"&amp;$J103&amp;"|"&amp;$E103&amp;"|"&amp;$V103</f>
        <v/>
      </c>
      <c r="X103" s="46">
        <f>TEXT($F103,"hh:mm")&amp;" - "&amp;TEXT($G103,"hh:mm")&amp;IF($P103="Quinzaine A","   ◆ Q-A",IF($P103="Quinzaine B","   ◆ Q-B",IF($P103="Exception","   ◆ PONCTUEL","")))&amp;CHAR(10)&amp;$K103&amp;CHAR(10)&amp;$M103&amp;IF($N103&lt;&gt;"",CHAR(10)&amp;"Salle "&amp;$N103,"")&amp;IF($O103="En ligne",CHAR(10)&amp;"◆ EN LIGNE","")&amp;IF($R103&lt;&gt;"",CHAR(10)&amp;$R103,"")</f>
        <v/>
      </c>
      <c r="Y103" s="45" t="inlineStr">
        <is>
          <t>15h30-17h STI (Aymen)</t>
        </is>
      </c>
      <c r="Z103" s="45" t="inlineStr">
        <is>
          <t>du 14-09 jusquà le 20-09!M79</t>
        </is>
      </c>
    </row>
    <row r="104" ht="15" customHeight="1">
      <c r="A104" s="10" t="inlineStr">
        <is>
          <t>S2</t>
        </is>
      </c>
      <c r="B104" s="9" t="inlineStr">
        <is>
          <t>du 21 au 27 septembre 2026</t>
        </is>
      </c>
      <c r="C104" s="10" t="inlineStr">
        <is>
          <t>B</t>
        </is>
      </c>
      <c r="D104" s="41" t="n">
        <v>46286</v>
      </c>
      <c r="E104" s="10" t="inlineStr">
        <is>
          <t>Lundi</t>
        </is>
      </c>
      <c r="F104" s="42" t="n">
        <v>0.7916666666666666</v>
      </c>
      <c r="G104" s="42" t="n">
        <v>0.875</v>
      </c>
      <c r="H104" s="43">
        <f>IF(OR($F104="",$G104=""),"",($G104-$F104)*24)</f>
        <v/>
      </c>
      <c r="I104" s="10" t="inlineStr">
        <is>
          <t>Primaire</t>
        </is>
      </c>
      <c r="J104" s="9" t="inlineStr">
        <is>
          <t>4éme</t>
        </is>
      </c>
      <c r="K104" s="9" t="inlineStr">
        <is>
          <t>عربية</t>
        </is>
      </c>
      <c r="L104" s="9" t="inlineStr">
        <is>
          <t>Arabe</t>
        </is>
      </c>
      <c r="M104" s="9" t="inlineStr">
        <is>
          <t>Lobna</t>
        </is>
      </c>
      <c r="N104" s="10" t="n"/>
      <c r="O104" s="10" t="n"/>
      <c r="P104" s="10" t="inlineStr">
        <is>
          <t>Hebdomadaire</t>
        </is>
      </c>
      <c r="Q104" s="9" t="inlineStr">
        <is>
          <t>Original (septembre)</t>
        </is>
      </c>
      <c r="R104" s="9" t="inlineStr"/>
      <c r="S104" s="44">
        <f>IF($M104="","",IF(SUMPRODUCT(($D$4:$D$704=$D104)*($M$4:$M$704=$M104)*($F$4:$F$704&lt;$G104)*($G$4:$G$704&gt;$F104))&gt;1,"⚠ CONFLIT",""))</f>
        <v/>
      </c>
      <c r="T104" s="44">
        <f>IF($J104="","",IF(SUMPRODUCT(($D$4:$D$704=$D104)*($J$4:$J$704=$J104)*($F$4:$F$704&lt;$G104)*($G$4:$G$704&gt;$F104))&gt;1,"⚠ CONFLIT",""))</f>
        <v/>
      </c>
      <c r="U104" s="44">
        <f>IF(COUNTIFS($D$4:$D$704,$D104,$J$4:$J$704,$J104,$F$4:$F$704,$F104,$K$4:$K$704,$K104)&gt;1,"⚠ DOUBLON","")</f>
        <v/>
      </c>
      <c r="V104" s="44">
        <f>COUNTIFS($A$4:$A104,$A104,$J$4:$J104,$J104,$E$4:$E104,$E104)</f>
        <v/>
      </c>
      <c r="W104" s="45">
        <f>$A104&amp;"|"&amp;$J104&amp;"|"&amp;$E104&amp;"|"&amp;$V104</f>
        <v/>
      </c>
      <c r="X104" s="46">
        <f>TEXT($F104,"hh:mm")&amp;" - "&amp;TEXT($G104,"hh:mm")&amp;IF($P104="Quinzaine A","   ◆ Q-A",IF($P104="Quinzaine B","   ◆ Q-B",IF($P104="Exception","   ◆ PONCTUEL","")))&amp;CHAR(10)&amp;$K104&amp;CHAR(10)&amp;$M104&amp;IF($N104&lt;&gt;"",CHAR(10)&amp;"Salle "&amp;$N104,"")&amp;IF($O104="En ligne",CHAR(10)&amp;"◆ EN LIGNE","")&amp;IF($R104&lt;&gt;"",CHAR(10)&amp;$R104,"")</f>
        <v/>
      </c>
      <c r="Y104" s="45" t="inlineStr">
        <is>
          <t>19h-21h عربية (Lobna)</t>
        </is>
      </c>
      <c r="Z104" s="45" t="inlineStr">
        <is>
          <t>du 21-09 jusquà le 27-09!G3</t>
        </is>
      </c>
    </row>
    <row r="105" ht="15" customHeight="1">
      <c r="A105" s="10" t="inlineStr">
        <is>
          <t>S2</t>
        </is>
      </c>
      <c r="B105" s="9" t="inlineStr">
        <is>
          <t>du 21 au 27 septembre 2026</t>
        </is>
      </c>
      <c r="C105" s="10" t="inlineStr">
        <is>
          <t>B</t>
        </is>
      </c>
      <c r="D105" s="41" t="n">
        <v>46286</v>
      </c>
      <c r="E105" s="10" t="inlineStr">
        <is>
          <t>Lundi</t>
        </is>
      </c>
      <c r="F105" s="42" t="n">
        <v>0.7916666666666666</v>
      </c>
      <c r="G105" s="42" t="n">
        <v>0.8541666666666666</v>
      </c>
      <c r="H105" s="43">
        <f>IF(OR($F105="",$G105=""),"",($G105-$F105)*24)</f>
        <v/>
      </c>
      <c r="I105" s="10" t="inlineStr">
        <is>
          <t>Primaire</t>
        </is>
      </c>
      <c r="J105" s="9" t="inlineStr">
        <is>
          <t>6éme Pilote (A)</t>
        </is>
      </c>
      <c r="K105" s="9" t="inlineStr">
        <is>
          <t>Français</t>
        </is>
      </c>
      <c r="L105" s="9" t="inlineStr">
        <is>
          <t>Français</t>
        </is>
      </c>
      <c r="M105" s="9" t="inlineStr">
        <is>
          <t>Hend</t>
        </is>
      </c>
      <c r="N105" s="10" t="n"/>
      <c r="O105" s="10" t="n"/>
      <c r="P105" s="10" t="inlineStr">
        <is>
          <t>Hebdomadaire</t>
        </is>
      </c>
      <c r="Q105" s="9" t="inlineStr">
        <is>
          <t>Original (septembre)</t>
        </is>
      </c>
      <c r="R105" s="9" t="inlineStr"/>
      <c r="S105" s="44">
        <f>IF($M105="","",IF(SUMPRODUCT(($D$4:$D$704=$D105)*($M$4:$M$704=$M105)*($F$4:$F$704&lt;$G105)*($G$4:$G$704&gt;$F105))&gt;1,"⚠ CONFLIT",""))</f>
        <v/>
      </c>
      <c r="T105" s="44">
        <f>IF($J105="","",IF(SUMPRODUCT(($D$4:$D$704=$D105)*($J$4:$J$704=$J105)*($F$4:$F$704&lt;$G105)*($G$4:$G$704&gt;$F105))&gt;1,"⚠ CONFLIT",""))</f>
        <v/>
      </c>
      <c r="U105" s="44">
        <f>IF(COUNTIFS($D$4:$D$704,$D105,$J$4:$J$704,$J105,$F$4:$F$704,$F105,$K$4:$K$704,$K105)&gt;1,"⚠ DOUBLON","")</f>
        <v/>
      </c>
      <c r="V105" s="44">
        <f>COUNTIFS($A$4:$A105,$A105,$J$4:$J105,$J105,$E$4:$E105,$E105)</f>
        <v/>
      </c>
      <c r="W105" s="45">
        <f>$A105&amp;"|"&amp;$J105&amp;"|"&amp;$E105&amp;"|"&amp;$V105</f>
        <v/>
      </c>
      <c r="X105" s="46">
        <f>TEXT($F105,"hh:mm")&amp;" - "&amp;TEXT($G105,"hh:mm")&amp;IF($P105="Quinzaine A","   ◆ Q-A",IF($P105="Quinzaine B","   ◆ Q-B",IF($P105="Exception","   ◆ PONCTUEL","")))&amp;CHAR(10)&amp;$K105&amp;CHAR(10)&amp;$M105&amp;IF($N105&lt;&gt;"",CHAR(10)&amp;"Salle "&amp;$N105,"")&amp;IF($O105="En ligne",CHAR(10)&amp;"◆ EN LIGNE","")&amp;IF($R105&lt;&gt;"",CHAR(10)&amp;$R105,"")</f>
        <v/>
      </c>
      <c r="Y105" s="45" t="inlineStr">
        <is>
          <t>19h-20h30 Français (Hend)</t>
        </is>
      </c>
      <c r="Z105" s="45" t="inlineStr">
        <is>
          <t>du 21-09 jusquà le 27-09!G13</t>
        </is>
      </c>
    </row>
    <row r="106" ht="15" customHeight="1">
      <c r="A106" s="10" t="inlineStr">
        <is>
          <t>S2</t>
        </is>
      </c>
      <c r="B106" s="9" t="inlineStr">
        <is>
          <t>du 21 au 27 septembre 2026</t>
        </is>
      </c>
      <c r="C106" s="10" t="inlineStr">
        <is>
          <t>B</t>
        </is>
      </c>
      <c r="D106" s="41" t="n">
        <v>46286</v>
      </c>
      <c r="E106" s="10" t="inlineStr">
        <is>
          <t>Lundi</t>
        </is>
      </c>
      <c r="F106" s="42" t="n">
        <v>0.8125</v>
      </c>
      <c r="G106" s="42" t="n">
        <v>0.875</v>
      </c>
      <c r="H106" s="43">
        <f>IF(OR($F106="",$G106=""),"",($G106-$F106)*24)</f>
        <v/>
      </c>
      <c r="I106" s="10" t="inlineStr">
        <is>
          <t>Collège</t>
        </is>
      </c>
      <c r="J106" s="9" t="inlineStr">
        <is>
          <t>7éme (B)</t>
        </is>
      </c>
      <c r="K106" s="9" t="inlineStr">
        <is>
          <t>Arabe</t>
        </is>
      </c>
      <c r="L106" s="9" t="inlineStr">
        <is>
          <t>Arabe</t>
        </is>
      </c>
      <c r="M106" s="9" t="inlineStr">
        <is>
          <t>Yahya</t>
        </is>
      </c>
      <c r="N106" s="10" t="n"/>
      <c r="O106" s="10" t="n"/>
      <c r="P106" s="10" t="inlineStr">
        <is>
          <t>Hebdomadaire</t>
        </is>
      </c>
      <c r="Q106" s="9" t="inlineStr">
        <is>
          <t>Original (septembre)</t>
        </is>
      </c>
      <c r="R106" s="9" t="inlineStr"/>
      <c r="S106" s="44">
        <f>IF($M106="","",IF(SUMPRODUCT(($D$4:$D$704=$D106)*($M$4:$M$704=$M106)*($F$4:$F$704&lt;$G106)*($G$4:$G$704&gt;$F106))&gt;1,"⚠ CONFLIT",""))</f>
        <v/>
      </c>
      <c r="T106" s="44">
        <f>IF($J106="","",IF(SUMPRODUCT(($D$4:$D$704=$D106)*($J$4:$J$704=$J106)*($F$4:$F$704&lt;$G106)*($G$4:$G$704&gt;$F106))&gt;1,"⚠ CONFLIT",""))</f>
        <v/>
      </c>
      <c r="U106" s="44">
        <f>IF(COUNTIFS($D$4:$D$704,$D106,$J$4:$J$704,$J106,$F$4:$F$704,$F106,$K$4:$K$704,$K106)&gt;1,"⚠ DOUBLON","")</f>
        <v/>
      </c>
      <c r="V106" s="44">
        <f>COUNTIFS($A$4:$A106,$A106,$J$4:$J106,$J106,$E$4:$E106,$E106)</f>
        <v/>
      </c>
      <c r="W106" s="45">
        <f>$A106&amp;"|"&amp;$J106&amp;"|"&amp;$E106&amp;"|"&amp;$V106</f>
        <v/>
      </c>
      <c r="X106" s="46">
        <f>TEXT($F106,"hh:mm")&amp;" - "&amp;TEXT($G106,"hh:mm")&amp;IF($P106="Quinzaine A","   ◆ Q-A",IF($P106="Quinzaine B","   ◆ Q-B",IF($P106="Exception","   ◆ PONCTUEL","")))&amp;CHAR(10)&amp;$K106&amp;CHAR(10)&amp;$M106&amp;IF($N106&lt;&gt;"",CHAR(10)&amp;"Salle "&amp;$N106,"")&amp;IF($O106="En ligne",CHAR(10)&amp;"◆ EN LIGNE","")&amp;IF($R106&lt;&gt;"",CHAR(10)&amp;$R106,"")</f>
        <v/>
      </c>
      <c r="Y106" s="45" t="inlineStr">
        <is>
          <t>19h30-21h Arabe (Yahya)</t>
        </is>
      </c>
      <c r="Z106" s="45" t="inlineStr">
        <is>
          <t>du 21-09 jusquà le 27-09!G24</t>
        </is>
      </c>
    </row>
    <row r="107" ht="15" customHeight="1">
      <c r="A107" s="10" t="inlineStr">
        <is>
          <t>S2</t>
        </is>
      </c>
      <c r="B107" s="9" t="inlineStr">
        <is>
          <t>du 21 au 27 septembre 2026</t>
        </is>
      </c>
      <c r="C107" s="10" t="inlineStr">
        <is>
          <t>B</t>
        </is>
      </c>
      <c r="D107" s="41" t="n">
        <v>46286</v>
      </c>
      <c r="E107" s="10" t="inlineStr">
        <is>
          <t>Lundi</t>
        </is>
      </c>
      <c r="F107" s="42" t="n">
        <v>0.8125</v>
      </c>
      <c r="G107" s="42" t="n">
        <v>0.875</v>
      </c>
      <c r="H107" s="43">
        <f>IF(OR($F107="",$G107=""),"",($G107-$F107)*24)</f>
        <v/>
      </c>
      <c r="I107" s="10" t="inlineStr">
        <is>
          <t>Collège</t>
        </is>
      </c>
      <c r="J107" s="9" t="inlineStr">
        <is>
          <t>9éme (A)</t>
        </is>
      </c>
      <c r="K107" s="9" t="inlineStr">
        <is>
          <t>Physique</t>
        </is>
      </c>
      <c r="L107" s="9" t="inlineStr">
        <is>
          <t>Physique</t>
        </is>
      </c>
      <c r="M107" s="9" t="inlineStr">
        <is>
          <t>Melek</t>
        </is>
      </c>
      <c r="N107" s="10" t="n"/>
      <c r="O107" s="10" t="n"/>
      <c r="P107" s="10" t="inlineStr">
        <is>
          <t>Hebdomadaire</t>
        </is>
      </c>
      <c r="Q107" s="9" t="inlineStr">
        <is>
          <t>Original (septembre)</t>
        </is>
      </c>
      <c r="R107" s="9" t="inlineStr"/>
      <c r="S107" s="44">
        <f>IF($M107="","",IF(SUMPRODUCT(($D$4:$D$704=$D107)*($M$4:$M$704=$M107)*($F$4:$F$704&lt;$G107)*($G$4:$G$704&gt;$F107))&gt;1,"⚠ CONFLIT",""))</f>
        <v/>
      </c>
      <c r="T107" s="44">
        <f>IF($J107="","",IF(SUMPRODUCT(($D$4:$D$704=$D107)*($J$4:$J$704=$J107)*($F$4:$F$704&lt;$G107)*($G$4:$G$704&gt;$F107))&gt;1,"⚠ CONFLIT",""))</f>
        <v/>
      </c>
      <c r="U107" s="44">
        <f>IF(COUNTIFS($D$4:$D$704,$D107,$J$4:$J$704,$J107,$F$4:$F$704,$F107,$K$4:$K$704,$K107)&gt;1,"⚠ DOUBLON","")</f>
        <v/>
      </c>
      <c r="V107" s="44">
        <f>COUNTIFS($A$4:$A107,$A107,$J$4:$J107,$J107,$E$4:$E107,$E107)</f>
        <v/>
      </c>
      <c r="W107" s="45">
        <f>$A107&amp;"|"&amp;$J107&amp;"|"&amp;$E107&amp;"|"&amp;$V107</f>
        <v/>
      </c>
      <c r="X107" s="46">
        <f>TEXT($F107,"hh:mm")&amp;" - "&amp;TEXT($G107,"hh:mm")&amp;IF($P107="Quinzaine A","   ◆ Q-A",IF($P107="Quinzaine B","   ◆ Q-B",IF($P107="Exception","   ◆ PONCTUEL","")))&amp;CHAR(10)&amp;$K107&amp;CHAR(10)&amp;$M107&amp;IF($N107&lt;&gt;"",CHAR(10)&amp;"Salle "&amp;$N107,"")&amp;IF($O107="En ligne",CHAR(10)&amp;"◆ EN LIGNE","")&amp;IF($R107&lt;&gt;"",CHAR(10)&amp;$R107,"")</f>
        <v/>
      </c>
      <c r="Y107" s="45" t="inlineStr">
        <is>
          <t>19h30-21h Physique /par quinzaine (Melek)</t>
        </is>
      </c>
      <c r="Z107" s="45" t="inlineStr">
        <is>
          <t>du 21-09 jusquà le 27-09!G37</t>
        </is>
      </c>
    </row>
    <row r="108" ht="15" customHeight="1">
      <c r="A108" s="10" t="inlineStr">
        <is>
          <t>S2</t>
        </is>
      </c>
      <c r="B108" s="9" t="inlineStr">
        <is>
          <t>du 21 au 27 septembre 2026</t>
        </is>
      </c>
      <c r="C108" s="10" t="inlineStr">
        <is>
          <t>B</t>
        </is>
      </c>
      <c r="D108" s="41" t="n">
        <v>46286</v>
      </c>
      <c r="E108" s="10" t="inlineStr">
        <is>
          <t>Lundi</t>
        </is>
      </c>
      <c r="F108" s="42" t="n">
        <v>0.8125</v>
      </c>
      <c r="G108" s="42" t="n">
        <v>0.875</v>
      </c>
      <c r="H108" s="43">
        <f>IF(OR($F108="",$G108=""),"",($G108-$F108)*24)</f>
        <v/>
      </c>
      <c r="I108" s="10" t="inlineStr">
        <is>
          <t>Secondaire</t>
        </is>
      </c>
      <c r="J108" s="9" t="inlineStr">
        <is>
          <t>1ére (A)</t>
        </is>
      </c>
      <c r="K108" s="9" t="inlineStr">
        <is>
          <t>Math</t>
        </is>
      </c>
      <c r="L108" s="9" t="inlineStr">
        <is>
          <t>Math</t>
        </is>
      </c>
      <c r="M108" s="9" t="inlineStr">
        <is>
          <t>Haythem</t>
        </is>
      </c>
      <c r="N108" s="10" t="n"/>
      <c r="O108" s="10" t="n"/>
      <c r="P108" s="10" t="inlineStr">
        <is>
          <t>Hebdomadaire</t>
        </is>
      </c>
      <c r="Q108" s="9" t="inlineStr">
        <is>
          <t>Original (septembre)</t>
        </is>
      </c>
      <c r="R108" s="9" t="inlineStr"/>
      <c r="S108" s="44">
        <f>IF($M108="","",IF(SUMPRODUCT(($D$4:$D$704=$D108)*($M$4:$M$704=$M108)*($F$4:$F$704&lt;$G108)*($G$4:$G$704&gt;$F108))&gt;1,"⚠ CONFLIT",""))</f>
        <v/>
      </c>
      <c r="T108" s="44">
        <f>IF($J108="","",IF(SUMPRODUCT(($D$4:$D$704=$D108)*($J$4:$J$704=$J108)*($F$4:$F$704&lt;$G108)*($G$4:$G$704&gt;$F108))&gt;1,"⚠ CONFLIT",""))</f>
        <v/>
      </c>
      <c r="U108" s="44">
        <f>IF(COUNTIFS($D$4:$D$704,$D108,$J$4:$J$704,$J108,$F$4:$F$704,$F108,$K$4:$K$704,$K108)&gt;1,"⚠ DOUBLON","")</f>
        <v/>
      </c>
      <c r="V108" s="44">
        <f>COUNTIFS($A$4:$A108,$A108,$J$4:$J108,$J108,$E$4:$E108,$E108)</f>
        <v/>
      </c>
      <c r="W108" s="45">
        <f>$A108&amp;"|"&amp;$J108&amp;"|"&amp;$E108&amp;"|"&amp;$V108</f>
        <v/>
      </c>
      <c r="X108" s="46">
        <f>TEXT($F108,"hh:mm")&amp;" - "&amp;TEXT($G108,"hh:mm")&amp;IF($P108="Quinzaine A","   ◆ Q-A",IF($P108="Quinzaine B","   ◆ Q-B",IF($P108="Exception","   ◆ PONCTUEL","")))&amp;CHAR(10)&amp;$K108&amp;CHAR(10)&amp;$M108&amp;IF($N108&lt;&gt;"",CHAR(10)&amp;"Salle "&amp;$N108,"")&amp;IF($O108="En ligne",CHAR(10)&amp;"◆ EN LIGNE","")&amp;IF($R108&lt;&gt;"",CHAR(10)&amp;$R108,"")</f>
        <v/>
      </c>
      <c r="Y108" s="45" t="inlineStr">
        <is>
          <t>19h30-21h Math (Haythem)</t>
        </is>
      </c>
      <c r="Z108" s="45" t="inlineStr">
        <is>
          <t>du 21-09 jusquà le 27-09!G49</t>
        </is>
      </c>
    </row>
    <row r="109" ht="15" customHeight="1">
      <c r="A109" s="10" t="inlineStr">
        <is>
          <t>S2</t>
        </is>
      </c>
      <c r="B109" s="9" t="inlineStr">
        <is>
          <t>du 21 au 27 septembre 2026</t>
        </is>
      </c>
      <c r="C109" s="10" t="inlineStr">
        <is>
          <t>B</t>
        </is>
      </c>
      <c r="D109" s="41" t="n">
        <v>46286</v>
      </c>
      <c r="E109" s="10" t="inlineStr">
        <is>
          <t>Lundi</t>
        </is>
      </c>
      <c r="F109" s="42" t="n">
        <v>0.7916666666666666</v>
      </c>
      <c r="G109" s="42" t="n">
        <v>0.875</v>
      </c>
      <c r="H109" s="43">
        <f>IF(OR($F109="",$G109=""),"",($G109-$F109)*24)</f>
        <v/>
      </c>
      <c r="I109" s="10" t="inlineStr">
        <is>
          <t>Secondaire</t>
        </is>
      </c>
      <c r="J109" s="9" t="inlineStr">
        <is>
          <t>2éme INFO</t>
        </is>
      </c>
      <c r="K109" s="9" t="inlineStr">
        <is>
          <t>Informatique</t>
        </is>
      </c>
      <c r="L109" s="9" t="inlineStr">
        <is>
          <t>Informatique</t>
        </is>
      </c>
      <c r="M109" s="9" t="inlineStr">
        <is>
          <t>Aymen</t>
        </is>
      </c>
      <c r="N109" s="10" t="n"/>
      <c r="O109" s="10" t="n"/>
      <c r="P109" s="10" t="inlineStr">
        <is>
          <t>Ponctuelle / modifiée</t>
        </is>
      </c>
      <c r="Q109" s="9" t="inlineStr">
        <is>
          <t>Original (septembre)</t>
        </is>
      </c>
      <c r="R109" s="9" t="inlineStr"/>
      <c r="S109" s="44">
        <f>IF($M109="","",IF(SUMPRODUCT(($D$4:$D$704=$D109)*($M$4:$M$704=$M109)*($F$4:$F$704&lt;$G109)*($G$4:$G$704&gt;$F109))&gt;1,"⚠ CONFLIT",""))</f>
        <v/>
      </c>
      <c r="T109" s="44">
        <f>IF($J109="","",IF(SUMPRODUCT(($D$4:$D$704=$D109)*($J$4:$J$704=$J109)*($F$4:$F$704&lt;$G109)*($G$4:$G$704&gt;$F109))&gt;1,"⚠ CONFLIT",""))</f>
        <v/>
      </c>
      <c r="U109" s="44">
        <f>IF(COUNTIFS($D$4:$D$704,$D109,$J$4:$J$704,$J109,$F$4:$F$704,$F109,$K$4:$K$704,$K109)&gt;1,"⚠ DOUBLON","")</f>
        <v/>
      </c>
      <c r="V109" s="44">
        <f>COUNTIFS($A$4:$A109,$A109,$J$4:$J109,$J109,$E$4:$E109,$E109)</f>
        <v/>
      </c>
      <c r="W109" s="45">
        <f>$A109&amp;"|"&amp;$J109&amp;"|"&amp;$E109&amp;"|"&amp;$V109</f>
        <v/>
      </c>
      <c r="X109" s="46">
        <f>TEXT($F109,"hh:mm")&amp;" - "&amp;TEXT($G109,"hh:mm")&amp;IF($P109="Quinzaine A","   ◆ Q-A",IF($P109="Quinzaine B","   ◆ Q-B",IF($P109="Exception","   ◆ PONCTUEL","")))&amp;CHAR(10)&amp;$K109&amp;CHAR(10)&amp;$M109&amp;IF($N109&lt;&gt;"",CHAR(10)&amp;"Salle "&amp;$N109,"")&amp;IF($O109="En ligne",CHAR(10)&amp;"◆ EN LIGNE","")&amp;IF($R109&lt;&gt;"",CHAR(10)&amp;$R109,"")</f>
        <v/>
      </c>
      <c r="Y109" s="45" t="inlineStr">
        <is>
          <t>19h-21h Informatique (Aymen)</t>
        </is>
      </c>
      <c r="Z109" s="45" t="inlineStr">
        <is>
          <t>du 21-09 jusquà le 27-09!G64</t>
        </is>
      </c>
    </row>
    <row r="110" ht="15" customHeight="1">
      <c r="A110" s="10" t="inlineStr">
        <is>
          <t>S2</t>
        </is>
      </c>
      <c r="B110" s="9" t="inlineStr">
        <is>
          <t>du 21 au 27 septembre 2026</t>
        </is>
      </c>
      <c r="C110" s="10" t="inlineStr">
        <is>
          <t>B</t>
        </is>
      </c>
      <c r="D110" s="41" t="n">
        <v>46286</v>
      </c>
      <c r="E110" s="10" t="inlineStr">
        <is>
          <t>Lundi</t>
        </is>
      </c>
      <c r="F110" s="42" t="n">
        <v>0.7916666666666666</v>
      </c>
      <c r="G110" s="42" t="n">
        <v>0.875</v>
      </c>
      <c r="H110" s="43">
        <f>IF(OR($F110="",$G110=""),"",($G110-$F110)*24)</f>
        <v/>
      </c>
      <c r="I110" s="10" t="inlineStr">
        <is>
          <t>Bac</t>
        </is>
      </c>
      <c r="J110" s="9" t="inlineStr">
        <is>
          <t>Bac Eco</t>
        </is>
      </c>
      <c r="K110" s="9" t="inlineStr">
        <is>
          <t>Gestion</t>
        </is>
      </c>
      <c r="L110" s="9" t="inlineStr">
        <is>
          <t>Gestion</t>
        </is>
      </c>
      <c r="M110" s="9" t="inlineStr">
        <is>
          <t>Yassine</t>
        </is>
      </c>
      <c r="N110" s="10" t="n"/>
      <c r="O110" s="10" t="n"/>
      <c r="P110" s="10" t="inlineStr">
        <is>
          <t>Hebdomadaire</t>
        </is>
      </c>
      <c r="Q110" s="9" t="inlineStr">
        <is>
          <t>Original (septembre)</t>
        </is>
      </c>
      <c r="R110" s="9" t="inlineStr"/>
      <c r="S110" s="44">
        <f>IF($M110="","",IF(SUMPRODUCT(($D$4:$D$704=$D110)*($M$4:$M$704=$M110)*($F$4:$F$704&lt;$G110)*($G$4:$G$704&gt;$F110))&gt;1,"⚠ CONFLIT",""))</f>
        <v/>
      </c>
      <c r="T110" s="44">
        <f>IF($J110="","",IF(SUMPRODUCT(($D$4:$D$704=$D110)*($J$4:$J$704=$J110)*($F$4:$F$704&lt;$G110)*($G$4:$G$704&gt;$F110))&gt;1,"⚠ CONFLIT",""))</f>
        <v/>
      </c>
      <c r="U110" s="44">
        <f>IF(COUNTIFS($D$4:$D$704,$D110,$J$4:$J$704,$J110,$F$4:$F$704,$F110,$K$4:$K$704,$K110)&gt;1,"⚠ DOUBLON","")</f>
        <v/>
      </c>
      <c r="V110" s="44">
        <f>COUNTIFS($A$4:$A110,$A110,$J$4:$J110,$J110,$E$4:$E110,$E110)</f>
        <v/>
      </c>
      <c r="W110" s="45">
        <f>$A110&amp;"|"&amp;$J110&amp;"|"&amp;$E110&amp;"|"&amp;$V110</f>
        <v/>
      </c>
      <c r="X110" s="46">
        <f>TEXT($F110,"hh:mm")&amp;" - "&amp;TEXT($G110,"hh:mm")&amp;IF($P110="Quinzaine A","   ◆ Q-A",IF($P110="Quinzaine B","   ◆ Q-B",IF($P110="Exception","   ◆ PONCTUEL","")))&amp;CHAR(10)&amp;$K110&amp;CHAR(10)&amp;$M110&amp;IF($N110&lt;&gt;"",CHAR(10)&amp;"Salle "&amp;$N110,"")&amp;IF($O110="En ligne",CHAR(10)&amp;"◆ EN LIGNE","")&amp;IF($R110&lt;&gt;"",CHAR(10)&amp;$R110,"")</f>
        <v/>
      </c>
      <c r="Y110" s="45" t="inlineStr">
        <is>
          <t>19h-21h Gestion (Yassine)</t>
        </is>
      </c>
      <c r="Z110" s="45" t="inlineStr">
        <is>
          <t>du 21-09 jusquà le 27-09!G75</t>
        </is>
      </c>
    </row>
    <row r="111" ht="15" customHeight="1">
      <c r="A111" s="10" t="inlineStr">
        <is>
          <t>S2</t>
        </is>
      </c>
      <c r="B111" s="9" t="inlineStr">
        <is>
          <t>du 21 au 27 septembre 2026</t>
        </is>
      </c>
      <c r="C111" s="10" t="inlineStr">
        <is>
          <t>B</t>
        </is>
      </c>
      <c r="D111" s="41" t="n">
        <v>46286</v>
      </c>
      <c r="E111" s="10" t="inlineStr">
        <is>
          <t>Lundi</t>
        </is>
      </c>
      <c r="F111" s="42" t="n">
        <v>0.7916666666666666</v>
      </c>
      <c r="G111" s="42" t="n">
        <v>0.875</v>
      </c>
      <c r="H111" s="43">
        <f>IF(OR($F111="",$G111=""),"",($G111-$F111)*24)</f>
        <v/>
      </c>
      <c r="I111" s="10" t="inlineStr">
        <is>
          <t>Bac</t>
        </is>
      </c>
      <c r="J111" s="9" t="inlineStr">
        <is>
          <t>Bac SCE</t>
        </is>
      </c>
      <c r="K111" s="9" t="inlineStr">
        <is>
          <t>Physique</t>
        </is>
      </c>
      <c r="L111" s="9" t="inlineStr">
        <is>
          <t>Physique</t>
        </is>
      </c>
      <c r="M111" s="9" t="inlineStr">
        <is>
          <t>Sondes</t>
        </is>
      </c>
      <c r="N111" s="10" t="n"/>
      <c r="O111" s="10" t="n"/>
      <c r="P111" s="10" t="inlineStr">
        <is>
          <t>Hebdomadaire</t>
        </is>
      </c>
      <c r="Q111" s="9" t="inlineStr">
        <is>
          <t>Original (septembre)</t>
        </is>
      </c>
      <c r="R111" s="9" t="inlineStr"/>
      <c r="S111" s="44">
        <f>IF($M111="","",IF(SUMPRODUCT(($D$4:$D$704=$D111)*($M$4:$M$704=$M111)*($F$4:$F$704&lt;$G111)*($G$4:$G$704&gt;$F111))&gt;1,"⚠ CONFLIT",""))</f>
        <v/>
      </c>
      <c r="T111" s="44">
        <f>IF($J111="","",IF(SUMPRODUCT(($D$4:$D$704=$D111)*($J$4:$J$704=$J111)*($F$4:$F$704&lt;$G111)*($G$4:$G$704&gt;$F111))&gt;1,"⚠ CONFLIT",""))</f>
        <v/>
      </c>
      <c r="U111" s="44">
        <f>IF(COUNTIFS($D$4:$D$704,$D111,$J$4:$J$704,$J111,$F$4:$F$704,$F111,$K$4:$K$704,$K111)&gt;1,"⚠ DOUBLON","")</f>
        <v/>
      </c>
      <c r="V111" s="44">
        <f>COUNTIFS($A$4:$A111,$A111,$J$4:$J111,$J111,$E$4:$E111,$E111)</f>
        <v/>
      </c>
      <c r="W111" s="45">
        <f>$A111&amp;"|"&amp;$J111&amp;"|"&amp;$E111&amp;"|"&amp;$V111</f>
        <v/>
      </c>
      <c r="X111" s="46">
        <f>TEXT($F111,"hh:mm")&amp;" - "&amp;TEXT($G111,"hh:mm")&amp;IF($P111="Quinzaine A","   ◆ Q-A",IF($P111="Quinzaine B","   ◆ Q-B",IF($P111="Exception","   ◆ PONCTUEL","")))&amp;CHAR(10)&amp;$K111&amp;CHAR(10)&amp;$M111&amp;IF($N111&lt;&gt;"",CHAR(10)&amp;"Salle "&amp;$N111,"")&amp;IF($O111="En ligne",CHAR(10)&amp;"◆ EN LIGNE","")&amp;IF($R111&lt;&gt;"",CHAR(10)&amp;$R111,"")</f>
        <v/>
      </c>
      <c r="Y111" s="45" t="inlineStr">
        <is>
          <t>19h-21h Physique (Sondes)</t>
        </is>
      </c>
      <c r="Z111" s="45" t="inlineStr">
        <is>
          <t>du 21-09 jusquà le 27-09!G81</t>
        </is>
      </c>
    </row>
    <row r="112" ht="15" customHeight="1">
      <c r="A112" s="10" t="inlineStr">
        <is>
          <t>S2</t>
        </is>
      </c>
      <c r="B112" s="9" t="inlineStr">
        <is>
          <t>du 21 au 27 septembre 2026</t>
        </is>
      </c>
      <c r="C112" s="10" t="inlineStr">
        <is>
          <t>B</t>
        </is>
      </c>
      <c r="D112" s="41" t="n">
        <v>46286</v>
      </c>
      <c r="E112" s="10" t="inlineStr">
        <is>
          <t>Lundi</t>
        </is>
      </c>
      <c r="F112" s="42" t="n">
        <v>0.8125</v>
      </c>
      <c r="G112" s="42" t="n">
        <v>0.875</v>
      </c>
      <c r="H112" s="43">
        <f>IF(OR($F112="",$G112=""),"",($G112-$F112)*24)</f>
        <v/>
      </c>
      <c r="I112" s="10" t="inlineStr">
        <is>
          <t>Bac</t>
        </is>
      </c>
      <c r="J112" s="9" t="inlineStr">
        <is>
          <t>Bac INFO</t>
        </is>
      </c>
      <c r="K112" s="9" t="inlineStr">
        <is>
          <t>Physique</t>
        </is>
      </c>
      <c r="L112" s="9" t="inlineStr">
        <is>
          <t>Physique</t>
        </is>
      </c>
      <c r="M112" s="9" t="inlineStr">
        <is>
          <t>Samia</t>
        </is>
      </c>
      <c r="N112" s="10" t="n"/>
      <c r="O112" s="10" t="n"/>
      <c r="P112" s="10" t="inlineStr">
        <is>
          <t>Hebdomadaire</t>
        </is>
      </c>
      <c r="Q112" s="9" t="inlineStr">
        <is>
          <t>Original (septembre)</t>
        </is>
      </c>
      <c r="R112" s="9" t="inlineStr"/>
      <c r="S112" s="44">
        <f>IF($M112="","",IF(SUMPRODUCT(($D$4:$D$704=$D112)*($M$4:$M$704=$M112)*($F$4:$F$704&lt;$G112)*($G$4:$G$704&gt;$F112))&gt;1,"⚠ CONFLIT",""))</f>
        <v/>
      </c>
      <c r="T112" s="44">
        <f>IF($J112="","",IF(SUMPRODUCT(($D$4:$D$704=$D112)*($J$4:$J$704=$J112)*($F$4:$F$704&lt;$G112)*($G$4:$G$704&gt;$F112))&gt;1,"⚠ CONFLIT",""))</f>
        <v/>
      </c>
      <c r="U112" s="44">
        <f>IF(COUNTIFS($D$4:$D$704,$D112,$J$4:$J$704,$J112,$F$4:$F$704,$F112,$K$4:$K$704,$K112)&gt;1,"⚠ DOUBLON","")</f>
        <v/>
      </c>
      <c r="V112" s="44">
        <f>COUNTIFS($A$4:$A112,$A112,$J$4:$J112,$J112,$E$4:$E112,$E112)</f>
        <v/>
      </c>
      <c r="W112" s="45">
        <f>$A112&amp;"|"&amp;$J112&amp;"|"&amp;$E112&amp;"|"&amp;$V112</f>
        <v/>
      </c>
      <c r="X112" s="46">
        <f>TEXT($F112,"hh:mm")&amp;" - "&amp;TEXT($G112,"hh:mm")&amp;IF($P112="Quinzaine A","   ◆ Q-A",IF($P112="Quinzaine B","   ◆ Q-B",IF($P112="Exception","   ◆ PONCTUEL","")))&amp;CHAR(10)&amp;$K112&amp;CHAR(10)&amp;$M112&amp;IF($N112&lt;&gt;"",CHAR(10)&amp;"Salle "&amp;$N112,"")&amp;IF($O112="En ligne",CHAR(10)&amp;"◆ EN LIGNE","")&amp;IF($R112&lt;&gt;"",CHAR(10)&amp;$R112,"")</f>
        <v/>
      </c>
      <c r="Y112" s="45" t="inlineStr">
        <is>
          <t>19h30-21h Physique (Samia)</t>
        </is>
      </c>
      <c r="Z112" s="45" t="inlineStr">
        <is>
          <t>du 21-09 jusquà le 27-09!G85</t>
        </is>
      </c>
    </row>
    <row r="113" ht="15" customHeight="1">
      <c r="A113" s="10" t="inlineStr">
        <is>
          <t>S2</t>
        </is>
      </c>
      <c r="B113" s="9" t="inlineStr">
        <is>
          <t>du 21 au 27 septembre 2026</t>
        </is>
      </c>
      <c r="C113" s="10" t="inlineStr">
        <is>
          <t>B</t>
        </is>
      </c>
      <c r="D113" s="41" t="n">
        <v>46287</v>
      </c>
      <c r="E113" s="10" t="inlineStr">
        <is>
          <t>Mardi</t>
        </is>
      </c>
      <c r="F113" s="42" t="n">
        <v>0.7916666666666666</v>
      </c>
      <c r="G113" s="42" t="n">
        <v>0.875</v>
      </c>
      <c r="H113" s="43">
        <f>IF(OR($F113="",$G113=""),"",($G113-$F113)*24)</f>
        <v/>
      </c>
      <c r="I113" s="10" t="inlineStr">
        <is>
          <t>Primaire</t>
        </is>
      </c>
      <c r="J113" s="9" t="inlineStr">
        <is>
          <t>5éme</t>
        </is>
      </c>
      <c r="K113" s="9" t="inlineStr">
        <is>
          <t>عربية</t>
        </is>
      </c>
      <c r="L113" s="9" t="inlineStr">
        <is>
          <t>Arabe</t>
        </is>
      </c>
      <c r="M113" s="9" t="inlineStr">
        <is>
          <t>Lobna</t>
        </is>
      </c>
      <c r="N113" s="10" t="n"/>
      <c r="O113" s="10" t="n"/>
      <c r="P113" s="10" t="inlineStr">
        <is>
          <t>Hebdomadaire</t>
        </is>
      </c>
      <c r="Q113" s="9" t="inlineStr">
        <is>
          <t>Original (septembre)</t>
        </is>
      </c>
      <c r="R113" s="9" t="inlineStr"/>
      <c r="S113" s="44">
        <f>IF($M113="","",IF(SUMPRODUCT(($D$4:$D$704=$D113)*($M$4:$M$704=$M113)*($F$4:$F$704&lt;$G113)*($G$4:$G$704&gt;$F113))&gt;1,"⚠ CONFLIT",""))</f>
        <v/>
      </c>
      <c r="T113" s="44">
        <f>IF($J113="","",IF(SUMPRODUCT(($D$4:$D$704=$D113)*($J$4:$J$704=$J113)*($F$4:$F$704&lt;$G113)*($G$4:$G$704&gt;$F113))&gt;1,"⚠ CONFLIT",""))</f>
        <v/>
      </c>
      <c r="U113" s="44">
        <f>IF(COUNTIFS($D$4:$D$704,$D113,$J$4:$J$704,$J113,$F$4:$F$704,$F113,$K$4:$K$704,$K113)&gt;1,"⚠ DOUBLON","")</f>
        <v/>
      </c>
      <c r="V113" s="44">
        <f>COUNTIFS($A$4:$A113,$A113,$J$4:$J113,$J113,$E$4:$E113,$E113)</f>
        <v/>
      </c>
      <c r="W113" s="45">
        <f>$A113&amp;"|"&amp;$J113&amp;"|"&amp;$E113&amp;"|"&amp;$V113</f>
        <v/>
      </c>
      <c r="X113" s="46">
        <f>TEXT($F113,"hh:mm")&amp;" - "&amp;TEXT($G113,"hh:mm")&amp;IF($P113="Quinzaine A","   ◆ Q-A",IF($P113="Quinzaine B","   ◆ Q-B",IF($P113="Exception","   ◆ PONCTUEL","")))&amp;CHAR(10)&amp;$K113&amp;CHAR(10)&amp;$M113&amp;IF($N113&lt;&gt;"",CHAR(10)&amp;"Salle "&amp;$N113,"")&amp;IF($O113="En ligne",CHAR(10)&amp;"◆ EN LIGNE","")&amp;IF($R113&lt;&gt;"",CHAR(10)&amp;$R113,"")</f>
        <v/>
      </c>
      <c r="Y113" s="45" t="inlineStr">
        <is>
          <t>19h-21h عربية (Lobna)</t>
        </is>
      </c>
      <c r="Z113" s="45" t="inlineStr">
        <is>
          <t>du 21-09 jusquà le 27-09!H7</t>
        </is>
      </c>
    </row>
    <row r="114" ht="15" customHeight="1">
      <c r="A114" s="10" t="inlineStr">
        <is>
          <t>S2</t>
        </is>
      </c>
      <c r="B114" s="9" t="inlineStr">
        <is>
          <t>du 21 au 27 septembre 2026</t>
        </is>
      </c>
      <c r="C114" s="10" t="inlineStr">
        <is>
          <t>B</t>
        </is>
      </c>
      <c r="D114" s="41" t="n">
        <v>46287</v>
      </c>
      <c r="E114" s="10" t="inlineStr">
        <is>
          <t>Mardi</t>
        </is>
      </c>
      <c r="F114" s="42" t="n">
        <v>0.7916666666666666</v>
      </c>
      <c r="G114" s="42" t="n">
        <v>0.8541666666666666</v>
      </c>
      <c r="H114" s="43">
        <f>IF(OR($F114="",$G114=""),"",($G114-$F114)*24)</f>
        <v/>
      </c>
      <c r="I114" s="10" t="inlineStr">
        <is>
          <t>Primaire</t>
        </is>
      </c>
      <c r="J114" s="9" t="inlineStr">
        <is>
          <t>6éme (B)</t>
        </is>
      </c>
      <c r="K114" s="9" t="inlineStr">
        <is>
          <t>Français</t>
        </is>
      </c>
      <c r="L114" s="9" t="inlineStr">
        <is>
          <t>Français</t>
        </is>
      </c>
      <c r="M114" s="9" t="inlineStr">
        <is>
          <t>Hend</t>
        </is>
      </c>
      <c r="N114" s="10" t="n"/>
      <c r="O114" s="10" t="n"/>
      <c r="P114" s="10" t="inlineStr">
        <is>
          <t>Hebdomadaire</t>
        </is>
      </c>
      <c r="Q114" s="9" t="inlineStr">
        <is>
          <t>Original (septembre)</t>
        </is>
      </c>
      <c r="R114" s="9" t="inlineStr"/>
      <c r="S114" s="44">
        <f>IF($M114="","",IF(SUMPRODUCT(($D$4:$D$704=$D114)*($M$4:$M$704=$M114)*($F$4:$F$704&lt;$G114)*($G$4:$G$704&gt;$F114))&gt;1,"⚠ CONFLIT",""))</f>
        <v/>
      </c>
      <c r="T114" s="44">
        <f>IF($J114="","",IF(SUMPRODUCT(($D$4:$D$704=$D114)*($J$4:$J$704=$J114)*($F$4:$F$704&lt;$G114)*($G$4:$G$704&gt;$F114))&gt;1,"⚠ CONFLIT",""))</f>
        <v/>
      </c>
      <c r="U114" s="44">
        <f>IF(COUNTIFS($D$4:$D$704,$D114,$J$4:$J$704,$J114,$F$4:$F$704,$F114,$K$4:$K$704,$K114)&gt;1,"⚠ DOUBLON","")</f>
        <v/>
      </c>
      <c r="V114" s="44">
        <f>COUNTIFS($A$4:$A114,$A114,$J$4:$J114,$J114,$E$4:$E114,$E114)</f>
        <v/>
      </c>
      <c r="W114" s="45">
        <f>$A114&amp;"|"&amp;$J114&amp;"|"&amp;$E114&amp;"|"&amp;$V114</f>
        <v/>
      </c>
      <c r="X114" s="46">
        <f>TEXT($F114,"hh:mm")&amp;" - "&amp;TEXT($G114,"hh:mm")&amp;IF($P114="Quinzaine A","   ◆ Q-A",IF($P114="Quinzaine B","   ◆ Q-B",IF($P114="Exception","   ◆ PONCTUEL","")))&amp;CHAR(10)&amp;$K114&amp;CHAR(10)&amp;$M114&amp;IF($N114&lt;&gt;"",CHAR(10)&amp;"Salle "&amp;$N114,"")&amp;IF($O114="En ligne",CHAR(10)&amp;"◆ EN LIGNE","")&amp;IF($R114&lt;&gt;"",CHAR(10)&amp;$R114,"")</f>
        <v/>
      </c>
      <c r="Y114" s="45" t="inlineStr">
        <is>
          <t>19h-20h30 Français (Hend)</t>
        </is>
      </c>
      <c r="Z114" s="45" t="inlineStr">
        <is>
          <t>du 21-09 jusquà le 27-09!H17</t>
        </is>
      </c>
    </row>
    <row r="115" ht="15" customHeight="1">
      <c r="A115" s="10" t="inlineStr">
        <is>
          <t>S2</t>
        </is>
      </c>
      <c r="B115" s="9" t="inlineStr">
        <is>
          <t>du 21 au 27 septembre 2026</t>
        </is>
      </c>
      <c r="C115" s="10" t="inlineStr">
        <is>
          <t>B</t>
        </is>
      </c>
      <c r="D115" s="41" t="n">
        <v>46287</v>
      </c>
      <c r="E115" s="10" t="inlineStr">
        <is>
          <t>Mardi</t>
        </is>
      </c>
      <c r="F115" s="42" t="n">
        <v>0.7916666666666666</v>
      </c>
      <c r="G115" s="42" t="n">
        <v>0.8541666666666666</v>
      </c>
      <c r="H115" s="43">
        <f>IF(OR($F115="",$G115=""),"",($G115-$F115)*24)</f>
        <v/>
      </c>
      <c r="I115" s="10" t="inlineStr">
        <is>
          <t>Collège</t>
        </is>
      </c>
      <c r="J115" s="9" t="inlineStr">
        <is>
          <t>7éme (B)</t>
        </is>
      </c>
      <c r="K115" s="9" t="inlineStr">
        <is>
          <t>Anglais</t>
        </is>
      </c>
      <c r="L115" s="9" t="inlineStr">
        <is>
          <t>Anglais</t>
        </is>
      </c>
      <c r="M115" s="9" t="inlineStr">
        <is>
          <t>Imen Ben Lazrak</t>
        </is>
      </c>
      <c r="N115" s="10" t="n"/>
      <c r="O115" s="10" t="n"/>
      <c r="P115" s="10" t="inlineStr">
        <is>
          <t>Quinzaine B</t>
        </is>
      </c>
      <c r="Q115" s="9" t="inlineStr">
        <is>
          <t>Original (septembre)</t>
        </is>
      </c>
      <c r="R115" s="9" t="inlineStr"/>
      <c r="S115" s="44">
        <f>IF($M115="","",IF(SUMPRODUCT(($D$4:$D$704=$D115)*($M$4:$M$704=$M115)*($F$4:$F$704&lt;$G115)*($G$4:$G$704&gt;$F115))&gt;1,"⚠ CONFLIT",""))</f>
        <v/>
      </c>
      <c r="T115" s="44">
        <f>IF($J115="","",IF(SUMPRODUCT(($D$4:$D$704=$D115)*($J$4:$J$704=$J115)*($F$4:$F$704&lt;$G115)*($G$4:$G$704&gt;$F115))&gt;1,"⚠ CONFLIT",""))</f>
        <v/>
      </c>
      <c r="U115" s="44">
        <f>IF(COUNTIFS($D$4:$D$704,$D115,$J$4:$J$704,$J115,$F$4:$F$704,$F115,$K$4:$K$704,$K115)&gt;1,"⚠ DOUBLON","")</f>
        <v/>
      </c>
      <c r="V115" s="44">
        <f>COUNTIFS($A$4:$A115,$A115,$J$4:$J115,$J115,$E$4:$E115,$E115)</f>
        <v/>
      </c>
      <c r="W115" s="45">
        <f>$A115&amp;"|"&amp;$J115&amp;"|"&amp;$E115&amp;"|"&amp;$V115</f>
        <v/>
      </c>
      <c r="X115" s="46">
        <f>TEXT($F115,"hh:mm")&amp;" - "&amp;TEXT($G115,"hh:mm")&amp;IF($P115="Quinzaine A","   ◆ Q-A",IF($P115="Quinzaine B","   ◆ Q-B",IF($P115="Exception","   ◆ PONCTUEL","")))&amp;CHAR(10)&amp;$K115&amp;CHAR(10)&amp;$M115&amp;IF($N115&lt;&gt;"",CHAR(10)&amp;"Salle "&amp;$N115,"")&amp;IF($O115="En ligne",CHAR(10)&amp;"◆ EN LIGNE","")&amp;IF($R115&lt;&gt;"",CHAR(10)&amp;$R115,"")</f>
        <v/>
      </c>
      <c r="Y115" s="45" t="inlineStr">
        <is>
          <t>19h-20h30 Anglais /par quinzaine (Imen Ben Lazrak)</t>
        </is>
      </c>
      <c r="Z115" s="45" t="inlineStr">
        <is>
          <t>du 21-09 jusquà le 27-09!H24</t>
        </is>
      </c>
    </row>
    <row r="116" ht="15" customHeight="1">
      <c r="A116" s="10" t="inlineStr">
        <is>
          <t>S2</t>
        </is>
      </c>
      <c r="B116" s="9" t="inlineStr">
        <is>
          <t>du 21 au 27 septembre 2026</t>
        </is>
      </c>
      <c r="C116" s="10" t="inlineStr">
        <is>
          <t>B</t>
        </is>
      </c>
      <c r="D116" s="41" t="n">
        <v>46287</v>
      </c>
      <c r="E116" s="10" t="inlineStr">
        <is>
          <t>Mardi</t>
        </is>
      </c>
      <c r="F116" s="42" t="n">
        <v>0.8125</v>
      </c>
      <c r="G116" s="42" t="n">
        <v>0.875</v>
      </c>
      <c r="H116" s="43">
        <f>IF(OR($F116="",$G116=""),"",($G116-$F116)*24)</f>
        <v/>
      </c>
      <c r="I116" s="10" t="inlineStr">
        <is>
          <t>Collège</t>
        </is>
      </c>
      <c r="J116" s="9" t="inlineStr">
        <is>
          <t>8éme (B)</t>
        </is>
      </c>
      <c r="K116" s="9" t="inlineStr">
        <is>
          <t>Arabe</t>
        </is>
      </c>
      <c r="L116" s="9" t="inlineStr">
        <is>
          <t>Arabe</t>
        </is>
      </c>
      <c r="M116" s="9" t="inlineStr">
        <is>
          <t>Yahya</t>
        </is>
      </c>
      <c r="N116" s="10" t="n"/>
      <c r="O116" s="10" t="n"/>
      <c r="P116" s="10" t="inlineStr">
        <is>
          <t>Hebdomadaire</t>
        </is>
      </c>
      <c r="Q116" s="9" t="inlineStr">
        <is>
          <t>Original (septembre)</t>
        </is>
      </c>
      <c r="R116" s="9" t="inlineStr"/>
      <c r="S116" s="44">
        <f>IF($M116="","",IF(SUMPRODUCT(($D$4:$D$704=$D116)*($M$4:$M$704=$M116)*($F$4:$F$704&lt;$G116)*($G$4:$G$704&gt;$F116))&gt;1,"⚠ CONFLIT",""))</f>
        <v/>
      </c>
      <c r="T116" s="44">
        <f>IF($J116="","",IF(SUMPRODUCT(($D$4:$D$704=$D116)*($J$4:$J$704=$J116)*($F$4:$F$704&lt;$G116)*($G$4:$G$704&gt;$F116))&gt;1,"⚠ CONFLIT",""))</f>
        <v/>
      </c>
      <c r="U116" s="44">
        <f>IF(COUNTIFS($D$4:$D$704,$D116,$J$4:$J$704,$J116,$F$4:$F$704,$F116,$K$4:$K$704,$K116)&gt;1,"⚠ DOUBLON","")</f>
        <v/>
      </c>
      <c r="V116" s="44">
        <f>COUNTIFS($A$4:$A116,$A116,$J$4:$J116,$J116,$E$4:$E116,$E116)</f>
        <v/>
      </c>
      <c r="W116" s="45">
        <f>$A116&amp;"|"&amp;$J116&amp;"|"&amp;$E116&amp;"|"&amp;$V116</f>
        <v/>
      </c>
      <c r="X116" s="46">
        <f>TEXT($F116,"hh:mm")&amp;" - "&amp;TEXT($G116,"hh:mm")&amp;IF($P116="Quinzaine A","   ◆ Q-A",IF($P116="Quinzaine B","   ◆ Q-B",IF($P116="Exception","   ◆ PONCTUEL","")))&amp;CHAR(10)&amp;$K116&amp;CHAR(10)&amp;$M116&amp;IF($N116&lt;&gt;"",CHAR(10)&amp;"Salle "&amp;$N116,"")&amp;IF($O116="En ligne",CHAR(10)&amp;"◆ EN LIGNE","")&amp;IF($R116&lt;&gt;"",CHAR(10)&amp;$R116,"")</f>
        <v/>
      </c>
      <c r="Y116" s="45" t="inlineStr">
        <is>
          <t>19h30-21h Arabe (Yahya)</t>
        </is>
      </c>
      <c r="Z116" s="45" t="inlineStr">
        <is>
          <t>du 21-09 jusquà le 27-09!H32</t>
        </is>
      </c>
    </row>
    <row r="117" ht="15" customHeight="1">
      <c r="A117" s="10" t="inlineStr">
        <is>
          <t>S2</t>
        </is>
      </c>
      <c r="B117" s="9" t="inlineStr">
        <is>
          <t>du 21 au 27 septembre 2026</t>
        </is>
      </c>
      <c r="C117" s="10" t="inlineStr">
        <is>
          <t>B</t>
        </is>
      </c>
      <c r="D117" s="41" t="n">
        <v>46287</v>
      </c>
      <c r="E117" s="10" t="inlineStr">
        <is>
          <t>Mardi</t>
        </is>
      </c>
      <c r="F117" s="42" t="n">
        <v>0.7916666666666666</v>
      </c>
      <c r="G117" s="42" t="n">
        <v>0.8541666666666666</v>
      </c>
      <c r="H117" s="43">
        <f>IF(OR($F117="",$G117=""),"",($G117-$F117)*24)</f>
        <v/>
      </c>
      <c r="I117" s="10" t="inlineStr">
        <is>
          <t>Collège</t>
        </is>
      </c>
      <c r="J117" s="9" t="inlineStr">
        <is>
          <t>9éme (A)</t>
        </is>
      </c>
      <c r="K117" s="9" t="inlineStr">
        <is>
          <t>Math</t>
        </is>
      </c>
      <c r="L117" s="9" t="inlineStr">
        <is>
          <t>Math</t>
        </is>
      </c>
      <c r="M117" s="9" t="inlineStr">
        <is>
          <t>Faouzi</t>
        </is>
      </c>
      <c r="N117" s="10" t="n"/>
      <c r="O117" s="10" t="n"/>
      <c r="P117" s="10" t="inlineStr">
        <is>
          <t>Hebdomadaire</t>
        </is>
      </c>
      <c r="Q117" s="9" t="inlineStr">
        <is>
          <t>Original (septembre)</t>
        </is>
      </c>
      <c r="R117" s="9" t="inlineStr"/>
      <c r="S117" s="44">
        <f>IF($M117="","",IF(SUMPRODUCT(($D$4:$D$704=$D117)*($M$4:$M$704=$M117)*($F$4:$F$704&lt;$G117)*($G$4:$G$704&gt;$F117))&gt;1,"⚠ CONFLIT",""))</f>
        <v/>
      </c>
      <c r="T117" s="44">
        <f>IF($J117="","",IF(SUMPRODUCT(($D$4:$D$704=$D117)*($J$4:$J$704=$J117)*($F$4:$F$704&lt;$G117)*($G$4:$G$704&gt;$F117))&gt;1,"⚠ CONFLIT",""))</f>
        <v/>
      </c>
      <c r="U117" s="44">
        <f>IF(COUNTIFS($D$4:$D$704,$D117,$J$4:$J$704,$J117,$F$4:$F$704,$F117,$K$4:$K$704,$K117)&gt;1,"⚠ DOUBLON","")</f>
        <v/>
      </c>
      <c r="V117" s="44">
        <f>COUNTIFS($A$4:$A117,$A117,$J$4:$J117,$J117,$E$4:$E117,$E117)</f>
        <v/>
      </c>
      <c r="W117" s="45">
        <f>$A117&amp;"|"&amp;$J117&amp;"|"&amp;$E117&amp;"|"&amp;$V117</f>
        <v/>
      </c>
      <c r="X117" s="46">
        <f>TEXT($F117,"hh:mm")&amp;" - "&amp;TEXT($G117,"hh:mm")&amp;IF($P117="Quinzaine A","   ◆ Q-A",IF($P117="Quinzaine B","   ◆ Q-B",IF($P117="Exception","   ◆ PONCTUEL","")))&amp;CHAR(10)&amp;$K117&amp;CHAR(10)&amp;$M117&amp;IF($N117&lt;&gt;"",CHAR(10)&amp;"Salle "&amp;$N117,"")&amp;IF($O117="En ligne",CHAR(10)&amp;"◆ EN LIGNE","")&amp;IF($R117&lt;&gt;"",CHAR(10)&amp;$R117,"")</f>
        <v/>
      </c>
      <c r="Y117" s="45" t="inlineStr">
        <is>
          <t>19h-20h30 Math (Faouzi)</t>
        </is>
      </c>
      <c r="Z117" s="45" t="inlineStr">
        <is>
          <t>du 21-09 jusquà le 27-09!H37</t>
        </is>
      </c>
    </row>
    <row r="118" ht="15" customHeight="1">
      <c r="A118" s="10" t="inlineStr">
        <is>
          <t>S2</t>
        </is>
      </c>
      <c r="B118" s="9" t="inlineStr">
        <is>
          <t>du 21 au 27 septembre 2026</t>
        </is>
      </c>
      <c r="C118" s="10" t="inlineStr">
        <is>
          <t>B</t>
        </is>
      </c>
      <c r="D118" s="41" t="n">
        <v>46287</v>
      </c>
      <c r="E118" s="10" t="inlineStr">
        <is>
          <t>Mardi</t>
        </is>
      </c>
      <c r="F118" s="42" t="n">
        <v>0.8020833333333334</v>
      </c>
      <c r="G118" s="42" t="n">
        <v>0.8645833333333334</v>
      </c>
      <c r="H118" s="43">
        <f>IF(OR($F118="",$G118=""),"",($G118-$F118)*24)</f>
        <v/>
      </c>
      <c r="I118" s="10" t="inlineStr">
        <is>
          <t>Collège</t>
        </is>
      </c>
      <c r="J118" s="9" t="inlineStr">
        <is>
          <t>9éme (B)</t>
        </is>
      </c>
      <c r="K118" s="9" t="inlineStr">
        <is>
          <t>SVT</t>
        </is>
      </c>
      <c r="L118" s="9" t="inlineStr">
        <is>
          <t>SVT</t>
        </is>
      </c>
      <c r="M118" s="9" t="inlineStr">
        <is>
          <t>Imen Jribi</t>
        </is>
      </c>
      <c r="N118" s="10" t="n"/>
      <c r="O118" s="10" t="n"/>
      <c r="P118" s="10" t="inlineStr">
        <is>
          <t>Hebdomadaire</t>
        </is>
      </c>
      <c r="Q118" s="9" t="inlineStr">
        <is>
          <t>Original (septembre)</t>
        </is>
      </c>
      <c r="R118" s="9" t="inlineStr"/>
      <c r="S118" s="44">
        <f>IF($M118="","",IF(SUMPRODUCT(($D$4:$D$704=$D118)*($M$4:$M$704=$M118)*($F$4:$F$704&lt;$G118)*($G$4:$G$704&gt;$F118))&gt;1,"⚠ CONFLIT",""))</f>
        <v/>
      </c>
      <c r="T118" s="44">
        <f>IF($J118="","",IF(SUMPRODUCT(($D$4:$D$704=$D118)*($J$4:$J$704=$J118)*($F$4:$F$704&lt;$G118)*($G$4:$G$704&gt;$F118))&gt;1,"⚠ CONFLIT",""))</f>
        <v/>
      </c>
      <c r="U118" s="44">
        <f>IF(COUNTIFS($D$4:$D$704,$D118,$J$4:$J$704,$J118,$F$4:$F$704,$F118,$K$4:$K$704,$K118)&gt;1,"⚠ DOUBLON","")</f>
        <v/>
      </c>
      <c r="V118" s="44">
        <f>COUNTIFS($A$4:$A118,$A118,$J$4:$J118,$J118,$E$4:$E118,$E118)</f>
        <v/>
      </c>
      <c r="W118" s="45">
        <f>$A118&amp;"|"&amp;$J118&amp;"|"&amp;$E118&amp;"|"&amp;$V118</f>
        <v/>
      </c>
      <c r="X118" s="46">
        <f>TEXT($F118,"hh:mm")&amp;" - "&amp;TEXT($G118,"hh:mm")&amp;IF($P118="Quinzaine A","   ◆ Q-A",IF($P118="Quinzaine B","   ◆ Q-B",IF($P118="Exception","   ◆ PONCTUEL","")))&amp;CHAR(10)&amp;$K118&amp;CHAR(10)&amp;$M118&amp;IF($N118&lt;&gt;"",CHAR(10)&amp;"Salle "&amp;$N118,"")&amp;IF($O118="En ligne",CHAR(10)&amp;"◆ EN LIGNE","")&amp;IF($R118&lt;&gt;"",CHAR(10)&amp;$R118,"")</f>
        <v/>
      </c>
      <c r="Y118" s="45" t="inlineStr">
        <is>
          <t>19h15-20h45 SVT (Imen Jribi)</t>
        </is>
      </c>
      <c r="Z118" s="45" t="inlineStr">
        <is>
          <t>du 21-09 jusquà le 27-09!H44</t>
        </is>
      </c>
    </row>
    <row r="119" ht="15" customHeight="1">
      <c r="A119" s="10" t="inlineStr">
        <is>
          <t>S2</t>
        </is>
      </c>
      <c r="B119" s="9" t="inlineStr">
        <is>
          <t>du 21 au 27 septembre 2026</t>
        </is>
      </c>
      <c r="C119" s="10" t="inlineStr">
        <is>
          <t>B</t>
        </is>
      </c>
      <c r="D119" s="41" t="n">
        <v>46287</v>
      </c>
      <c r="E119" s="10" t="inlineStr">
        <is>
          <t>Mardi</t>
        </is>
      </c>
      <c r="F119" s="42" t="n">
        <v>0.8125</v>
      </c>
      <c r="G119" s="42" t="n">
        <v>0.875</v>
      </c>
      <c r="H119" s="43">
        <f>IF(OR($F119="",$G119=""),"",($G119-$F119)*24)</f>
        <v/>
      </c>
      <c r="I119" s="10" t="inlineStr">
        <is>
          <t>Secondaire</t>
        </is>
      </c>
      <c r="J119" s="9" t="inlineStr">
        <is>
          <t>1ére (A)</t>
        </is>
      </c>
      <c r="K119" s="9" t="inlineStr">
        <is>
          <t>Français</t>
        </is>
      </c>
      <c r="L119" s="9" t="inlineStr">
        <is>
          <t>Français</t>
        </is>
      </c>
      <c r="M119" s="9" t="inlineStr">
        <is>
          <t>Nassima</t>
        </is>
      </c>
      <c r="N119" s="10" t="n"/>
      <c r="O119" s="10" t="n"/>
      <c r="P119" s="10" t="inlineStr">
        <is>
          <t>Hebdomadaire</t>
        </is>
      </c>
      <c r="Q119" s="9" t="inlineStr">
        <is>
          <t>Original (septembre)</t>
        </is>
      </c>
      <c r="R119" s="9" t="inlineStr"/>
      <c r="S119" s="44">
        <f>IF($M119="","",IF(SUMPRODUCT(($D$4:$D$704=$D119)*($M$4:$M$704=$M119)*($F$4:$F$704&lt;$G119)*($G$4:$G$704&gt;$F119))&gt;1,"⚠ CONFLIT",""))</f>
        <v/>
      </c>
      <c r="T119" s="44">
        <f>IF($J119="","",IF(SUMPRODUCT(($D$4:$D$704=$D119)*($J$4:$J$704=$J119)*($F$4:$F$704&lt;$G119)*($G$4:$G$704&gt;$F119))&gt;1,"⚠ CONFLIT",""))</f>
        <v/>
      </c>
      <c r="U119" s="44">
        <f>IF(COUNTIFS($D$4:$D$704,$D119,$J$4:$J$704,$J119,$F$4:$F$704,$F119,$K$4:$K$704,$K119)&gt;1,"⚠ DOUBLON","")</f>
        <v/>
      </c>
      <c r="V119" s="44">
        <f>COUNTIFS($A$4:$A119,$A119,$J$4:$J119,$J119,$E$4:$E119,$E119)</f>
        <v/>
      </c>
      <c r="W119" s="45">
        <f>$A119&amp;"|"&amp;$J119&amp;"|"&amp;$E119&amp;"|"&amp;$V119</f>
        <v/>
      </c>
      <c r="X119" s="46">
        <f>TEXT($F119,"hh:mm")&amp;" - "&amp;TEXT($G119,"hh:mm")&amp;IF($P119="Quinzaine A","   ◆ Q-A",IF($P119="Quinzaine B","   ◆ Q-B",IF($P119="Exception","   ◆ PONCTUEL","")))&amp;CHAR(10)&amp;$K119&amp;CHAR(10)&amp;$M119&amp;IF($N119&lt;&gt;"",CHAR(10)&amp;"Salle "&amp;$N119,"")&amp;IF($O119="En ligne",CHAR(10)&amp;"◆ EN LIGNE","")&amp;IF($R119&lt;&gt;"",CHAR(10)&amp;$R119,"")</f>
        <v/>
      </c>
      <c r="Y119" s="45" t="inlineStr">
        <is>
          <t>19h30-21h Français (Nassima)</t>
        </is>
      </c>
      <c r="Z119" s="45" t="inlineStr">
        <is>
          <t>du 21-09 jusquà le 27-09!H49</t>
        </is>
      </c>
    </row>
    <row r="120" ht="15" customHeight="1">
      <c r="A120" s="10" t="inlineStr">
        <is>
          <t>S2</t>
        </is>
      </c>
      <c r="B120" s="9" t="inlineStr">
        <is>
          <t>du 21 au 27 septembre 2026</t>
        </is>
      </c>
      <c r="C120" s="10" t="inlineStr">
        <is>
          <t>B</t>
        </is>
      </c>
      <c r="D120" s="41" t="n">
        <v>46287</v>
      </c>
      <c r="E120" s="10" t="inlineStr">
        <is>
          <t>Mardi</t>
        </is>
      </c>
      <c r="F120" s="42" t="n">
        <v>0.8125</v>
      </c>
      <c r="G120" s="42" t="n">
        <v>0.875</v>
      </c>
      <c r="H120" s="43">
        <f>IF(OR($F120="",$G120=""),"",($G120-$F120)*24)</f>
        <v/>
      </c>
      <c r="I120" s="10" t="inlineStr">
        <is>
          <t>Secondaire</t>
        </is>
      </c>
      <c r="J120" s="9" t="inlineStr">
        <is>
          <t>1ére (B)</t>
        </is>
      </c>
      <c r="K120" s="9" t="inlineStr">
        <is>
          <t>Math</t>
        </is>
      </c>
      <c r="L120" s="9" t="inlineStr">
        <is>
          <t>Math</t>
        </is>
      </c>
      <c r="M120" s="9" t="inlineStr">
        <is>
          <t>Haythem</t>
        </is>
      </c>
      <c r="N120" s="10" t="n"/>
      <c r="O120" s="10" t="n"/>
      <c r="P120" s="10" t="inlineStr">
        <is>
          <t>Hebdomadaire</t>
        </is>
      </c>
      <c r="Q120" s="9" t="inlineStr">
        <is>
          <t>Original (septembre)</t>
        </is>
      </c>
      <c r="R120" s="9" t="inlineStr"/>
      <c r="S120" s="44">
        <f>IF($M120="","",IF(SUMPRODUCT(($D$4:$D$704=$D120)*($M$4:$M$704=$M120)*($F$4:$F$704&lt;$G120)*($G$4:$G$704&gt;$F120))&gt;1,"⚠ CONFLIT",""))</f>
        <v/>
      </c>
      <c r="T120" s="44">
        <f>IF($J120="","",IF(SUMPRODUCT(($D$4:$D$704=$D120)*($J$4:$J$704=$J120)*($F$4:$F$704&lt;$G120)*($G$4:$G$704&gt;$F120))&gt;1,"⚠ CONFLIT",""))</f>
        <v/>
      </c>
      <c r="U120" s="44">
        <f>IF(COUNTIFS($D$4:$D$704,$D120,$J$4:$J$704,$J120,$F$4:$F$704,$F120,$K$4:$K$704,$K120)&gt;1,"⚠ DOUBLON","")</f>
        <v/>
      </c>
      <c r="V120" s="44">
        <f>COUNTIFS($A$4:$A120,$A120,$J$4:$J120,$J120,$E$4:$E120,$E120)</f>
        <v/>
      </c>
      <c r="W120" s="45">
        <f>$A120&amp;"|"&amp;$J120&amp;"|"&amp;$E120&amp;"|"&amp;$V120</f>
        <v/>
      </c>
      <c r="X120" s="46">
        <f>TEXT($F120,"hh:mm")&amp;" - "&amp;TEXT($G120,"hh:mm")&amp;IF($P120="Quinzaine A","   ◆ Q-A",IF($P120="Quinzaine B","   ◆ Q-B",IF($P120="Exception","   ◆ PONCTUEL","")))&amp;CHAR(10)&amp;$K120&amp;CHAR(10)&amp;$M120&amp;IF($N120&lt;&gt;"",CHAR(10)&amp;"Salle "&amp;$N120,"")&amp;IF($O120="En ligne",CHAR(10)&amp;"◆ EN LIGNE","")&amp;IF($R120&lt;&gt;"",CHAR(10)&amp;$R120,"")</f>
        <v/>
      </c>
      <c r="Y120" s="45" t="inlineStr">
        <is>
          <t>19h30-21h Math (Haythem)</t>
        </is>
      </c>
      <c r="Z120" s="45" t="inlineStr">
        <is>
          <t>du 21-09 jusquà le 27-09!H54</t>
        </is>
      </c>
    </row>
    <row r="121" ht="15" customHeight="1">
      <c r="A121" s="10" t="inlineStr">
        <is>
          <t>S2</t>
        </is>
      </c>
      <c r="B121" s="9" t="inlineStr">
        <is>
          <t>du 21 au 27 septembre 2026</t>
        </is>
      </c>
      <c r="C121" s="10" t="inlineStr">
        <is>
          <t>B</t>
        </is>
      </c>
      <c r="D121" s="41" t="n">
        <v>46287</v>
      </c>
      <c r="E121" s="10" t="inlineStr">
        <is>
          <t>Mardi</t>
        </is>
      </c>
      <c r="F121" s="42" t="n">
        <v>0.8125</v>
      </c>
      <c r="G121" s="42" t="n">
        <v>0.875</v>
      </c>
      <c r="H121" s="43">
        <f>IF(OR($F121="",$G121=""),"",($G121-$F121)*24)</f>
        <v/>
      </c>
      <c r="I121" s="10" t="inlineStr">
        <is>
          <t>Secondaire</t>
        </is>
      </c>
      <c r="J121" s="9" t="inlineStr">
        <is>
          <t>2éme Eco</t>
        </is>
      </c>
      <c r="K121" s="9" t="inlineStr">
        <is>
          <t>Arabe</t>
        </is>
      </c>
      <c r="L121" s="9" t="inlineStr">
        <is>
          <t>Arabe</t>
        </is>
      </c>
      <c r="M121" s="9" t="inlineStr">
        <is>
          <t>Najet</t>
        </is>
      </c>
      <c r="N121" s="10" t="n"/>
      <c r="O121" s="10" t="n"/>
      <c r="P121" s="10" t="inlineStr">
        <is>
          <t>Quinzaine B</t>
        </is>
      </c>
      <c r="Q121" s="9" t="inlineStr">
        <is>
          <t>Original (septembre)</t>
        </is>
      </c>
      <c r="R121" s="9" t="inlineStr"/>
      <c r="S121" s="44">
        <f>IF($M121="","",IF(SUMPRODUCT(($D$4:$D$704=$D121)*($M$4:$M$704=$M121)*($F$4:$F$704&lt;$G121)*($G$4:$G$704&gt;$F121))&gt;1,"⚠ CONFLIT",""))</f>
        <v/>
      </c>
      <c r="T121" s="44">
        <f>IF($J121="","",IF(SUMPRODUCT(($D$4:$D$704=$D121)*($J$4:$J$704=$J121)*($F$4:$F$704&lt;$G121)*($G$4:$G$704&gt;$F121))&gt;1,"⚠ CONFLIT",""))</f>
        <v/>
      </c>
      <c r="U121" s="44">
        <f>IF(COUNTIFS($D$4:$D$704,$D121,$J$4:$J$704,$J121,$F$4:$F$704,$F121,$K$4:$K$704,$K121)&gt;1,"⚠ DOUBLON","")</f>
        <v/>
      </c>
      <c r="V121" s="44">
        <f>COUNTIFS($A$4:$A121,$A121,$J$4:$J121,$J121,$E$4:$E121,$E121)</f>
        <v/>
      </c>
      <c r="W121" s="45">
        <f>$A121&amp;"|"&amp;$J121&amp;"|"&amp;$E121&amp;"|"&amp;$V121</f>
        <v/>
      </c>
      <c r="X121" s="46">
        <f>TEXT($F121,"hh:mm")&amp;" - "&amp;TEXT($G121,"hh:mm")&amp;IF($P121="Quinzaine A","   ◆ Q-A",IF($P121="Quinzaine B","   ◆ Q-B",IF($P121="Exception","   ◆ PONCTUEL","")))&amp;CHAR(10)&amp;$K121&amp;CHAR(10)&amp;$M121&amp;IF($N121&lt;&gt;"",CHAR(10)&amp;"Salle "&amp;$N121,"")&amp;IF($O121="En ligne",CHAR(10)&amp;"◆ EN LIGNE","")&amp;IF($R121&lt;&gt;"",CHAR(10)&amp;$R121,"")</f>
        <v/>
      </c>
      <c r="Y121" s="45" t="inlineStr">
        <is>
          <t>19h30-21h Arabe (Najet) /par quinzaine</t>
        </is>
      </c>
      <c r="Z121" s="45" t="inlineStr">
        <is>
          <t>du 21-09 jusquà le 27-09!H60</t>
        </is>
      </c>
    </row>
    <row r="122" ht="15" customHeight="1">
      <c r="A122" s="10" t="inlineStr">
        <is>
          <t>S2</t>
        </is>
      </c>
      <c r="B122" s="9" t="inlineStr">
        <is>
          <t>du 21 au 27 septembre 2026</t>
        </is>
      </c>
      <c r="C122" s="10" t="inlineStr">
        <is>
          <t>B</t>
        </is>
      </c>
      <c r="D122" s="41" t="n">
        <v>46287</v>
      </c>
      <c r="E122" s="10" t="inlineStr">
        <is>
          <t>Mardi</t>
        </is>
      </c>
      <c r="F122" s="42" t="n">
        <v>0.8020833333333334</v>
      </c>
      <c r="G122" s="42" t="n">
        <v>0.8645833333333334</v>
      </c>
      <c r="H122" s="43">
        <f>IF(OR($F122="",$G122=""),"",($G122-$F122)*24)</f>
        <v/>
      </c>
      <c r="I122" s="10" t="inlineStr">
        <is>
          <t>Secondaire</t>
        </is>
      </c>
      <c r="J122" s="9" t="inlineStr">
        <is>
          <t>3éme Eco</t>
        </is>
      </c>
      <c r="K122" s="9" t="inlineStr">
        <is>
          <t>Espagnol</t>
        </is>
      </c>
      <c r="L122" s="9" t="inlineStr">
        <is>
          <t>Espagnol</t>
        </is>
      </c>
      <c r="M122" s="9" t="inlineStr">
        <is>
          <t>Imen</t>
        </is>
      </c>
      <c r="N122" s="10" t="n"/>
      <c r="O122" s="10" t="n"/>
      <c r="P122" s="10" t="inlineStr">
        <is>
          <t>Quinzaine B</t>
        </is>
      </c>
      <c r="Q122" s="9" t="inlineStr">
        <is>
          <t>Original (septembre)</t>
        </is>
      </c>
      <c r="R122" s="9" t="inlineStr"/>
      <c r="S122" s="44">
        <f>IF($M122="","",IF(SUMPRODUCT(($D$4:$D$704=$D122)*($M$4:$M$704=$M122)*($F$4:$F$704&lt;$G122)*($G$4:$G$704&gt;$F122))&gt;1,"⚠ CONFLIT",""))</f>
        <v/>
      </c>
      <c r="T122" s="44">
        <f>IF($J122="","",IF(SUMPRODUCT(($D$4:$D$704=$D122)*($J$4:$J$704=$J122)*($F$4:$F$704&lt;$G122)*($G$4:$G$704&gt;$F122))&gt;1,"⚠ CONFLIT",""))</f>
        <v/>
      </c>
      <c r="U122" s="44">
        <f>IF(COUNTIFS($D$4:$D$704,$D122,$J$4:$J$704,$J122,$F$4:$F$704,$F122,$K$4:$K$704,$K122)&gt;1,"⚠ DOUBLON","")</f>
        <v/>
      </c>
      <c r="V122" s="44">
        <f>COUNTIFS($A$4:$A122,$A122,$J$4:$J122,$J122,$E$4:$E122,$E122)</f>
        <v/>
      </c>
      <c r="W122" s="45">
        <f>$A122&amp;"|"&amp;$J122&amp;"|"&amp;$E122&amp;"|"&amp;$V122</f>
        <v/>
      </c>
      <c r="X122" s="46">
        <f>TEXT($F122,"hh:mm")&amp;" - "&amp;TEXT($G122,"hh:mm")&amp;IF($P122="Quinzaine A","   ◆ Q-A",IF($P122="Quinzaine B","   ◆ Q-B",IF($P122="Exception","   ◆ PONCTUEL","")))&amp;CHAR(10)&amp;$K122&amp;CHAR(10)&amp;$M122&amp;IF($N122&lt;&gt;"",CHAR(10)&amp;"Salle "&amp;$N122,"")&amp;IF($O122="En ligne",CHAR(10)&amp;"◆ EN LIGNE","")&amp;IF($R122&lt;&gt;"",CHAR(10)&amp;$R122,"")</f>
        <v/>
      </c>
      <c r="Y122" s="45" t="inlineStr">
        <is>
          <t>19h15-20h45 Espagnol (Imen)</t>
        </is>
      </c>
      <c r="Z122" s="45" t="inlineStr">
        <is>
          <t>du 21-09 jusquà le 27-09!H67</t>
        </is>
      </c>
    </row>
    <row r="123" ht="15" customHeight="1">
      <c r="A123" s="10" t="inlineStr">
        <is>
          <t>S2</t>
        </is>
      </c>
      <c r="B123" s="9" t="inlineStr">
        <is>
          <t>du 21 au 27 septembre 2026</t>
        </is>
      </c>
      <c r="C123" s="10" t="inlineStr">
        <is>
          <t>B</t>
        </is>
      </c>
      <c r="D123" s="41" t="n">
        <v>46287</v>
      </c>
      <c r="E123" s="10" t="inlineStr">
        <is>
          <t>Mardi</t>
        </is>
      </c>
      <c r="F123" s="42" t="n">
        <v>0.8020833333333334</v>
      </c>
      <c r="G123" s="42" t="n">
        <v>0.8645833333333334</v>
      </c>
      <c r="H123" s="43">
        <f>IF(OR($F123="",$G123=""),"",($G123-$F123)*24)</f>
        <v/>
      </c>
      <c r="I123" s="10" t="inlineStr">
        <is>
          <t>Secondaire</t>
        </is>
      </c>
      <c r="J123" s="9" t="inlineStr">
        <is>
          <t>3éme INFO</t>
        </is>
      </c>
      <c r="K123" s="9" t="inlineStr">
        <is>
          <t>Italien</t>
        </is>
      </c>
      <c r="L123" s="9" t="inlineStr">
        <is>
          <t>Italien</t>
        </is>
      </c>
      <c r="M123" s="9" t="inlineStr">
        <is>
          <t>Amel</t>
        </is>
      </c>
      <c r="N123" s="10" t="n"/>
      <c r="O123" s="10" t="n"/>
      <c r="P123" s="10" t="inlineStr">
        <is>
          <t>Quinzaine B</t>
        </is>
      </c>
      <c r="Q123" s="9" t="inlineStr">
        <is>
          <t>Original (septembre)</t>
        </is>
      </c>
      <c r="R123" s="9" t="inlineStr"/>
      <c r="S123" s="44">
        <f>IF($M123="","",IF(SUMPRODUCT(($D$4:$D$704=$D123)*($M$4:$M$704=$M123)*($F$4:$F$704&lt;$G123)*($G$4:$G$704&gt;$F123))&gt;1,"⚠ CONFLIT",""))</f>
        <v/>
      </c>
      <c r="T123" s="44">
        <f>IF($J123="","",IF(SUMPRODUCT(($D$4:$D$704=$D123)*($J$4:$J$704=$J123)*($F$4:$F$704&lt;$G123)*($G$4:$G$704&gt;$F123))&gt;1,"⚠ CONFLIT",""))</f>
        <v/>
      </c>
      <c r="U123" s="44">
        <f>IF(COUNTIFS($D$4:$D$704,$D123,$J$4:$J$704,$J123,$F$4:$F$704,$F123,$K$4:$K$704,$K123)&gt;1,"⚠ DOUBLON","")</f>
        <v/>
      </c>
      <c r="V123" s="44">
        <f>COUNTIFS($A$4:$A123,$A123,$J$4:$J123,$J123,$E$4:$E123,$E123)</f>
        <v/>
      </c>
      <c r="W123" s="45">
        <f>$A123&amp;"|"&amp;$J123&amp;"|"&amp;$E123&amp;"|"&amp;$V123</f>
        <v/>
      </c>
      <c r="X123" s="46">
        <f>TEXT($F123,"hh:mm")&amp;" - "&amp;TEXT($G123,"hh:mm")&amp;IF($P123="Quinzaine A","   ◆ Q-A",IF($P123="Quinzaine B","   ◆ Q-B",IF($P123="Exception","   ◆ PONCTUEL","")))&amp;CHAR(10)&amp;$K123&amp;CHAR(10)&amp;$M123&amp;IF($N123&lt;&gt;"",CHAR(10)&amp;"Salle "&amp;$N123,"")&amp;IF($O123="En ligne",CHAR(10)&amp;"◆ EN LIGNE","")&amp;IF($R123&lt;&gt;"",CHAR(10)&amp;$R123,"")</f>
        <v/>
      </c>
      <c r="Y123" s="45" t="inlineStr">
        <is>
          <t>19h15-20h45 Italien (Amel)</t>
        </is>
      </c>
      <c r="Z123" s="45" t="inlineStr">
        <is>
          <t>du 21-09 jusquà le 27-09!H71</t>
        </is>
      </c>
    </row>
    <row r="124" ht="15" customHeight="1">
      <c r="A124" s="10" t="inlineStr">
        <is>
          <t>S2</t>
        </is>
      </c>
      <c r="B124" s="9" t="inlineStr">
        <is>
          <t>du 21 au 27 septembre 2026</t>
        </is>
      </c>
      <c r="C124" s="10" t="inlineStr">
        <is>
          <t>B</t>
        </is>
      </c>
      <c r="D124" s="41" t="n">
        <v>46288</v>
      </c>
      <c r="E124" s="10" t="inlineStr">
        <is>
          <t>Mercredi</t>
        </is>
      </c>
      <c r="F124" s="42" t="n">
        <v>0.7916666666666666</v>
      </c>
      <c r="G124" s="42" t="n">
        <v>0.875</v>
      </c>
      <c r="H124" s="43">
        <f>IF(OR($F124="",$G124=""),"",($G124-$F124)*24)</f>
        <v/>
      </c>
      <c r="I124" s="10" t="inlineStr">
        <is>
          <t>Primaire</t>
        </is>
      </c>
      <c r="J124" s="9" t="inlineStr">
        <is>
          <t>4éme</t>
        </is>
      </c>
      <c r="K124" s="9" t="inlineStr">
        <is>
          <t>رياضيات</t>
        </is>
      </c>
      <c r="L124" s="9" t="inlineStr">
        <is>
          <t>Math</t>
        </is>
      </c>
      <c r="M124" s="9" t="inlineStr">
        <is>
          <t>Bassma</t>
        </is>
      </c>
      <c r="N124" s="10" t="n"/>
      <c r="O124" s="10" t="n"/>
      <c r="P124" s="10" t="inlineStr">
        <is>
          <t>Hebdomadaire</t>
        </is>
      </c>
      <c r="Q124" s="9" t="inlineStr">
        <is>
          <t>Original (septembre)</t>
        </is>
      </c>
      <c r="R124" s="9" t="inlineStr"/>
      <c r="S124" s="44">
        <f>IF($M124="","",IF(SUMPRODUCT(($D$4:$D$704=$D124)*($M$4:$M$704=$M124)*($F$4:$F$704&lt;$G124)*($G$4:$G$704&gt;$F124))&gt;1,"⚠ CONFLIT",""))</f>
        <v/>
      </c>
      <c r="T124" s="44">
        <f>IF($J124="","",IF(SUMPRODUCT(($D$4:$D$704=$D124)*($J$4:$J$704=$J124)*($F$4:$F$704&lt;$G124)*($G$4:$G$704&gt;$F124))&gt;1,"⚠ CONFLIT",""))</f>
        <v/>
      </c>
      <c r="U124" s="44">
        <f>IF(COUNTIFS($D$4:$D$704,$D124,$J$4:$J$704,$J124,$F$4:$F$704,$F124,$K$4:$K$704,$K124)&gt;1,"⚠ DOUBLON","")</f>
        <v/>
      </c>
      <c r="V124" s="44">
        <f>COUNTIFS($A$4:$A124,$A124,$J$4:$J124,$J124,$E$4:$E124,$E124)</f>
        <v/>
      </c>
      <c r="W124" s="45">
        <f>$A124&amp;"|"&amp;$J124&amp;"|"&amp;$E124&amp;"|"&amp;$V124</f>
        <v/>
      </c>
      <c r="X124" s="46">
        <f>TEXT($F124,"hh:mm")&amp;" - "&amp;TEXT($G124,"hh:mm")&amp;IF($P124="Quinzaine A","   ◆ Q-A",IF($P124="Quinzaine B","   ◆ Q-B",IF($P124="Exception","   ◆ PONCTUEL","")))&amp;CHAR(10)&amp;$K124&amp;CHAR(10)&amp;$M124&amp;IF($N124&lt;&gt;"",CHAR(10)&amp;"Salle "&amp;$N124,"")&amp;IF($O124="En ligne",CHAR(10)&amp;"◆ EN LIGNE","")&amp;IF($R124&lt;&gt;"",CHAR(10)&amp;$R124,"")</f>
        <v/>
      </c>
      <c r="Y124" s="45" t="inlineStr">
        <is>
          <t>19h-21h رياضيات (Bassma)</t>
        </is>
      </c>
      <c r="Z124" s="45" t="inlineStr">
        <is>
          <t>du 21-09 jusquà le 27-09!I3</t>
        </is>
      </c>
    </row>
    <row r="125" ht="15" customHeight="1">
      <c r="A125" s="10" t="inlineStr">
        <is>
          <t>S2</t>
        </is>
      </c>
      <c r="B125" s="9" t="inlineStr">
        <is>
          <t>du 21 au 27 septembre 2026</t>
        </is>
      </c>
      <c r="C125" s="10" t="inlineStr">
        <is>
          <t>B</t>
        </is>
      </c>
      <c r="D125" s="41" t="n">
        <v>46288</v>
      </c>
      <c r="E125" s="10" t="inlineStr">
        <is>
          <t>Mercredi</t>
        </is>
      </c>
      <c r="F125" s="42" t="n">
        <v>0.7916666666666666</v>
      </c>
      <c r="G125" s="42" t="n">
        <v>0.875</v>
      </c>
      <c r="H125" s="43">
        <f>IF(OR($F125="",$G125=""),"",($G125-$F125)*24)</f>
        <v/>
      </c>
      <c r="I125" s="10" t="inlineStr">
        <is>
          <t>Primaire</t>
        </is>
      </c>
      <c r="J125" s="9" t="inlineStr">
        <is>
          <t>6éme Pilote (A)</t>
        </is>
      </c>
      <c r="K125" s="9" t="inlineStr">
        <is>
          <t>رياضيات</t>
        </is>
      </c>
      <c r="L125" s="9" t="inlineStr">
        <is>
          <t>Math</t>
        </is>
      </c>
      <c r="M125" s="9" t="inlineStr">
        <is>
          <t>Noura</t>
        </is>
      </c>
      <c r="N125" s="10" t="n"/>
      <c r="O125" s="10" t="n"/>
      <c r="P125" s="10" t="inlineStr">
        <is>
          <t>Hebdomadaire</t>
        </is>
      </c>
      <c r="Q125" s="9" t="inlineStr">
        <is>
          <t>Original (septembre)</t>
        </is>
      </c>
      <c r="R125" s="9" t="inlineStr"/>
      <c r="S125" s="44">
        <f>IF($M125="","",IF(SUMPRODUCT(($D$4:$D$704=$D125)*($M$4:$M$704=$M125)*($F$4:$F$704&lt;$G125)*($G$4:$G$704&gt;$F125))&gt;1,"⚠ CONFLIT",""))</f>
        <v/>
      </c>
      <c r="T125" s="44">
        <f>IF($J125="","",IF(SUMPRODUCT(($D$4:$D$704=$D125)*($J$4:$J$704=$J125)*($F$4:$F$704&lt;$G125)*($G$4:$G$704&gt;$F125))&gt;1,"⚠ CONFLIT",""))</f>
        <v/>
      </c>
      <c r="U125" s="44">
        <f>IF(COUNTIFS($D$4:$D$704,$D125,$J$4:$J$704,$J125,$F$4:$F$704,$F125,$K$4:$K$704,$K125)&gt;1,"⚠ DOUBLON","")</f>
        <v/>
      </c>
      <c r="V125" s="44">
        <f>COUNTIFS($A$4:$A125,$A125,$J$4:$J125,$J125,$E$4:$E125,$E125)</f>
        <v/>
      </c>
      <c r="W125" s="45">
        <f>$A125&amp;"|"&amp;$J125&amp;"|"&amp;$E125&amp;"|"&amp;$V125</f>
        <v/>
      </c>
      <c r="X125" s="46">
        <f>TEXT($F125,"hh:mm")&amp;" - "&amp;TEXT($G125,"hh:mm")&amp;IF($P125="Quinzaine A","   ◆ Q-A",IF($P125="Quinzaine B","   ◆ Q-B",IF($P125="Exception","   ◆ PONCTUEL","")))&amp;CHAR(10)&amp;$K125&amp;CHAR(10)&amp;$M125&amp;IF($N125&lt;&gt;"",CHAR(10)&amp;"Salle "&amp;$N125,"")&amp;IF($O125="En ligne",CHAR(10)&amp;"◆ EN LIGNE","")&amp;IF($R125&lt;&gt;"",CHAR(10)&amp;$R125,"")</f>
        <v/>
      </c>
      <c r="Y125" s="45" t="inlineStr">
        <is>
          <t>19h-21h رياضيات (Noura)</t>
        </is>
      </c>
      <c r="Z125" s="45" t="inlineStr">
        <is>
          <t>du 21-09 jusquà le 27-09!I13</t>
        </is>
      </c>
    </row>
    <row r="126" ht="15" customHeight="1">
      <c r="A126" s="10" t="inlineStr">
        <is>
          <t>S2</t>
        </is>
      </c>
      <c r="B126" s="9" t="inlineStr">
        <is>
          <t>du 21 au 27 septembre 2026</t>
        </is>
      </c>
      <c r="C126" s="10" t="inlineStr">
        <is>
          <t>B</t>
        </is>
      </c>
      <c r="D126" s="41" t="n">
        <v>46288</v>
      </c>
      <c r="E126" s="10" t="inlineStr">
        <is>
          <t>Mercredi</t>
        </is>
      </c>
      <c r="F126" s="42" t="n">
        <v>0.8125</v>
      </c>
      <c r="G126" s="42" t="n">
        <v>0.875</v>
      </c>
      <c r="H126" s="43">
        <f>IF(OR($F126="",$G126=""),"",($G126-$F126)*24)</f>
        <v/>
      </c>
      <c r="I126" s="10" t="inlineStr">
        <is>
          <t>Collège</t>
        </is>
      </c>
      <c r="J126" s="9" t="inlineStr">
        <is>
          <t>7éme (A)</t>
        </is>
      </c>
      <c r="K126" s="9" t="inlineStr">
        <is>
          <t>Physique</t>
        </is>
      </c>
      <c r="L126" s="9" t="inlineStr">
        <is>
          <t>Physique</t>
        </is>
      </c>
      <c r="M126" s="9" t="inlineStr">
        <is>
          <t>Melek</t>
        </is>
      </c>
      <c r="N126" s="10" t="n"/>
      <c r="O126" s="10" t="n"/>
      <c r="P126" s="10" t="inlineStr">
        <is>
          <t>Hebdomadaire</t>
        </is>
      </c>
      <c r="Q126" s="9" t="inlineStr">
        <is>
          <t>Original (septembre)</t>
        </is>
      </c>
      <c r="R126" s="9" t="inlineStr"/>
      <c r="S126" s="44">
        <f>IF($M126="","",IF(SUMPRODUCT(($D$4:$D$704=$D126)*($M$4:$M$704=$M126)*($F$4:$F$704&lt;$G126)*($G$4:$G$704&gt;$F126))&gt;1,"⚠ CONFLIT",""))</f>
        <v/>
      </c>
      <c r="T126" s="44">
        <f>IF($J126="","",IF(SUMPRODUCT(($D$4:$D$704=$D126)*($J$4:$J$704=$J126)*($F$4:$F$704&lt;$G126)*($G$4:$G$704&gt;$F126))&gt;1,"⚠ CONFLIT",""))</f>
        <v/>
      </c>
      <c r="U126" s="44">
        <f>IF(COUNTIFS($D$4:$D$704,$D126,$J$4:$J$704,$J126,$F$4:$F$704,$F126,$K$4:$K$704,$K126)&gt;1,"⚠ DOUBLON","")</f>
        <v/>
      </c>
      <c r="V126" s="44">
        <f>COUNTIFS($A$4:$A126,$A126,$J$4:$J126,$J126,$E$4:$E126,$E126)</f>
        <v/>
      </c>
      <c r="W126" s="45">
        <f>$A126&amp;"|"&amp;$J126&amp;"|"&amp;$E126&amp;"|"&amp;$V126</f>
        <v/>
      </c>
      <c r="X126" s="46">
        <f>TEXT($F126,"hh:mm")&amp;" - "&amp;TEXT($G126,"hh:mm")&amp;IF($P126="Quinzaine A","   ◆ Q-A",IF($P126="Quinzaine B","   ◆ Q-B",IF($P126="Exception","   ◆ PONCTUEL","")))&amp;CHAR(10)&amp;$K126&amp;CHAR(10)&amp;$M126&amp;IF($N126&lt;&gt;"",CHAR(10)&amp;"Salle "&amp;$N126,"")&amp;IF($O126="En ligne",CHAR(10)&amp;"◆ EN LIGNE","")&amp;IF($R126&lt;&gt;"",CHAR(10)&amp;$R126,"")</f>
        <v/>
      </c>
      <c r="Y126" s="45" t="inlineStr">
        <is>
          <t>19h30-21h Physique /par quinzaine (Melek)</t>
        </is>
      </c>
      <c r="Z126" s="45" t="inlineStr">
        <is>
          <t>du 21-09 jusquà le 27-09!I20</t>
        </is>
      </c>
    </row>
    <row r="127" ht="15" customHeight="1">
      <c r="A127" s="10" t="inlineStr">
        <is>
          <t>S2</t>
        </is>
      </c>
      <c r="B127" s="9" t="inlineStr">
        <is>
          <t>du 21 au 27 septembre 2026</t>
        </is>
      </c>
      <c r="C127" s="10" t="inlineStr">
        <is>
          <t>B</t>
        </is>
      </c>
      <c r="D127" s="41" t="n">
        <v>46288</v>
      </c>
      <c r="E127" s="10" t="inlineStr">
        <is>
          <t>Mercredi</t>
        </is>
      </c>
      <c r="F127" s="42" t="n">
        <v>0.7916666666666666</v>
      </c>
      <c r="G127" s="42" t="n">
        <v>0.8541666666666666</v>
      </c>
      <c r="H127" s="43">
        <f>IF(OR($F127="",$G127=""),"",($G127-$F127)*24)</f>
        <v/>
      </c>
      <c r="I127" s="10" t="inlineStr">
        <is>
          <t>Collège</t>
        </is>
      </c>
      <c r="J127" s="9" t="inlineStr">
        <is>
          <t>8éme (A)</t>
        </is>
      </c>
      <c r="K127" s="9" t="inlineStr">
        <is>
          <t>Arabe</t>
        </is>
      </c>
      <c r="L127" s="9" t="inlineStr">
        <is>
          <t>Arabe</t>
        </is>
      </c>
      <c r="M127" s="9" t="inlineStr">
        <is>
          <t>Awatef</t>
        </is>
      </c>
      <c r="N127" s="10" t="n"/>
      <c r="O127" s="10" t="n"/>
      <c r="P127" s="10" t="inlineStr">
        <is>
          <t>Hebdomadaire</t>
        </is>
      </c>
      <c r="Q127" s="9" t="inlineStr">
        <is>
          <t>Original (septembre)</t>
        </is>
      </c>
      <c r="R127" s="9" t="inlineStr"/>
      <c r="S127" s="44">
        <f>IF($M127="","",IF(SUMPRODUCT(($D$4:$D$704=$D127)*($M$4:$M$704=$M127)*($F$4:$F$704&lt;$G127)*($G$4:$G$704&gt;$F127))&gt;1,"⚠ CONFLIT",""))</f>
        <v/>
      </c>
      <c r="T127" s="44">
        <f>IF($J127="","",IF(SUMPRODUCT(($D$4:$D$704=$D127)*($J$4:$J$704=$J127)*($F$4:$F$704&lt;$G127)*($G$4:$G$704&gt;$F127))&gt;1,"⚠ CONFLIT",""))</f>
        <v/>
      </c>
      <c r="U127" s="44">
        <f>IF(COUNTIFS($D$4:$D$704,$D127,$J$4:$J$704,$J127,$F$4:$F$704,$F127,$K$4:$K$704,$K127)&gt;1,"⚠ DOUBLON","")</f>
        <v/>
      </c>
      <c r="V127" s="44">
        <f>COUNTIFS($A$4:$A127,$A127,$J$4:$J127,$J127,$E$4:$E127,$E127)</f>
        <v/>
      </c>
      <c r="W127" s="45">
        <f>$A127&amp;"|"&amp;$J127&amp;"|"&amp;$E127&amp;"|"&amp;$V127</f>
        <v/>
      </c>
      <c r="X127" s="46">
        <f>TEXT($F127,"hh:mm")&amp;" - "&amp;TEXT($G127,"hh:mm")&amp;IF($P127="Quinzaine A","   ◆ Q-A",IF($P127="Quinzaine B","   ◆ Q-B",IF($P127="Exception","   ◆ PONCTUEL","")))&amp;CHAR(10)&amp;$K127&amp;CHAR(10)&amp;$M127&amp;IF($N127&lt;&gt;"",CHAR(10)&amp;"Salle "&amp;$N127,"")&amp;IF($O127="En ligne",CHAR(10)&amp;"◆ EN LIGNE","")&amp;IF($R127&lt;&gt;"",CHAR(10)&amp;$R127,"")</f>
        <v/>
      </c>
      <c r="Y127" s="45" t="inlineStr">
        <is>
          <t>19h-20h30 Arabe (Awatef)</t>
        </is>
      </c>
      <c r="Z127" s="45" t="inlineStr">
        <is>
          <t>du 21-09 jusquà le 27-09!I28</t>
        </is>
      </c>
    </row>
    <row r="128" ht="15" customHeight="1">
      <c r="A128" s="10" t="inlineStr">
        <is>
          <t>S2</t>
        </is>
      </c>
      <c r="B128" s="9" t="inlineStr">
        <is>
          <t>du 21 au 27 septembre 2026</t>
        </is>
      </c>
      <c r="C128" s="10" t="inlineStr">
        <is>
          <t>B</t>
        </is>
      </c>
      <c r="D128" s="41" t="n">
        <v>46288</v>
      </c>
      <c r="E128" s="10" t="inlineStr">
        <is>
          <t>Mercredi</t>
        </is>
      </c>
      <c r="F128" s="42" t="n">
        <v>0.8020833333333334</v>
      </c>
      <c r="G128" s="42" t="n">
        <v>0.8645833333333334</v>
      </c>
      <c r="H128" s="43">
        <f>IF(OR($F128="",$G128=""),"",($G128-$F128)*24)</f>
        <v/>
      </c>
      <c r="I128" s="10" t="inlineStr">
        <is>
          <t>Collège</t>
        </is>
      </c>
      <c r="J128" s="9" t="inlineStr">
        <is>
          <t>8éme (B)</t>
        </is>
      </c>
      <c r="K128" s="9" t="inlineStr">
        <is>
          <t>Math</t>
        </is>
      </c>
      <c r="L128" s="9" t="inlineStr">
        <is>
          <t>Math</t>
        </is>
      </c>
      <c r="M128" s="9" t="inlineStr">
        <is>
          <t>Khouloud</t>
        </is>
      </c>
      <c r="N128" s="10" t="n"/>
      <c r="O128" s="10" t="n"/>
      <c r="P128" s="10" t="inlineStr">
        <is>
          <t>Hebdomadaire</t>
        </is>
      </c>
      <c r="Q128" s="9" t="inlineStr">
        <is>
          <t>Original (septembre)</t>
        </is>
      </c>
      <c r="R128" s="9" t="inlineStr"/>
      <c r="S128" s="44">
        <f>IF($M128="","",IF(SUMPRODUCT(($D$4:$D$704=$D128)*($M$4:$M$704=$M128)*($F$4:$F$704&lt;$G128)*($G$4:$G$704&gt;$F128))&gt;1,"⚠ CONFLIT",""))</f>
        <v/>
      </c>
      <c r="T128" s="44">
        <f>IF($J128="","",IF(SUMPRODUCT(($D$4:$D$704=$D128)*($J$4:$J$704=$J128)*($F$4:$F$704&lt;$G128)*($G$4:$G$704&gt;$F128))&gt;1,"⚠ CONFLIT",""))</f>
        <v/>
      </c>
      <c r="U128" s="44">
        <f>IF(COUNTIFS($D$4:$D$704,$D128,$J$4:$J$704,$J128,$F$4:$F$704,$F128,$K$4:$K$704,$K128)&gt;1,"⚠ DOUBLON","")</f>
        <v/>
      </c>
      <c r="V128" s="44">
        <f>COUNTIFS($A$4:$A128,$A128,$J$4:$J128,$J128,$E$4:$E128,$E128)</f>
        <v/>
      </c>
      <c r="W128" s="45">
        <f>$A128&amp;"|"&amp;$J128&amp;"|"&amp;$E128&amp;"|"&amp;$V128</f>
        <v/>
      </c>
      <c r="X128" s="46">
        <f>TEXT($F128,"hh:mm")&amp;" - "&amp;TEXT($G128,"hh:mm")&amp;IF($P128="Quinzaine A","   ◆ Q-A",IF($P128="Quinzaine B","   ◆ Q-B",IF($P128="Exception","   ◆ PONCTUEL","")))&amp;CHAR(10)&amp;$K128&amp;CHAR(10)&amp;$M128&amp;IF($N128&lt;&gt;"",CHAR(10)&amp;"Salle "&amp;$N128,"")&amp;IF($O128="En ligne",CHAR(10)&amp;"◆ EN LIGNE","")&amp;IF($R128&lt;&gt;"",CHAR(10)&amp;$R128,"")</f>
        <v/>
      </c>
      <c r="Y128" s="45" t="inlineStr">
        <is>
          <t>19h15-20h45 Math (Khouloud)</t>
        </is>
      </c>
      <c r="Z128" s="45" t="inlineStr">
        <is>
          <t>du 21-09 jusquà le 27-09!I32</t>
        </is>
      </c>
    </row>
    <row r="129" ht="15" customHeight="1">
      <c r="A129" s="10" t="inlineStr">
        <is>
          <t>S2</t>
        </is>
      </c>
      <c r="B129" s="9" t="inlineStr">
        <is>
          <t>du 21 au 27 septembre 2026</t>
        </is>
      </c>
      <c r="C129" s="10" t="inlineStr">
        <is>
          <t>B</t>
        </is>
      </c>
      <c r="D129" s="41" t="n">
        <v>46288</v>
      </c>
      <c r="E129" s="10" t="inlineStr">
        <is>
          <t>Mercredi</t>
        </is>
      </c>
      <c r="F129" s="42" t="n">
        <v>0.8125</v>
      </c>
      <c r="G129" s="42" t="n">
        <v>0.875</v>
      </c>
      <c r="H129" s="43">
        <f>IF(OR($F129="",$G129=""),"",($G129-$F129)*24)</f>
        <v/>
      </c>
      <c r="I129" s="10" t="inlineStr">
        <is>
          <t>Collège</t>
        </is>
      </c>
      <c r="J129" s="9" t="inlineStr">
        <is>
          <t>8éme (C)</t>
        </is>
      </c>
      <c r="K129" s="9" t="inlineStr">
        <is>
          <t>Français</t>
        </is>
      </c>
      <c r="L129" s="9" t="inlineStr">
        <is>
          <t>Français</t>
        </is>
      </c>
      <c r="M129" s="9" t="inlineStr">
        <is>
          <t>Nabil</t>
        </is>
      </c>
      <c r="N129" s="10" t="n"/>
      <c r="O129" s="10" t="n"/>
      <c r="P129" s="10" t="inlineStr">
        <is>
          <t>Hebdomadaire</t>
        </is>
      </c>
      <c r="Q129" s="9" t="inlineStr">
        <is>
          <t>Original (septembre)</t>
        </is>
      </c>
      <c r="R129" s="9" t="inlineStr"/>
      <c r="S129" s="44">
        <f>IF($M129="","",IF(SUMPRODUCT(($D$4:$D$704=$D129)*($M$4:$M$704=$M129)*($F$4:$F$704&lt;$G129)*($G$4:$G$704&gt;$F129))&gt;1,"⚠ CONFLIT",""))</f>
        <v/>
      </c>
      <c r="T129" s="44">
        <f>IF($J129="","",IF(SUMPRODUCT(($D$4:$D$704=$D129)*($J$4:$J$704=$J129)*($F$4:$F$704&lt;$G129)*($G$4:$G$704&gt;$F129))&gt;1,"⚠ CONFLIT",""))</f>
        <v/>
      </c>
      <c r="U129" s="44">
        <f>IF(COUNTIFS($D$4:$D$704,$D129,$J$4:$J$704,$J129,$F$4:$F$704,$F129,$K$4:$K$704,$K129)&gt;1,"⚠ DOUBLON","")</f>
        <v/>
      </c>
      <c r="V129" s="44">
        <f>COUNTIFS($A$4:$A129,$A129,$J$4:$J129,$J129,$E$4:$E129,$E129)</f>
        <v/>
      </c>
      <c r="W129" s="45">
        <f>$A129&amp;"|"&amp;$J129&amp;"|"&amp;$E129&amp;"|"&amp;$V129</f>
        <v/>
      </c>
      <c r="X129" s="46">
        <f>TEXT($F129,"hh:mm")&amp;" - "&amp;TEXT($G129,"hh:mm")&amp;IF($P129="Quinzaine A","   ◆ Q-A",IF($P129="Quinzaine B","   ◆ Q-B",IF($P129="Exception","   ◆ PONCTUEL","")))&amp;CHAR(10)&amp;$K129&amp;CHAR(10)&amp;$M129&amp;IF($N129&lt;&gt;"",CHAR(10)&amp;"Salle "&amp;$N129,"")&amp;IF($O129="En ligne",CHAR(10)&amp;"◆ EN LIGNE","")&amp;IF($R129&lt;&gt;"",CHAR(10)&amp;$R129,"")</f>
        <v/>
      </c>
      <c r="Y129" s="45" t="inlineStr">
        <is>
          <t>19h30-21h Français (Nabil)</t>
        </is>
      </c>
      <c r="Z129" s="45" t="inlineStr">
        <is>
          <t>du 21-09 jusquà le 27-09!I35</t>
        </is>
      </c>
    </row>
    <row r="130" ht="15" customHeight="1">
      <c r="A130" s="10" t="inlineStr">
        <is>
          <t>S2</t>
        </is>
      </c>
      <c r="B130" s="9" t="inlineStr">
        <is>
          <t>du 21 au 27 septembre 2026</t>
        </is>
      </c>
      <c r="C130" s="10" t="inlineStr">
        <is>
          <t>B</t>
        </is>
      </c>
      <c r="D130" s="41" t="n">
        <v>46288</v>
      </c>
      <c r="E130" s="10" t="inlineStr">
        <is>
          <t>Mercredi</t>
        </is>
      </c>
      <c r="F130" s="42" t="n">
        <v>0.8125</v>
      </c>
      <c r="G130" s="42" t="n">
        <v>0.875</v>
      </c>
      <c r="H130" s="43">
        <f>IF(OR($F130="",$G130=""),"",($G130-$F130)*24)</f>
        <v/>
      </c>
      <c r="I130" s="10" t="inlineStr">
        <is>
          <t>Collège</t>
        </is>
      </c>
      <c r="J130" s="9" t="inlineStr">
        <is>
          <t>9éme (B)</t>
        </is>
      </c>
      <c r="K130" s="9" t="inlineStr">
        <is>
          <t>Arabe</t>
        </is>
      </c>
      <c r="L130" s="9" t="inlineStr">
        <is>
          <t>Arabe</t>
        </is>
      </c>
      <c r="M130" s="9" t="inlineStr">
        <is>
          <t>Yahya</t>
        </is>
      </c>
      <c r="N130" s="10" t="n"/>
      <c r="O130" s="10" t="n"/>
      <c r="P130" s="10" t="inlineStr">
        <is>
          <t>Hebdomadaire</t>
        </is>
      </c>
      <c r="Q130" s="9" t="inlineStr">
        <is>
          <t>Original (septembre)</t>
        </is>
      </c>
      <c r="R130" s="9" t="inlineStr"/>
      <c r="S130" s="44">
        <f>IF($M130="","",IF(SUMPRODUCT(($D$4:$D$704=$D130)*($M$4:$M$704=$M130)*($F$4:$F$704&lt;$G130)*($G$4:$G$704&gt;$F130))&gt;1,"⚠ CONFLIT",""))</f>
        <v/>
      </c>
      <c r="T130" s="44">
        <f>IF($J130="","",IF(SUMPRODUCT(($D$4:$D$704=$D130)*($J$4:$J$704=$J130)*($F$4:$F$704&lt;$G130)*($G$4:$G$704&gt;$F130))&gt;1,"⚠ CONFLIT",""))</f>
        <v/>
      </c>
      <c r="U130" s="44">
        <f>IF(COUNTIFS($D$4:$D$704,$D130,$J$4:$J$704,$J130,$F$4:$F$704,$F130,$K$4:$K$704,$K130)&gt;1,"⚠ DOUBLON","")</f>
        <v/>
      </c>
      <c r="V130" s="44">
        <f>COUNTIFS($A$4:$A130,$A130,$J$4:$J130,$J130,$E$4:$E130,$E130)</f>
        <v/>
      </c>
      <c r="W130" s="45">
        <f>$A130&amp;"|"&amp;$J130&amp;"|"&amp;$E130&amp;"|"&amp;$V130</f>
        <v/>
      </c>
      <c r="X130" s="46">
        <f>TEXT($F130,"hh:mm")&amp;" - "&amp;TEXT($G130,"hh:mm")&amp;IF($P130="Quinzaine A","   ◆ Q-A",IF($P130="Quinzaine B","   ◆ Q-B",IF($P130="Exception","   ◆ PONCTUEL","")))&amp;CHAR(10)&amp;$K130&amp;CHAR(10)&amp;$M130&amp;IF($N130&lt;&gt;"",CHAR(10)&amp;"Salle "&amp;$N130,"")&amp;IF($O130="En ligne",CHAR(10)&amp;"◆ EN LIGNE","")&amp;IF($R130&lt;&gt;"",CHAR(10)&amp;$R130,"")</f>
        <v/>
      </c>
      <c r="Y130" s="45" t="inlineStr">
        <is>
          <t>19h30-21h Arabe (Yahya)</t>
        </is>
      </c>
      <c r="Z130" s="45" t="inlineStr">
        <is>
          <t>du 21-09 jusquà le 27-09!I44</t>
        </is>
      </c>
    </row>
    <row r="131" ht="15" customHeight="1">
      <c r="A131" s="10" t="inlineStr">
        <is>
          <t>S2</t>
        </is>
      </c>
      <c r="B131" s="9" t="inlineStr">
        <is>
          <t>du 21 au 27 septembre 2026</t>
        </is>
      </c>
      <c r="C131" s="10" t="inlineStr">
        <is>
          <t>B</t>
        </is>
      </c>
      <c r="D131" s="41" t="n">
        <v>46288</v>
      </c>
      <c r="E131" s="10" t="inlineStr">
        <is>
          <t>Mercredi</t>
        </is>
      </c>
      <c r="F131" s="42" t="n">
        <v>0.8020833333333334</v>
      </c>
      <c r="G131" s="42" t="n">
        <v>0.8645833333333334</v>
      </c>
      <c r="H131" s="43">
        <f>IF(OR($F131="",$G131=""),"",($G131-$F131)*24)</f>
        <v/>
      </c>
      <c r="I131" s="10" t="inlineStr">
        <is>
          <t>Collège</t>
        </is>
      </c>
      <c r="J131" s="9" t="inlineStr">
        <is>
          <t>9éme (C)</t>
        </is>
      </c>
      <c r="K131" s="9" t="inlineStr">
        <is>
          <t>SVT</t>
        </is>
      </c>
      <c r="L131" s="9" t="inlineStr">
        <is>
          <t>SVT</t>
        </is>
      </c>
      <c r="M131" s="9" t="inlineStr">
        <is>
          <t>Imen Jribi</t>
        </is>
      </c>
      <c r="N131" s="10" t="n"/>
      <c r="O131" s="10" t="n"/>
      <c r="P131" s="10" t="inlineStr">
        <is>
          <t>Hebdomadaire</t>
        </is>
      </c>
      <c r="Q131" s="9" t="inlineStr">
        <is>
          <t>Original (septembre)</t>
        </is>
      </c>
      <c r="R131" s="9" t="inlineStr"/>
      <c r="S131" s="44">
        <f>IF($M131="","",IF(SUMPRODUCT(($D$4:$D$704=$D131)*($M$4:$M$704=$M131)*($F$4:$F$704&lt;$G131)*($G$4:$G$704&gt;$F131))&gt;1,"⚠ CONFLIT",""))</f>
        <v/>
      </c>
      <c r="T131" s="44">
        <f>IF($J131="","",IF(SUMPRODUCT(($D$4:$D$704=$D131)*($J$4:$J$704=$J131)*($F$4:$F$704&lt;$G131)*($G$4:$G$704&gt;$F131))&gt;1,"⚠ CONFLIT",""))</f>
        <v/>
      </c>
      <c r="U131" s="44">
        <f>IF(COUNTIFS($D$4:$D$704,$D131,$J$4:$J$704,$J131,$F$4:$F$704,$F131,$K$4:$K$704,$K131)&gt;1,"⚠ DOUBLON","")</f>
        <v/>
      </c>
      <c r="V131" s="44">
        <f>COUNTIFS($A$4:$A131,$A131,$J$4:$J131,$J131,$E$4:$E131,$E131)</f>
        <v/>
      </c>
      <c r="W131" s="45">
        <f>$A131&amp;"|"&amp;$J131&amp;"|"&amp;$E131&amp;"|"&amp;$V131</f>
        <v/>
      </c>
      <c r="X131" s="46">
        <f>TEXT($F131,"hh:mm")&amp;" - "&amp;TEXT($G131,"hh:mm")&amp;IF($P131="Quinzaine A","   ◆ Q-A",IF($P131="Quinzaine B","   ◆ Q-B",IF($P131="Exception","   ◆ PONCTUEL","")))&amp;CHAR(10)&amp;$K131&amp;CHAR(10)&amp;$M131&amp;IF($N131&lt;&gt;"",CHAR(10)&amp;"Salle "&amp;$N131,"")&amp;IF($O131="En ligne",CHAR(10)&amp;"◆ EN LIGNE","")&amp;IF($R131&lt;&gt;"",CHAR(10)&amp;$R131,"")</f>
        <v/>
      </c>
      <c r="Y131" s="45" t="inlineStr">
        <is>
          <t>19h15-20h45 SVT (Imen Jribi)</t>
        </is>
      </c>
      <c r="Z131" s="45" t="inlineStr">
        <is>
          <t>du 21-09 jusquà le 27-09!I47</t>
        </is>
      </c>
    </row>
    <row r="132" ht="15" customHeight="1">
      <c r="A132" s="10" t="inlineStr">
        <is>
          <t>S2</t>
        </is>
      </c>
      <c r="B132" s="9" t="inlineStr">
        <is>
          <t>du 21 au 27 septembre 2026</t>
        </is>
      </c>
      <c r="C132" s="10" t="inlineStr">
        <is>
          <t>B</t>
        </is>
      </c>
      <c r="D132" s="41" t="n">
        <v>46288</v>
      </c>
      <c r="E132" s="10" t="inlineStr">
        <is>
          <t>Mercredi</t>
        </is>
      </c>
      <c r="F132" s="42" t="n">
        <v>0.8020833333333334</v>
      </c>
      <c r="G132" s="42" t="n">
        <v>0.8645833333333334</v>
      </c>
      <c r="H132" s="43">
        <f>IF(OR($F132="",$G132=""),"",($G132-$F132)*24)</f>
        <v/>
      </c>
      <c r="I132" s="10" t="inlineStr">
        <is>
          <t>Secondaire</t>
        </is>
      </c>
      <c r="J132" s="9" t="inlineStr">
        <is>
          <t>1ére (B)</t>
        </is>
      </c>
      <c r="K132" s="9" t="inlineStr">
        <is>
          <t>Français</t>
        </is>
      </c>
      <c r="L132" s="9" t="inlineStr">
        <is>
          <t>Français</t>
        </is>
      </c>
      <c r="M132" s="9" t="inlineStr">
        <is>
          <t>Nassima</t>
        </is>
      </c>
      <c r="N132" s="10" t="n"/>
      <c r="O132" s="10" t="n"/>
      <c r="P132" s="10" t="inlineStr">
        <is>
          <t>Hebdomadaire</t>
        </is>
      </c>
      <c r="Q132" s="9" t="inlineStr">
        <is>
          <t>Original (septembre)</t>
        </is>
      </c>
      <c r="R132" s="9" t="inlineStr"/>
      <c r="S132" s="44">
        <f>IF($M132="","",IF(SUMPRODUCT(($D$4:$D$704=$D132)*($M$4:$M$704=$M132)*($F$4:$F$704&lt;$G132)*($G$4:$G$704&gt;$F132))&gt;1,"⚠ CONFLIT",""))</f>
        <v/>
      </c>
      <c r="T132" s="44">
        <f>IF($J132="","",IF(SUMPRODUCT(($D$4:$D$704=$D132)*($J$4:$J$704=$J132)*($F$4:$F$704&lt;$G132)*($G$4:$G$704&gt;$F132))&gt;1,"⚠ CONFLIT",""))</f>
        <v/>
      </c>
      <c r="U132" s="44">
        <f>IF(COUNTIFS($D$4:$D$704,$D132,$J$4:$J$704,$J132,$F$4:$F$704,$F132,$K$4:$K$704,$K132)&gt;1,"⚠ DOUBLON","")</f>
        <v/>
      </c>
      <c r="V132" s="44">
        <f>COUNTIFS($A$4:$A132,$A132,$J$4:$J132,$J132,$E$4:$E132,$E132)</f>
        <v/>
      </c>
      <c r="W132" s="45">
        <f>$A132&amp;"|"&amp;$J132&amp;"|"&amp;$E132&amp;"|"&amp;$V132</f>
        <v/>
      </c>
      <c r="X132" s="46">
        <f>TEXT($F132,"hh:mm")&amp;" - "&amp;TEXT($G132,"hh:mm")&amp;IF($P132="Quinzaine A","   ◆ Q-A",IF($P132="Quinzaine B","   ◆ Q-B",IF($P132="Exception","   ◆ PONCTUEL","")))&amp;CHAR(10)&amp;$K132&amp;CHAR(10)&amp;$M132&amp;IF($N132&lt;&gt;"",CHAR(10)&amp;"Salle "&amp;$N132,"")&amp;IF($O132="En ligne",CHAR(10)&amp;"◆ EN LIGNE","")&amp;IF($R132&lt;&gt;"",CHAR(10)&amp;$R132,"")</f>
        <v/>
      </c>
      <c r="Y132" s="45" t="inlineStr">
        <is>
          <t>19h15-20h45 Français (Nassima)</t>
        </is>
      </c>
      <c r="Z132" s="45" t="inlineStr">
        <is>
          <t>du 21-09 jusquà le 27-09!I54</t>
        </is>
      </c>
    </row>
    <row r="133" ht="15" customHeight="1">
      <c r="A133" s="10" t="inlineStr">
        <is>
          <t>S2</t>
        </is>
      </c>
      <c r="B133" s="9" t="inlineStr">
        <is>
          <t>du 21 au 27 septembre 2026</t>
        </is>
      </c>
      <c r="C133" s="10" t="inlineStr">
        <is>
          <t>B</t>
        </is>
      </c>
      <c r="D133" s="41" t="n">
        <v>46288</v>
      </c>
      <c r="E133" s="10" t="inlineStr">
        <is>
          <t>Mercredi</t>
        </is>
      </c>
      <c r="F133" s="42" t="n">
        <v>0.8125</v>
      </c>
      <c r="G133" s="42" t="n">
        <v>0.875</v>
      </c>
      <c r="H133" s="43">
        <f>IF(OR($F133="",$G133=""),"",($G133-$F133)*24)</f>
        <v/>
      </c>
      <c r="I133" s="10" t="inlineStr">
        <is>
          <t>Secondaire</t>
        </is>
      </c>
      <c r="J133" s="9" t="inlineStr">
        <is>
          <t>2éme Eco</t>
        </is>
      </c>
      <c r="K133" s="9" t="inlineStr">
        <is>
          <t>Math</t>
        </is>
      </c>
      <c r="L133" s="9" t="inlineStr">
        <is>
          <t>Math</t>
        </is>
      </c>
      <c r="M133" s="9" t="inlineStr">
        <is>
          <t>Haythem</t>
        </is>
      </c>
      <c r="N133" s="10" t="n"/>
      <c r="O133" s="10" t="n"/>
      <c r="P133" s="10" t="inlineStr">
        <is>
          <t>Hebdomadaire</t>
        </is>
      </c>
      <c r="Q133" s="9" t="inlineStr">
        <is>
          <t>Original (septembre)</t>
        </is>
      </c>
      <c r="R133" s="9" t="inlineStr"/>
      <c r="S133" s="44">
        <f>IF($M133="","",IF(SUMPRODUCT(($D$4:$D$704=$D133)*($M$4:$M$704=$M133)*($F$4:$F$704&lt;$G133)*($G$4:$G$704&gt;$F133))&gt;1,"⚠ CONFLIT",""))</f>
        <v/>
      </c>
      <c r="T133" s="44">
        <f>IF($J133="","",IF(SUMPRODUCT(($D$4:$D$704=$D133)*($J$4:$J$704=$J133)*($F$4:$F$704&lt;$G133)*($G$4:$G$704&gt;$F133))&gt;1,"⚠ CONFLIT",""))</f>
        <v/>
      </c>
      <c r="U133" s="44">
        <f>IF(COUNTIFS($D$4:$D$704,$D133,$J$4:$J$704,$J133,$F$4:$F$704,$F133,$K$4:$K$704,$K133)&gt;1,"⚠ DOUBLON","")</f>
        <v/>
      </c>
      <c r="V133" s="44">
        <f>COUNTIFS($A$4:$A133,$A133,$J$4:$J133,$J133,$E$4:$E133,$E133)</f>
        <v/>
      </c>
      <c r="W133" s="45">
        <f>$A133&amp;"|"&amp;$J133&amp;"|"&amp;$E133&amp;"|"&amp;$V133</f>
        <v/>
      </c>
      <c r="X133" s="46">
        <f>TEXT($F133,"hh:mm")&amp;" - "&amp;TEXT($G133,"hh:mm")&amp;IF($P133="Quinzaine A","   ◆ Q-A",IF($P133="Quinzaine B","   ◆ Q-B",IF($P133="Exception","   ◆ PONCTUEL","")))&amp;CHAR(10)&amp;$K133&amp;CHAR(10)&amp;$M133&amp;IF($N133&lt;&gt;"",CHAR(10)&amp;"Salle "&amp;$N133,"")&amp;IF($O133="En ligne",CHAR(10)&amp;"◆ EN LIGNE","")&amp;IF($R133&lt;&gt;"",CHAR(10)&amp;$R133,"")</f>
        <v/>
      </c>
      <c r="Y133" s="45" t="inlineStr">
        <is>
          <t>19h30-21h Math (Haythem)</t>
        </is>
      </c>
      <c r="Z133" s="45" t="inlineStr">
        <is>
          <t>du 21-09 jusquà le 27-09!I60</t>
        </is>
      </c>
    </row>
    <row r="134" ht="15" customHeight="1">
      <c r="A134" s="10" t="inlineStr">
        <is>
          <t>S2</t>
        </is>
      </c>
      <c r="B134" s="9" t="inlineStr">
        <is>
          <t>du 21 au 27 septembre 2026</t>
        </is>
      </c>
      <c r="C134" s="10" t="inlineStr">
        <is>
          <t>B</t>
        </is>
      </c>
      <c r="D134" s="41" t="n">
        <v>46288</v>
      </c>
      <c r="E134" s="10" t="inlineStr">
        <is>
          <t>Mercredi</t>
        </is>
      </c>
      <c r="F134" s="42" t="n">
        <v>0.7916666666666666</v>
      </c>
      <c r="G134" s="42" t="n">
        <v>0.8541666666666666</v>
      </c>
      <c r="H134" s="43">
        <f>IF(OR($F134="",$G134=""),"",($G134-$F134)*24)</f>
        <v/>
      </c>
      <c r="I134" s="10" t="inlineStr">
        <is>
          <t>Secondaire</t>
        </is>
      </c>
      <c r="J134" s="9" t="inlineStr">
        <is>
          <t>3éme Eco</t>
        </is>
      </c>
      <c r="K134" s="9" t="inlineStr">
        <is>
          <t>Gestion</t>
        </is>
      </c>
      <c r="L134" s="9" t="inlineStr">
        <is>
          <t>Gestion</t>
        </is>
      </c>
      <c r="M134" s="9" t="inlineStr">
        <is>
          <t>Yassine</t>
        </is>
      </c>
      <c r="N134" s="10" t="n"/>
      <c r="O134" s="10" t="n"/>
      <c r="P134" s="10" t="inlineStr">
        <is>
          <t>Hebdomadaire</t>
        </is>
      </c>
      <c r="Q134" s="9" t="inlineStr">
        <is>
          <t>Original (septembre)</t>
        </is>
      </c>
      <c r="R134" s="9" t="inlineStr"/>
      <c r="S134" s="44">
        <f>IF($M134="","",IF(SUMPRODUCT(($D$4:$D$704=$D134)*($M$4:$M$704=$M134)*($F$4:$F$704&lt;$G134)*($G$4:$G$704&gt;$F134))&gt;1,"⚠ CONFLIT",""))</f>
        <v/>
      </c>
      <c r="T134" s="44">
        <f>IF($J134="","",IF(SUMPRODUCT(($D$4:$D$704=$D134)*($J$4:$J$704=$J134)*($F$4:$F$704&lt;$G134)*($G$4:$G$704&gt;$F134))&gt;1,"⚠ CONFLIT",""))</f>
        <v/>
      </c>
      <c r="U134" s="44">
        <f>IF(COUNTIFS($D$4:$D$704,$D134,$J$4:$J$704,$J134,$F$4:$F$704,$F134,$K$4:$K$704,$K134)&gt;1,"⚠ DOUBLON","")</f>
        <v/>
      </c>
      <c r="V134" s="44">
        <f>COUNTIFS($A$4:$A134,$A134,$J$4:$J134,$J134,$E$4:$E134,$E134)</f>
        <v/>
      </c>
      <c r="W134" s="45">
        <f>$A134&amp;"|"&amp;$J134&amp;"|"&amp;$E134&amp;"|"&amp;$V134</f>
        <v/>
      </c>
      <c r="X134" s="46">
        <f>TEXT($F134,"hh:mm")&amp;" - "&amp;TEXT($G134,"hh:mm")&amp;IF($P134="Quinzaine A","   ◆ Q-A",IF($P134="Quinzaine B","   ◆ Q-B",IF($P134="Exception","   ◆ PONCTUEL","")))&amp;CHAR(10)&amp;$K134&amp;CHAR(10)&amp;$M134&amp;IF($N134&lt;&gt;"",CHAR(10)&amp;"Salle "&amp;$N134,"")&amp;IF($O134="En ligne",CHAR(10)&amp;"◆ EN LIGNE","")&amp;IF($R134&lt;&gt;"",CHAR(10)&amp;$R134,"")</f>
        <v/>
      </c>
      <c r="Y134" s="45" t="inlineStr">
        <is>
          <t>19h-20h30 Gestion (Yassine)</t>
        </is>
      </c>
      <c r="Z134" s="45" t="inlineStr">
        <is>
          <t>du 21-09 jusquà le 27-09!I67</t>
        </is>
      </c>
    </row>
    <row r="135" ht="15" customHeight="1">
      <c r="A135" s="10" t="inlineStr">
        <is>
          <t>S2</t>
        </is>
      </c>
      <c r="B135" s="9" t="inlineStr">
        <is>
          <t>du 21 au 27 septembre 2026</t>
        </is>
      </c>
      <c r="C135" s="10" t="inlineStr">
        <is>
          <t>B</t>
        </is>
      </c>
      <c r="D135" s="41" t="n">
        <v>46288</v>
      </c>
      <c r="E135" s="10" t="inlineStr">
        <is>
          <t>Mercredi</t>
        </is>
      </c>
      <c r="F135" s="42" t="n">
        <v>0.8125</v>
      </c>
      <c r="G135" s="42" t="n">
        <v>0.875</v>
      </c>
      <c r="H135" s="43">
        <f>IF(OR($F135="",$G135=""),"",($G135-$F135)*24)</f>
        <v/>
      </c>
      <c r="I135" s="10" t="inlineStr">
        <is>
          <t>Secondaire</t>
        </is>
      </c>
      <c r="J135" s="9" t="inlineStr">
        <is>
          <t>3éme INFO</t>
        </is>
      </c>
      <c r="K135" s="9" t="inlineStr">
        <is>
          <t>Physique</t>
        </is>
      </c>
      <c r="L135" s="9" t="inlineStr">
        <is>
          <t>Physique</t>
        </is>
      </c>
      <c r="M135" s="9" t="inlineStr">
        <is>
          <t>Samia</t>
        </is>
      </c>
      <c r="N135" s="10" t="n"/>
      <c r="O135" s="10" t="n"/>
      <c r="P135" s="10" t="inlineStr">
        <is>
          <t>Hebdomadaire</t>
        </is>
      </c>
      <c r="Q135" s="9" t="inlineStr">
        <is>
          <t>Original (septembre)</t>
        </is>
      </c>
      <c r="R135" s="9" t="inlineStr"/>
      <c r="S135" s="44">
        <f>IF($M135="","",IF(SUMPRODUCT(($D$4:$D$704=$D135)*($M$4:$M$704=$M135)*($F$4:$F$704&lt;$G135)*($G$4:$G$704&gt;$F135))&gt;1,"⚠ CONFLIT",""))</f>
        <v/>
      </c>
      <c r="T135" s="44">
        <f>IF($J135="","",IF(SUMPRODUCT(($D$4:$D$704=$D135)*($J$4:$J$704=$J135)*($F$4:$F$704&lt;$G135)*($G$4:$G$704&gt;$F135))&gt;1,"⚠ CONFLIT",""))</f>
        <v/>
      </c>
      <c r="U135" s="44">
        <f>IF(COUNTIFS($D$4:$D$704,$D135,$J$4:$J$704,$J135,$F$4:$F$704,$F135,$K$4:$K$704,$K135)&gt;1,"⚠ DOUBLON","")</f>
        <v/>
      </c>
      <c r="V135" s="44">
        <f>COUNTIFS($A$4:$A135,$A135,$J$4:$J135,$J135,$E$4:$E135,$E135)</f>
        <v/>
      </c>
      <c r="W135" s="45">
        <f>$A135&amp;"|"&amp;$J135&amp;"|"&amp;$E135&amp;"|"&amp;$V135</f>
        <v/>
      </c>
      <c r="X135" s="46">
        <f>TEXT($F135,"hh:mm")&amp;" - "&amp;TEXT($G135,"hh:mm")&amp;IF($P135="Quinzaine A","   ◆ Q-A",IF($P135="Quinzaine B","   ◆ Q-B",IF($P135="Exception","   ◆ PONCTUEL","")))&amp;CHAR(10)&amp;$K135&amp;CHAR(10)&amp;$M135&amp;IF($N135&lt;&gt;"",CHAR(10)&amp;"Salle "&amp;$N135,"")&amp;IF($O135="En ligne",CHAR(10)&amp;"◆ EN LIGNE","")&amp;IF($R135&lt;&gt;"",CHAR(10)&amp;$R135,"")</f>
        <v/>
      </c>
      <c r="Y135" s="45" t="inlineStr">
        <is>
          <t>19h30-21h Physique (Samia)</t>
        </is>
      </c>
      <c r="Z135" s="45" t="inlineStr">
        <is>
          <t>du 21-09 jusquà le 27-09!I69</t>
        </is>
      </c>
    </row>
    <row r="136" ht="15" customHeight="1">
      <c r="A136" s="10" t="inlineStr">
        <is>
          <t>S2</t>
        </is>
      </c>
      <c r="B136" s="9" t="inlineStr">
        <is>
          <t>du 21 au 27 septembre 2026</t>
        </is>
      </c>
      <c r="C136" s="10" t="inlineStr">
        <is>
          <t>B</t>
        </is>
      </c>
      <c r="D136" s="41" t="n">
        <v>46288</v>
      </c>
      <c r="E136" s="10" t="inlineStr">
        <is>
          <t>Mercredi</t>
        </is>
      </c>
      <c r="F136" s="42" t="n">
        <v>0.7916666666666666</v>
      </c>
      <c r="G136" s="42" t="n">
        <v>0.875</v>
      </c>
      <c r="H136" s="43">
        <f>IF(OR($F136="",$G136=""),"",($G136-$F136)*24)</f>
        <v/>
      </c>
      <c r="I136" s="10" t="inlineStr">
        <is>
          <t>Bac</t>
        </is>
      </c>
      <c r="J136" s="9" t="inlineStr">
        <is>
          <t>Bac SCE</t>
        </is>
      </c>
      <c r="K136" s="9" t="inlineStr">
        <is>
          <t>Math</t>
        </is>
      </c>
      <c r="L136" s="9" t="inlineStr">
        <is>
          <t>Math</t>
        </is>
      </c>
      <c r="M136" s="9" t="inlineStr">
        <is>
          <t>Ahmed</t>
        </is>
      </c>
      <c r="N136" s="10" t="n"/>
      <c r="O136" s="10" t="n"/>
      <c r="P136" s="10" t="inlineStr">
        <is>
          <t>Hebdomadaire</t>
        </is>
      </c>
      <c r="Q136" s="9" t="inlineStr">
        <is>
          <t>Original (septembre)</t>
        </is>
      </c>
      <c r="R136" s="9" t="inlineStr"/>
      <c r="S136" s="44">
        <f>IF($M136="","",IF(SUMPRODUCT(($D$4:$D$704=$D136)*($M$4:$M$704=$M136)*($F$4:$F$704&lt;$G136)*($G$4:$G$704&gt;$F136))&gt;1,"⚠ CONFLIT",""))</f>
        <v/>
      </c>
      <c r="T136" s="44">
        <f>IF($J136="","",IF(SUMPRODUCT(($D$4:$D$704=$D136)*($J$4:$J$704=$J136)*($F$4:$F$704&lt;$G136)*($G$4:$G$704&gt;$F136))&gt;1,"⚠ CONFLIT",""))</f>
        <v/>
      </c>
      <c r="U136" s="44">
        <f>IF(COUNTIFS($D$4:$D$704,$D136,$J$4:$J$704,$J136,$F$4:$F$704,$F136,$K$4:$K$704,$K136)&gt;1,"⚠ DOUBLON","")</f>
        <v/>
      </c>
      <c r="V136" s="44">
        <f>COUNTIFS($A$4:$A136,$A136,$J$4:$J136,$J136,$E$4:$E136,$E136)</f>
        <v/>
      </c>
      <c r="W136" s="45">
        <f>$A136&amp;"|"&amp;$J136&amp;"|"&amp;$E136&amp;"|"&amp;$V136</f>
        <v/>
      </c>
      <c r="X136" s="46">
        <f>TEXT($F136,"hh:mm")&amp;" - "&amp;TEXT($G136,"hh:mm")&amp;IF($P136="Quinzaine A","   ◆ Q-A",IF($P136="Quinzaine B","   ◆ Q-B",IF($P136="Exception","   ◆ PONCTUEL","")))&amp;CHAR(10)&amp;$K136&amp;CHAR(10)&amp;$M136&amp;IF($N136&lt;&gt;"",CHAR(10)&amp;"Salle "&amp;$N136,"")&amp;IF($O136="En ligne",CHAR(10)&amp;"◆ EN LIGNE","")&amp;IF($R136&lt;&gt;"",CHAR(10)&amp;$R136,"")</f>
        <v/>
      </c>
      <c r="Y136" s="45" t="inlineStr">
        <is>
          <t>19h-21h Math (Ahmed)</t>
        </is>
      </c>
      <c r="Z136" s="45" t="inlineStr">
        <is>
          <t>du 21-09 jusquà le 27-09!I81</t>
        </is>
      </c>
    </row>
    <row r="137" ht="15" customHeight="1">
      <c r="A137" s="10" t="inlineStr">
        <is>
          <t>S2</t>
        </is>
      </c>
      <c r="B137" s="9" t="inlineStr">
        <is>
          <t>du 21 au 27 septembre 2026</t>
        </is>
      </c>
      <c r="C137" s="10" t="inlineStr">
        <is>
          <t>B</t>
        </is>
      </c>
      <c r="D137" s="41" t="n">
        <v>46288</v>
      </c>
      <c r="E137" s="10" t="inlineStr">
        <is>
          <t>Mercredi</t>
        </is>
      </c>
      <c r="F137" s="42" t="n">
        <v>0.7916666666666666</v>
      </c>
      <c r="G137" s="42" t="n">
        <v>0.875</v>
      </c>
      <c r="H137" s="43">
        <f>IF(OR($F137="",$G137=""),"",($G137-$F137)*24)</f>
        <v/>
      </c>
      <c r="I137" s="10" t="inlineStr">
        <is>
          <t>Bac</t>
        </is>
      </c>
      <c r="J137" s="9" t="inlineStr">
        <is>
          <t>Bac INFO</t>
        </is>
      </c>
      <c r="K137" s="9" t="inlineStr">
        <is>
          <t>STI</t>
        </is>
      </c>
      <c r="L137" s="9" t="inlineStr">
        <is>
          <t>STI</t>
        </is>
      </c>
      <c r="M137" s="9" t="inlineStr">
        <is>
          <t>Aymen</t>
        </is>
      </c>
      <c r="N137" s="10" t="n"/>
      <c r="O137" s="10" t="n"/>
      <c r="P137" s="10" t="inlineStr">
        <is>
          <t>Hebdomadaire</t>
        </is>
      </c>
      <c r="Q137" s="9" t="inlineStr">
        <is>
          <t>Original (septembre)</t>
        </is>
      </c>
      <c r="R137" s="9" t="inlineStr"/>
      <c r="S137" s="44">
        <f>IF($M137="","",IF(SUMPRODUCT(($D$4:$D$704=$D137)*($M$4:$M$704=$M137)*($F$4:$F$704&lt;$G137)*($G$4:$G$704&gt;$F137))&gt;1,"⚠ CONFLIT",""))</f>
        <v/>
      </c>
      <c r="T137" s="44">
        <f>IF($J137="","",IF(SUMPRODUCT(($D$4:$D$704=$D137)*($J$4:$J$704=$J137)*($F$4:$F$704&lt;$G137)*($G$4:$G$704&gt;$F137))&gt;1,"⚠ CONFLIT",""))</f>
        <v/>
      </c>
      <c r="U137" s="44">
        <f>IF(COUNTIFS($D$4:$D$704,$D137,$J$4:$J$704,$J137,$F$4:$F$704,$F137,$K$4:$K$704,$K137)&gt;1,"⚠ DOUBLON","")</f>
        <v/>
      </c>
      <c r="V137" s="44">
        <f>COUNTIFS($A$4:$A137,$A137,$J$4:$J137,$J137,$E$4:$E137,$E137)</f>
        <v/>
      </c>
      <c r="W137" s="45">
        <f>$A137&amp;"|"&amp;$J137&amp;"|"&amp;$E137&amp;"|"&amp;$V137</f>
        <v/>
      </c>
      <c r="X137" s="46">
        <f>TEXT($F137,"hh:mm")&amp;" - "&amp;TEXT($G137,"hh:mm")&amp;IF($P137="Quinzaine A","   ◆ Q-A",IF($P137="Quinzaine B","   ◆ Q-B",IF($P137="Exception","   ◆ PONCTUEL","")))&amp;CHAR(10)&amp;$K137&amp;CHAR(10)&amp;$M137&amp;IF($N137&lt;&gt;"",CHAR(10)&amp;"Salle "&amp;$N137,"")&amp;IF($O137="En ligne",CHAR(10)&amp;"◆ EN LIGNE","")&amp;IF($R137&lt;&gt;"",CHAR(10)&amp;$R137,"")</f>
        <v/>
      </c>
      <c r="Y137" s="45" t="inlineStr">
        <is>
          <t>19h-21h STI (Aymen)</t>
        </is>
      </c>
      <c r="Z137" s="45" t="inlineStr">
        <is>
          <t>du 21-09 jusquà le 27-09!I85</t>
        </is>
      </c>
    </row>
    <row r="138" ht="15" customHeight="1">
      <c r="A138" s="10" t="inlineStr">
        <is>
          <t>S2</t>
        </is>
      </c>
      <c r="B138" s="9" t="inlineStr">
        <is>
          <t>du 21 au 27 septembre 2026</t>
        </is>
      </c>
      <c r="C138" s="10" t="inlineStr">
        <is>
          <t>B</t>
        </is>
      </c>
      <c r="D138" s="41" t="n">
        <v>46289</v>
      </c>
      <c r="E138" s="10" t="inlineStr">
        <is>
          <t>Jeudi</t>
        </is>
      </c>
      <c r="F138" s="42" t="n">
        <v>0.7916666666666666</v>
      </c>
      <c r="G138" s="42" t="n">
        <v>0.875</v>
      </c>
      <c r="H138" s="43">
        <f>IF(OR($F138="",$G138=""),"",($G138-$F138)*24)</f>
        <v/>
      </c>
      <c r="I138" s="10" t="inlineStr">
        <is>
          <t>Primaire</t>
        </is>
      </c>
      <c r="J138" s="9" t="inlineStr">
        <is>
          <t>5éme</t>
        </is>
      </c>
      <c r="K138" s="9" t="inlineStr">
        <is>
          <t>رياضيات</t>
        </is>
      </c>
      <c r="L138" s="9" t="inlineStr">
        <is>
          <t>Math</t>
        </is>
      </c>
      <c r="M138" s="9" t="inlineStr">
        <is>
          <t>Bassma</t>
        </is>
      </c>
      <c r="N138" s="10" t="n"/>
      <c r="O138" s="10" t="n"/>
      <c r="P138" s="10" t="inlineStr">
        <is>
          <t>Hebdomadaire</t>
        </is>
      </c>
      <c r="Q138" s="9" t="inlineStr">
        <is>
          <t>Original (septembre)</t>
        </is>
      </c>
      <c r="R138" s="9" t="inlineStr"/>
      <c r="S138" s="44">
        <f>IF($M138="","",IF(SUMPRODUCT(($D$4:$D$704=$D138)*($M$4:$M$704=$M138)*($F$4:$F$704&lt;$G138)*($G$4:$G$704&gt;$F138))&gt;1,"⚠ CONFLIT",""))</f>
        <v/>
      </c>
      <c r="T138" s="44">
        <f>IF($J138="","",IF(SUMPRODUCT(($D$4:$D$704=$D138)*($J$4:$J$704=$J138)*($F$4:$F$704&lt;$G138)*($G$4:$G$704&gt;$F138))&gt;1,"⚠ CONFLIT",""))</f>
        <v/>
      </c>
      <c r="U138" s="44">
        <f>IF(COUNTIFS($D$4:$D$704,$D138,$J$4:$J$704,$J138,$F$4:$F$704,$F138,$K$4:$K$704,$K138)&gt;1,"⚠ DOUBLON","")</f>
        <v/>
      </c>
      <c r="V138" s="44">
        <f>COUNTIFS($A$4:$A138,$A138,$J$4:$J138,$J138,$E$4:$E138,$E138)</f>
        <v/>
      </c>
      <c r="W138" s="45">
        <f>$A138&amp;"|"&amp;$J138&amp;"|"&amp;$E138&amp;"|"&amp;$V138</f>
        <v/>
      </c>
      <c r="X138" s="46">
        <f>TEXT($F138,"hh:mm")&amp;" - "&amp;TEXT($G138,"hh:mm")&amp;IF($P138="Quinzaine A","   ◆ Q-A",IF($P138="Quinzaine B","   ◆ Q-B",IF($P138="Exception","   ◆ PONCTUEL","")))&amp;CHAR(10)&amp;$K138&amp;CHAR(10)&amp;$M138&amp;IF($N138&lt;&gt;"",CHAR(10)&amp;"Salle "&amp;$N138,"")&amp;IF($O138="En ligne",CHAR(10)&amp;"◆ EN LIGNE","")&amp;IF($R138&lt;&gt;"",CHAR(10)&amp;$R138,"")</f>
        <v/>
      </c>
      <c r="Y138" s="45" t="inlineStr">
        <is>
          <t>19h-21h رياضيات (Bassma)</t>
        </is>
      </c>
      <c r="Z138" s="45" t="inlineStr">
        <is>
          <t>du 21-09 jusquà le 27-09!J7</t>
        </is>
      </c>
    </row>
    <row r="139" ht="15" customHeight="1">
      <c r="A139" s="10" t="inlineStr">
        <is>
          <t>S2</t>
        </is>
      </c>
      <c r="B139" s="9" t="inlineStr">
        <is>
          <t>du 21 au 27 septembre 2026</t>
        </is>
      </c>
      <c r="C139" s="10" t="inlineStr">
        <is>
          <t>B</t>
        </is>
      </c>
      <c r="D139" s="41" t="n">
        <v>46289</v>
      </c>
      <c r="E139" s="10" t="inlineStr">
        <is>
          <t>Jeudi</t>
        </is>
      </c>
      <c r="F139" s="42" t="n">
        <v>0.7916666666666666</v>
      </c>
      <c r="G139" s="42" t="n">
        <v>0.875</v>
      </c>
      <c r="H139" s="43">
        <f>IF(OR($F139="",$G139=""),"",($G139-$F139)*24)</f>
        <v/>
      </c>
      <c r="I139" s="10" t="inlineStr">
        <is>
          <t>Primaire</t>
        </is>
      </c>
      <c r="J139" s="9" t="inlineStr">
        <is>
          <t>6éme (B)</t>
        </is>
      </c>
      <c r="K139" s="9" t="inlineStr">
        <is>
          <t>رياضيات</t>
        </is>
      </c>
      <c r="L139" s="9" t="inlineStr">
        <is>
          <t>Math</t>
        </is>
      </c>
      <c r="M139" s="9" t="inlineStr">
        <is>
          <t>Noura</t>
        </is>
      </c>
      <c r="N139" s="10" t="n"/>
      <c r="O139" s="10" t="n"/>
      <c r="P139" s="10" t="inlineStr">
        <is>
          <t>Hebdomadaire</t>
        </is>
      </c>
      <c r="Q139" s="9" t="inlineStr">
        <is>
          <t>Original (septembre)</t>
        </is>
      </c>
      <c r="R139" s="9" t="inlineStr"/>
      <c r="S139" s="44">
        <f>IF($M139="","",IF(SUMPRODUCT(($D$4:$D$704=$D139)*($M$4:$M$704=$M139)*($F$4:$F$704&lt;$G139)*($G$4:$G$704&gt;$F139))&gt;1,"⚠ CONFLIT",""))</f>
        <v/>
      </c>
      <c r="T139" s="44">
        <f>IF($J139="","",IF(SUMPRODUCT(($D$4:$D$704=$D139)*($J$4:$J$704=$J139)*($F$4:$F$704&lt;$G139)*($G$4:$G$704&gt;$F139))&gt;1,"⚠ CONFLIT",""))</f>
        <v/>
      </c>
      <c r="U139" s="44">
        <f>IF(COUNTIFS($D$4:$D$704,$D139,$J$4:$J$704,$J139,$F$4:$F$704,$F139,$K$4:$K$704,$K139)&gt;1,"⚠ DOUBLON","")</f>
        <v/>
      </c>
      <c r="V139" s="44">
        <f>COUNTIFS($A$4:$A139,$A139,$J$4:$J139,$J139,$E$4:$E139,$E139)</f>
        <v/>
      </c>
      <c r="W139" s="45">
        <f>$A139&amp;"|"&amp;$J139&amp;"|"&amp;$E139&amp;"|"&amp;$V139</f>
        <v/>
      </c>
      <c r="X139" s="46">
        <f>TEXT($F139,"hh:mm")&amp;" - "&amp;TEXT($G139,"hh:mm")&amp;IF($P139="Quinzaine A","   ◆ Q-A",IF($P139="Quinzaine B","   ◆ Q-B",IF($P139="Exception","   ◆ PONCTUEL","")))&amp;CHAR(10)&amp;$K139&amp;CHAR(10)&amp;$M139&amp;IF($N139&lt;&gt;"",CHAR(10)&amp;"Salle "&amp;$N139,"")&amp;IF($O139="En ligne",CHAR(10)&amp;"◆ EN LIGNE","")&amp;IF($R139&lt;&gt;"",CHAR(10)&amp;$R139,"")</f>
        <v/>
      </c>
      <c r="Y139" s="45" t="inlineStr">
        <is>
          <t>19h-21h رياضيات (Noura)</t>
        </is>
      </c>
      <c r="Z139" s="45" t="inlineStr">
        <is>
          <t>du 21-09 jusquà le 27-09!J17</t>
        </is>
      </c>
    </row>
    <row r="140" ht="15" customHeight="1">
      <c r="A140" s="10" t="inlineStr">
        <is>
          <t>S2</t>
        </is>
      </c>
      <c r="B140" s="9" t="inlineStr">
        <is>
          <t>du 21 au 27 septembre 2026</t>
        </is>
      </c>
      <c r="C140" s="10" t="inlineStr">
        <is>
          <t>B</t>
        </is>
      </c>
      <c r="D140" s="41" t="n">
        <v>46289</v>
      </c>
      <c r="E140" s="10" t="inlineStr">
        <is>
          <t>Jeudi</t>
        </is>
      </c>
      <c r="F140" s="42" t="n">
        <v>0.8125</v>
      </c>
      <c r="G140" s="42" t="n">
        <v>0.875</v>
      </c>
      <c r="H140" s="43">
        <f>IF(OR($F140="",$G140=""),"",($G140-$F140)*24)</f>
        <v/>
      </c>
      <c r="I140" s="10" t="inlineStr">
        <is>
          <t>Collège</t>
        </is>
      </c>
      <c r="J140" s="9" t="inlineStr">
        <is>
          <t>8éme (A)</t>
        </is>
      </c>
      <c r="K140" s="9" t="inlineStr">
        <is>
          <t>Français</t>
        </is>
      </c>
      <c r="L140" s="9" t="inlineStr">
        <is>
          <t>Français</t>
        </is>
      </c>
      <c r="M140" s="9" t="inlineStr">
        <is>
          <t>Nassima</t>
        </is>
      </c>
      <c r="N140" s="10" t="n"/>
      <c r="O140" s="10" t="n"/>
      <c r="P140" s="10" t="inlineStr">
        <is>
          <t>Hebdomadaire</t>
        </is>
      </c>
      <c r="Q140" s="9" t="inlineStr">
        <is>
          <t>Original (septembre)</t>
        </is>
      </c>
      <c r="R140" s="9" t="inlineStr"/>
      <c r="S140" s="44">
        <f>IF($M140="","",IF(SUMPRODUCT(($D$4:$D$704=$D140)*($M$4:$M$704=$M140)*($F$4:$F$704&lt;$G140)*($G$4:$G$704&gt;$F140))&gt;1,"⚠ CONFLIT",""))</f>
        <v/>
      </c>
      <c r="T140" s="44">
        <f>IF($J140="","",IF(SUMPRODUCT(($D$4:$D$704=$D140)*($J$4:$J$704=$J140)*($F$4:$F$704&lt;$G140)*($G$4:$G$704&gt;$F140))&gt;1,"⚠ CONFLIT",""))</f>
        <v/>
      </c>
      <c r="U140" s="44">
        <f>IF(COUNTIFS($D$4:$D$704,$D140,$J$4:$J$704,$J140,$F$4:$F$704,$F140,$K$4:$K$704,$K140)&gt;1,"⚠ DOUBLON","")</f>
        <v/>
      </c>
      <c r="V140" s="44">
        <f>COUNTIFS($A$4:$A140,$A140,$J$4:$J140,$J140,$E$4:$E140,$E140)</f>
        <v/>
      </c>
      <c r="W140" s="45">
        <f>$A140&amp;"|"&amp;$J140&amp;"|"&amp;$E140&amp;"|"&amp;$V140</f>
        <v/>
      </c>
      <c r="X140" s="46">
        <f>TEXT($F140,"hh:mm")&amp;" - "&amp;TEXT($G140,"hh:mm")&amp;IF($P140="Quinzaine A","   ◆ Q-A",IF($P140="Quinzaine B","   ◆ Q-B",IF($P140="Exception","   ◆ PONCTUEL","")))&amp;CHAR(10)&amp;$K140&amp;CHAR(10)&amp;$M140&amp;IF($N140&lt;&gt;"",CHAR(10)&amp;"Salle "&amp;$N140,"")&amp;IF($O140="En ligne",CHAR(10)&amp;"◆ EN LIGNE","")&amp;IF($R140&lt;&gt;"",CHAR(10)&amp;$R140,"")</f>
        <v/>
      </c>
      <c r="Y140" s="45" t="inlineStr">
        <is>
          <t>19h30-21h Français (Nassima)</t>
        </is>
      </c>
      <c r="Z140" s="45" t="inlineStr">
        <is>
          <t>du 21-09 jusquà le 27-09!J28</t>
        </is>
      </c>
    </row>
    <row r="141" ht="15" customHeight="1">
      <c r="A141" s="10" t="inlineStr">
        <is>
          <t>S2</t>
        </is>
      </c>
      <c r="B141" s="9" t="inlineStr">
        <is>
          <t>du 21 au 27 septembre 2026</t>
        </is>
      </c>
      <c r="C141" s="10" t="inlineStr">
        <is>
          <t>B</t>
        </is>
      </c>
      <c r="D141" s="41" t="n">
        <v>46289</v>
      </c>
      <c r="E141" s="10" t="inlineStr">
        <is>
          <t>Jeudi</t>
        </is>
      </c>
      <c r="F141" s="42" t="n">
        <v>0.8020833333333334</v>
      </c>
      <c r="G141" s="42" t="n">
        <v>0.8645833333333334</v>
      </c>
      <c r="H141" s="43">
        <f>IF(OR($F141="",$G141=""),"",($G141-$F141)*24)</f>
        <v/>
      </c>
      <c r="I141" s="10" t="inlineStr">
        <is>
          <t>Collège</t>
        </is>
      </c>
      <c r="J141" s="9" t="inlineStr">
        <is>
          <t>8éme (C)</t>
        </is>
      </c>
      <c r="K141" s="9" t="inlineStr">
        <is>
          <t>Math</t>
        </is>
      </c>
      <c r="L141" s="9" t="inlineStr">
        <is>
          <t>Math</t>
        </is>
      </c>
      <c r="M141" s="9" t="inlineStr">
        <is>
          <t>Khouloud</t>
        </is>
      </c>
      <c r="N141" s="10" t="n"/>
      <c r="O141" s="10" t="n"/>
      <c r="P141" s="10" t="inlineStr">
        <is>
          <t>Hebdomadaire</t>
        </is>
      </c>
      <c r="Q141" s="9" t="inlineStr">
        <is>
          <t>Original (septembre)</t>
        </is>
      </c>
      <c r="R141" s="9" t="inlineStr"/>
      <c r="S141" s="44">
        <f>IF($M141="","",IF(SUMPRODUCT(($D$4:$D$704=$D141)*($M$4:$M$704=$M141)*($F$4:$F$704&lt;$G141)*($G$4:$G$704&gt;$F141))&gt;1,"⚠ CONFLIT",""))</f>
        <v/>
      </c>
      <c r="T141" s="44">
        <f>IF($J141="","",IF(SUMPRODUCT(($D$4:$D$704=$D141)*($J$4:$J$704=$J141)*($F$4:$F$704&lt;$G141)*($G$4:$G$704&gt;$F141))&gt;1,"⚠ CONFLIT",""))</f>
        <v/>
      </c>
      <c r="U141" s="44">
        <f>IF(COUNTIFS($D$4:$D$704,$D141,$J$4:$J$704,$J141,$F$4:$F$704,$F141,$K$4:$K$704,$K141)&gt;1,"⚠ DOUBLON","")</f>
        <v/>
      </c>
      <c r="V141" s="44">
        <f>COUNTIFS($A$4:$A141,$A141,$J$4:$J141,$J141,$E$4:$E141,$E141)</f>
        <v/>
      </c>
      <c r="W141" s="45">
        <f>$A141&amp;"|"&amp;$J141&amp;"|"&amp;$E141&amp;"|"&amp;$V141</f>
        <v/>
      </c>
      <c r="X141" s="46">
        <f>TEXT($F141,"hh:mm")&amp;" - "&amp;TEXT($G141,"hh:mm")&amp;IF($P141="Quinzaine A","   ◆ Q-A",IF($P141="Quinzaine B","   ◆ Q-B",IF($P141="Exception","   ◆ PONCTUEL","")))&amp;CHAR(10)&amp;$K141&amp;CHAR(10)&amp;$M141&amp;IF($N141&lt;&gt;"",CHAR(10)&amp;"Salle "&amp;$N141,"")&amp;IF($O141="En ligne",CHAR(10)&amp;"◆ EN LIGNE","")&amp;IF($R141&lt;&gt;"",CHAR(10)&amp;$R141,"")</f>
        <v/>
      </c>
      <c r="Y141" s="45" t="inlineStr">
        <is>
          <t>19h15-20h45 Math (Khouloud)</t>
        </is>
      </c>
      <c r="Z141" s="45" t="inlineStr">
        <is>
          <t>du 21-09 jusquà le 27-09!J35</t>
        </is>
      </c>
    </row>
    <row r="142" ht="15" customHeight="1">
      <c r="A142" s="10" t="inlineStr">
        <is>
          <t>S2</t>
        </is>
      </c>
      <c r="B142" s="9" t="inlineStr">
        <is>
          <t>du 21 au 27 septembre 2026</t>
        </is>
      </c>
      <c r="C142" s="10" t="inlineStr">
        <is>
          <t>B</t>
        </is>
      </c>
      <c r="D142" s="41" t="n">
        <v>46289</v>
      </c>
      <c r="E142" s="10" t="inlineStr">
        <is>
          <t>Jeudi</t>
        </is>
      </c>
      <c r="F142" s="42" t="n">
        <v>0.8020833333333334</v>
      </c>
      <c r="G142" s="42" t="n">
        <v>0.8645833333333334</v>
      </c>
      <c r="H142" s="43">
        <f>IF(OR($F142="",$G142=""),"",($G142-$F142)*24)</f>
        <v/>
      </c>
      <c r="I142" s="10" t="inlineStr">
        <is>
          <t>Collège</t>
        </is>
      </c>
      <c r="J142" s="9" t="inlineStr">
        <is>
          <t>9éme (A)</t>
        </is>
      </c>
      <c r="K142" s="9" t="inlineStr">
        <is>
          <t>SVT</t>
        </is>
      </c>
      <c r="L142" s="9" t="inlineStr">
        <is>
          <t>SVT</t>
        </is>
      </c>
      <c r="M142" s="9" t="inlineStr">
        <is>
          <t>Imen Jribi</t>
        </is>
      </c>
      <c r="N142" s="10" t="n"/>
      <c r="O142" s="10" t="n"/>
      <c r="P142" s="10" t="inlineStr">
        <is>
          <t>Hebdomadaire</t>
        </is>
      </c>
      <c r="Q142" s="9" t="inlineStr">
        <is>
          <t>Original (septembre)</t>
        </is>
      </c>
      <c r="R142" s="9" t="inlineStr"/>
      <c r="S142" s="44">
        <f>IF($M142="","",IF(SUMPRODUCT(($D$4:$D$704=$D142)*($M$4:$M$704=$M142)*($F$4:$F$704&lt;$G142)*($G$4:$G$704&gt;$F142))&gt;1,"⚠ CONFLIT",""))</f>
        <v/>
      </c>
      <c r="T142" s="44">
        <f>IF($J142="","",IF(SUMPRODUCT(($D$4:$D$704=$D142)*($J$4:$J$704=$J142)*($F$4:$F$704&lt;$G142)*($G$4:$G$704&gt;$F142))&gt;1,"⚠ CONFLIT",""))</f>
        <v/>
      </c>
      <c r="U142" s="44">
        <f>IF(COUNTIFS($D$4:$D$704,$D142,$J$4:$J$704,$J142,$F$4:$F$704,$F142,$K$4:$K$704,$K142)&gt;1,"⚠ DOUBLON","")</f>
        <v/>
      </c>
      <c r="V142" s="44">
        <f>COUNTIFS($A$4:$A142,$A142,$J$4:$J142,$J142,$E$4:$E142,$E142)</f>
        <v/>
      </c>
      <c r="W142" s="45">
        <f>$A142&amp;"|"&amp;$J142&amp;"|"&amp;$E142&amp;"|"&amp;$V142</f>
        <v/>
      </c>
      <c r="X142" s="46">
        <f>TEXT($F142,"hh:mm")&amp;" - "&amp;TEXT($G142,"hh:mm")&amp;IF($P142="Quinzaine A","   ◆ Q-A",IF($P142="Quinzaine B","   ◆ Q-B",IF($P142="Exception","   ◆ PONCTUEL","")))&amp;CHAR(10)&amp;$K142&amp;CHAR(10)&amp;$M142&amp;IF($N142&lt;&gt;"",CHAR(10)&amp;"Salle "&amp;$N142,"")&amp;IF($O142="En ligne",CHAR(10)&amp;"◆ EN LIGNE","")&amp;IF($R142&lt;&gt;"",CHAR(10)&amp;$R142,"")</f>
        <v/>
      </c>
      <c r="Y142" s="45" t="inlineStr">
        <is>
          <t>19h15-20h45 SVT (Imen Jribi)</t>
        </is>
      </c>
      <c r="Z142" s="45" t="inlineStr">
        <is>
          <t>du 21-09 jusquà le 27-09!J37</t>
        </is>
      </c>
    </row>
    <row r="143" ht="15" customHeight="1">
      <c r="A143" s="10" t="inlineStr">
        <is>
          <t>S2</t>
        </is>
      </c>
      <c r="B143" s="9" t="inlineStr">
        <is>
          <t>du 21 au 27 septembre 2026</t>
        </is>
      </c>
      <c r="C143" s="10" t="inlineStr">
        <is>
          <t>B</t>
        </is>
      </c>
      <c r="D143" s="41" t="n">
        <v>46289</v>
      </c>
      <c r="E143" s="10" t="inlineStr">
        <is>
          <t>Jeudi</t>
        </is>
      </c>
      <c r="F143" s="42" t="n">
        <v>0.8125</v>
      </c>
      <c r="G143" s="42" t="n">
        <v>0.875</v>
      </c>
      <c r="H143" s="43">
        <f>IF(OR($F143="",$G143=""),"",($G143-$F143)*24)</f>
        <v/>
      </c>
      <c r="I143" s="10" t="inlineStr">
        <is>
          <t>Collège</t>
        </is>
      </c>
      <c r="J143" s="9" t="inlineStr">
        <is>
          <t>9éme (C)</t>
        </is>
      </c>
      <c r="K143" s="9" t="inlineStr">
        <is>
          <t>Anglais</t>
        </is>
      </c>
      <c r="L143" s="9" t="inlineStr">
        <is>
          <t>Anglais</t>
        </is>
      </c>
      <c r="M143" s="9" t="inlineStr">
        <is>
          <t>Saber</t>
        </is>
      </c>
      <c r="N143" s="10" t="n"/>
      <c r="O143" s="10" t="n"/>
      <c r="P143" s="10" t="inlineStr">
        <is>
          <t>Hebdomadaire</t>
        </is>
      </c>
      <c r="Q143" s="9" t="inlineStr">
        <is>
          <t>Original (septembre)</t>
        </is>
      </c>
      <c r="R143" s="9" t="inlineStr"/>
      <c r="S143" s="44">
        <f>IF($M143="","",IF(SUMPRODUCT(($D$4:$D$704=$D143)*($M$4:$M$704=$M143)*($F$4:$F$704&lt;$G143)*($G$4:$G$704&gt;$F143))&gt;1,"⚠ CONFLIT",""))</f>
        <v/>
      </c>
      <c r="T143" s="44">
        <f>IF($J143="","",IF(SUMPRODUCT(($D$4:$D$704=$D143)*($J$4:$J$704=$J143)*($F$4:$F$704&lt;$G143)*($G$4:$G$704&gt;$F143))&gt;1,"⚠ CONFLIT",""))</f>
        <v/>
      </c>
      <c r="U143" s="44">
        <f>IF(COUNTIFS($D$4:$D$704,$D143,$J$4:$J$704,$J143,$F$4:$F$704,$F143,$K$4:$K$704,$K143)&gt;1,"⚠ DOUBLON","")</f>
        <v/>
      </c>
      <c r="V143" s="44">
        <f>COUNTIFS($A$4:$A143,$A143,$J$4:$J143,$J143,$E$4:$E143,$E143)</f>
        <v/>
      </c>
      <c r="W143" s="45">
        <f>$A143&amp;"|"&amp;$J143&amp;"|"&amp;$E143&amp;"|"&amp;$V143</f>
        <v/>
      </c>
      <c r="X143" s="46">
        <f>TEXT($F143,"hh:mm")&amp;" - "&amp;TEXT($G143,"hh:mm")&amp;IF($P143="Quinzaine A","   ◆ Q-A",IF($P143="Quinzaine B","   ◆ Q-B",IF($P143="Exception","   ◆ PONCTUEL","")))&amp;CHAR(10)&amp;$K143&amp;CHAR(10)&amp;$M143&amp;IF($N143&lt;&gt;"",CHAR(10)&amp;"Salle "&amp;$N143,"")&amp;IF($O143="En ligne",CHAR(10)&amp;"◆ EN LIGNE","")&amp;IF($R143&lt;&gt;"",CHAR(10)&amp;$R143,"")</f>
        <v/>
      </c>
      <c r="Y143" s="45" t="inlineStr">
        <is>
          <t>19h30-21h Anglais (Saber)</t>
        </is>
      </c>
      <c r="Z143" s="45" t="inlineStr">
        <is>
          <t>du 21-09 jusquà le 27-09!J47</t>
        </is>
      </c>
    </row>
    <row r="144" ht="15" customHeight="1">
      <c r="A144" s="10" t="inlineStr">
        <is>
          <t>S2</t>
        </is>
      </c>
      <c r="B144" s="9" t="inlineStr">
        <is>
          <t>du 21 au 27 septembre 2026</t>
        </is>
      </c>
      <c r="C144" s="10" t="inlineStr">
        <is>
          <t>B</t>
        </is>
      </c>
      <c r="D144" s="41" t="n">
        <v>46289</v>
      </c>
      <c r="E144" s="10" t="inlineStr">
        <is>
          <t>Jeudi</t>
        </is>
      </c>
      <c r="F144" s="42" t="n">
        <v>0.8020833333333334</v>
      </c>
      <c r="G144" s="42" t="n">
        <v>0.8645833333333334</v>
      </c>
      <c r="H144" s="43">
        <f>IF(OR($F144="",$G144=""),"",($G144-$F144)*24)</f>
        <v/>
      </c>
      <c r="I144" s="10" t="inlineStr">
        <is>
          <t>Secondaire</t>
        </is>
      </c>
      <c r="J144" s="9" t="inlineStr">
        <is>
          <t>1ére (B)</t>
        </is>
      </c>
      <c r="K144" s="9" t="inlineStr">
        <is>
          <t>Anglais</t>
        </is>
      </c>
      <c r="L144" s="9" t="inlineStr">
        <is>
          <t>Anglais</t>
        </is>
      </c>
      <c r="M144" s="9" t="inlineStr">
        <is>
          <t>Imen Bennour</t>
        </is>
      </c>
      <c r="N144" s="10" t="n"/>
      <c r="O144" s="10" t="n"/>
      <c r="P144" s="10" t="inlineStr">
        <is>
          <t>Quinzaine B</t>
        </is>
      </c>
      <c r="Q144" s="9" t="inlineStr">
        <is>
          <t>Original (septembre)</t>
        </is>
      </c>
      <c r="R144" s="9" t="inlineStr"/>
      <c r="S144" s="44">
        <f>IF($M144="","",IF(SUMPRODUCT(($D$4:$D$704=$D144)*($M$4:$M$704=$M144)*($F$4:$F$704&lt;$G144)*($G$4:$G$704&gt;$F144))&gt;1,"⚠ CONFLIT",""))</f>
        <v/>
      </c>
      <c r="T144" s="44">
        <f>IF($J144="","",IF(SUMPRODUCT(($D$4:$D$704=$D144)*($J$4:$J$704=$J144)*($F$4:$F$704&lt;$G144)*($G$4:$G$704&gt;$F144))&gt;1,"⚠ CONFLIT",""))</f>
        <v/>
      </c>
      <c r="U144" s="44">
        <f>IF(COUNTIFS($D$4:$D$704,$D144,$J$4:$J$704,$J144,$F$4:$F$704,$F144,$K$4:$K$704,$K144)&gt;1,"⚠ DOUBLON","")</f>
        <v/>
      </c>
      <c r="V144" s="44">
        <f>COUNTIFS($A$4:$A144,$A144,$J$4:$J144,$J144,$E$4:$E144,$E144)</f>
        <v/>
      </c>
      <c r="W144" s="45">
        <f>$A144&amp;"|"&amp;$J144&amp;"|"&amp;$E144&amp;"|"&amp;$V144</f>
        <v/>
      </c>
      <c r="X144" s="46">
        <f>TEXT($F144,"hh:mm")&amp;" - "&amp;TEXT($G144,"hh:mm")&amp;IF($P144="Quinzaine A","   ◆ Q-A",IF($P144="Quinzaine B","   ◆ Q-B",IF($P144="Exception","   ◆ PONCTUEL","")))&amp;CHAR(10)&amp;$K144&amp;CHAR(10)&amp;$M144&amp;IF($N144&lt;&gt;"",CHAR(10)&amp;"Salle "&amp;$N144,"")&amp;IF($O144="En ligne",CHAR(10)&amp;"◆ EN LIGNE","")&amp;IF($R144&lt;&gt;"",CHAR(10)&amp;$R144,"")</f>
        <v/>
      </c>
      <c r="Y144" s="45" t="inlineStr">
        <is>
          <t>19h15-20h45 Anglais /par quinzaine (Imen Bennour)</t>
        </is>
      </c>
      <c r="Z144" s="45" t="inlineStr">
        <is>
          <t>du 21-09 jusquà le 27-09!J54</t>
        </is>
      </c>
    </row>
    <row r="145" ht="15" customHeight="1">
      <c r="A145" s="10" t="inlineStr">
        <is>
          <t>S2</t>
        </is>
      </c>
      <c r="B145" s="9" t="inlineStr">
        <is>
          <t>du 21 au 27 septembre 2026</t>
        </is>
      </c>
      <c r="C145" s="10" t="inlineStr">
        <is>
          <t>B</t>
        </is>
      </c>
      <c r="D145" s="41" t="n">
        <v>46289</v>
      </c>
      <c r="E145" s="10" t="inlineStr">
        <is>
          <t>Jeudi</t>
        </is>
      </c>
      <c r="F145" s="42" t="n">
        <v>0.7916666666666666</v>
      </c>
      <c r="G145" s="42" t="n">
        <v>0.8541666666666666</v>
      </c>
      <c r="H145" s="43">
        <f>IF(OR($F145="",$G145=""),"",($G145-$F145)*24)</f>
        <v/>
      </c>
      <c r="I145" s="10" t="inlineStr">
        <is>
          <t>Secondaire</t>
        </is>
      </c>
      <c r="J145" s="9" t="inlineStr">
        <is>
          <t>2éme Eco</t>
        </is>
      </c>
      <c r="K145" s="9" t="inlineStr">
        <is>
          <t>Gestion</t>
        </is>
      </c>
      <c r="L145" s="9" t="inlineStr">
        <is>
          <t>Gestion</t>
        </is>
      </c>
      <c r="M145" s="9" t="inlineStr">
        <is>
          <t>Yassine</t>
        </is>
      </c>
      <c r="N145" s="10" t="n"/>
      <c r="O145" s="10" t="n"/>
      <c r="P145" s="10" t="inlineStr">
        <is>
          <t>Hebdomadaire</t>
        </is>
      </c>
      <c r="Q145" s="9" t="inlineStr">
        <is>
          <t>Original (septembre)</t>
        </is>
      </c>
      <c r="R145" s="9" t="inlineStr"/>
      <c r="S145" s="44">
        <f>IF($M145="","",IF(SUMPRODUCT(($D$4:$D$704=$D145)*($M$4:$M$704=$M145)*($F$4:$F$704&lt;$G145)*($G$4:$G$704&gt;$F145))&gt;1,"⚠ CONFLIT",""))</f>
        <v/>
      </c>
      <c r="T145" s="44">
        <f>IF($J145="","",IF(SUMPRODUCT(($D$4:$D$704=$D145)*($J$4:$J$704=$J145)*($F$4:$F$704&lt;$G145)*($G$4:$G$704&gt;$F145))&gt;1,"⚠ CONFLIT",""))</f>
        <v/>
      </c>
      <c r="U145" s="44">
        <f>IF(COUNTIFS($D$4:$D$704,$D145,$J$4:$J$704,$J145,$F$4:$F$704,$F145,$K$4:$K$704,$K145)&gt;1,"⚠ DOUBLON","")</f>
        <v/>
      </c>
      <c r="V145" s="44">
        <f>COUNTIFS($A$4:$A145,$A145,$J$4:$J145,$J145,$E$4:$E145,$E145)</f>
        <v/>
      </c>
      <c r="W145" s="45">
        <f>$A145&amp;"|"&amp;$J145&amp;"|"&amp;$E145&amp;"|"&amp;$V145</f>
        <v/>
      </c>
      <c r="X145" s="46">
        <f>TEXT($F145,"hh:mm")&amp;" - "&amp;TEXT($G145,"hh:mm")&amp;IF($P145="Quinzaine A","   ◆ Q-A",IF($P145="Quinzaine B","   ◆ Q-B",IF($P145="Exception","   ◆ PONCTUEL","")))&amp;CHAR(10)&amp;$K145&amp;CHAR(10)&amp;$M145&amp;IF($N145&lt;&gt;"",CHAR(10)&amp;"Salle "&amp;$N145,"")&amp;IF($O145="En ligne",CHAR(10)&amp;"◆ EN LIGNE","")&amp;IF($R145&lt;&gt;"",CHAR(10)&amp;$R145,"")</f>
        <v/>
      </c>
      <c r="Y145" s="45" t="inlineStr">
        <is>
          <t>19h-20h30 Gestion (Yassine)</t>
        </is>
      </c>
      <c r="Z145" s="45" t="inlineStr">
        <is>
          <t>du 21-09 jusquà le 27-09!J60</t>
        </is>
      </c>
    </row>
    <row r="146" ht="15" customHeight="1">
      <c r="A146" s="10" t="inlineStr">
        <is>
          <t>S2</t>
        </is>
      </c>
      <c r="B146" s="9" t="inlineStr">
        <is>
          <t>du 21 au 27 septembre 2026</t>
        </is>
      </c>
      <c r="C146" s="10" t="inlineStr">
        <is>
          <t>B</t>
        </is>
      </c>
      <c r="D146" s="41" t="n">
        <v>46289</v>
      </c>
      <c r="E146" s="10" t="inlineStr">
        <is>
          <t>Jeudi</t>
        </is>
      </c>
      <c r="F146" s="42" t="n">
        <v>0.8125</v>
      </c>
      <c r="G146" s="42" t="n">
        <v>0.875</v>
      </c>
      <c r="H146" s="43">
        <f>IF(OR($F146="",$G146=""),"",($G146-$F146)*24)</f>
        <v/>
      </c>
      <c r="I146" s="10" t="inlineStr">
        <is>
          <t>Secondaire</t>
        </is>
      </c>
      <c r="J146" s="9" t="inlineStr">
        <is>
          <t>2éme SCE</t>
        </is>
      </c>
      <c r="K146" s="9" t="inlineStr">
        <is>
          <t>Math</t>
        </is>
      </c>
      <c r="L146" s="9" t="inlineStr">
        <is>
          <t>Math</t>
        </is>
      </c>
      <c r="M146" s="9" t="inlineStr">
        <is>
          <t>Haythem</t>
        </is>
      </c>
      <c r="N146" s="10" t="n"/>
      <c r="O146" s="10" t="n"/>
      <c r="P146" s="10" t="inlineStr">
        <is>
          <t>Hebdomadaire</t>
        </is>
      </c>
      <c r="Q146" s="9" t="inlineStr">
        <is>
          <t>Original (septembre)</t>
        </is>
      </c>
      <c r="R146" s="9" t="inlineStr"/>
      <c r="S146" s="44">
        <f>IF($M146="","",IF(SUMPRODUCT(($D$4:$D$704=$D146)*($M$4:$M$704=$M146)*($F$4:$F$704&lt;$G146)*($G$4:$G$704&gt;$F146))&gt;1,"⚠ CONFLIT",""))</f>
        <v/>
      </c>
      <c r="T146" s="44">
        <f>IF($J146="","",IF(SUMPRODUCT(($D$4:$D$704=$D146)*($J$4:$J$704=$J146)*($F$4:$F$704&lt;$G146)*($G$4:$G$704&gt;$F146))&gt;1,"⚠ CONFLIT",""))</f>
        <v/>
      </c>
      <c r="U146" s="44">
        <f>IF(COUNTIFS($D$4:$D$704,$D146,$J$4:$J$704,$J146,$F$4:$F$704,$F146,$K$4:$K$704,$K146)&gt;1,"⚠ DOUBLON","")</f>
        <v/>
      </c>
      <c r="V146" s="44">
        <f>COUNTIFS($A$4:$A146,$A146,$J$4:$J146,$J146,$E$4:$E146,$E146)</f>
        <v/>
      </c>
      <c r="W146" s="45">
        <f>$A146&amp;"|"&amp;$J146&amp;"|"&amp;$E146&amp;"|"&amp;$V146</f>
        <v/>
      </c>
      <c r="X146" s="46">
        <f>TEXT($F146,"hh:mm")&amp;" - "&amp;TEXT($G146,"hh:mm")&amp;IF($P146="Quinzaine A","   ◆ Q-A",IF($P146="Quinzaine B","   ◆ Q-B",IF($P146="Exception","   ◆ PONCTUEL","")))&amp;CHAR(10)&amp;$K146&amp;CHAR(10)&amp;$M146&amp;IF($N146&lt;&gt;"",CHAR(10)&amp;"Salle "&amp;$N146,"")&amp;IF($O146="En ligne",CHAR(10)&amp;"◆ EN LIGNE","")&amp;IF($R146&lt;&gt;"",CHAR(10)&amp;$R146,"")</f>
        <v/>
      </c>
      <c r="Y146" s="45" t="inlineStr">
        <is>
          <t>19h30-21h Math (Haythem)</t>
        </is>
      </c>
      <c r="Z146" s="45" t="inlineStr">
        <is>
          <t>du 21-09 jusquà le 27-09!J62</t>
        </is>
      </c>
    </row>
    <row r="147" ht="15" customHeight="1">
      <c r="A147" s="10" t="inlineStr">
        <is>
          <t>S2</t>
        </is>
      </c>
      <c r="B147" s="9" t="inlineStr">
        <is>
          <t>du 21 au 27 septembre 2026</t>
        </is>
      </c>
      <c r="C147" s="10" t="inlineStr">
        <is>
          <t>B</t>
        </is>
      </c>
      <c r="D147" s="41" t="n">
        <v>46289</v>
      </c>
      <c r="E147" s="10" t="inlineStr">
        <is>
          <t>Jeudi</t>
        </is>
      </c>
      <c r="F147" s="42" t="n">
        <v>0.8125</v>
      </c>
      <c r="G147" s="42" t="n">
        <v>0.875</v>
      </c>
      <c r="H147" s="43">
        <f>IF(OR($F147="",$G147=""),"",($G147-$F147)*24)</f>
        <v/>
      </c>
      <c r="I147" s="10" t="inlineStr">
        <is>
          <t>Secondaire</t>
        </is>
      </c>
      <c r="J147" s="9" t="inlineStr">
        <is>
          <t>2éme INFO</t>
        </is>
      </c>
      <c r="K147" s="9" t="inlineStr">
        <is>
          <t>Physique</t>
        </is>
      </c>
      <c r="L147" s="9" t="inlineStr">
        <is>
          <t>Physique</t>
        </is>
      </c>
      <c r="M147" s="9" t="inlineStr">
        <is>
          <t>Samia</t>
        </is>
      </c>
      <c r="N147" s="10" t="n"/>
      <c r="O147" s="10" t="n"/>
      <c r="P147" s="10" t="inlineStr">
        <is>
          <t>Hebdomadaire</t>
        </is>
      </c>
      <c r="Q147" s="9" t="inlineStr">
        <is>
          <t>Original (septembre)</t>
        </is>
      </c>
      <c r="R147" s="9" t="inlineStr"/>
      <c r="S147" s="44">
        <f>IF($M147="","",IF(SUMPRODUCT(($D$4:$D$704=$D147)*($M$4:$M$704=$M147)*($F$4:$F$704&lt;$G147)*($G$4:$G$704&gt;$F147))&gt;1,"⚠ CONFLIT",""))</f>
        <v/>
      </c>
      <c r="T147" s="44">
        <f>IF($J147="","",IF(SUMPRODUCT(($D$4:$D$704=$D147)*($J$4:$J$704=$J147)*($F$4:$F$704&lt;$G147)*($G$4:$G$704&gt;$F147))&gt;1,"⚠ CONFLIT",""))</f>
        <v/>
      </c>
      <c r="U147" s="44">
        <f>IF(COUNTIFS($D$4:$D$704,$D147,$J$4:$J$704,$J147,$F$4:$F$704,$F147,$K$4:$K$704,$K147)&gt;1,"⚠ DOUBLON","")</f>
        <v/>
      </c>
      <c r="V147" s="44">
        <f>COUNTIFS($A$4:$A147,$A147,$J$4:$J147,$J147,$E$4:$E147,$E147)</f>
        <v/>
      </c>
      <c r="W147" s="45">
        <f>$A147&amp;"|"&amp;$J147&amp;"|"&amp;$E147&amp;"|"&amp;$V147</f>
        <v/>
      </c>
      <c r="X147" s="46">
        <f>TEXT($F147,"hh:mm")&amp;" - "&amp;TEXT($G147,"hh:mm")&amp;IF($P147="Quinzaine A","   ◆ Q-A",IF($P147="Quinzaine B","   ◆ Q-B",IF($P147="Exception","   ◆ PONCTUEL","")))&amp;CHAR(10)&amp;$K147&amp;CHAR(10)&amp;$M147&amp;IF($N147&lt;&gt;"",CHAR(10)&amp;"Salle "&amp;$N147,"")&amp;IF($O147="En ligne",CHAR(10)&amp;"◆ EN LIGNE","")&amp;IF($R147&lt;&gt;"",CHAR(10)&amp;$R147,"")</f>
        <v/>
      </c>
      <c r="Y147" s="45" t="inlineStr">
        <is>
          <t>19h30-21h Physique (Samia)</t>
        </is>
      </c>
      <c r="Z147" s="45" t="inlineStr">
        <is>
          <t>du 21-09 jusquà le 27-09!J64</t>
        </is>
      </c>
    </row>
    <row r="148" ht="15" customHeight="1">
      <c r="A148" s="10" t="inlineStr">
        <is>
          <t>S2</t>
        </is>
      </c>
      <c r="B148" s="9" t="inlineStr">
        <is>
          <t>du 21 au 27 septembre 2026</t>
        </is>
      </c>
      <c r="C148" s="10" t="inlineStr">
        <is>
          <t>B</t>
        </is>
      </c>
      <c r="D148" s="41" t="n">
        <v>46289</v>
      </c>
      <c r="E148" s="10" t="inlineStr">
        <is>
          <t>Jeudi</t>
        </is>
      </c>
      <c r="F148" s="42" t="n">
        <v>0.7916666666666666</v>
      </c>
      <c r="G148" s="42" t="n">
        <v>0.8541666666666666</v>
      </c>
      <c r="H148" s="43">
        <f>IF(OR($F148="",$G148=""),"",($G148-$F148)*24)</f>
        <v/>
      </c>
      <c r="I148" s="10" t="inlineStr">
        <is>
          <t>Secondaire</t>
        </is>
      </c>
      <c r="J148" s="9" t="inlineStr">
        <is>
          <t>3éme Eco</t>
        </is>
      </c>
      <c r="K148" s="9" t="inlineStr">
        <is>
          <t>Philo</t>
        </is>
      </c>
      <c r="L148" s="9" t="inlineStr">
        <is>
          <t>Philo</t>
        </is>
      </c>
      <c r="M148" s="9" t="inlineStr">
        <is>
          <t>Fayssel</t>
        </is>
      </c>
      <c r="N148" s="10" t="n"/>
      <c r="O148" s="10" t="n"/>
      <c r="P148" s="10" t="inlineStr">
        <is>
          <t>Quinzaine B</t>
        </is>
      </c>
      <c r="Q148" s="9" t="inlineStr">
        <is>
          <t>Original (septembre)</t>
        </is>
      </c>
      <c r="R148" s="9" t="inlineStr"/>
      <c r="S148" s="44">
        <f>IF($M148="","",IF(SUMPRODUCT(($D$4:$D$704=$D148)*($M$4:$M$704=$M148)*($F$4:$F$704&lt;$G148)*($G$4:$G$704&gt;$F148))&gt;1,"⚠ CONFLIT",""))</f>
        <v/>
      </c>
      <c r="T148" s="44">
        <f>IF($J148="","",IF(SUMPRODUCT(($D$4:$D$704=$D148)*($J$4:$J$704=$J148)*($F$4:$F$704&lt;$G148)*($G$4:$G$704&gt;$F148))&gt;1,"⚠ CONFLIT",""))</f>
        <v/>
      </c>
      <c r="U148" s="44">
        <f>IF(COUNTIFS($D$4:$D$704,$D148,$J$4:$J$704,$J148,$F$4:$F$704,$F148,$K$4:$K$704,$K148)&gt;1,"⚠ DOUBLON","")</f>
        <v/>
      </c>
      <c r="V148" s="44">
        <f>COUNTIFS($A$4:$A148,$A148,$J$4:$J148,$J148,$E$4:$E148,$E148)</f>
        <v/>
      </c>
      <c r="W148" s="45">
        <f>$A148&amp;"|"&amp;$J148&amp;"|"&amp;$E148&amp;"|"&amp;$V148</f>
        <v/>
      </c>
      <c r="X148" s="46">
        <f>TEXT($F148,"hh:mm")&amp;" - "&amp;TEXT($G148,"hh:mm")&amp;IF($P148="Quinzaine A","   ◆ Q-A",IF($P148="Quinzaine B","   ◆ Q-B",IF($P148="Exception","   ◆ PONCTUEL","")))&amp;CHAR(10)&amp;$K148&amp;CHAR(10)&amp;$M148&amp;IF($N148&lt;&gt;"",CHAR(10)&amp;"Salle "&amp;$N148,"")&amp;IF($O148="En ligne",CHAR(10)&amp;"◆ EN LIGNE","")&amp;IF($R148&lt;&gt;"",CHAR(10)&amp;$R148,"")</f>
        <v/>
      </c>
      <c r="Y148" s="45" t="inlineStr">
        <is>
          <t>19h-20h30 Philo (Fayssel) /par quizaine</t>
        </is>
      </c>
      <c r="Z148" s="45" t="inlineStr">
        <is>
          <t>du 21-09 jusquà le 27-09!J67</t>
        </is>
      </c>
    </row>
    <row r="149" ht="15" customHeight="1">
      <c r="A149" s="10" t="inlineStr">
        <is>
          <t>S2</t>
        </is>
      </c>
      <c r="B149" s="9" t="inlineStr">
        <is>
          <t>du 21 au 27 septembre 2026</t>
        </is>
      </c>
      <c r="C149" s="10" t="inlineStr">
        <is>
          <t>B</t>
        </is>
      </c>
      <c r="D149" s="41" t="n">
        <v>46289</v>
      </c>
      <c r="E149" s="10" t="inlineStr">
        <is>
          <t>Jeudi</t>
        </is>
      </c>
      <c r="F149" s="42" t="n">
        <v>0.8125</v>
      </c>
      <c r="G149" s="42" t="n">
        <v>0.875</v>
      </c>
      <c r="H149" s="43">
        <f>IF(OR($F149="",$G149=""),"",($G149-$F149)*24)</f>
        <v/>
      </c>
      <c r="I149" s="10" t="inlineStr">
        <is>
          <t>Bac</t>
        </is>
      </c>
      <c r="J149" s="9" t="inlineStr">
        <is>
          <t>Bac Eco</t>
        </is>
      </c>
      <c r="K149" s="9" t="inlineStr">
        <is>
          <t>Arabe</t>
        </is>
      </c>
      <c r="L149" s="9" t="inlineStr">
        <is>
          <t>Arabe</t>
        </is>
      </c>
      <c r="M149" s="9" t="inlineStr">
        <is>
          <t>Najet</t>
        </is>
      </c>
      <c r="N149" s="10" t="n"/>
      <c r="O149" s="10" t="n"/>
      <c r="P149" s="10" t="inlineStr">
        <is>
          <t>Quinzaine B</t>
        </is>
      </c>
      <c r="Q149" s="9" t="inlineStr">
        <is>
          <t>Original (septembre)</t>
        </is>
      </c>
      <c r="R149" s="9" t="inlineStr"/>
      <c r="S149" s="44">
        <f>IF($M149="","",IF(SUMPRODUCT(($D$4:$D$704=$D149)*($M$4:$M$704=$M149)*($F$4:$F$704&lt;$G149)*($G$4:$G$704&gt;$F149))&gt;1,"⚠ CONFLIT",""))</f>
        <v/>
      </c>
      <c r="T149" s="44">
        <f>IF($J149="","",IF(SUMPRODUCT(($D$4:$D$704=$D149)*($J$4:$J$704=$J149)*($F$4:$F$704&lt;$G149)*($G$4:$G$704&gt;$F149))&gt;1,"⚠ CONFLIT",""))</f>
        <v/>
      </c>
      <c r="U149" s="44">
        <f>IF(COUNTIFS($D$4:$D$704,$D149,$J$4:$J$704,$J149,$F$4:$F$704,$F149,$K$4:$K$704,$K149)&gt;1,"⚠ DOUBLON","")</f>
        <v/>
      </c>
      <c r="V149" s="44">
        <f>COUNTIFS($A$4:$A149,$A149,$J$4:$J149,$J149,$E$4:$E149,$E149)</f>
        <v/>
      </c>
      <c r="W149" s="45">
        <f>$A149&amp;"|"&amp;$J149&amp;"|"&amp;$E149&amp;"|"&amp;$V149</f>
        <v/>
      </c>
      <c r="X149" s="46">
        <f>TEXT($F149,"hh:mm")&amp;" - "&amp;TEXT($G149,"hh:mm")&amp;IF($P149="Quinzaine A","   ◆ Q-A",IF($P149="Quinzaine B","   ◆ Q-B",IF($P149="Exception","   ◆ PONCTUEL","")))&amp;CHAR(10)&amp;$K149&amp;CHAR(10)&amp;$M149&amp;IF($N149&lt;&gt;"",CHAR(10)&amp;"Salle "&amp;$N149,"")&amp;IF($O149="En ligne",CHAR(10)&amp;"◆ EN LIGNE","")&amp;IF($R149&lt;&gt;"",CHAR(10)&amp;$R149,"")</f>
        <v/>
      </c>
      <c r="Y149" s="45" t="inlineStr">
        <is>
          <t>19h30-21h Arabe (Najet) /par quinzaine</t>
        </is>
      </c>
      <c r="Z149" s="45" t="inlineStr">
        <is>
          <t>du 21-09 jusquà le 27-09!J75</t>
        </is>
      </c>
    </row>
    <row r="150" ht="15" customHeight="1">
      <c r="A150" s="10" t="inlineStr">
        <is>
          <t>S2</t>
        </is>
      </c>
      <c r="B150" s="9" t="inlineStr">
        <is>
          <t>du 21 au 27 septembre 2026</t>
        </is>
      </c>
      <c r="C150" s="10" t="inlineStr">
        <is>
          <t>B</t>
        </is>
      </c>
      <c r="D150" s="41" t="n">
        <v>46290</v>
      </c>
      <c r="E150" s="10" t="inlineStr">
        <is>
          <t>Vendredi</t>
        </is>
      </c>
      <c r="F150" s="42" t="n">
        <v>0.7916666666666666</v>
      </c>
      <c r="G150" s="42" t="n">
        <v>0.8541666666666666</v>
      </c>
      <c r="H150" s="43">
        <f>IF(OR($F150="",$G150=""),"",($G150-$F150)*24)</f>
        <v/>
      </c>
      <c r="I150" s="10" t="inlineStr">
        <is>
          <t>Primaire</t>
        </is>
      </c>
      <c r="J150" s="9" t="inlineStr">
        <is>
          <t>5éme</t>
        </is>
      </c>
      <c r="K150" s="9" t="inlineStr">
        <is>
          <t>إيقاظ علمي</t>
        </is>
      </c>
      <c r="L150" s="9" t="inlineStr">
        <is>
          <t>Éveil scientifique</t>
        </is>
      </c>
      <c r="M150" s="9" t="inlineStr">
        <is>
          <t>Bassma</t>
        </is>
      </c>
      <c r="N150" s="10" t="n"/>
      <c r="O150" s="10" t="n"/>
      <c r="P150" s="10" t="inlineStr">
        <is>
          <t>Quinzaine B</t>
        </is>
      </c>
      <c r="Q150" s="9" t="inlineStr">
        <is>
          <t>Original (septembre)</t>
        </is>
      </c>
      <c r="R150" s="9" t="inlineStr"/>
      <c r="S150" s="44">
        <f>IF($M150="","",IF(SUMPRODUCT(($D$4:$D$704=$D150)*($M$4:$M$704=$M150)*($F$4:$F$704&lt;$G150)*($G$4:$G$704&gt;$F150))&gt;1,"⚠ CONFLIT",""))</f>
        <v/>
      </c>
      <c r="T150" s="44">
        <f>IF($J150="","",IF(SUMPRODUCT(($D$4:$D$704=$D150)*($J$4:$J$704=$J150)*($F$4:$F$704&lt;$G150)*($G$4:$G$704&gt;$F150))&gt;1,"⚠ CONFLIT",""))</f>
        <v/>
      </c>
      <c r="U150" s="44">
        <f>IF(COUNTIFS($D$4:$D$704,$D150,$J$4:$J$704,$J150,$F$4:$F$704,$F150,$K$4:$K$704,$K150)&gt;1,"⚠ DOUBLON","")</f>
        <v/>
      </c>
      <c r="V150" s="44">
        <f>COUNTIFS($A$4:$A150,$A150,$J$4:$J150,$J150,$E$4:$E150,$E150)</f>
        <v/>
      </c>
      <c r="W150" s="45">
        <f>$A150&amp;"|"&amp;$J150&amp;"|"&amp;$E150&amp;"|"&amp;$V150</f>
        <v/>
      </c>
      <c r="X150" s="46">
        <f>TEXT($F150,"hh:mm")&amp;" - "&amp;TEXT($G150,"hh:mm")&amp;IF($P150="Quinzaine A","   ◆ Q-A",IF($P150="Quinzaine B","   ◆ Q-B",IF($P150="Exception","   ◆ PONCTUEL","")))&amp;CHAR(10)&amp;$K150&amp;CHAR(10)&amp;$M150&amp;IF($N150&lt;&gt;"",CHAR(10)&amp;"Salle "&amp;$N150,"")&amp;IF($O150="En ligne",CHAR(10)&amp;"◆ EN LIGNE","")&amp;IF($R150&lt;&gt;"",CHAR(10)&amp;$R150,"")</f>
        <v/>
      </c>
      <c r="Y150" s="45" t="inlineStr">
        <is>
          <t>19h-20h30 إيقاظ علمي /par quinzaine (Bassma)</t>
        </is>
      </c>
      <c r="Z150" s="45" t="inlineStr">
        <is>
          <t>du 21-09 jusquà le 27-09!K7</t>
        </is>
      </c>
    </row>
    <row r="151" ht="15" customHeight="1">
      <c r="A151" s="10" t="inlineStr">
        <is>
          <t>S2</t>
        </is>
      </c>
      <c r="B151" s="9" t="inlineStr">
        <is>
          <t>du 21 au 27 septembre 2026</t>
        </is>
      </c>
      <c r="C151" s="10" t="inlineStr">
        <is>
          <t>B</t>
        </is>
      </c>
      <c r="D151" s="41" t="n">
        <v>46290</v>
      </c>
      <c r="E151" s="10" t="inlineStr">
        <is>
          <t>Vendredi</t>
        </is>
      </c>
      <c r="F151" s="42" t="n">
        <v>0.8125</v>
      </c>
      <c r="G151" s="42" t="n">
        <v>0.875</v>
      </c>
      <c r="H151" s="43">
        <f>IF(OR($F151="",$G151=""),"",($G151-$F151)*24)</f>
        <v/>
      </c>
      <c r="I151" s="10" t="inlineStr">
        <is>
          <t>Primaire</t>
        </is>
      </c>
      <c r="J151" s="9" t="inlineStr">
        <is>
          <t>6éme Pilote (A)</t>
        </is>
      </c>
      <c r="K151" s="9" t="inlineStr">
        <is>
          <t>إيقاظ علمي</t>
        </is>
      </c>
      <c r="L151" s="9" t="inlineStr">
        <is>
          <t>Éveil scientifique</t>
        </is>
      </c>
      <c r="M151" s="9" t="inlineStr">
        <is>
          <t>Noura</t>
        </is>
      </c>
      <c r="N151" s="10" t="n"/>
      <c r="O151" s="10" t="n"/>
      <c r="P151" s="10" t="inlineStr">
        <is>
          <t>Hebdomadaire</t>
        </is>
      </c>
      <c r="Q151" s="9" t="inlineStr">
        <is>
          <t>Original (septembre)</t>
        </is>
      </c>
      <c r="R151" s="9" t="inlineStr"/>
      <c r="S151" s="44">
        <f>IF($M151="","",IF(SUMPRODUCT(($D$4:$D$704=$D151)*($M$4:$M$704=$M151)*($F$4:$F$704&lt;$G151)*($G$4:$G$704&gt;$F151))&gt;1,"⚠ CONFLIT",""))</f>
        <v/>
      </c>
      <c r="T151" s="44">
        <f>IF($J151="","",IF(SUMPRODUCT(($D$4:$D$704=$D151)*($J$4:$J$704=$J151)*($F$4:$F$704&lt;$G151)*($G$4:$G$704&gt;$F151))&gt;1,"⚠ CONFLIT",""))</f>
        <v/>
      </c>
      <c r="U151" s="44">
        <f>IF(COUNTIFS($D$4:$D$704,$D151,$J$4:$J$704,$J151,$F$4:$F$704,$F151,$K$4:$K$704,$K151)&gt;1,"⚠ DOUBLON","")</f>
        <v/>
      </c>
      <c r="V151" s="44">
        <f>COUNTIFS($A$4:$A151,$A151,$J$4:$J151,$J151,$E$4:$E151,$E151)</f>
        <v/>
      </c>
      <c r="W151" s="45">
        <f>$A151&amp;"|"&amp;$J151&amp;"|"&amp;$E151&amp;"|"&amp;$V151</f>
        <v/>
      </c>
      <c r="X151" s="46">
        <f>TEXT($F151,"hh:mm")&amp;" - "&amp;TEXT($G151,"hh:mm")&amp;IF($P151="Quinzaine A","   ◆ Q-A",IF($P151="Quinzaine B","   ◆ Q-B",IF($P151="Exception","   ◆ PONCTUEL","")))&amp;CHAR(10)&amp;$K151&amp;CHAR(10)&amp;$M151&amp;IF($N151&lt;&gt;"",CHAR(10)&amp;"Salle "&amp;$N151,"")&amp;IF($O151="En ligne",CHAR(10)&amp;"◆ EN LIGNE","")&amp;IF($R151&lt;&gt;"",CHAR(10)&amp;$R151,"")</f>
        <v/>
      </c>
      <c r="Y151" s="45" t="inlineStr">
        <is>
          <t>19h30-21h إيقاظ علمي (Noura)</t>
        </is>
      </c>
      <c r="Z151" s="45" t="inlineStr">
        <is>
          <t>du 21-09 jusquà le 27-09!K13</t>
        </is>
      </c>
    </row>
    <row r="152" ht="15" customHeight="1">
      <c r="A152" s="10" t="inlineStr">
        <is>
          <t>S2</t>
        </is>
      </c>
      <c r="B152" s="9" t="inlineStr">
        <is>
          <t>du 21 au 27 septembre 2026</t>
        </is>
      </c>
      <c r="C152" s="10" t="inlineStr">
        <is>
          <t>B</t>
        </is>
      </c>
      <c r="D152" s="41" t="n">
        <v>46290</v>
      </c>
      <c r="E152" s="10" t="inlineStr">
        <is>
          <t>Vendredi</t>
        </is>
      </c>
      <c r="F152" s="42" t="n">
        <v>0.75</v>
      </c>
      <c r="G152" s="42" t="n">
        <v>0.8125</v>
      </c>
      <c r="H152" s="43">
        <f>IF(OR($F152="",$G152=""),"",($G152-$F152)*24)</f>
        <v/>
      </c>
      <c r="I152" s="10" t="inlineStr">
        <is>
          <t>Collège</t>
        </is>
      </c>
      <c r="J152" s="9" t="inlineStr">
        <is>
          <t>7éme (A)</t>
        </is>
      </c>
      <c r="K152" s="9" t="inlineStr">
        <is>
          <t>Math</t>
        </is>
      </c>
      <c r="L152" s="9" t="inlineStr">
        <is>
          <t>Math</t>
        </is>
      </c>
      <c r="M152" s="9" t="inlineStr">
        <is>
          <t>Khouloud</t>
        </is>
      </c>
      <c r="N152" s="10" t="n"/>
      <c r="O152" s="10" t="n"/>
      <c r="P152" s="10" t="inlineStr">
        <is>
          <t>Hebdomadaire</t>
        </is>
      </c>
      <c r="Q152" s="9" t="inlineStr">
        <is>
          <t>Original (septembre)</t>
        </is>
      </c>
      <c r="R152" s="9" t="inlineStr"/>
      <c r="S152" s="44">
        <f>IF($M152="","",IF(SUMPRODUCT(($D$4:$D$704=$D152)*($M$4:$M$704=$M152)*($F$4:$F$704&lt;$G152)*($G$4:$G$704&gt;$F152))&gt;1,"⚠ CONFLIT",""))</f>
        <v/>
      </c>
      <c r="T152" s="44">
        <f>IF($J152="","",IF(SUMPRODUCT(($D$4:$D$704=$D152)*($J$4:$J$704=$J152)*($F$4:$F$704&lt;$G152)*($G$4:$G$704&gt;$F152))&gt;1,"⚠ CONFLIT",""))</f>
        <v/>
      </c>
      <c r="U152" s="44">
        <f>IF(COUNTIFS($D$4:$D$704,$D152,$J$4:$J$704,$J152,$F$4:$F$704,$F152,$K$4:$K$704,$K152)&gt;1,"⚠ DOUBLON","")</f>
        <v/>
      </c>
      <c r="V152" s="44">
        <f>COUNTIFS($A$4:$A152,$A152,$J$4:$J152,$J152,$E$4:$E152,$E152)</f>
        <v/>
      </c>
      <c r="W152" s="45">
        <f>$A152&amp;"|"&amp;$J152&amp;"|"&amp;$E152&amp;"|"&amp;$V152</f>
        <v/>
      </c>
      <c r="X152" s="46">
        <f>TEXT($F152,"hh:mm")&amp;" - "&amp;TEXT($G152,"hh:mm")&amp;IF($P152="Quinzaine A","   ◆ Q-A",IF($P152="Quinzaine B","   ◆ Q-B",IF($P152="Exception","   ◆ PONCTUEL","")))&amp;CHAR(10)&amp;$K152&amp;CHAR(10)&amp;$M152&amp;IF($N152&lt;&gt;"",CHAR(10)&amp;"Salle "&amp;$N152,"")&amp;IF($O152="En ligne",CHAR(10)&amp;"◆ EN LIGNE","")&amp;IF($R152&lt;&gt;"",CHAR(10)&amp;$R152,"")</f>
        <v/>
      </c>
      <c r="Y152" s="45" t="inlineStr">
        <is>
          <t>18h-19h30 Math (Khouloud)</t>
        </is>
      </c>
      <c r="Z152" s="45" t="inlineStr">
        <is>
          <t>du 21-09 jusquà le 27-09!K20</t>
        </is>
      </c>
    </row>
    <row r="153" ht="15" customHeight="1">
      <c r="A153" s="10" t="inlineStr">
        <is>
          <t>S2</t>
        </is>
      </c>
      <c r="B153" s="9" t="inlineStr">
        <is>
          <t>du 21 au 27 septembre 2026</t>
        </is>
      </c>
      <c r="C153" s="10" t="inlineStr">
        <is>
          <t>B</t>
        </is>
      </c>
      <c r="D153" s="41" t="n">
        <v>46290</v>
      </c>
      <c r="E153" s="10" t="inlineStr">
        <is>
          <t>Vendredi</t>
        </is>
      </c>
      <c r="F153" s="42" t="n">
        <v>0.8125</v>
      </c>
      <c r="G153" s="42" t="n">
        <v>0.875</v>
      </c>
      <c r="H153" s="43">
        <f>IF(OR($F153="",$G153=""),"",($G153-$F153)*24)</f>
        <v/>
      </c>
      <c r="I153" s="10" t="inlineStr">
        <is>
          <t>Collège</t>
        </is>
      </c>
      <c r="J153" s="9" t="inlineStr">
        <is>
          <t>7éme (B)</t>
        </is>
      </c>
      <c r="K153" s="9" t="inlineStr">
        <is>
          <t>Math</t>
        </is>
      </c>
      <c r="L153" s="9" t="inlineStr">
        <is>
          <t>Math</t>
        </is>
      </c>
      <c r="M153" s="9" t="inlineStr">
        <is>
          <t>Khouloud</t>
        </is>
      </c>
      <c r="N153" s="10" t="n"/>
      <c r="O153" s="10" t="n"/>
      <c r="P153" s="10" t="inlineStr">
        <is>
          <t>Hebdomadaire</t>
        </is>
      </c>
      <c r="Q153" s="9" t="inlineStr">
        <is>
          <t>Original (septembre)</t>
        </is>
      </c>
      <c r="R153" s="9" t="inlineStr"/>
      <c r="S153" s="44">
        <f>IF($M153="","",IF(SUMPRODUCT(($D$4:$D$704=$D153)*($M$4:$M$704=$M153)*($F$4:$F$704&lt;$G153)*($G$4:$G$704&gt;$F153))&gt;1,"⚠ CONFLIT",""))</f>
        <v/>
      </c>
      <c r="T153" s="44">
        <f>IF($J153="","",IF(SUMPRODUCT(($D$4:$D$704=$D153)*($J$4:$J$704=$J153)*($F$4:$F$704&lt;$G153)*($G$4:$G$704&gt;$F153))&gt;1,"⚠ CONFLIT",""))</f>
        <v/>
      </c>
      <c r="U153" s="44">
        <f>IF(COUNTIFS($D$4:$D$704,$D153,$J$4:$J$704,$J153,$F$4:$F$704,$F153,$K$4:$K$704,$K153)&gt;1,"⚠ DOUBLON","")</f>
        <v/>
      </c>
      <c r="V153" s="44">
        <f>COUNTIFS($A$4:$A153,$A153,$J$4:$J153,$J153,$E$4:$E153,$E153)</f>
        <v/>
      </c>
      <c r="W153" s="45">
        <f>$A153&amp;"|"&amp;$J153&amp;"|"&amp;$E153&amp;"|"&amp;$V153</f>
        <v/>
      </c>
      <c r="X153" s="46">
        <f>TEXT($F153,"hh:mm")&amp;" - "&amp;TEXT($G153,"hh:mm")&amp;IF($P153="Quinzaine A","   ◆ Q-A",IF($P153="Quinzaine B","   ◆ Q-B",IF($P153="Exception","   ◆ PONCTUEL","")))&amp;CHAR(10)&amp;$K153&amp;CHAR(10)&amp;$M153&amp;IF($N153&lt;&gt;"",CHAR(10)&amp;"Salle "&amp;$N153,"")&amp;IF($O153="En ligne",CHAR(10)&amp;"◆ EN LIGNE","")&amp;IF($R153&lt;&gt;"",CHAR(10)&amp;$R153,"")</f>
        <v/>
      </c>
      <c r="Y153" s="45" t="inlineStr">
        <is>
          <t>19h30-21h Math (Khouloud)</t>
        </is>
      </c>
      <c r="Z153" s="45" t="inlineStr">
        <is>
          <t>du 21-09 jusquà le 27-09!K24</t>
        </is>
      </c>
    </row>
    <row r="154" ht="15" customHeight="1">
      <c r="A154" s="10" t="inlineStr">
        <is>
          <t>S2</t>
        </is>
      </c>
      <c r="B154" s="9" t="inlineStr">
        <is>
          <t>du 21 au 27 septembre 2026</t>
        </is>
      </c>
      <c r="C154" s="10" t="inlineStr">
        <is>
          <t>B</t>
        </is>
      </c>
      <c r="D154" s="41" t="n">
        <v>46290</v>
      </c>
      <c r="E154" s="10" t="inlineStr">
        <is>
          <t>Vendredi</t>
        </is>
      </c>
      <c r="F154" s="42" t="n">
        <v>0.8125</v>
      </c>
      <c r="G154" s="42" t="n">
        <v>0.875</v>
      </c>
      <c r="H154" s="43">
        <f>IF(OR($F154="",$G154=""),"",($G154-$F154)*24)</f>
        <v/>
      </c>
      <c r="I154" s="10" t="inlineStr">
        <is>
          <t>Collège</t>
        </is>
      </c>
      <c r="J154" s="9" t="inlineStr">
        <is>
          <t>8éme (A)</t>
        </is>
      </c>
      <c r="K154" s="9" t="inlineStr">
        <is>
          <t>Physique</t>
        </is>
      </c>
      <c r="L154" s="9" t="inlineStr">
        <is>
          <t>Physique</t>
        </is>
      </c>
      <c r="M154" s="9" t="inlineStr">
        <is>
          <t>Melek</t>
        </is>
      </c>
      <c r="N154" s="10" t="n"/>
      <c r="O154" s="10" t="n"/>
      <c r="P154" s="10" t="inlineStr">
        <is>
          <t>Hebdomadaire</t>
        </is>
      </c>
      <c r="Q154" s="9" t="inlineStr">
        <is>
          <t>Original (septembre)</t>
        </is>
      </c>
      <c r="R154" s="9" t="inlineStr"/>
      <c r="S154" s="44">
        <f>IF($M154="","",IF(SUMPRODUCT(($D$4:$D$704=$D154)*($M$4:$M$704=$M154)*($F$4:$F$704&lt;$G154)*($G$4:$G$704&gt;$F154))&gt;1,"⚠ CONFLIT",""))</f>
        <v/>
      </c>
      <c r="T154" s="44">
        <f>IF($J154="","",IF(SUMPRODUCT(($D$4:$D$704=$D154)*($J$4:$J$704=$J154)*($F$4:$F$704&lt;$G154)*($G$4:$G$704&gt;$F154))&gt;1,"⚠ CONFLIT",""))</f>
        <v/>
      </c>
      <c r="U154" s="44">
        <f>IF(COUNTIFS($D$4:$D$704,$D154,$J$4:$J$704,$J154,$F$4:$F$704,$F154,$K$4:$K$704,$K154)&gt;1,"⚠ DOUBLON","")</f>
        <v/>
      </c>
      <c r="V154" s="44">
        <f>COUNTIFS($A$4:$A154,$A154,$J$4:$J154,$J154,$E$4:$E154,$E154)</f>
        <v/>
      </c>
      <c r="W154" s="45">
        <f>$A154&amp;"|"&amp;$J154&amp;"|"&amp;$E154&amp;"|"&amp;$V154</f>
        <v/>
      </c>
      <c r="X154" s="46">
        <f>TEXT($F154,"hh:mm")&amp;" - "&amp;TEXT($G154,"hh:mm")&amp;IF($P154="Quinzaine A","   ◆ Q-A",IF($P154="Quinzaine B","   ◆ Q-B",IF($P154="Exception","   ◆ PONCTUEL","")))&amp;CHAR(10)&amp;$K154&amp;CHAR(10)&amp;$M154&amp;IF($N154&lt;&gt;"",CHAR(10)&amp;"Salle "&amp;$N154,"")&amp;IF($O154="En ligne",CHAR(10)&amp;"◆ EN LIGNE","")&amp;IF($R154&lt;&gt;"",CHAR(10)&amp;$R154,"")</f>
        <v/>
      </c>
      <c r="Y154" s="45" t="inlineStr">
        <is>
          <t>19h30-21h Physique /par quinzaine (Melek)</t>
        </is>
      </c>
      <c r="Z154" s="45" t="inlineStr">
        <is>
          <t>du 21-09 jusquà le 27-09!K28</t>
        </is>
      </c>
    </row>
    <row r="155" ht="15" customHeight="1">
      <c r="A155" s="10" t="inlineStr">
        <is>
          <t>S2</t>
        </is>
      </c>
      <c r="B155" s="9" t="inlineStr">
        <is>
          <t>du 21 au 27 septembre 2026</t>
        </is>
      </c>
      <c r="C155" s="10" t="inlineStr">
        <is>
          <t>B</t>
        </is>
      </c>
      <c r="D155" s="41" t="n">
        <v>46290</v>
      </c>
      <c r="E155" s="10" t="inlineStr">
        <is>
          <t>Vendredi</t>
        </is>
      </c>
      <c r="F155" s="42" t="n">
        <v>0.8125</v>
      </c>
      <c r="G155" s="42" t="n">
        <v>0.875</v>
      </c>
      <c r="H155" s="43">
        <f>IF(OR($F155="",$G155=""),"",($G155-$F155)*24)</f>
        <v/>
      </c>
      <c r="I155" s="10" t="inlineStr">
        <is>
          <t>Collège</t>
        </is>
      </c>
      <c r="J155" s="9" t="inlineStr">
        <is>
          <t>9éme (C)</t>
        </is>
      </c>
      <c r="K155" s="9" t="inlineStr">
        <is>
          <t>Arabe</t>
        </is>
      </c>
      <c r="L155" s="9" t="inlineStr">
        <is>
          <t>Arabe</t>
        </is>
      </c>
      <c r="M155" s="9" t="inlineStr">
        <is>
          <t>Yahya</t>
        </is>
      </c>
      <c r="N155" s="10" t="n"/>
      <c r="O155" s="10" t="n"/>
      <c r="P155" s="10" t="inlineStr">
        <is>
          <t>Hebdomadaire</t>
        </is>
      </c>
      <c r="Q155" s="9" t="inlineStr">
        <is>
          <t>Original (septembre)</t>
        </is>
      </c>
      <c r="R155" s="9" t="inlineStr"/>
      <c r="S155" s="44">
        <f>IF($M155="","",IF(SUMPRODUCT(($D$4:$D$704=$D155)*($M$4:$M$704=$M155)*($F$4:$F$704&lt;$G155)*($G$4:$G$704&gt;$F155))&gt;1,"⚠ CONFLIT",""))</f>
        <v/>
      </c>
      <c r="T155" s="44">
        <f>IF($J155="","",IF(SUMPRODUCT(($D$4:$D$704=$D155)*($J$4:$J$704=$J155)*($F$4:$F$704&lt;$G155)*($G$4:$G$704&gt;$F155))&gt;1,"⚠ CONFLIT",""))</f>
        <v/>
      </c>
      <c r="U155" s="44">
        <f>IF(COUNTIFS($D$4:$D$704,$D155,$J$4:$J$704,$J155,$F$4:$F$704,$F155,$K$4:$K$704,$K155)&gt;1,"⚠ DOUBLON","")</f>
        <v/>
      </c>
      <c r="V155" s="44">
        <f>COUNTIFS($A$4:$A155,$A155,$J$4:$J155,$J155,$E$4:$E155,$E155)</f>
        <v/>
      </c>
      <c r="W155" s="45">
        <f>$A155&amp;"|"&amp;$J155&amp;"|"&amp;$E155&amp;"|"&amp;$V155</f>
        <v/>
      </c>
      <c r="X155" s="46">
        <f>TEXT($F155,"hh:mm")&amp;" - "&amp;TEXT($G155,"hh:mm")&amp;IF($P155="Quinzaine A","   ◆ Q-A",IF($P155="Quinzaine B","   ◆ Q-B",IF($P155="Exception","   ◆ PONCTUEL","")))&amp;CHAR(10)&amp;$K155&amp;CHAR(10)&amp;$M155&amp;IF($N155&lt;&gt;"",CHAR(10)&amp;"Salle "&amp;$N155,"")&amp;IF($O155="En ligne",CHAR(10)&amp;"◆ EN LIGNE","")&amp;IF($R155&lt;&gt;"",CHAR(10)&amp;$R155,"")</f>
        <v/>
      </c>
      <c r="Y155" s="45" t="inlineStr">
        <is>
          <t>19h30-21h Arabe (Yahya)</t>
        </is>
      </c>
      <c r="Z155" s="45" t="inlineStr">
        <is>
          <t>du 21-09 jusquà le 27-09!K47</t>
        </is>
      </c>
    </row>
    <row r="156" ht="15" customHeight="1">
      <c r="A156" s="10" t="inlineStr">
        <is>
          <t>S2</t>
        </is>
      </c>
      <c r="B156" s="9" t="inlineStr">
        <is>
          <t>du 21 au 27 septembre 2026</t>
        </is>
      </c>
      <c r="C156" s="10" t="inlineStr">
        <is>
          <t>B</t>
        </is>
      </c>
      <c r="D156" s="41" t="n">
        <v>46290</v>
      </c>
      <c r="E156" s="10" t="inlineStr">
        <is>
          <t>Vendredi</t>
        </is>
      </c>
      <c r="F156" s="42" t="n">
        <v>0.7291666666666666</v>
      </c>
      <c r="G156" s="42" t="n">
        <v>0.7916666666666666</v>
      </c>
      <c r="H156" s="43">
        <f>IF(OR($F156="",$G156=""),"",($G156-$F156)*24)</f>
        <v/>
      </c>
      <c r="I156" s="10" t="inlineStr">
        <is>
          <t>Secondaire</t>
        </is>
      </c>
      <c r="J156" s="9" t="inlineStr">
        <is>
          <t>1ére (A)</t>
        </is>
      </c>
      <c r="K156" s="9" t="inlineStr">
        <is>
          <t>Arabe</t>
        </is>
      </c>
      <c r="L156" s="9" t="inlineStr">
        <is>
          <t>Arabe</t>
        </is>
      </c>
      <c r="M156" s="9" t="inlineStr">
        <is>
          <t>Najet</t>
        </is>
      </c>
      <c r="N156" s="10" t="n"/>
      <c r="O156" s="10" t="n"/>
      <c r="P156" s="10" t="inlineStr">
        <is>
          <t>Hebdomadaire</t>
        </is>
      </c>
      <c r="Q156" s="9" t="inlineStr">
        <is>
          <t>Original (septembre)</t>
        </is>
      </c>
      <c r="R156" s="9" t="inlineStr"/>
      <c r="S156" s="44">
        <f>IF($M156="","",IF(SUMPRODUCT(($D$4:$D$704=$D156)*($M$4:$M$704=$M156)*($F$4:$F$704&lt;$G156)*($G$4:$G$704&gt;$F156))&gt;1,"⚠ CONFLIT",""))</f>
        <v/>
      </c>
      <c r="T156" s="44">
        <f>IF($J156="","",IF(SUMPRODUCT(($D$4:$D$704=$D156)*($J$4:$J$704=$J156)*($F$4:$F$704&lt;$G156)*($G$4:$G$704&gt;$F156))&gt;1,"⚠ CONFLIT",""))</f>
        <v/>
      </c>
      <c r="U156" s="44">
        <f>IF(COUNTIFS($D$4:$D$704,$D156,$J$4:$J$704,$J156,$F$4:$F$704,$F156,$K$4:$K$704,$K156)&gt;1,"⚠ DOUBLON","")</f>
        <v/>
      </c>
      <c r="V156" s="44">
        <f>COUNTIFS($A$4:$A156,$A156,$J$4:$J156,$J156,$E$4:$E156,$E156)</f>
        <v/>
      </c>
      <c r="W156" s="45">
        <f>$A156&amp;"|"&amp;$J156&amp;"|"&amp;$E156&amp;"|"&amp;$V156</f>
        <v/>
      </c>
      <c r="X156" s="46">
        <f>TEXT($F156,"hh:mm")&amp;" - "&amp;TEXT($G156,"hh:mm")&amp;IF($P156="Quinzaine A","   ◆ Q-A",IF($P156="Quinzaine B","   ◆ Q-B",IF($P156="Exception","   ◆ PONCTUEL","")))&amp;CHAR(10)&amp;$K156&amp;CHAR(10)&amp;$M156&amp;IF($N156&lt;&gt;"",CHAR(10)&amp;"Salle "&amp;$N156,"")&amp;IF($O156="En ligne",CHAR(10)&amp;"◆ EN LIGNE","")&amp;IF($R156&lt;&gt;"",CHAR(10)&amp;$R156,"")</f>
        <v/>
      </c>
      <c r="Y156" s="45" t="inlineStr">
        <is>
          <t>17h30-19h Arabe (Najet)</t>
        </is>
      </c>
      <c r="Z156" s="45" t="inlineStr">
        <is>
          <t>du 21-09 jusquà le 27-09!K49</t>
        </is>
      </c>
    </row>
    <row r="157" ht="15" customHeight="1">
      <c r="A157" s="10" t="inlineStr">
        <is>
          <t>S2</t>
        </is>
      </c>
      <c r="B157" s="9" t="inlineStr">
        <is>
          <t>du 21 au 27 septembre 2026</t>
        </is>
      </c>
      <c r="C157" s="10" t="inlineStr">
        <is>
          <t>B</t>
        </is>
      </c>
      <c r="D157" s="41" t="n">
        <v>46290</v>
      </c>
      <c r="E157" s="10" t="inlineStr">
        <is>
          <t>Vendredi</t>
        </is>
      </c>
      <c r="F157" s="42" t="n">
        <v>0.7916666666666666</v>
      </c>
      <c r="G157" s="42" t="n">
        <v>0.8541666666666666</v>
      </c>
      <c r="H157" s="43">
        <f>IF(OR($F157="",$G157=""),"",($G157-$F157)*24)</f>
        <v/>
      </c>
      <c r="I157" s="10" t="inlineStr">
        <is>
          <t>Secondaire</t>
        </is>
      </c>
      <c r="J157" s="9" t="inlineStr">
        <is>
          <t>1ére (B)</t>
        </is>
      </c>
      <c r="K157" s="9" t="inlineStr">
        <is>
          <t>Arabe</t>
        </is>
      </c>
      <c r="L157" s="9" t="inlineStr">
        <is>
          <t>Arabe</t>
        </is>
      </c>
      <c r="M157" s="9" t="inlineStr">
        <is>
          <t>Najet</t>
        </is>
      </c>
      <c r="N157" s="10" t="n"/>
      <c r="O157" s="10" t="n"/>
      <c r="P157" s="10" t="inlineStr">
        <is>
          <t>Hebdomadaire</t>
        </is>
      </c>
      <c r="Q157" s="9" t="inlineStr">
        <is>
          <t>Original (septembre)</t>
        </is>
      </c>
      <c r="R157" s="9" t="inlineStr"/>
      <c r="S157" s="44">
        <f>IF($M157="","",IF(SUMPRODUCT(($D$4:$D$704=$D157)*($M$4:$M$704=$M157)*($F$4:$F$704&lt;$G157)*($G$4:$G$704&gt;$F157))&gt;1,"⚠ CONFLIT",""))</f>
        <v/>
      </c>
      <c r="T157" s="44">
        <f>IF($J157="","",IF(SUMPRODUCT(($D$4:$D$704=$D157)*($J$4:$J$704=$J157)*($F$4:$F$704&lt;$G157)*($G$4:$G$704&gt;$F157))&gt;1,"⚠ CONFLIT",""))</f>
        <v/>
      </c>
      <c r="U157" s="44">
        <f>IF(COUNTIFS($D$4:$D$704,$D157,$J$4:$J$704,$J157,$F$4:$F$704,$F157,$K$4:$K$704,$K157)&gt;1,"⚠ DOUBLON","")</f>
        <v/>
      </c>
      <c r="V157" s="44">
        <f>COUNTIFS($A$4:$A157,$A157,$J$4:$J157,$J157,$E$4:$E157,$E157)</f>
        <v/>
      </c>
      <c r="W157" s="45">
        <f>$A157&amp;"|"&amp;$J157&amp;"|"&amp;$E157&amp;"|"&amp;$V157</f>
        <v/>
      </c>
      <c r="X157" s="46">
        <f>TEXT($F157,"hh:mm")&amp;" - "&amp;TEXT($G157,"hh:mm")&amp;IF($P157="Quinzaine A","   ◆ Q-A",IF($P157="Quinzaine B","   ◆ Q-B",IF($P157="Exception","   ◆ PONCTUEL","")))&amp;CHAR(10)&amp;$K157&amp;CHAR(10)&amp;$M157&amp;IF($N157&lt;&gt;"",CHAR(10)&amp;"Salle "&amp;$N157,"")&amp;IF($O157="En ligne",CHAR(10)&amp;"◆ EN LIGNE","")&amp;IF($R157&lt;&gt;"",CHAR(10)&amp;$R157,"")</f>
        <v/>
      </c>
      <c r="Y157" s="45" t="inlineStr">
        <is>
          <t>19h-20h30 Arabe (Najet)</t>
        </is>
      </c>
      <c r="Z157" s="45" t="inlineStr">
        <is>
          <t>du 21-09 jusquà le 27-09!K54</t>
        </is>
      </c>
    </row>
    <row r="158" ht="15" customHeight="1">
      <c r="A158" s="10" t="inlineStr">
        <is>
          <t>S2</t>
        </is>
      </c>
      <c r="B158" s="9" t="inlineStr">
        <is>
          <t>du 21 au 27 septembre 2026</t>
        </is>
      </c>
      <c r="C158" s="10" t="inlineStr">
        <is>
          <t>B</t>
        </is>
      </c>
      <c r="D158" s="41" t="n">
        <v>46290</v>
      </c>
      <c r="E158" s="10" t="inlineStr">
        <is>
          <t>Vendredi</t>
        </is>
      </c>
      <c r="F158" s="42" t="n">
        <v>0.8125</v>
      </c>
      <c r="G158" s="42" t="n">
        <v>0.875</v>
      </c>
      <c r="H158" s="43">
        <f>IF(OR($F158="",$G158=""),"",($G158-$F158)*24)</f>
        <v/>
      </c>
      <c r="I158" s="10" t="inlineStr">
        <is>
          <t>Secondaire</t>
        </is>
      </c>
      <c r="J158" s="9" t="inlineStr">
        <is>
          <t>2éme INFO</t>
        </is>
      </c>
      <c r="K158" s="9" t="inlineStr">
        <is>
          <t>Math</t>
        </is>
      </c>
      <c r="L158" s="9" t="inlineStr">
        <is>
          <t>Math</t>
        </is>
      </c>
      <c r="M158" s="9" t="inlineStr">
        <is>
          <t>Haythem</t>
        </is>
      </c>
      <c r="N158" s="10" t="n"/>
      <c r="O158" s="10" t="n"/>
      <c r="P158" s="10" t="inlineStr">
        <is>
          <t>Hebdomadaire</t>
        </is>
      </c>
      <c r="Q158" s="9" t="inlineStr">
        <is>
          <t>Original (septembre)</t>
        </is>
      </c>
      <c r="R158" s="9" t="inlineStr"/>
      <c r="S158" s="44">
        <f>IF($M158="","",IF(SUMPRODUCT(($D$4:$D$704=$D158)*($M$4:$M$704=$M158)*($F$4:$F$704&lt;$G158)*($G$4:$G$704&gt;$F158))&gt;1,"⚠ CONFLIT",""))</f>
        <v/>
      </c>
      <c r="T158" s="44">
        <f>IF($J158="","",IF(SUMPRODUCT(($D$4:$D$704=$D158)*($J$4:$J$704=$J158)*($F$4:$F$704&lt;$G158)*($G$4:$G$704&gt;$F158))&gt;1,"⚠ CONFLIT",""))</f>
        <v/>
      </c>
      <c r="U158" s="44">
        <f>IF(COUNTIFS($D$4:$D$704,$D158,$J$4:$J$704,$J158,$F$4:$F$704,$F158,$K$4:$K$704,$K158)&gt;1,"⚠ DOUBLON","")</f>
        <v/>
      </c>
      <c r="V158" s="44">
        <f>COUNTIFS($A$4:$A158,$A158,$J$4:$J158,$J158,$E$4:$E158,$E158)</f>
        <v/>
      </c>
      <c r="W158" s="45">
        <f>$A158&amp;"|"&amp;$J158&amp;"|"&amp;$E158&amp;"|"&amp;$V158</f>
        <v/>
      </c>
      <c r="X158" s="46">
        <f>TEXT($F158,"hh:mm")&amp;" - "&amp;TEXT($G158,"hh:mm")&amp;IF($P158="Quinzaine A","   ◆ Q-A",IF($P158="Quinzaine B","   ◆ Q-B",IF($P158="Exception","   ◆ PONCTUEL","")))&amp;CHAR(10)&amp;$K158&amp;CHAR(10)&amp;$M158&amp;IF($N158&lt;&gt;"",CHAR(10)&amp;"Salle "&amp;$N158,"")&amp;IF($O158="En ligne",CHAR(10)&amp;"◆ EN LIGNE","")&amp;IF($R158&lt;&gt;"",CHAR(10)&amp;$R158,"")</f>
        <v/>
      </c>
      <c r="Y158" s="45" t="inlineStr">
        <is>
          <t>19h30-21h Math (Haythem)</t>
        </is>
      </c>
      <c r="Z158" s="45" t="inlineStr">
        <is>
          <t>du 21-09 jusquà le 27-09!K64</t>
        </is>
      </c>
    </row>
    <row r="159" ht="15" customHeight="1">
      <c r="A159" s="10" t="inlineStr">
        <is>
          <t>S2</t>
        </is>
      </c>
      <c r="B159" s="9" t="inlineStr">
        <is>
          <t>du 21 au 27 septembre 2026</t>
        </is>
      </c>
      <c r="C159" s="10" t="inlineStr">
        <is>
          <t>B</t>
        </is>
      </c>
      <c r="D159" s="41" t="n">
        <v>46290</v>
      </c>
      <c r="E159" s="10" t="inlineStr">
        <is>
          <t>Vendredi</t>
        </is>
      </c>
      <c r="F159" s="42" t="n">
        <v>0.7291666666666666</v>
      </c>
      <c r="G159" s="42" t="n">
        <v>0.7916666666666666</v>
      </c>
      <c r="H159" s="43">
        <f>IF(OR($F159="",$G159=""),"",($G159-$F159)*24)</f>
        <v/>
      </c>
      <c r="I159" s="10" t="inlineStr">
        <is>
          <t>Secondaire</t>
        </is>
      </c>
      <c r="J159" s="9" t="inlineStr">
        <is>
          <t>3éme Eco</t>
        </is>
      </c>
      <c r="K159" s="9" t="inlineStr">
        <is>
          <t>Anglais</t>
        </is>
      </c>
      <c r="L159" s="9" t="inlineStr">
        <is>
          <t>Anglais</t>
        </is>
      </c>
      <c r="M159" s="9" t="inlineStr">
        <is>
          <t>Khaled</t>
        </is>
      </c>
      <c r="N159" s="10" t="n"/>
      <c r="O159" s="10" t="n"/>
      <c r="P159" s="10" t="inlineStr">
        <is>
          <t>Quinzaine B</t>
        </is>
      </c>
      <c r="Q159" s="9" t="inlineStr">
        <is>
          <t>Original (septembre)</t>
        </is>
      </c>
      <c r="R159" s="9" t="inlineStr"/>
      <c r="S159" s="44">
        <f>IF($M159="","",IF(SUMPRODUCT(($D$4:$D$704=$D159)*($M$4:$M$704=$M159)*($F$4:$F$704&lt;$G159)*($G$4:$G$704&gt;$F159))&gt;1,"⚠ CONFLIT",""))</f>
        <v/>
      </c>
      <c r="T159" s="44">
        <f>IF($J159="","",IF(SUMPRODUCT(($D$4:$D$704=$D159)*($J$4:$J$704=$J159)*($F$4:$F$704&lt;$G159)*($G$4:$G$704&gt;$F159))&gt;1,"⚠ CONFLIT",""))</f>
        <v/>
      </c>
      <c r="U159" s="44">
        <f>IF(COUNTIFS($D$4:$D$704,$D159,$J$4:$J$704,$J159,$F$4:$F$704,$F159,$K$4:$K$704,$K159)&gt;1,"⚠ DOUBLON","")</f>
        <v/>
      </c>
      <c r="V159" s="44">
        <f>COUNTIFS($A$4:$A159,$A159,$J$4:$J159,$J159,$E$4:$E159,$E159)</f>
        <v/>
      </c>
      <c r="W159" s="45">
        <f>$A159&amp;"|"&amp;$J159&amp;"|"&amp;$E159&amp;"|"&amp;$V159</f>
        <v/>
      </c>
      <c r="X159" s="46">
        <f>TEXT($F159,"hh:mm")&amp;" - "&amp;TEXT($G159,"hh:mm")&amp;IF($P159="Quinzaine A","   ◆ Q-A",IF($P159="Quinzaine B","   ◆ Q-B",IF($P159="Exception","   ◆ PONCTUEL","")))&amp;CHAR(10)&amp;$K159&amp;CHAR(10)&amp;$M159&amp;IF($N159&lt;&gt;"",CHAR(10)&amp;"Salle "&amp;$N159,"")&amp;IF($O159="En ligne",CHAR(10)&amp;"◆ EN LIGNE","")&amp;IF($R159&lt;&gt;"",CHAR(10)&amp;$R159,"")</f>
        <v/>
      </c>
      <c r="Y159" s="45" t="inlineStr">
        <is>
          <t>17h30-19h Anglais (Khaled) /par quinzaine</t>
        </is>
      </c>
      <c r="Z159" s="45" t="inlineStr">
        <is>
          <t>du 21-09 jusquà le 27-09!K67</t>
        </is>
      </c>
    </row>
    <row r="160" ht="15" customHeight="1">
      <c r="A160" s="10" t="inlineStr">
        <is>
          <t>S2</t>
        </is>
      </c>
      <c r="B160" s="9" t="inlineStr">
        <is>
          <t>du 21 au 27 septembre 2026</t>
        </is>
      </c>
      <c r="C160" s="10" t="inlineStr">
        <is>
          <t>B</t>
        </is>
      </c>
      <c r="D160" s="41" t="n">
        <v>46290</v>
      </c>
      <c r="E160" s="10" t="inlineStr">
        <is>
          <t>Vendredi</t>
        </is>
      </c>
      <c r="F160" s="42" t="n">
        <v>0.7291666666666666</v>
      </c>
      <c r="G160" s="42" t="n">
        <v>0.7916666666666666</v>
      </c>
      <c r="H160" s="43">
        <f>IF(OR($F160="",$G160=""),"",($G160-$F160)*24)</f>
        <v/>
      </c>
      <c r="I160" s="10" t="inlineStr">
        <is>
          <t>Bac</t>
        </is>
      </c>
      <c r="J160" s="9" t="inlineStr">
        <is>
          <t>Bac Eco</t>
        </is>
      </c>
      <c r="K160" s="9" t="inlineStr">
        <is>
          <t>Français</t>
        </is>
      </c>
      <c r="L160" s="9" t="inlineStr">
        <is>
          <t>Français</t>
        </is>
      </c>
      <c r="M160" s="9" t="inlineStr">
        <is>
          <t>Nabil</t>
        </is>
      </c>
      <c r="N160" s="10" t="n"/>
      <c r="O160" s="10" t="n"/>
      <c r="P160" s="10" t="inlineStr">
        <is>
          <t>Quinzaine B</t>
        </is>
      </c>
      <c r="Q160" s="9" t="inlineStr">
        <is>
          <t>Original (septembre)</t>
        </is>
      </c>
      <c r="R160" s="9" t="inlineStr"/>
      <c r="S160" s="44">
        <f>IF($M160="","",IF(SUMPRODUCT(($D$4:$D$704=$D160)*($M$4:$M$704=$M160)*($F$4:$F$704&lt;$G160)*($G$4:$G$704&gt;$F160))&gt;1,"⚠ CONFLIT",""))</f>
        <v/>
      </c>
      <c r="T160" s="44">
        <f>IF($J160="","",IF(SUMPRODUCT(($D$4:$D$704=$D160)*($J$4:$J$704=$J160)*($F$4:$F$704&lt;$G160)*($G$4:$G$704&gt;$F160))&gt;1,"⚠ CONFLIT",""))</f>
        <v/>
      </c>
      <c r="U160" s="44">
        <f>IF(COUNTIFS($D$4:$D$704,$D160,$J$4:$J$704,$J160,$F$4:$F$704,$F160,$K$4:$K$704,$K160)&gt;1,"⚠ DOUBLON","")</f>
        <v/>
      </c>
      <c r="V160" s="44">
        <f>COUNTIFS($A$4:$A160,$A160,$J$4:$J160,$J160,$E$4:$E160,$E160)</f>
        <v/>
      </c>
      <c r="W160" s="45">
        <f>$A160&amp;"|"&amp;$J160&amp;"|"&amp;$E160&amp;"|"&amp;$V160</f>
        <v/>
      </c>
      <c r="X160" s="46">
        <f>TEXT($F160,"hh:mm")&amp;" - "&amp;TEXT($G160,"hh:mm")&amp;IF($P160="Quinzaine A","   ◆ Q-A",IF($P160="Quinzaine B","   ◆ Q-B",IF($P160="Exception","   ◆ PONCTUEL","")))&amp;CHAR(10)&amp;$K160&amp;CHAR(10)&amp;$M160&amp;IF($N160&lt;&gt;"",CHAR(10)&amp;"Salle "&amp;$N160,"")&amp;IF($O160="En ligne",CHAR(10)&amp;"◆ EN LIGNE","")&amp;IF($R160&lt;&gt;"",CHAR(10)&amp;$R160,"")</f>
        <v/>
      </c>
      <c r="Y160" s="45" t="inlineStr">
        <is>
          <t>17h30-19h Français (Nabil) /par quinzaine</t>
        </is>
      </c>
      <c r="Z160" s="45" t="inlineStr">
        <is>
          <t>du 21-09 jusquà le 27-09!K75</t>
        </is>
      </c>
    </row>
    <row r="161" ht="15" customHeight="1">
      <c r="A161" s="10" t="inlineStr">
        <is>
          <t>S2</t>
        </is>
      </c>
      <c r="B161" s="9" t="inlineStr">
        <is>
          <t>du 21 au 27 septembre 2026</t>
        </is>
      </c>
      <c r="C161" s="10" t="inlineStr">
        <is>
          <t>B</t>
        </is>
      </c>
      <c r="D161" s="41" t="n">
        <v>46291</v>
      </c>
      <c r="E161" s="10" t="inlineStr">
        <is>
          <t>Samedi</t>
        </is>
      </c>
      <c r="F161" s="42" t="n">
        <v>0.6666666666666666</v>
      </c>
      <c r="G161" s="42" t="n">
        <v>0.7291666666666666</v>
      </c>
      <c r="H161" s="43">
        <f>IF(OR($F161="",$G161=""),"",($G161-$F161)*24)</f>
        <v/>
      </c>
      <c r="I161" s="10" t="inlineStr">
        <is>
          <t>Primaire</t>
        </is>
      </c>
      <c r="J161" s="9" t="inlineStr">
        <is>
          <t>4éme</t>
        </is>
      </c>
      <c r="K161" s="9" t="inlineStr">
        <is>
          <t>Français</t>
        </is>
      </c>
      <c r="L161" s="9" t="inlineStr">
        <is>
          <t>Français</t>
        </is>
      </c>
      <c r="M161" s="9" t="inlineStr">
        <is>
          <t>Hend</t>
        </is>
      </c>
      <c r="N161" s="10" t="n"/>
      <c r="O161" s="10" t="n"/>
      <c r="P161" s="10" t="inlineStr">
        <is>
          <t>Hebdomadaire</t>
        </is>
      </c>
      <c r="Q161" s="9" t="inlineStr">
        <is>
          <t>Original (septembre)</t>
        </is>
      </c>
      <c r="R161" s="9" t="inlineStr"/>
      <c r="S161" s="44">
        <f>IF($M161="","",IF(SUMPRODUCT(($D$4:$D$704=$D161)*($M$4:$M$704=$M161)*($F$4:$F$704&lt;$G161)*($G$4:$G$704&gt;$F161))&gt;1,"⚠ CONFLIT",""))</f>
        <v/>
      </c>
      <c r="T161" s="44">
        <f>IF($J161="","",IF(SUMPRODUCT(($D$4:$D$704=$D161)*($J$4:$J$704=$J161)*($F$4:$F$704&lt;$G161)*($G$4:$G$704&gt;$F161))&gt;1,"⚠ CONFLIT",""))</f>
        <v/>
      </c>
      <c r="U161" s="44">
        <f>IF(COUNTIFS($D$4:$D$704,$D161,$J$4:$J$704,$J161,$F$4:$F$704,$F161,$K$4:$K$704,$K161)&gt;1,"⚠ DOUBLON","")</f>
        <v/>
      </c>
      <c r="V161" s="44">
        <f>COUNTIFS($A$4:$A161,$A161,$J$4:$J161,$J161,$E$4:$E161,$E161)</f>
        <v/>
      </c>
      <c r="W161" s="45">
        <f>$A161&amp;"|"&amp;$J161&amp;"|"&amp;$E161&amp;"|"&amp;$V161</f>
        <v/>
      </c>
      <c r="X161" s="46">
        <f>TEXT($F161,"hh:mm")&amp;" - "&amp;TEXT($G161,"hh:mm")&amp;IF($P161="Quinzaine A","   ◆ Q-A",IF($P161="Quinzaine B","   ◆ Q-B",IF($P161="Exception","   ◆ PONCTUEL","")))&amp;CHAR(10)&amp;$K161&amp;CHAR(10)&amp;$M161&amp;IF($N161&lt;&gt;"",CHAR(10)&amp;"Salle "&amp;$N161,"")&amp;IF($O161="En ligne",CHAR(10)&amp;"◆ EN LIGNE","")&amp;IF($R161&lt;&gt;"",CHAR(10)&amp;$R161,"")</f>
        <v/>
      </c>
      <c r="Y161" s="45" t="inlineStr">
        <is>
          <t>16h-17h30 Français (Hend)</t>
        </is>
      </c>
      <c r="Z161" s="45" t="inlineStr">
        <is>
          <t>du 21-09 jusquà le 27-09!L3</t>
        </is>
      </c>
    </row>
    <row r="162" ht="15" customHeight="1">
      <c r="A162" s="10" t="inlineStr">
        <is>
          <t>S2</t>
        </is>
      </c>
      <c r="B162" s="9" t="inlineStr">
        <is>
          <t>du 21 au 27 septembre 2026</t>
        </is>
      </c>
      <c r="C162" s="10" t="inlineStr">
        <is>
          <t>B</t>
        </is>
      </c>
      <c r="D162" s="41" t="n">
        <v>46291</v>
      </c>
      <c r="E162" s="10" t="inlineStr">
        <is>
          <t>Samedi</t>
        </is>
      </c>
      <c r="F162" s="42" t="n">
        <v>0.75</v>
      </c>
      <c r="G162" s="42" t="n">
        <v>0.8125</v>
      </c>
      <c r="H162" s="43">
        <f>IF(OR($F162="",$G162=""),"",($G162-$F162)*24)</f>
        <v/>
      </c>
      <c r="I162" s="10" t="inlineStr">
        <is>
          <t>Primaire</t>
        </is>
      </c>
      <c r="J162" s="9" t="inlineStr">
        <is>
          <t>5éme</t>
        </is>
      </c>
      <c r="K162" s="9" t="inlineStr">
        <is>
          <t>Français</t>
        </is>
      </c>
      <c r="L162" s="9" t="inlineStr">
        <is>
          <t>Français</t>
        </is>
      </c>
      <c r="M162" s="9" t="inlineStr">
        <is>
          <t>Hend</t>
        </is>
      </c>
      <c r="N162" s="10" t="n"/>
      <c r="O162" s="10" t="n"/>
      <c r="P162" s="10" t="inlineStr">
        <is>
          <t>Hebdomadaire</t>
        </is>
      </c>
      <c r="Q162" s="9" t="inlineStr">
        <is>
          <t>Original (septembre)</t>
        </is>
      </c>
      <c r="R162" s="9" t="inlineStr"/>
      <c r="S162" s="44">
        <f>IF($M162="","",IF(SUMPRODUCT(($D$4:$D$704=$D162)*($M$4:$M$704=$M162)*($F$4:$F$704&lt;$G162)*($G$4:$G$704&gt;$F162))&gt;1,"⚠ CONFLIT",""))</f>
        <v/>
      </c>
      <c r="T162" s="44">
        <f>IF($J162="","",IF(SUMPRODUCT(($D$4:$D$704=$D162)*($J$4:$J$704=$J162)*($F$4:$F$704&lt;$G162)*($G$4:$G$704&gt;$F162))&gt;1,"⚠ CONFLIT",""))</f>
        <v/>
      </c>
      <c r="U162" s="44">
        <f>IF(COUNTIFS($D$4:$D$704,$D162,$J$4:$J$704,$J162,$F$4:$F$704,$F162,$K$4:$K$704,$K162)&gt;1,"⚠ DOUBLON","")</f>
        <v/>
      </c>
      <c r="V162" s="44">
        <f>COUNTIFS($A$4:$A162,$A162,$J$4:$J162,$J162,$E$4:$E162,$E162)</f>
        <v/>
      </c>
      <c r="W162" s="45">
        <f>$A162&amp;"|"&amp;$J162&amp;"|"&amp;$E162&amp;"|"&amp;$V162</f>
        <v/>
      </c>
      <c r="X162" s="46">
        <f>TEXT($F162,"hh:mm")&amp;" - "&amp;TEXT($G162,"hh:mm")&amp;IF($P162="Quinzaine A","   ◆ Q-A",IF($P162="Quinzaine B","   ◆ Q-B",IF($P162="Exception","   ◆ PONCTUEL","")))&amp;CHAR(10)&amp;$K162&amp;CHAR(10)&amp;$M162&amp;IF($N162&lt;&gt;"",CHAR(10)&amp;"Salle "&amp;$N162,"")&amp;IF($O162="En ligne",CHAR(10)&amp;"◆ EN LIGNE","")&amp;IF($R162&lt;&gt;"",CHAR(10)&amp;$R162,"")</f>
        <v/>
      </c>
      <c r="Y162" s="45" t="inlineStr">
        <is>
          <t>18h-19h30 Français (Hend)</t>
        </is>
      </c>
      <c r="Z162" s="45" t="inlineStr">
        <is>
          <t>du 21-09 jusquà le 27-09!L7</t>
        </is>
      </c>
    </row>
    <row r="163" ht="15" customHeight="1">
      <c r="A163" s="10" t="inlineStr">
        <is>
          <t>S2</t>
        </is>
      </c>
      <c r="B163" s="9" t="inlineStr">
        <is>
          <t>du 21 au 27 septembre 2026</t>
        </is>
      </c>
      <c r="C163" s="10" t="inlineStr">
        <is>
          <t>B</t>
        </is>
      </c>
      <c r="D163" s="41" t="n">
        <v>46291</v>
      </c>
      <c r="E163" s="10" t="inlineStr">
        <is>
          <t>Samedi</t>
        </is>
      </c>
      <c r="F163" s="42" t="n">
        <v>0.7916666666666666</v>
      </c>
      <c r="G163" s="42" t="n">
        <v>0.875</v>
      </c>
      <c r="H163" s="43">
        <f>IF(OR($F163="",$G163=""),"",($G163-$F163)*24)</f>
        <v/>
      </c>
      <c r="I163" s="10" t="inlineStr">
        <is>
          <t>Primaire</t>
        </is>
      </c>
      <c r="J163" s="9" t="inlineStr">
        <is>
          <t>6éme Pilote (A)</t>
        </is>
      </c>
      <c r="K163" s="9" t="inlineStr">
        <is>
          <t>عربية</t>
        </is>
      </c>
      <c r="L163" s="9" t="inlineStr">
        <is>
          <t>Arabe</t>
        </is>
      </c>
      <c r="M163" s="9" t="inlineStr">
        <is>
          <t>Lobna</t>
        </is>
      </c>
      <c r="N163" s="10" t="n"/>
      <c r="O163" s="10" t="n"/>
      <c r="P163" s="10" t="inlineStr">
        <is>
          <t>Hebdomadaire</t>
        </is>
      </c>
      <c r="Q163" s="9" t="inlineStr">
        <is>
          <t>Original (septembre)</t>
        </is>
      </c>
      <c r="R163" s="9" t="inlineStr"/>
      <c r="S163" s="44">
        <f>IF($M163="","",IF(SUMPRODUCT(($D$4:$D$704=$D163)*($M$4:$M$704=$M163)*($F$4:$F$704&lt;$G163)*($G$4:$G$704&gt;$F163))&gt;1,"⚠ CONFLIT",""))</f>
        <v/>
      </c>
      <c r="T163" s="44">
        <f>IF($J163="","",IF(SUMPRODUCT(($D$4:$D$704=$D163)*($J$4:$J$704=$J163)*($F$4:$F$704&lt;$G163)*($G$4:$G$704&gt;$F163))&gt;1,"⚠ CONFLIT",""))</f>
        <v/>
      </c>
      <c r="U163" s="44">
        <f>IF(COUNTIFS($D$4:$D$704,$D163,$J$4:$J$704,$J163,$F$4:$F$704,$F163,$K$4:$K$704,$K163)&gt;1,"⚠ DOUBLON","")</f>
        <v/>
      </c>
      <c r="V163" s="44">
        <f>COUNTIFS($A$4:$A163,$A163,$J$4:$J163,$J163,$E$4:$E163,$E163)</f>
        <v/>
      </c>
      <c r="W163" s="45">
        <f>$A163&amp;"|"&amp;$J163&amp;"|"&amp;$E163&amp;"|"&amp;$V163</f>
        <v/>
      </c>
      <c r="X163" s="46">
        <f>TEXT($F163,"hh:mm")&amp;" - "&amp;TEXT($G163,"hh:mm")&amp;IF($P163="Quinzaine A","   ◆ Q-A",IF($P163="Quinzaine B","   ◆ Q-B",IF($P163="Exception","   ◆ PONCTUEL","")))&amp;CHAR(10)&amp;$K163&amp;CHAR(10)&amp;$M163&amp;IF($N163&lt;&gt;"",CHAR(10)&amp;"Salle "&amp;$N163,"")&amp;IF($O163="En ligne",CHAR(10)&amp;"◆ EN LIGNE","")&amp;IF($R163&lt;&gt;"",CHAR(10)&amp;$R163,"")</f>
        <v/>
      </c>
      <c r="Y163" s="45" t="inlineStr">
        <is>
          <t>19h-21h عربية (Lobna)</t>
        </is>
      </c>
      <c r="Z163" s="45" t="inlineStr">
        <is>
          <t>du 21-09 jusquà le 27-09!L13</t>
        </is>
      </c>
    </row>
    <row r="164" ht="15" customHeight="1">
      <c r="A164" s="10" t="inlineStr">
        <is>
          <t>S2</t>
        </is>
      </c>
      <c r="B164" s="9" t="inlineStr">
        <is>
          <t>du 21 au 27 septembre 2026</t>
        </is>
      </c>
      <c r="C164" s="10" t="inlineStr">
        <is>
          <t>B</t>
        </is>
      </c>
      <c r="D164" s="41" t="n">
        <v>46291</v>
      </c>
      <c r="E164" s="10" t="inlineStr">
        <is>
          <t>Samedi</t>
        </is>
      </c>
      <c r="F164" s="42" t="n">
        <v>0.7083333333333334</v>
      </c>
      <c r="G164" s="42" t="n">
        <v>0.7916666666666666</v>
      </c>
      <c r="H164" s="43">
        <f>IF(OR($F164="",$G164=""),"",($G164-$F164)*24)</f>
        <v/>
      </c>
      <c r="I164" s="10" t="inlineStr">
        <is>
          <t>Primaire</t>
        </is>
      </c>
      <c r="J164" s="9" t="inlineStr">
        <is>
          <t>6éme (B)</t>
        </is>
      </c>
      <c r="K164" s="9" t="inlineStr">
        <is>
          <t>عربية</t>
        </is>
      </c>
      <c r="L164" s="9" t="inlineStr">
        <is>
          <t>Arabe</t>
        </is>
      </c>
      <c r="M164" s="9" t="inlineStr">
        <is>
          <t>Lobna</t>
        </is>
      </c>
      <c r="N164" s="10" t="n"/>
      <c r="O164" s="10" t="n"/>
      <c r="P164" s="10" t="inlineStr">
        <is>
          <t>Hebdomadaire</t>
        </is>
      </c>
      <c r="Q164" s="9" t="inlineStr">
        <is>
          <t>Original (septembre)</t>
        </is>
      </c>
      <c r="R164" s="9" t="inlineStr"/>
      <c r="S164" s="44">
        <f>IF($M164="","",IF(SUMPRODUCT(($D$4:$D$704=$D164)*($M$4:$M$704=$M164)*($F$4:$F$704&lt;$G164)*($G$4:$G$704&gt;$F164))&gt;1,"⚠ CONFLIT",""))</f>
        <v/>
      </c>
      <c r="T164" s="44">
        <f>IF($J164="","",IF(SUMPRODUCT(($D$4:$D$704=$D164)*($J$4:$J$704=$J164)*($F$4:$F$704&lt;$G164)*($G$4:$G$704&gt;$F164))&gt;1,"⚠ CONFLIT",""))</f>
        <v/>
      </c>
      <c r="U164" s="44">
        <f>IF(COUNTIFS($D$4:$D$704,$D164,$J$4:$J$704,$J164,$F$4:$F$704,$F164,$K$4:$K$704,$K164)&gt;1,"⚠ DOUBLON","")</f>
        <v/>
      </c>
      <c r="V164" s="44">
        <f>COUNTIFS($A$4:$A164,$A164,$J$4:$J164,$J164,$E$4:$E164,$E164)</f>
        <v/>
      </c>
      <c r="W164" s="45">
        <f>$A164&amp;"|"&amp;$J164&amp;"|"&amp;$E164&amp;"|"&amp;$V164</f>
        <v/>
      </c>
      <c r="X164" s="46">
        <f>TEXT($F164,"hh:mm")&amp;" - "&amp;TEXT($G164,"hh:mm")&amp;IF($P164="Quinzaine A","   ◆ Q-A",IF($P164="Quinzaine B","   ◆ Q-B",IF($P164="Exception","   ◆ PONCTUEL","")))&amp;CHAR(10)&amp;$K164&amp;CHAR(10)&amp;$M164&amp;IF($N164&lt;&gt;"",CHAR(10)&amp;"Salle "&amp;$N164,"")&amp;IF($O164="En ligne",CHAR(10)&amp;"◆ EN LIGNE","")&amp;IF($R164&lt;&gt;"",CHAR(10)&amp;$R164,"")</f>
        <v/>
      </c>
      <c r="Y164" s="45" t="inlineStr">
        <is>
          <t>17h-19h عربية (Lobna)</t>
        </is>
      </c>
      <c r="Z164" s="45" t="inlineStr">
        <is>
          <t>du 21-09 jusquà le 27-09!L17</t>
        </is>
      </c>
    </row>
    <row r="165" ht="15" customHeight="1">
      <c r="A165" s="10" t="inlineStr">
        <is>
          <t>S2</t>
        </is>
      </c>
      <c r="B165" s="9" t="inlineStr">
        <is>
          <t>du 21 au 27 septembre 2026</t>
        </is>
      </c>
      <c r="C165" s="10" t="inlineStr">
        <is>
          <t>B</t>
        </is>
      </c>
      <c r="D165" s="41" t="n">
        <v>46291</v>
      </c>
      <c r="E165" s="10" t="inlineStr">
        <is>
          <t>Samedi</t>
        </is>
      </c>
      <c r="F165" s="42" t="n">
        <v>0.75</v>
      </c>
      <c r="G165" s="42" t="n">
        <v>0.8125</v>
      </c>
      <c r="H165" s="43">
        <f>IF(OR($F165="",$G165=""),"",($G165-$F165)*24)</f>
        <v/>
      </c>
      <c r="I165" s="10" t="inlineStr">
        <is>
          <t>Collège</t>
        </is>
      </c>
      <c r="J165" s="9" t="inlineStr">
        <is>
          <t>7éme (A)</t>
        </is>
      </c>
      <c r="K165" s="9" t="inlineStr">
        <is>
          <t>Arabe</t>
        </is>
      </c>
      <c r="L165" s="9" t="inlineStr">
        <is>
          <t>Arabe</t>
        </is>
      </c>
      <c r="M165" s="9" t="inlineStr">
        <is>
          <t>Awatef</t>
        </is>
      </c>
      <c r="N165" s="10" t="n"/>
      <c r="O165" s="10" t="n"/>
      <c r="P165" s="10" t="inlineStr">
        <is>
          <t>Hebdomadaire</t>
        </is>
      </c>
      <c r="Q165" s="9" t="inlineStr">
        <is>
          <t>Original (septembre)</t>
        </is>
      </c>
      <c r="R165" s="9" t="inlineStr"/>
      <c r="S165" s="44">
        <f>IF($M165="","",IF(SUMPRODUCT(($D$4:$D$704=$D165)*($M$4:$M$704=$M165)*($F$4:$F$704&lt;$G165)*($G$4:$G$704&gt;$F165))&gt;1,"⚠ CONFLIT",""))</f>
        <v/>
      </c>
      <c r="T165" s="44">
        <f>IF($J165="","",IF(SUMPRODUCT(($D$4:$D$704=$D165)*($J$4:$J$704=$J165)*($F$4:$F$704&lt;$G165)*($G$4:$G$704&gt;$F165))&gt;1,"⚠ CONFLIT",""))</f>
        <v/>
      </c>
      <c r="U165" s="44">
        <f>IF(COUNTIFS($D$4:$D$704,$D165,$J$4:$J$704,$J165,$F$4:$F$704,$F165,$K$4:$K$704,$K165)&gt;1,"⚠ DOUBLON","")</f>
        <v/>
      </c>
      <c r="V165" s="44">
        <f>COUNTIFS($A$4:$A165,$A165,$J$4:$J165,$J165,$E$4:$E165,$E165)</f>
        <v/>
      </c>
      <c r="W165" s="45">
        <f>$A165&amp;"|"&amp;$J165&amp;"|"&amp;$E165&amp;"|"&amp;$V165</f>
        <v/>
      </c>
      <c r="X165" s="46">
        <f>TEXT($F165,"hh:mm")&amp;" - "&amp;TEXT($G165,"hh:mm")&amp;IF($P165="Quinzaine A","   ◆ Q-A",IF($P165="Quinzaine B","   ◆ Q-B",IF($P165="Exception","   ◆ PONCTUEL","")))&amp;CHAR(10)&amp;$K165&amp;CHAR(10)&amp;$M165&amp;IF($N165&lt;&gt;"",CHAR(10)&amp;"Salle "&amp;$N165,"")&amp;IF($O165="En ligne",CHAR(10)&amp;"◆ EN LIGNE","")&amp;IF($R165&lt;&gt;"",CHAR(10)&amp;$R165,"")</f>
        <v/>
      </c>
      <c r="Y165" s="45" t="inlineStr">
        <is>
          <t>18h-19h30 Arabe (Awatef)</t>
        </is>
      </c>
      <c r="Z165" s="45" t="inlineStr">
        <is>
          <t>du 21-09 jusquà le 27-09!L20</t>
        </is>
      </c>
    </row>
    <row r="166" ht="15" customHeight="1">
      <c r="A166" s="10" t="inlineStr">
        <is>
          <t>S2</t>
        </is>
      </c>
      <c r="B166" s="9" t="inlineStr">
        <is>
          <t>du 21 au 27 septembre 2026</t>
        </is>
      </c>
      <c r="C166" s="10" t="inlineStr">
        <is>
          <t>B</t>
        </is>
      </c>
      <c r="D166" s="41" t="n">
        <v>46291</v>
      </c>
      <c r="E166" s="10" t="inlineStr">
        <is>
          <t>Samedi</t>
        </is>
      </c>
      <c r="F166" s="42" t="n">
        <v>0.6666666666666666</v>
      </c>
      <c r="G166" s="42" t="n">
        <v>0.7291666666666666</v>
      </c>
      <c r="H166" s="43">
        <f>IF(OR($F166="",$G166=""),"",($G166-$F166)*24)</f>
        <v/>
      </c>
      <c r="I166" s="10" t="inlineStr">
        <is>
          <t>Collège</t>
        </is>
      </c>
      <c r="J166" s="9" t="inlineStr">
        <is>
          <t>7éme (B)</t>
        </is>
      </c>
      <c r="K166" s="9" t="inlineStr">
        <is>
          <t>SVT</t>
        </is>
      </c>
      <c r="L166" s="9" t="inlineStr">
        <is>
          <t>SVT</t>
        </is>
      </c>
      <c r="M166" s="9" t="inlineStr">
        <is>
          <t>Sabrine</t>
        </is>
      </c>
      <c r="N166" s="10" t="n"/>
      <c r="O166" s="10" t="n"/>
      <c r="P166" s="10" t="inlineStr">
        <is>
          <t>Quinzaine B</t>
        </is>
      </c>
      <c r="Q166" s="9" t="inlineStr">
        <is>
          <t>Original (septembre)</t>
        </is>
      </c>
      <c r="R166" s="9" t="inlineStr"/>
      <c r="S166" s="44">
        <f>IF($M166="","",IF(SUMPRODUCT(($D$4:$D$704=$D166)*($M$4:$M$704=$M166)*($F$4:$F$704&lt;$G166)*($G$4:$G$704&gt;$F166))&gt;1,"⚠ CONFLIT",""))</f>
        <v/>
      </c>
      <c r="T166" s="44">
        <f>IF($J166="","",IF(SUMPRODUCT(($D$4:$D$704=$D166)*($J$4:$J$704=$J166)*($F$4:$F$704&lt;$G166)*($G$4:$G$704&gt;$F166))&gt;1,"⚠ CONFLIT",""))</f>
        <v/>
      </c>
      <c r="U166" s="44">
        <f>IF(COUNTIFS($D$4:$D$704,$D166,$J$4:$J$704,$J166,$F$4:$F$704,$F166,$K$4:$K$704,$K166)&gt;1,"⚠ DOUBLON","")</f>
        <v/>
      </c>
      <c r="V166" s="44">
        <f>COUNTIFS($A$4:$A166,$A166,$J$4:$J166,$J166,$E$4:$E166,$E166)</f>
        <v/>
      </c>
      <c r="W166" s="45">
        <f>$A166&amp;"|"&amp;$J166&amp;"|"&amp;$E166&amp;"|"&amp;$V166</f>
        <v/>
      </c>
      <c r="X166" s="46">
        <f>TEXT($F166,"hh:mm")&amp;" - "&amp;TEXT($G166,"hh:mm")&amp;IF($P166="Quinzaine A","   ◆ Q-A",IF($P166="Quinzaine B","   ◆ Q-B",IF($P166="Exception","   ◆ PONCTUEL","")))&amp;CHAR(10)&amp;$K166&amp;CHAR(10)&amp;$M166&amp;IF($N166&lt;&gt;"",CHAR(10)&amp;"Salle "&amp;$N166,"")&amp;IF($O166="En ligne",CHAR(10)&amp;"◆ EN LIGNE","")&amp;IF($R166&lt;&gt;"",CHAR(10)&amp;$R166,"")</f>
        <v/>
      </c>
      <c r="Y166" s="45" t="inlineStr">
        <is>
          <t>16h-17h30 SVT /par quinzaine (Sabrine)</t>
        </is>
      </c>
      <c r="Z166" s="45" t="inlineStr">
        <is>
          <t>du 21-09 jusquà le 27-09!L24</t>
        </is>
      </c>
    </row>
    <row r="167" ht="15" customHeight="1">
      <c r="A167" s="10" t="inlineStr">
        <is>
          <t>S2</t>
        </is>
      </c>
      <c r="B167" s="9" t="inlineStr">
        <is>
          <t>du 21 au 27 septembre 2026</t>
        </is>
      </c>
      <c r="C167" s="10" t="inlineStr">
        <is>
          <t>B</t>
        </is>
      </c>
      <c r="D167" s="41" t="n">
        <v>46291</v>
      </c>
      <c r="E167" s="10" t="inlineStr">
        <is>
          <t>Samedi</t>
        </is>
      </c>
      <c r="F167" s="42" t="n">
        <v>0.7291666666666666</v>
      </c>
      <c r="G167" s="42" t="n">
        <v>0.7916666666666666</v>
      </c>
      <c r="H167" s="43">
        <f>IF(OR($F167="",$G167=""),"",($G167-$F167)*24)</f>
        <v/>
      </c>
      <c r="I167" s="10" t="inlineStr">
        <is>
          <t>Collège</t>
        </is>
      </c>
      <c r="J167" s="9" t="inlineStr">
        <is>
          <t>8éme (A)</t>
        </is>
      </c>
      <c r="K167" s="9" t="inlineStr">
        <is>
          <t>Anglais</t>
        </is>
      </c>
      <c r="L167" s="9" t="inlineStr">
        <is>
          <t>Anglais</t>
        </is>
      </c>
      <c r="M167" s="9" t="inlineStr">
        <is>
          <t>Imen Ben Lazrak</t>
        </is>
      </c>
      <c r="N167" s="10" t="n"/>
      <c r="O167" s="10" t="n"/>
      <c r="P167" s="10" t="inlineStr">
        <is>
          <t>Quinzaine B</t>
        </is>
      </c>
      <c r="Q167" s="9" t="inlineStr">
        <is>
          <t>Original (septembre)</t>
        </is>
      </c>
      <c r="R167" s="9" t="inlineStr"/>
      <c r="S167" s="44">
        <f>IF($M167="","",IF(SUMPRODUCT(($D$4:$D$704=$D167)*($M$4:$M$704=$M167)*($F$4:$F$704&lt;$G167)*($G$4:$G$704&gt;$F167))&gt;1,"⚠ CONFLIT",""))</f>
        <v/>
      </c>
      <c r="T167" s="44">
        <f>IF($J167="","",IF(SUMPRODUCT(($D$4:$D$704=$D167)*($J$4:$J$704=$J167)*($F$4:$F$704&lt;$G167)*($G$4:$G$704&gt;$F167))&gt;1,"⚠ CONFLIT",""))</f>
        <v/>
      </c>
      <c r="U167" s="44">
        <f>IF(COUNTIFS($D$4:$D$704,$D167,$J$4:$J$704,$J167,$F$4:$F$704,$F167,$K$4:$K$704,$K167)&gt;1,"⚠ DOUBLON","")</f>
        <v/>
      </c>
      <c r="V167" s="44">
        <f>COUNTIFS($A$4:$A167,$A167,$J$4:$J167,$J167,$E$4:$E167,$E167)</f>
        <v/>
      </c>
      <c r="W167" s="45">
        <f>$A167&amp;"|"&amp;$J167&amp;"|"&amp;$E167&amp;"|"&amp;$V167</f>
        <v/>
      </c>
      <c r="X167" s="46">
        <f>TEXT($F167,"hh:mm")&amp;" - "&amp;TEXT($G167,"hh:mm")&amp;IF($P167="Quinzaine A","   ◆ Q-A",IF($P167="Quinzaine B","   ◆ Q-B",IF($P167="Exception","   ◆ PONCTUEL","")))&amp;CHAR(10)&amp;$K167&amp;CHAR(10)&amp;$M167&amp;IF($N167&lt;&gt;"",CHAR(10)&amp;"Salle "&amp;$N167,"")&amp;IF($O167="En ligne",CHAR(10)&amp;"◆ EN LIGNE","")&amp;IF($R167&lt;&gt;"",CHAR(10)&amp;$R167,"")</f>
        <v/>
      </c>
      <c r="Y167" s="45" t="inlineStr">
        <is>
          <t>17h30-19h Anglais /par quinzaine (Imen Ben Lazrak)</t>
        </is>
      </c>
      <c r="Z167" s="45" t="inlineStr">
        <is>
          <t>du 21-09 jusquà le 27-09!L28</t>
        </is>
      </c>
    </row>
    <row r="168" ht="15" customHeight="1">
      <c r="A168" s="10" t="inlineStr">
        <is>
          <t>S2</t>
        </is>
      </c>
      <c r="B168" s="9" t="inlineStr">
        <is>
          <t>du 21 au 27 septembre 2026</t>
        </is>
      </c>
      <c r="C168" s="10" t="inlineStr">
        <is>
          <t>B</t>
        </is>
      </c>
      <c r="D168" s="41" t="n">
        <v>46291</v>
      </c>
      <c r="E168" s="10" t="inlineStr">
        <is>
          <t>Samedi</t>
        </is>
      </c>
      <c r="F168" s="42" t="n">
        <v>0.7291666666666666</v>
      </c>
      <c r="G168" s="42" t="n">
        <v>0.7916666666666666</v>
      </c>
      <c r="H168" s="43">
        <f>IF(OR($F168="",$G168=""),"",($G168-$F168)*24)</f>
        <v/>
      </c>
      <c r="I168" s="10" t="inlineStr">
        <is>
          <t>Collège</t>
        </is>
      </c>
      <c r="J168" s="9" t="inlineStr">
        <is>
          <t>8éme (B)</t>
        </is>
      </c>
      <c r="K168" s="9" t="inlineStr">
        <is>
          <t>SVT</t>
        </is>
      </c>
      <c r="L168" s="9" t="inlineStr">
        <is>
          <t>SVT</t>
        </is>
      </c>
      <c r="M168" s="9" t="inlineStr">
        <is>
          <t>Sabrine</t>
        </is>
      </c>
      <c r="N168" s="10" t="n"/>
      <c r="O168" s="10" t="n"/>
      <c r="P168" s="10" t="inlineStr">
        <is>
          <t>Quinzaine B</t>
        </is>
      </c>
      <c r="Q168" s="9" t="inlineStr">
        <is>
          <t>Original (septembre)</t>
        </is>
      </c>
      <c r="R168" s="9" t="inlineStr"/>
      <c r="S168" s="44">
        <f>IF($M168="","",IF(SUMPRODUCT(($D$4:$D$704=$D168)*($M$4:$M$704=$M168)*($F$4:$F$704&lt;$G168)*($G$4:$G$704&gt;$F168))&gt;1,"⚠ CONFLIT",""))</f>
        <v/>
      </c>
      <c r="T168" s="44">
        <f>IF($J168="","",IF(SUMPRODUCT(($D$4:$D$704=$D168)*($J$4:$J$704=$J168)*($F$4:$F$704&lt;$G168)*($G$4:$G$704&gt;$F168))&gt;1,"⚠ CONFLIT",""))</f>
        <v/>
      </c>
      <c r="U168" s="44">
        <f>IF(COUNTIFS($D$4:$D$704,$D168,$J$4:$J$704,$J168,$F$4:$F$704,$F168,$K$4:$K$704,$K168)&gt;1,"⚠ DOUBLON","")</f>
        <v/>
      </c>
      <c r="V168" s="44">
        <f>COUNTIFS($A$4:$A168,$A168,$J$4:$J168,$J168,$E$4:$E168,$E168)</f>
        <v/>
      </c>
      <c r="W168" s="45">
        <f>$A168&amp;"|"&amp;$J168&amp;"|"&amp;$E168&amp;"|"&amp;$V168</f>
        <v/>
      </c>
      <c r="X168" s="46">
        <f>TEXT($F168,"hh:mm")&amp;" - "&amp;TEXT($G168,"hh:mm")&amp;IF($P168="Quinzaine A","   ◆ Q-A",IF($P168="Quinzaine B","   ◆ Q-B",IF($P168="Exception","   ◆ PONCTUEL","")))&amp;CHAR(10)&amp;$K168&amp;CHAR(10)&amp;$M168&amp;IF($N168&lt;&gt;"",CHAR(10)&amp;"Salle "&amp;$N168,"")&amp;IF($O168="En ligne",CHAR(10)&amp;"◆ EN LIGNE","")&amp;IF($R168&lt;&gt;"",CHAR(10)&amp;$R168,"")</f>
        <v/>
      </c>
      <c r="Y168" s="45" t="inlineStr">
        <is>
          <t>17h30-19h SVT /par quinzaine (Sabrine)</t>
        </is>
      </c>
      <c r="Z168" s="45" t="inlineStr">
        <is>
          <t>du 21-09 jusquà le 27-09!L32</t>
        </is>
      </c>
    </row>
    <row r="169" ht="15" customHeight="1">
      <c r="A169" s="10" t="inlineStr">
        <is>
          <t>S2</t>
        </is>
      </c>
      <c r="B169" s="9" t="inlineStr">
        <is>
          <t>du 21 au 27 septembre 2026</t>
        </is>
      </c>
      <c r="C169" s="10" t="inlineStr">
        <is>
          <t>B</t>
        </is>
      </c>
      <c r="D169" s="41" t="n">
        <v>46291</v>
      </c>
      <c r="E169" s="10" t="inlineStr">
        <is>
          <t>Samedi</t>
        </is>
      </c>
      <c r="F169" s="42" t="n">
        <v>0.6875</v>
      </c>
      <c r="G169" s="42" t="n">
        <v>0.75</v>
      </c>
      <c r="H169" s="43">
        <f>IF(OR($F169="",$G169=""),"",($G169-$F169)*24)</f>
        <v/>
      </c>
      <c r="I169" s="10" t="inlineStr">
        <is>
          <t>Collège</t>
        </is>
      </c>
      <c r="J169" s="9" t="inlineStr">
        <is>
          <t>9éme (A)</t>
        </is>
      </c>
      <c r="K169" s="9" t="inlineStr">
        <is>
          <t>Arabe</t>
        </is>
      </c>
      <c r="L169" s="9" t="inlineStr">
        <is>
          <t>Arabe</t>
        </is>
      </c>
      <c r="M169" s="9" t="inlineStr">
        <is>
          <t>Awatef</t>
        </is>
      </c>
      <c r="N169" s="10" t="n"/>
      <c r="O169" s="10" t="n"/>
      <c r="P169" s="10" t="inlineStr">
        <is>
          <t>Hebdomadaire</t>
        </is>
      </c>
      <c r="Q169" s="9" t="inlineStr">
        <is>
          <t>Original (septembre)</t>
        </is>
      </c>
      <c r="R169" s="9" t="inlineStr"/>
      <c r="S169" s="44">
        <f>IF($M169="","",IF(SUMPRODUCT(($D$4:$D$704=$D169)*($M$4:$M$704=$M169)*($F$4:$F$704&lt;$G169)*($G$4:$G$704&gt;$F169))&gt;1,"⚠ CONFLIT",""))</f>
        <v/>
      </c>
      <c r="T169" s="44">
        <f>IF($J169="","",IF(SUMPRODUCT(($D$4:$D$704=$D169)*($J$4:$J$704=$J169)*($F$4:$F$704&lt;$G169)*($G$4:$G$704&gt;$F169))&gt;1,"⚠ CONFLIT",""))</f>
        <v/>
      </c>
      <c r="U169" s="44">
        <f>IF(COUNTIFS($D$4:$D$704,$D169,$J$4:$J$704,$J169,$F$4:$F$704,$F169,$K$4:$K$704,$K169)&gt;1,"⚠ DOUBLON","")</f>
        <v/>
      </c>
      <c r="V169" s="44">
        <f>COUNTIFS($A$4:$A169,$A169,$J$4:$J169,$J169,$E$4:$E169,$E169)</f>
        <v/>
      </c>
      <c r="W169" s="45">
        <f>$A169&amp;"|"&amp;$J169&amp;"|"&amp;$E169&amp;"|"&amp;$V169</f>
        <v/>
      </c>
      <c r="X169" s="46">
        <f>TEXT($F169,"hh:mm")&amp;" - "&amp;TEXT($G169,"hh:mm")&amp;IF($P169="Quinzaine A","   ◆ Q-A",IF($P169="Quinzaine B","   ◆ Q-B",IF($P169="Exception","   ◆ PONCTUEL","")))&amp;CHAR(10)&amp;$K169&amp;CHAR(10)&amp;$M169&amp;IF($N169&lt;&gt;"",CHAR(10)&amp;"Salle "&amp;$N169,"")&amp;IF($O169="En ligne",CHAR(10)&amp;"◆ EN LIGNE","")&amp;IF($R169&lt;&gt;"",CHAR(10)&amp;$R169,"")</f>
        <v/>
      </c>
      <c r="Y169" s="45" t="inlineStr">
        <is>
          <t>16h30-18h Arabe (Awatef)</t>
        </is>
      </c>
      <c r="Z169" s="45" t="inlineStr">
        <is>
          <t>du 21-09 jusquà le 27-09!L37</t>
        </is>
      </c>
    </row>
    <row r="170" ht="15" customHeight="1">
      <c r="A170" s="10" t="inlineStr">
        <is>
          <t>S2</t>
        </is>
      </c>
      <c r="B170" s="9" t="inlineStr">
        <is>
          <t>du 21 au 27 septembre 2026</t>
        </is>
      </c>
      <c r="C170" s="10" t="inlineStr">
        <is>
          <t>B</t>
        </is>
      </c>
      <c r="D170" s="41" t="n">
        <v>46291</v>
      </c>
      <c r="E170" s="10" t="inlineStr">
        <is>
          <t>Samedi</t>
        </is>
      </c>
      <c r="F170" s="42" t="n">
        <v>0.7291666666666666</v>
      </c>
      <c r="G170" s="42" t="n">
        <v>0.7916666666666666</v>
      </c>
      <c r="H170" s="43">
        <f>IF(OR($F170="",$G170=""),"",($G170-$F170)*24)</f>
        <v/>
      </c>
      <c r="I170" s="10" t="inlineStr">
        <is>
          <t>Collège</t>
        </is>
      </c>
      <c r="J170" s="9" t="inlineStr">
        <is>
          <t>9éme (B)</t>
        </is>
      </c>
      <c r="K170" s="9" t="inlineStr">
        <is>
          <t>Math</t>
        </is>
      </c>
      <c r="L170" s="9" t="inlineStr">
        <is>
          <t>Math</t>
        </is>
      </c>
      <c r="M170" s="9" t="inlineStr">
        <is>
          <t>Hajer</t>
        </is>
      </c>
      <c r="N170" s="10" t="n"/>
      <c r="O170" s="10" t="n"/>
      <c r="P170" s="10" t="inlineStr">
        <is>
          <t>Hebdomadaire</t>
        </is>
      </c>
      <c r="Q170" s="9" t="inlineStr">
        <is>
          <t>Original (septembre)</t>
        </is>
      </c>
      <c r="R170" s="9" t="inlineStr"/>
      <c r="S170" s="44">
        <f>IF($M170="","",IF(SUMPRODUCT(($D$4:$D$704=$D170)*($M$4:$M$704=$M170)*($F$4:$F$704&lt;$G170)*($G$4:$G$704&gt;$F170))&gt;1,"⚠ CONFLIT",""))</f>
        <v/>
      </c>
      <c r="T170" s="44">
        <f>IF($J170="","",IF(SUMPRODUCT(($D$4:$D$704=$D170)*($J$4:$J$704=$J170)*($F$4:$F$704&lt;$G170)*($G$4:$G$704&gt;$F170))&gt;1,"⚠ CONFLIT",""))</f>
        <v/>
      </c>
      <c r="U170" s="44">
        <f>IF(COUNTIFS($D$4:$D$704,$D170,$J$4:$J$704,$J170,$F$4:$F$704,$F170,$K$4:$K$704,$K170)&gt;1,"⚠ DOUBLON","")</f>
        <v/>
      </c>
      <c r="V170" s="44">
        <f>COUNTIFS($A$4:$A170,$A170,$J$4:$J170,$J170,$E$4:$E170,$E170)</f>
        <v/>
      </c>
      <c r="W170" s="45">
        <f>$A170&amp;"|"&amp;$J170&amp;"|"&amp;$E170&amp;"|"&amp;$V170</f>
        <v/>
      </c>
      <c r="X170" s="46">
        <f>TEXT($F170,"hh:mm")&amp;" - "&amp;TEXT($G170,"hh:mm")&amp;IF($P170="Quinzaine A","   ◆ Q-A",IF($P170="Quinzaine B","   ◆ Q-B",IF($P170="Exception","   ◆ PONCTUEL","")))&amp;CHAR(10)&amp;$K170&amp;CHAR(10)&amp;$M170&amp;IF($N170&lt;&gt;"",CHAR(10)&amp;"Salle "&amp;$N170,"")&amp;IF($O170="En ligne",CHAR(10)&amp;"◆ EN LIGNE","")&amp;IF($R170&lt;&gt;"",CHAR(10)&amp;$R170,"")</f>
        <v/>
      </c>
      <c r="Y170" s="45" t="inlineStr">
        <is>
          <t>17h30-19h Math (Hajer)</t>
        </is>
      </c>
      <c r="Z170" s="45" t="inlineStr">
        <is>
          <t>du 21-09 jusquà le 27-09!L44</t>
        </is>
      </c>
    </row>
    <row r="171" ht="15" customHeight="1">
      <c r="A171" s="10" t="inlineStr">
        <is>
          <t>S2</t>
        </is>
      </c>
      <c r="B171" s="9" t="inlineStr">
        <is>
          <t>du 21 au 27 septembre 2026</t>
        </is>
      </c>
      <c r="C171" s="10" t="inlineStr">
        <is>
          <t>B</t>
        </is>
      </c>
      <c r="D171" s="41" t="n">
        <v>46291</v>
      </c>
      <c r="E171" s="10" t="inlineStr">
        <is>
          <t>Samedi</t>
        </is>
      </c>
      <c r="F171" s="42" t="n">
        <v>0.7916666666666666</v>
      </c>
      <c r="G171" s="42" t="n">
        <v>0.8541666666666666</v>
      </c>
      <c r="H171" s="43">
        <f>IF(OR($F171="",$G171=""),"",($G171-$F171)*24)</f>
        <v/>
      </c>
      <c r="I171" s="10" t="inlineStr">
        <is>
          <t>Collège</t>
        </is>
      </c>
      <c r="J171" s="9" t="inlineStr">
        <is>
          <t>9éme (C)</t>
        </is>
      </c>
      <c r="K171" s="9" t="inlineStr">
        <is>
          <t>Math</t>
        </is>
      </c>
      <c r="L171" s="9" t="inlineStr">
        <is>
          <t>Math</t>
        </is>
      </c>
      <c r="M171" s="9" t="inlineStr">
        <is>
          <t>Hajer</t>
        </is>
      </c>
      <c r="N171" s="10" t="n"/>
      <c r="O171" s="10" t="n"/>
      <c r="P171" s="10" t="inlineStr">
        <is>
          <t>Hebdomadaire</t>
        </is>
      </c>
      <c r="Q171" s="9" t="inlineStr">
        <is>
          <t>Original (septembre)</t>
        </is>
      </c>
      <c r="R171" s="9" t="inlineStr"/>
      <c r="S171" s="44">
        <f>IF($M171="","",IF(SUMPRODUCT(($D$4:$D$704=$D171)*($M$4:$M$704=$M171)*($F$4:$F$704&lt;$G171)*($G$4:$G$704&gt;$F171))&gt;1,"⚠ CONFLIT",""))</f>
        <v/>
      </c>
      <c r="T171" s="44">
        <f>IF($J171="","",IF(SUMPRODUCT(($D$4:$D$704=$D171)*($J$4:$J$704=$J171)*($F$4:$F$704&lt;$G171)*($G$4:$G$704&gt;$F171))&gt;1,"⚠ CONFLIT",""))</f>
        <v/>
      </c>
      <c r="U171" s="44">
        <f>IF(COUNTIFS($D$4:$D$704,$D171,$J$4:$J$704,$J171,$F$4:$F$704,$F171,$K$4:$K$704,$K171)&gt;1,"⚠ DOUBLON","")</f>
        <v/>
      </c>
      <c r="V171" s="44">
        <f>COUNTIFS($A$4:$A171,$A171,$J$4:$J171,$J171,$E$4:$E171,$E171)</f>
        <v/>
      </c>
      <c r="W171" s="45">
        <f>$A171&amp;"|"&amp;$J171&amp;"|"&amp;$E171&amp;"|"&amp;$V171</f>
        <v/>
      </c>
      <c r="X171" s="46">
        <f>TEXT($F171,"hh:mm")&amp;" - "&amp;TEXT($G171,"hh:mm")&amp;IF($P171="Quinzaine A","   ◆ Q-A",IF($P171="Quinzaine B","   ◆ Q-B",IF($P171="Exception","   ◆ PONCTUEL","")))&amp;CHAR(10)&amp;$K171&amp;CHAR(10)&amp;$M171&amp;IF($N171&lt;&gt;"",CHAR(10)&amp;"Salle "&amp;$N171,"")&amp;IF($O171="En ligne",CHAR(10)&amp;"◆ EN LIGNE","")&amp;IF($R171&lt;&gt;"",CHAR(10)&amp;$R171,"")</f>
        <v/>
      </c>
      <c r="Y171" s="45" t="inlineStr">
        <is>
          <t>19h-20h30 Math (Hajer)</t>
        </is>
      </c>
      <c r="Z171" s="45" t="inlineStr">
        <is>
          <t>du 21-09 jusquà le 27-09!L47</t>
        </is>
      </c>
    </row>
    <row r="172" ht="15" customHeight="1">
      <c r="A172" s="10" t="inlineStr">
        <is>
          <t>S2</t>
        </is>
      </c>
      <c r="B172" s="9" t="inlineStr">
        <is>
          <t>du 21 au 27 septembre 2026</t>
        </is>
      </c>
      <c r="C172" s="10" t="inlineStr">
        <is>
          <t>B</t>
        </is>
      </c>
      <c r="D172" s="41" t="n">
        <v>46291</v>
      </c>
      <c r="E172" s="10" t="inlineStr">
        <is>
          <t>Samedi</t>
        </is>
      </c>
      <c r="F172" s="42" t="n">
        <v>0.6458333333333334</v>
      </c>
      <c r="G172" s="42" t="n">
        <v>0.7083333333333334</v>
      </c>
      <c r="H172" s="43">
        <f>IF(OR($F172="",$G172=""),"",($G172-$F172)*24)</f>
        <v/>
      </c>
      <c r="I172" s="10" t="inlineStr">
        <is>
          <t>Secondaire</t>
        </is>
      </c>
      <c r="J172" s="9" t="inlineStr">
        <is>
          <t>2éme Eco</t>
        </is>
      </c>
      <c r="K172" s="9" t="inlineStr">
        <is>
          <t>Géographie</t>
        </is>
      </c>
      <c r="L172" s="9" t="inlineStr">
        <is>
          <t>Géographie</t>
        </is>
      </c>
      <c r="M172" s="9" t="inlineStr">
        <is>
          <t>Abdelwaheb</t>
        </is>
      </c>
      <c r="N172" s="10" t="n"/>
      <c r="O172" s="10" t="n"/>
      <c r="P172" s="10" t="inlineStr">
        <is>
          <t>Quinzaine B</t>
        </is>
      </c>
      <c r="Q172" s="9" t="inlineStr">
        <is>
          <t>Original (septembre)</t>
        </is>
      </c>
      <c r="R172" s="9" t="inlineStr"/>
      <c r="S172" s="44">
        <f>IF($M172="","",IF(SUMPRODUCT(($D$4:$D$704=$D172)*($M$4:$M$704=$M172)*($F$4:$F$704&lt;$G172)*($G$4:$G$704&gt;$F172))&gt;1,"⚠ CONFLIT",""))</f>
        <v/>
      </c>
      <c r="T172" s="44">
        <f>IF($J172="","",IF(SUMPRODUCT(($D$4:$D$704=$D172)*($J$4:$J$704=$J172)*($F$4:$F$704&lt;$G172)*($G$4:$G$704&gt;$F172))&gt;1,"⚠ CONFLIT",""))</f>
        <v/>
      </c>
      <c r="U172" s="44">
        <f>IF(COUNTIFS($D$4:$D$704,$D172,$J$4:$J$704,$J172,$F$4:$F$704,$F172,$K$4:$K$704,$K172)&gt;1,"⚠ DOUBLON","")</f>
        <v/>
      </c>
      <c r="V172" s="44">
        <f>COUNTIFS($A$4:$A172,$A172,$J$4:$J172,$J172,$E$4:$E172,$E172)</f>
        <v/>
      </c>
      <c r="W172" s="45">
        <f>$A172&amp;"|"&amp;$J172&amp;"|"&amp;$E172&amp;"|"&amp;$V172</f>
        <v/>
      </c>
      <c r="X172" s="46">
        <f>TEXT($F172,"hh:mm")&amp;" - "&amp;TEXT($G172,"hh:mm")&amp;IF($P172="Quinzaine A","   ◆ Q-A",IF($P172="Quinzaine B","   ◆ Q-B",IF($P172="Exception","   ◆ PONCTUEL","")))&amp;CHAR(10)&amp;$K172&amp;CHAR(10)&amp;$M172&amp;IF($N172&lt;&gt;"",CHAR(10)&amp;"Salle "&amp;$N172,"")&amp;IF($O172="En ligne",CHAR(10)&amp;"◆ EN LIGNE","")&amp;IF($R172&lt;&gt;"",CHAR(10)&amp;$R172,"")</f>
        <v/>
      </c>
      <c r="Y172" s="45" t="inlineStr">
        <is>
          <t>15h30-17h Géographie (Abdelwaheb)</t>
        </is>
      </c>
      <c r="Z172" s="45" t="inlineStr">
        <is>
          <t>du 21-09 jusquà le 27-09!L60</t>
        </is>
      </c>
    </row>
    <row r="173" ht="15" customHeight="1">
      <c r="A173" s="10" t="inlineStr">
        <is>
          <t>S2</t>
        </is>
      </c>
      <c r="B173" s="9" t="inlineStr">
        <is>
          <t>du 21 au 27 septembre 2026</t>
        </is>
      </c>
      <c r="C173" s="10" t="inlineStr">
        <is>
          <t>B</t>
        </is>
      </c>
      <c r="D173" s="41" t="n">
        <v>46291</v>
      </c>
      <c r="E173" s="10" t="inlineStr">
        <is>
          <t>Samedi</t>
        </is>
      </c>
      <c r="F173" s="42" t="n">
        <v>0.6666666666666666</v>
      </c>
      <c r="G173" s="42" t="n">
        <v>0.7291666666666666</v>
      </c>
      <c r="H173" s="43">
        <f>IF(OR($F173="",$G173=""),"",($G173-$F173)*24)</f>
        <v/>
      </c>
      <c r="I173" s="10" t="inlineStr">
        <is>
          <t>Secondaire</t>
        </is>
      </c>
      <c r="J173" s="9" t="inlineStr">
        <is>
          <t>2éme SCE</t>
        </is>
      </c>
      <c r="K173" s="9" t="inlineStr">
        <is>
          <t>SVT</t>
        </is>
      </c>
      <c r="L173" s="9" t="inlineStr">
        <is>
          <t>SVT</t>
        </is>
      </c>
      <c r="M173" s="9" t="inlineStr">
        <is>
          <t>Rym</t>
        </is>
      </c>
      <c r="N173" s="10" t="n"/>
      <c r="O173" s="10" t="n"/>
      <c r="P173" s="10" t="inlineStr">
        <is>
          <t>Hebdomadaire</t>
        </is>
      </c>
      <c r="Q173" s="9" t="inlineStr">
        <is>
          <t>Original (septembre)</t>
        </is>
      </c>
      <c r="R173" s="9" t="inlineStr"/>
      <c r="S173" s="44">
        <f>IF($M173="","",IF(SUMPRODUCT(($D$4:$D$704=$D173)*($M$4:$M$704=$M173)*($F$4:$F$704&lt;$G173)*($G$4:$G$704&gt;$F173))&gt;1,"⚠ CONFLIT",""))</f>
        <v/>
      </c>
      <c r="T173" s="44">
        <f>IF($J173="","",IF(SUMPRODUCT(($D$4:$D$704=$D173)*($J$4:$J$704=$J173)*($F$4:$F$704&lt;$G173)*($G$4:$G$704&gt;$F173))&gt;1,"⚠ CONFLIT",""))</f>
        <v/>
      </c>
      <c r="U173" s="44">
        <f>IF(COUNTIFS($D$4:$D$704,$D173,$J$4:$J$704,$J173,$F$4:$F$704,$F173,$K$4:$K$704,$K173)&gt;1,"⚠ DOUBLON","")</f>
        <v/>
      </c>
      <c r="V173" s="44">
        <f>COUNTIFS($A$4:$A173,$A173,$J$4:$J173,$J173,$E$4:$E173,$E173)</f>
        <v/>
      </c>
      <c r="W173" s="45">
        <f>$A173&amp;"|"&amp;$J173&amp;"|"&amp;$E173&amp;"|"&amp;$V173</f>
        <v/>
      </c>
      <c r="X173" s="46">
        <f>TEXT($F173,"hh:mm")&amp;" - "&amp;TEXT($G173,"hh:mm")&amp;IF($P173="Quinzaine A","   ◆ Q-A",IF($P173="Quinzaine B","   ◆ Q-B",IF($P173="Exception","   ◆ PONCTUEL","")))&amp;CHAR(10)&amp;$K173&amp;CHAR(10)&amp;$M173&amp;IF($N173&lt;&gt;"",CHAR(10)&amp;"Salle "&amp;$N173,"")&amp;IF($O173="En ligne",CHAR(10)&amp;"◆ EN LIGNE","")&amp;IF($R173&lt;&gt;"",CHAR(10)&amp;$R173,"")</f>
        <v/>
      </c>
      <c r="Y173" s="45" t="inlineStr">
        <is>
          <t>16h-17h30 SVT (Rym)</t>
        </is>
      </c>
      <c r="Z173" s="45" t="inlineStr">
        <is>
          <t>du 21-09 jusquà le 27-09!L62</t>
        </is>
      </c>
    </row>
    <row r="174" ht="15" customHeight="1">
      <c r="A174" s="10" t="inlineStr">
        <is>
          <t>S2</t>
        </is>
      </c>
      <c r="B174" s="9" t="inlineStr">
        <is>
          <t>du 21 au 27 septembre 2026</t>
        </is>
      </c>
      <c r="C174" s="10" t="inlineStr">
        <is>
          <t>B</t>
        </is>
      </c>
      <c r="D174" s="41" t="n">
        <v>46291</v>
      </c>
      <c r="E174" s="10" t="inlineStr">
        <is>
          <t>Samedi</t>
        </is>
      </c>
      <c r="F174" s="42" t="n">
        <v>0.7083333333333334</v>
      </c>
      <c r="G174" s="42" t="n">
        <v>0.7708333333333334</v>
      </c>
      <c r="H174" s="43">
        <f>IF(OR($F174="",$G174=""),"",($G174-$F174)*24)</f>
        <v/>
      </c>
      <c r="I174" s="10" t="inlineStr">
        <is>
          <t>Secondaire</t>
        </is>
      </c>
      <c r="J174" s="9" t="inlineStr">
        <is>
          <t>3éme Eco</t>
        </is>
      </c>
      <c r="K174" s="9" t="inlineStr">
        <is>
          <t>Géographie</t>
        </is>
      </c>
      <c r="L174" s="9" t="inlineStr">
        <is>
          <t>Géographie</t>
        </is>
      </c>
      <c r="M174" s="9" t="inlineStr">
        <is>
          <t>Abdelwaheb</t>
        </is>
      </c>
      <c r="N174" s="10" t="n"/>
      <c r="O174" s="10" t="n"/>
      <c r="P174" s="10" t="inlineStr">
        <is>
          <t>Quinzaine B</t>
        </is>
      </c>
      <c r="Q174" s="9" t="inlineStr">
        <is>
          <t>Original (septembre)</t>
        </is>
      </c>
      <c r="R174" s="9" t="inlineStr"/>
      <c r="S174" s="44">
        <f>IF($M174="","",IF(SUMPRODUCT(($D$4:$D$704=$D174)*($M$4:$M$704=$M174)*($F$4:$F$704&lt;$G174)*($G$4:$G$704&gt;$F174))&gt;1,"⚠ CONFLIT",""))</f>
        <v/>
      </c>
      <c r="T174" s="44">
        <f>IF($J174="","",IF(SUMPRODUCT(($D$4:$D$704=$D174)*($J$4:$J$704=$J174)*($F$4:$F$704&lt;$G174)*($G$4:$G$704&gt;$F174))&gt;1,"⚠ CONFLIT",""))</f>
        <v/>
      </c>
      <c r="U174" s="44">
        <f>IF(COUNTIFS($D$4:$D$704,$D174,$J$4:$J$704,$J174,$F$4:$F$704,$F174,$K$4:$K$704,$K174)&gt;1,"⚠ DOUBLON","")</f>
        <v/>
      </c>
      <c r="V174" s="44">
        <f>COUNTIFS($A$4:$A174,$A174,$J$4:$J174,$J174,$E$4:$E174,$E174)</f>
        <v/>
      </c>
      <c r="W174" s="45">
        <f>$A174&amp;"|"&amp;$J174&amp;"|"&amp;$E174&amp;"|"&amp;$V174</f>
        <v/>
      </c>
      <c r="X174" s="46">
        <f>TEXT($F174,"hh:mm")&amp;" - "&amp;TEXT($G174,"hh:mm")&amp;IF($P174="Quinzaine A","   ◆ Q-A",IF($P174="Quinzaine B","   ◆ Q-B",IF($P174="Exception","   ◆ PONCTUEL","")))&amp;CHAR(10)&amp;$K174&amp;CHAR(10)&amp;$M174&amp;IF($N174&lt;&gt;"",CHAR(10)&amp;"Salle "&amp;$N174,"")&amp;IF($O174="En ligne",CHAR(10)&amp;"◆ EN LIGNE","")&amp;IF($R174&lt;&gt;"",CHAR(10)&amp;$R174,"")</f>
        <v/>
      </c>
      <c r="Y174" s="45" t="inlineStr">
        <is>
          <t>17h-18h30 Géographie (Abdelwaheb)</t>
        </is>
      </c>
      <c r="Z174" s="45" t="inlineStr">
        <is>
          <t>du 21-09 jusquà le 27-09!L67</t>
        </is>
      </c>
    </row>
    <row r="175" ht="15" customHeight="1">
      <c r="A175" s="10" t="inlineStr">
        <is>
          <t>S2</t>
        </is>
      </c>
      <c r="B175" s="9" t="inlineStr">
        <is>
          <t>du 21 au 27 septembre 2026</t>
        </is>
      </c>
      <c r="C175" s="10" t="inlineStr">
        <is>
          <t>B</t>
        </is>
      </c>
      <c r="D175" s="41" t="n">
        <v>46291</v>
      </c>
      <c r="E175" s="10" t="inlineStr">
        <is>
          <t>Samedi</t>
        </is>
      </c>
      <c r="F175" s="42" t="n">
        <v>0.625</v>
      </c>
      <c r="G175" s="42" t="n">
        <v>0.7083333333333334</v>
      </c>
      <c r="H175" s="43">
        <f>IF(OR($F175="",$G175=""),"",($G175-$F175)*24)</f>
        <v/>
      </c>
      <c r="I175" s="10" t="inlineStr">
        <is>
          <t>Secondaire</t>
        </is>
      </c>
      <c r="J175" s="9" t="inlineStr">
        <is>
          <t>3éme INFO</t>
        </is>
      </c>
      <c r="K175" s="9" t="inlineStr">
        <is>
          <t>ALGO</t>
        </is>
      </c>
      <c r="L175" s="9" t="inlineStr">
        <is>
          <t>ALGO</t>
        </is>
      </c>
      <c r="M175" s="9" t="inlineStr">
        <is>
          <t>Aymen</t>
        </is>
      </c>
      <c r="N175" s="10" t="n"/>
      <c r="O175" s="10" t="n"/>
      <c r="P175" s="10" t="inlineStr">
        <is>
          <t>Hebdomadaire</t>
        </is>
      </c>
      <c r="Q175" s="9" t="inlineStr">
        <is>
          <t>Original (septembre)</t>
        </is>
      </c>
      <c r="R175" s="9" t="inlineStr"/>
      <c r="S175" s="44">
        <f>IF($M175="","",IF(SUMPRODUCT(($D$4:$D$704=$D175)*($M$4:$M$704=$M175)*($F$4:$F$704&lt;$G175)*($G$4:$G$704&gt;$F175))&gt;1,"⚠ CONFLIT",""))</f>
        <v/>
      </c>
      <c r="T175" s="44">
        <f>IF($J175="","",IF(SUMPRODUCT(($D$4:$D$704=$D175)*($J$4:$J$704=$J175)*($F$4:$F$704&lt;$G175)*($G$4:$G$704&gt;$F175))&gt;1,"⚠ CONFLIT",""))</f>
        <v/>
      </c>
      <c r="U175" s="44">
        <f>IF(COUNTIFS($D$4:$D$704,$D175,$J$4:$J$704,$J175,$F$4:$F$704,$F175,$K$4:$K$704,$K175)&gt;1,"⚠ DOUBLON","")</f>
        <v/>
      </c>
      <c r="V175" s="44">
        <f>COUNTIFS($A$4:$A175,$A175,$J$4:$J175,$J175,$E$4:$E175,$E175)</f>
        <v/>
      </c>
      <c r="W175" s="45">
        <f>$A175&amp;"|"&amp;$J175&amp;"|"&amp;$E175&amp;"|"&amp;$V175</f>
        <v/>
      </c>
      <c r="X175" s="46">
        <f>TEXT($F175,"hh:mm")&amp;" - "&amp;TEXT($G175,"hh:mm")&amp;IF($P175="Quinzaine A","   ◆ Q-A",IF($P175="Quinzaine B","   ◆ Q-B",IF($P175="Exception","   ◆ PONCTUEL","")))&amp;CHAR(10)&amp;$K175&amp;CHAR(10)&amp;$M175&amp;IF($N175&lt;&gt;"",CHAR(10)&amp;"Salle "&amp;$N175,"")&amp;IF($O175="En ligne",CHAR(10)&amp;"◆ EN LIGNE","")&amp;IF($R175&lt;&gt;"",CHAR(10)&amp;$R175,"")</f>
        <v/>
      </c>
      <c r="Y175" s="45" t="inlineStr">
        <is>
          <t>15h-17h ALGO (Aymen)</t>
        </is>
      </c>
      <c r="Z175" s="45" t="inlineStr">
        <is>
          <t>du 21-09 jusquà le 27-09!L69</t>
        </is>
      </c>
    </row>
    <row r="176" ht="15" customHeight="1">
      <c r="A176" s="10" t="inlineStr">
        <is>
          <t>S2</t>
        </is>
      </c>
      <c r="B176" s="9" t="inlineStr">
        <is>
          <t>du 21 au 27 septembre 2026</t>
        </is>
      </c>
      <c r="C176" s="10" t="inlineStr">
        <is>
          <t>B</t>
        </is>
      </c>
      <c r="D176" s="41" t="n">
        <v>46291</v>
      </c>
      <c r="E176" s="10" t="inlineStr">
        <is>
          <t>Samedi</t>
        </is>
      </c>
      <c r="F176" s="42" t="n">
        <v>0.7291666666666666</v>
      </c>
      <c r="G176" s="42" t="n">
        <v>0.7916666666666666</v>
      </c>
      <c r="H176" s="43">
        <f>IF(OR($F176="",$G176=""),"",($G176-$F176)*24)</f>
        <v/>
      </c>
      <c r="I176" s="10" t="inlineStr">
        <is>
          <t>Secondaire</t>
        </is>
      </c>
      <c r="J176" s="9" t="inlineStr">
        <is>
          <t>3éme SCE</t>
        </is>
      </c>
      <c r="K176" s="9" t="inlineStr">
        <is>
          <t>SVT</t>
        </is>
      </c>
      <c r="L176" s="9" t="inlineStr">
        <is>
          <t>SVT</t>
        </is>
      </c>
      <c r="M176" s="9" t="inlineStr">
        <is>
          <t>Rym</t>
        </is>
      </c>
      <c r="N176" s="10" t="n"/>
      <c r="O176" s="10" t="n"/>
      <c r="P176" s="10" t="inlineStr">
        <is>
          <t>Hebdomadaire</t>
        </is>
      </c>
      <c r="Q176" s="9" t="inlineStr">
        <is>
          <t>Original (septembre)</t>
        </is>
      </c>
      <c r="R176" s="9" t="inlineStr"/>
      <c r="S176" s="44">
        <f>IF($M176="","",IF(SUMPRODUCT(($D$4:$D$704=$D176)*($M$4:$M$704=$M176)*($F$4:$F$704&lt;$G176)*($G$4:$G$704&gt;$F176))&gt;1,"⚠ CONFLIT",""))</f>
        <v/>
      </c>
      <c r="T176" s="44">
        <f>IF($J176="","",IF(SUMPRODUCT(($D$4:$D$704=$D176)*($J$4:$J$704=$J176)*($F$4:$F$704&lt;$G176)*($G$4:$G$704&gt;$F176))&gt;1,"⚠ CONFLIT",""))</f>
        <v/>
      </c>
      <c r="U176" s="44">
        <f>IF(COUNTIFS($D$4:$D$704,$D176,$J$4:$J$704,$J176,$F$4:$F$704,$F176,$K$4:$K$704,$K176)&gt;1,"⚠ DOUBLON","")</f>
        <v/>
      </c>
      <c r="V176" s="44">
        <f>COUNTIFS($A$4:$A176,$A176,$J$4:$J176,$J176,$E$4:$E176,$E176)</f>
        <v/>
      </c>
      <c r="W176" s="45">
        <f>$A176&amp;"|"&amp;$J176&amp;"|"&amp;$E176&amp;"|"&amp;$V176</f>
        <v/>
      </c>
      <c r="X176" s="46">
        <f>TEXT($F176,"hh:mm")&amp;" - "&amp;TEXT($G176,"hh:mm")&amp;IF($P176="Quinzaine A","   ◆ Q-A",IF($P176="Quinzaine B","   ◆ Q-B",IF($P176="Exception","   ◆ PONCTUEL","")))&amp;CHAR(10)&amp;$K176&amp;CHAR(10)&amp;$M176&amp;IF($N176&lt;&gt;"",CHAR(10)&amp;"Salle "&amp;$N176,"")&amp;IF($O176="En ligne",CHAR(10)&amp;"◆ EN LIGNE","")&amp;IF($R176&lt;&gt;"",CHAR(10)&amp;$R176,"")</f>
        <v/>
      </c>
      <c r="Y176" s="45" t="inlineStr">
        <is>
          <t>17h30-19h SVT (Rym)</t>
        </is>
      </c>
      <c r="Z176" s="45" t="inlineStr">
        <is>
          <t>du 21-09 jusquà le 27-09!L73</t>
        </is>
      </c>
    </row>
    <row r="177" ht="15" customHeight="1">
      <c r="A177" s="10" t="inlineStr">
        <is>
          <t>S2</t>
        </is>
      </c>
      <c r="B177" s="9" t="inlineStr">
        <is>
          <t>du 21 au 27 septembre 2026</t>
        </is>
      </c>
      <c r="C177" s="10" t="inlineStr">
        <is>
          <t>B</t>
        </is>
      </c>
      <c r="D177" s="41" t="n">
        <v>46291</v>
      </c>
      <c r="E177" s="10" t="inlineStr">
        <is>
          <t>Samedi</t>
        </is>
      </c>
      <c r="F177" s="42" t="n">
        <v>0.7708333333333334</v>
      </c>
      <c r="G177" s="42" t="n">
        <v>0.8333333333333334</v>
      </c>
      <c r="H177" s="43">
        <f>IF(OR($F177="",$G177=""),"",($G177-$F177)*24)</f>
        <v/>
      </c>
      <c r="I177" s="10" t="inlineStr">
        <is>
          <t>Bac</t>
        </is>
      </c>
      <c r="J177" s="9" t="inlineStr">
        <is>
          <t>Bac Eco</t>
        </is>
      </c>
      <c r="K177" s="9" t="inlineStr">
        <is>
          <t>Géographie</t>
        </is>
      </c>
      <c r="L177" s="9" t="inlineStr">
        <is>
          <t>Géographie</t>
        </is>
      </c>
      <c r="M177" s="9" t="inlineStr">
        <is>
          <t>Abdelwaheb</t>
        </is>
      </c>
      <c r="N177" s="10" t="n"/>
      <c r="O177" s="10" t="n"/>
      <c r="P177" s="10" t="inlineStr">
        <is>
          <t>Quinzaine B</t>
        </is>
      </c>
      <c r="Q177" s="9" t="inlineStr">
        <is>
          <t>Original (septembre)</t>
        </is>
      </c>
      <c r="R177" s="9" t="inlineStr"/>
      <c r="S177" s="44">
        <f>IF($M177="","",IF(SUMPRODUCT(($D$4:$D$704=$D177)*($M$4:$M$704=$M177)*($F$4:$F$704&lt;$G177)*($G$4:$G$704&gt;$F177))&gt;1,"⚠ CONFLIT",""))</f>
        <v/>
      </c>
      <c r="T177" s="44">
        <f>IF($J177="","",IF(SUMPRODUCT(($D$4:$D$704=$D177)*($J$4:$J$704=$J177)*($F$4:$F$704&lt;$G177)*($G$4:$G$704&gt;$F177))&gt;1,"⚠ CONFLIT",""))</f>
        <v/>
      </c>
      <c r="U177" s="44">
        <f>IF(COUNTIFS($D$4:$D$704,$D177,$J$4:$J$704,$J177,$F$4:$F$704,$F177,$K$4:$K$704,$K177)&gt;1,"⚠ DOUBLON","")</f>
        <v/>
      </c>
      <c r="V177" s="44">
        <f>COUNTIFS($A$4:$A177,$A177,$J$4:$J177,$J177,$E$4:$E177,$E177)</f>
        <v/>
      </c>
      <c r="W177" s="45">
        <f>$A177&amp;"|"&amp;$J177&amp;"|"&amp;$E177&amp;"|"&amp;$V177</f>
        <v/>
      </c>
      <c r="X177" s="46">
        <f>TEXT($F177,"hh:mm")&amp;" - "&amp;TEXT($G177,"hh:mm")&amp;IF($P177="Quinzaine A","   ◆ Q-A",IF($P177="Quinzaine B","   ◆ Q-B",IF($P177="Exception","   ◆ PONCTUEL","")))&amp;CHAR(10)&amp;$K177&amp;CHAR(10)&amp;$M177&amp;IF($N177&lt;&gt;"",CHAR(10)&amp;"Salle "&amp;$N177,"")&amp;IF($O177="En ligne",CHAR(10)&amp;"◆ EN LIGNE","")&amp;IF($R177&lt;&gt;"",CHAR(10)&amp;$R177,"")</f>
        <v/>
      </c>
      <c r="Y177" s="45" t="inlineStr">
        <is>
          <t>18h30-20h Géographie (Abdelwaheb)</t>
        </is>
      </c>
      <c r="Z177" s="45" t="inlineStr">
        <is>
          <t>du 21-09 jusquà le 27-09!L75</t>
        </is>
      </c>
    </row>
    <row r="178" ht="15" customHeight="1">
      <c r="A178" s="10" t="inlineStr">
        <is>
          <t>S2</t>
        </is>
      </c>
      <c r="B178" s="9" t="inlineStr">
        <is>
          <t>du 21 au 27 septembre 2026</t>
        </is>
      </c>
      <c r="C178" s="10" t="inlineStr">
        <is>
          <t>B</t>
        </is>
      </c>
      <c r="D178" s="41" t="n">
        <v>46291</v>
      </c>
      <c r="E178" s="10" t="inlineStr">
        <is>
          <t>Samedi</t>
        </is>
      </c>
      <c r="F178" s="42" t="n">
        <v>0.7916666666666666</v>
      </c>
      <c r="G178" s="42" t="n">
        <v>0.8541666666666666</v>
      </c>
      <c r="H178" s="43">
        <f>IF(OR($F178="",$G178=""),"",($G178-$F178)*24)</f>
        <v/>
      </c>
      <c r="I178" s="10" t="inlineStr">
        <is>
          <t>Bac</t>
        </is>
      </c>
      <c r="J178" s="9" t="inlineStr">
        <is>
          <t>Bac SCE</t>
        </is>
      </c>
      <c r="K178" s="9" t="inlineStr">
        <is>
          <t>SVT</t>
        </is>
      </c>
      <c r="L178" s="9" t="inlineStr">
        <is>
          <t>SVT</t>
        </is>
      </c>
      <c r="M178" s="9" t="inlineStr">
        <is>
          <t>Rym</t>
        </is>
      </c>
      <c r="N178" s="10" t="n"/>
      <c r="O178" s="10" t="n"/>
      <c r="P178" s="10" t="inlineStr">
        <is>
          <t>Hebdomadaire</t>
        </is>
      </c>
      <c r="Q178" s="9" t="inlineStr">
        <is>
          <t>Original (septembre)</t>
        </is>
      </c>
      <c r="R178" s="9" t="inlineStr"/>
      <c r="S178" s="44">
        <f>IF($M178="","",IF(SUMPRODUCT(($D$4:$D$704=$D178)*($M$4:$M$704=$M178)*($F$4:$F$704&lt;$G178)*($G$4:$G$704&gt;$F178))&gt;1,"⚠ CONFLIT",""))</f>
        <v/>
      </c>
      <c r="T178" s="44">
        <f>IF($J178="","",IF(SUMPRODUCT(($D$4:$D$704=$D178)*($J$4:$J$704=$J178)*($F$4:$F$704&lt;$G178)*($G$4:$G$704&gt;$F178))&gt;1,"⚠ CONFLIT",""))</f>
        <v/>
      </c>
      <c r="U178" s="44">
        <f>IF(COUNTIFS($D$4:$D$704,$D178,$J$4:$J$704,$J178,$F$4:$F$704,$F178,$K$4:$K$704,$K178)&gt;1,"⚠ DOUBLON","")</f>
        <v/>
      </c>
      <c r="V178" s="44">
        <f>COUNTIFS($A$4:$A178,$A178,$J$4:$J178,$J178,$E$4:$E178,$E178)</f>
        <v/>
      </c>
      <c r="W178" s="45">
        <f>$A178&amp;"|"&amp;$J178&amp;"|"&amp;$E178&amp;"|"&amp;$V178</f>
        <v/>
      </c>
      <c r="X178" s="46">
        <f>TEXT($F178,"hh:mm")&amp;" - "&amp;TEXT($G178,"hh:mm")&amp;IF($P178="Quinzaine A","   ◆ Q-A",IF($P178="Quinzaine B","   ◆ Q-B",IF($P178="Exception","   ◆ PONCTUEL","")))&amp;CHAR(10)&amp;$K178&amp;CHAR(10)&amp;$M178&amp;IF($N178&lt;&gt;"",CHAR(10)&amp;"Salle "&amp;$N178,"")&amp;IF($O178="En ligne",CHAR(10)&amp;"◆ EN LIGNE","")&amp;IF($R178&lt;&gt;"",CHAR(10)&amp;$R178,"")</f>
        <v/>
      </c>
      <c r="Y178" s="45" t="inlineStr">
        <is>
          <t>19h-20h30 SVT (Rym)</t>
        </is>
      </c>
      <c r="Z178" s="45" t="inlineStr">
        <is>
          <t>du 21-09 jusquà le 27-09!L81</t>
        </is>
      </c>
    </row>
    <row r="179" ht="15" customHeight="1">
      <c r="A179" s="10" t="inlineStr">
        <is>
          <t>S2</t>
        </is>
      </c>
      <c r="B179" s="9" t="inlineStr">
        <is>
          <t>du 21 au 27 septembre 2026</t>
        </is>
      </c>
      <c r="C179" s="10" t="inlineStr">
        <is>
          <t>B</t>
        </is>
      </c>
      <c r="D179" s="41" t="n">
        <v>46291</v>
      </c>
      <c r="E179" s="10" t="inlineStr">
        <is>
          <t>Samedi</t>
        </is>
      </c>
      <c r="F179" s="42" t="n">
        <v>0.7916666666666666</v>
      </c>
      <c r="G179" s="42" t="n">
        <v>0.875</v>
      </c>
      <c r="H179" s="43">
        <f>IF(OR($F179="",$G179=""),"",($G179-$F179)*24)</f>
        <v/>
      </c>
      <c r="I179" s="10" t="inlineStr">
        <is>
          <t>Bac</t>
        </is>
      </c>
      <c r="J179" s="9" t="inlineStr">
        <is>
          <t>Bac INFO</t>
        </is>
      </c>
      <c r="K179" s="9" t="inlineStr">
        <is>
          <t>ALGO</t>
        </is>
      </c>
      <c r="L179" s="9" t="inlineStr">
        <is>
          <t>ALGO</t>
        </is>
      </c>
      <c r="M179" s="9" t="inlineStr">
        <is>
          <t>Heni</t>
        </is>
      </c>
      <c r="N179" s="10" t="n"/>
      <c r="O179" s="10" t="n"/>
      <c r="P179" s="10" t="inlineStr">
        <is>
          <t>Hebdomadaire</t>
        </is>
      </c>
      <c r="Q179" s="9" t="inlineStr">
        <is>
          <t>Original (septembre)</t>
        </is>
      </c>
      <c r="R179" s="9" t="inlineStr"/>
      <c r="S179" s="44">
        <f>IF($M179="","",IF(SUMPRODUCT(($D$4:$D$704=$D179)*($M$4:$M$704=$M179)*($F$4:$F$704&lt;$G179)*($G$4:$G$704&gt;$F179))&gt;1,"⚠ CONFLIT",""))</f>
        <v/>
      </c>
      <c r="T179" s="44">
        <f>IF($J179="","",IF(SUMPRODUCT(($D$4:$D$704=$D179)*($J$4:$J$704=$J179)*($F$4:$F$704&lt;$G179)*($G$4:$G$704&gt;$F179))&gt;1,"⚠ CONFLIT",""))</f>
        <v/>
      </c>
      <c r="U179" s="44">
        <f>IF(COUNTIFS($D$4:$D$704,$D179,$J$4:$J$704,$J179,$F$4:$F$704,$F179,$K$4:$K$704,$K179)&gt;1,"⚠ DOUBLON","")</f>
        <v/>
      </c>
      <c r="V179" s="44">
        <f>COUNTIFS($A$4:$A179,$A179,$J$4:$J179,$J179,$E$4:$E179,$E179)</f>
        <v/>
      </c>
      <c r="W179" s="45">
        <f>$A179&amp;"|"&amp;$J179&amp;"|"&amp;$E179&amp;"|"&amp;$V179</f>
        <v/>
      </c>
      <c r="X179" s="46">
        <f>TEXT($F179,"hh:mm")&amp;" - "&amp;TEXT($G179,"hh:mm")&amp;IF($P179="Quinzaine A","   ◆ Q-A",IF($P179="Quinzaine B","   ◆ Q-B",IF($P179="Exception","   ◆ PONCTUEL","")))&amp;CHAR(10)&amp;$K179&amp;CHAR(10)&amp;$M179&amp;IF($N179&lt;&gt;"",CHAR(10)&amp;"Salle "&amp;$N179,"")&amp;IF($O179="En ligne",CHAR(10)&amp;"◆ EN LIGNE","")&amp;IF($R179&lt;&gt;"",CHAR(10)&amp;$R179,"")</f>
        <v/>
      </c>
      <c r="Y179" s="45" t="inlineStr">
        <is>
          <t>19h-21h ALGO (Heni)</t>
        </is>
      </c>
      <c r="Z179" s="45" t="inlineStr">
        <is>
          <t>du 21-09 jusquà le 27-09!L85</t>
        </is>
      </c>
    </row>
    <row r="180" ht="15" customHeight="1">
      <c r="A180" s="10" t="inlineStr">
        <is>
          <t>S2</t>
        </is>
      </c>
      <c r="B180" s="9" t="inlineStr">
        <is>
          <t>du 21 au 27 septembre 2026</t>
        </is>
      </c>
      <c r="C180" s="10" t="inlineStr">
        <is>
          <t>B</t>
        </is>
      </c>
      <c r="D180" s="41" t="n">
        <v>46292</v>
      </c>
      <c r="E180" s="10" t="inlineStr">
        <is>
          <t>Dimanche</t>
        </is>
      </c>
      <c r="F180" s="42" t="n">
        <v>0.4375</v>
      </c>
      <c r="G180" s="42" t="n">
        <v>0.5</v>
      </c>
      <c r="H180" s="43">
        <f>IF(OR($F180="",$G180=""),"",($G180-$F180)*24)</f>
        <v/>
      </c>
      <c r="I180" s="10" t="inlineStr">
        <is>
          <t>Primaire</t>
        </is>
      </c>
      <c r="J180" s="9" t="inlineStr">
        <is>
          <t>5éme</t>
        </is>
      </c>
      <c r="K180" s="9" t="inlineStr">
        <is>
          <t>Anglais</t>
        </is>
      </c>
      <c r="L180" s="9" t="inlineStr">
        <is>
          <t>Anglais</t>
        </is>
      </c>
      <c r="M180" s="9" t="inlineStr">
        <is>
          <t>Samar</t>
        </is>
      </c>
      <c r="N180" s="10" t="n"/>
      <c r="O180" s="10" t="n"/>
      <c r="P180" s="10" t="inlineStr">
        <is>
          <t>Quinzaine B</t>
        </is>
      </c>
      <c r="Q180" s="9" t="inlineStr">
        <is>
          <t>Original (septembre)</t>
        </is>
      </c>
      <c r="R180" s="9" t="inlineStr"/>
      <c r="S180" s="44">
        <f>IF($M180="","",IF(SUMPRODUCT(($D$4:$D$704=$D180)*($M$4:$M$704=$M180)*($F$4:$F$704&lt;$G180)*($G$4:$G$704&gt;$F180))&gt;1,"⚠ CONFLIT",""))</f>
        <v/>
      </c>
      <c r="T180" s="44">
        <f>IF($J180="","",IF(SUMPRODUCT(($D$4:$D$704=$D180)*($J$4:$J$704=$J180)*($F$4:$F$704&lt;$G180)*($G$4:$G$704&gt;$F180))&gt;1,"⚠ CONFLIT",""))</f>
        <v/>
      </c>
      <c r="U180" s="44">
        <f>IF(COUNTIFS($D$4:$D$704,$D180,$J$4:$J$704,$J180,$F$4:$F$704,$F180,$K$4:$K$704,$K180)&gt;1,"⚠ DOUBLON","")</f>
        <v/>
      </c>
      <c r="V180" s="44">
        <f>COUNTIFS($A$4:$A180,$A180,$J$4:$J180,$J180,$E$4:$E180,$E180)</f>
        <v/>
      </c>
      <c r="W180" s="45">
        <f>$A180&amp;"|"&amp;$J180&amp;"|"&amp;$E180&amp;"|"&amp;$V180</f>
        <v/>
      </c>
      <c r="X180" s="46">
        <f>TEXT($F180,"hh:mm")&amp;" - "&amp;TEXT($G180,"hh:mm")&amp;IF($P180="Quinzaine A","   ◆ Q-A",IF($P180="Quinzaine B","   ◆ Q-B",IF($P180="Exception","   ◆ PONCTUEL","")))&amp;CHAR(10)&amp;$K180&amp;CHAR(10)&amp;$M180&amp;IF($N180&lt;&gt;"",CHAR(10)&amp;"Salle "&amp;$N180,"")&amp;IF($O180="En ligne",CHAR(10)&amp;"◆ EN LIGNE","")&amp;IF($R180&lt;&gt;"",CHAR(10)&amp;$R180,"")</f>
        <v/>
      </c>
      <c r="Y180" s="45" t="inlineStr">
        <is>
          <t>10h30-12h Anglais /par quinzaine (Samar)</t>
        </is>
      </c>
      <c r="Z180" s="45" t="inlineStr">
        <is>
          <t>du 21-09 jusquà le 27-09!M7</t>
        </is>
      </c>
    </row>
    <row r="181" ht="15" customHeight="1">
      <c r="A181" s="10" t="inlineStr">
        <is>
          <t>S2</t>
        </is>
      </c>
      <c r="B181" s="9" t="inlineStr">
        <is>
          <t>du 21 au 27 septembre 2026</t>
        </is>
      </c>
      <c r="C181" s="10" t="inlineStr">
        <is>
          <t>B</t>
        </is>
      </c>
      <c r="D181" s="41" t="n">
        <v>46292</v>
      </c>
      <c r="E181" s="10" t="inlineStr">
        <is>
          <t>Dimanche</t>
        </is>
      </c>
      <c r="F181" s="42" t="n">
        <v>0.3958333333333333</v>
      </c>
      <c r="G181" s="42" t="n">
        <v>0.4583333333333333</v>
      </c>
      <c r="H181" s="43">
        <f>IF(OR($F181="",$G181=""),"",($G181-$F181)*24)</f>
        <v/>
      </c>
      <c r="I181" s="10" t="inlineStr">
        <is>
          <t>Primaire</t>
        </is>
      </c>
      <c r="J181" s="9" t="inlineStr">
        <is>
          <t>6éme Pilote (A)</t>
        </is>
      </c>
      <c r="K181" s="9" t="inlineStr">
        <is>
          <t>Français</t>
        </is>
      </c>
      <c r="L181" s="9" t="inlineStr">
        <is>
          <t>Français</t>
        </is>
      </c>
      <c r="M181" s="9" t="inlineStr">
        <is>
          <t>Hend</t>
        </is>
      </c>
      <c r="N181" s="10" t="n"/>
      <c r="O181" s="10" t="n"/>
      <c r="P181" s="10" t="inlineStr">
        <is>
          <t>Exception</t>
        </is>
      </c>
      <c r="Q181" s="9" t="inlineStr">
        <is>
          <t>Original (septembre)</t>
        </is>
      </c>
      <c r="R181" s="9" t="inlineStr">
        <is>
          <t>Rattrapage</t>
        </is>
      </c>
      <c r="S181" s="44">
        <f>IF($M181="","",IF(SUMPRODUCT(($D$4:$D$704=$D181)*($M$4:$M$704=$M181)*($F$4:$F$704&lt;$G181)*($G$4:$G$704&gt;$F181))&gt;1,"⚠ CONFLIT",""))</f>
        <v/>
      </c>
      <c r="T181" s="44">
        <f>IF($J181="","",IF(SUMPRODUCT(($D$4:$D$704=$D181)*($J$4:$J$704=$J181)*($F$4:$F$704&lt;$G181)*($G$4:$G$704&gt;$F181))&gt;1,"⚠ CONFLIT",""))</f>
        <v/>
      </c>
      <c r="U181" s="44">
        <f>IF(COUNTIFS($D$4:$D$704,$D181,$J$4:$J$704,$J181,$F$4:$F$704,$F181,$K$4:$K$704,$K181)&gt;1,"⚠ DOUBLON","")</f>
        <v/>
      </c>
      <c r="V181" s="44">
        <f>COUNTIFS($A$4:$A181,$A181,$J$4:$J181,$J181,$E$4:$E181,$E181)</f>
        <v/>
      </c>
      <c r="W181" s="45">
        <f>$A181&amp;"|"&amp;$J181&amp;"|"&amp;$E181&amp;"|"&amp;$V181</f>
        <v/>
      </c>
      <c r="X181" s="46">
        <f>TEXT($F181,"hh:mm")&amp;" - "&amp;TEXT($G181,"hh:mm")&amp;IF($P181="Quinzaine A","   ◆ Q-A",IF($P181="Quinzaine B","   ◆ Q-B",IF($P181="Exception","   ◆ PONCTUEL","")))&amp;CHAR(10)&amp;$K181&amp;CHAR(10)&amp;$M181&amp;IF($N181&lt;&gt;"",CHAR(10)&amp;"Salle "&amp;$N181,"")&amp;IF($O181="En ligne",CHAR(10)&amp;"◆ EN LIGNE","")&amp;IF($R181&lt;&gt;"",CHAR(10)&amp;$R181,"")</f>
        <v/>
      </c>
      <c r="Y181" s="45" t="inlineStr">
        <is>
          <t>9H30h-11H Français (Hend) Rattrapage</t>
        </is>
      </c>
      <c r="Z181" s="45" t="inlineStr">
        <is>
          <t>du 21-09 jusquà le 27-09!M13</t>
        </is>
      </c>
    </row>
    <row r="182" ht="15" customHeight="1">
      <c r="A182" s="10" t="inlineStr">
        <is>
          <t>S2</t>
        </is>
      </c>
      <c r="B182" s="9" t="inlineStr">
        <is>
          <t>du 21 au 27 septembre 2026</t>
        </is>
      </c>
      <c r="C182" s="10" t="inlineStr">
        <is>
          <t>B</t>
        </is>
      </c>
      <c r="D182" s="41" t="n">
        <v>46292</v>
      </c>
      <c r="E182" s="10" t="inlineStr">
        <is>
          <t>Dimanche</t>
        </is>
      </c>
      <c r="F182" s="42" t="n">
        <v>0.5833333333333334</v>
      </c>
      <c r="G182" s="42" t="n">
        <v>0.6458333333333334</v>
      </c>
      <c r="H182" s="43">
        <f>IF(OR($F182="",$G182=""),"",($G182-$F182)*24)</f>
        <v/>
      </c>
      <c r="I182" s="10" t="inlineStr">
        <is>
          <t>Collège</t>
        </is>
      </c>
      <c r="J182" s="9" t="inlineStr">
        <is>
          <t>7éme (A)</t>
        </is>
      </c>
      <c r="K182" s="9" t="inlineStr">
        <is>
          <t>Français</t>
        </is>
      </c>
      <c r="L182" s="9" t="inlineStr">
        <is>
          <t>Français</t>
        </is>
      </c>
      <c r="M182" s="9" t="inlineStr">
        <is>
          <t>Marwa</t>
        </is>
      </c>
      <c r="N182" s="10" t="n"/>
      <c r="O182" s="10" t="n"/>
      <c r="P182" s="10" t="inlineStr">
        <is>
          <t>Hebdomadaire</t>
        </is>
      </c>
      <c r="Q182" s="9" t="inlineStr">
        <is>
          <t>Original (septembre)</t>
        </is>
      </c>
      <c r="R182" s="9" t="inlineStr"/>
      <c r="S182" s="44">
        <f>IF($M182="","",IF(SUMPRODUCT(($D$4:$D$704=$D182)*($M$4:$M$704=$M182)*($F$4:$F$704&lt;$G182)*($G$4:$G$704&gt;$F182))&gt;1,"⚠ CONFLIT",""))</f>
        <v/>
      </c>
      <c r="T182" s="44">
        <f>IF($J182="","",IF(SUMPRODUCT(($D$4:$D$704=$D182)*($J$4:$J$704=$J182)*($F$4:$F$704&lt;$G182)*($G$4:$G$704&gt;$F182))&gt;1,"⚠ CONFLIT",""))</f>
        <v/>
      </c>
      <c r="U182" s="44">
        <f>IF(COUNTIFS($D$4:$D$704,$D182,$J$4:$J$704,$J182,$F$4:$F$704,$F182,$K$4:$K$704,$K182)&gt;1,"⚠ DOUBLON","")</f>
        <v/>
      </c>
      <c r="V182" s="44">
        <f>COUNTIFS($A$4:$A182,$A182,$J$4:$J182,$J182,$E$4:$E182,$E182)</f>
        <v/>
      </c>
      <c r="W182" s="45">
        <f>$A182&amp;"|"&amp;$J182&amp;"|"&amp;$E182&amp;"|"&amp;$V182</f>
        <v/>
      </c>
      <c r="X182" s="46">
        <f>TEXT($F182,"hh:mm")&amp;" - "&amp;TEXT($G182,"hh:mm")&amp;IF($P182="Quinzaine A","   ◆ Q-A",IF($P182="Quinzaine B","   ◆ Q-B",IF($P182="Exception","   ◆ PONCTUEL","")))&amp;CHAR(10)&amp;$K182&amp;CHAR(10)&amp;$M182&amp;IF($N182&lt;&gt;"",CHAR(10)&amp;"Salle "&amp;$N182,"")&amp;IF($O182="En ligne",CHAR(10)&amp;"◆ EN LIGNE","")&amp;IF($R182&lt;&gt;"",CHAR(10)&amp;$R182,"")</f>
        <v/>
      </c>
      <c r="Y182" s="45" t="inlineStr">
        <is>
          <t>14h-15h30 Français (Marwa)</t>
        </is>
      </c>
      <c r="Z182" s="45" t="inlineStr">
        <is>
          <t>du 21-09 jusquà le 27-09!M20</t>
        </is>
      </c>
    </row>
    <row r="183" ht="15" customHeight="1">
      <c r="A183" s="10" t="inlineStr">
        <is>
          <t>S2</t>
        </is>
      </c>
      <c r="B183" s="9" t="inlineStr">
        <is>
          <t>du 21 au 27 septembre 2026</t>
        </is>
      </c>
      <c r="C183" s="10" t="inlineStr">
        <is>
          <t>B</t>
        </is>
      </c>
      <c r="D183" s="41" t="n">
        <v>46292</v>
      </c>
      <c r="E183" s="10" t="inlineStr">
        <is>
          <t>Dimanche</t>
        </is>
      </c>
      <c r="F183" s="42" t="n">
        <v>0.6458333333333334</v>
      </c>
      <c r="G183" s="42" t="n">
        <v>0.7083333333333334</v>
      </c>
      <c r="H183" s="43">
        <f>IF(OR($F183="",$G183=""),"",($G183-$F183)*24)</f>
        <v/>
      </c>
      <c r="I183" s="10" t="inlineStr">
        <is>
          <t>Collège</t>
        </is>
      </c>
      <c r="J183" s="9" t="inlineStr">
        <is>
          <t>7éme (B)</t>
        </is>
      </c>
      <c r="K183" s="9" t="inlineStr">
        <is>
          <t>Français</t>
        </is>
      </c>
      <c r="L183" s="9" t="inlineStr">
        <is>
          <t>Français</t>
        </is>
      </c>
      <c r="M183" s="9" t="inlineStr">
        <is>
          <t>Marwa</t>
        </is>
      </c>
      <c r="N183" s="10" t="n"/>
      <c r="O183" s="10" t="n"/>
      <c r="P183" s="10" t="inlineStr">
        <is>
          <t>Hebdomadaire</t>
        </is>
      </c>
      <c r="Q183" s="9" t="inlineStr">
        <is>
          <t>Original (septembre)</t>
        </is>
      </c>
      <c r="R183" s="9" t="inlineStr"/>
      <c r="S183" s="44">
        <f>IF($M183="","",IF(SUMPRODUCT(($D$4:$D$704=$D183)*($M$4:$M$704=$M183)*($F$4:$F$704&lt;$G183)*($G$4:$G$704&gt;$F183))&gt;1,"⚠ CONFLIT",""))</f>
        <v/>
      </c>
      <c r="T183" s="44">
        <f>IF($J183="","",IF(SUMPRODUCT(($D$4:$D$704=$D183)*($J$4:$J$704=$J183)*($F$4:$F$704&lt;$G183)*($G$4:$G$704&gt;$F183))&gt;1,"⚠ CONFLIT",""))</f>
        <v/>
      </c>
      <c r="U183" s="44">
        <f>IF(COUNTIFS($D$4:$D$704,$D183,$J$4:$J$704,$J183,$F$4:$F$704,$F183,$K$4:$K$704,$K183)&gt;1,"⚠ DOUBLON","")</f>
        <v/>
      </c>
      <c r="V183" s="44">
        <f>COUNTIFS($A$4:$A183,$A183,$J$4:$J183,$J183,$E$4:$E183,$E183)</f>
        <v/>
      </c>
      <c r="W183" s="45">
        <f>$A183&amp;"|"&amp;$J183&amp;"|"&amp;$E183&amp;"|"&amp;$V183</f>
        <v/>
      </c>
      <c r="X183" s="46">
        <f>TEXT($F183,"hh:mm")&amp;" - "&amp;TEXT($G183,"hh:mm")&amp;IF($P183="Quinzaine A","   ◆ Q-A",IF($P183="Quinzaine B","   ◆ Q-B",IF($P183="Exception","   ◆ PONCTUEL","")))&amp;CHAR(10)&amp;$K183&amp;CHAR(10)&amp;$M183&amp;IF($N183&lt;&gt;"",CHAR(10)&amp;"Salle "&amp;$N183,"")&amp;IF($O183="En ligne",CHAR(10)&amp;"◆ EN LIGNE","")&amp;IF($R183&lt;&gt;"",CHAR(10)&amp;$R183,"")</f>
        <v/>
      </c>
      <c r="Y183" s="45" t="inlineStr">
        <is>
          <t>15h30-17h Français (Marwa)</t>
        </is>
      </c>
      <c r="Z183" s="45" t="inlineStr">
        <is>
          <t>du 21-09 jusquà le 27-09!M24</t>
        </is>
      </c>
    </row>
    <row r="184" ht="15" customHeight="1">
      <c r="A184" s="10" t="inlineStr">
        <is>
          <t>S2</t>
        </is>
      </c>
      <c r="B184" s="9" t="inlineStr">
        <is>
          <t>du 21 au 27 septembre 2026</t>
        </is>
      </c>
      <c r="C184" s="10" t="inlineStr">
        <is>
          <t>B</t>
        </is>
      </c>
      <c r="D184" s="41" t="n">
        <v>46292</v>
      </c>
      <c r="E184" s="10" t="inlineStr">
        <is>
          <t>Dimanche</t>
        </is>
      </c>
      <c r="F184" s="42" t="n">
        <v>0.5625</v>
      </c>
      <c r="G184" s="42" t="n">
        <v>0.625</v>
      </c>
      <c r="H184" s="43">
        <f>IF(OR($F184="",$G184=""),"",($G184-$F184)*24)</f>
        <v/>
      </c>
      <c r="I184" s="10" t="inlineStr">
        <is>
          <t>Collège</t>
        </is>
      </c>
      <c r="J184" s="9" t="inlineStr">
        <is>
          <t>8éme (A)</t>
        </is>
      </c>
      <c r="K184" s="9" t="inlineStr">
        <is>
          <t>Math</t>
        </is>
      </c>
      <c r="L184" s="9" t="inlineStr">
        <is>
          <t>Math</t>
        </is>
      </c>
      <c r="M184" s="9" t="inlineStr">
        <is>
          <t>Hajer</t>
        </is>
      </c>
      <c r="N184" s="10" t="n"/>
      <c r="O184" s="10" t="n"/>
      <c r="P184" s="10" t="inlineStr">
        <is>
          <t>Hebdomadaire</t>
        </is>
      </c>
      <c r="Q184" s="9" t="inlineStr">
        <is>
          <t>Original (septembre)</t>
        </is>
      </c>
      <c r="R184" s="9" t="inlineStr"/>
      <c r="S184" s="44">
        <f>IF($M184="","",IF(SUMPRODUCT(($D$4:$D$704=$D184)*($M$4:$M$704=$M184)*($F$4:$F$704&lt;$G184)*($G$4:$G$704&gt;$F184))&gt;1,"⚠ CONFLIT",""))</f>
        <v/>
      </c>
      <c r="T184" s="44">
        <f>IF($J184="","",IF(SUMPRODUCT(($D$4:$D$704=$D184)*($J$4:$J$704=$J184)*($F$4:$F$704&lt;$G184)*($G$4:$G$704&gt;$F184))&gt;1,"⚠ CONFLIT",""))</f>
        <v/>
      </c>
      <c r="U184" s="44">
        <f>IF(COUNTIFS($D$4:$D$704,$D184,$J$4:$J$704,$J184,$F$4:$F$704,$F184,$K$4:$K$704,$K184)&gt;1,"⚠ DOUBLON","")</f>
        <v/>
      </c>
      <c r="V184" s="44">
        <f>COUNTIFS($A$4:$A184,$A184,$J$4:$J184,$J184,$E$4:$E184,$E184)</f>
        <v/>
      </c>
      <c r="W184" s="45">
        <f>$A184&amp;"|"&amp;$J184&amp;"|"&amp;$E184&amp;"|"&amp;$V184</f>
        <v/>
      </c>
      <c r="X184" s="46">
        <f>TEXT($F184,"hh:mm")&amp;" - "&amp;TEXT($G184,"hh:mm")&amp;IF($P184="Quinzaine A","   ◆ Q-A",IF($P184="Quinzaine B","   ◆ Q-B",IF($P184="Exception","   ◆ PONCTUEL","")))&amp;CHAR(10)&amp;$K184&amp;CHAR(10)&amp;$M184&amp;IF($N184&lt;&gt;"",CHAR(10)&amp;"Salle "&amp;$N184,"")&amp;IF($O184="En ligne",CHAR(10)&amp;"◆ EN LIGNE","")&amp;IF($R184&lt;&gt;"",CHAR(10)&amp;$R184,"")</f>
        <v/>
      </c>
      <c r="Y184" s="45" t="inlineStr">
        <is>
          <t>13h30-15h Math (Hajer)</t>
        </is>
      </c>
      <c r="Z184" s="45" t="inlineStr">
        <is>
          <t>du 21-09 jusquà le 27-09!M28</t>
        </is>
      </c>
    </row>
    <row r="185" ht="15" customHeight="1">
      <c r="A185" s="10" t="inlineStr">
        <is>
          <t>S2</t>
        </is>
      </c>
      <c r="B185" s="9" t="inlineStr">
        <is>
          <t>du 21 au 27 septembre 2026</t>
        </is>
      </c>
      <c r="C185" s="10" t="inlineStr">
        <is>
          <t>B</t>
        </is>
      </c>
      <c r="D185" s="41" t="n">
        <v>46292</v>
      </c>
      <c r="E185" s="10" t="inlineStr">
        <is>
          <t>Dimanche</t>
        </is>
      </c>
      <c r="F185" s="42" t="n">
        <v>0.7083333333333334</v>
      </c>
      <c r="G185" s="42" t="n">
        <v>0.7708333333333334</v>
      </c>
      <c r="H185" s="43">
        <f>IF(OR($F185="",$G185=""),"",($G185-$F185)*24)</f>
        <v/>
      </c>
      <c r="I185" s="10" t="inlineStr">
        <is>
          <t>Collège</t>
        </is>
      </c>
      <c r="J185" s="9" t="inlineStr">
        <is>
          <t>8éme (B)</t>
        </is>
      </c>
      <c r="K185" s="9" t="inlineStr">
        <is>
          <t>Français</t>
        </is>
      </c>
      <c r="L185" s="9" t="inlineStr">
        <is>
          <t>Français</t>
        </is>
      </c>
      <c r="M185" s="9" t="inlineStr">
        <is>
          <t>Marwa</t>
        </is>
      </c>
      <c r="N185" s="10" t="n"/>
      <c r="O185" s="10" t="n"/>
      <c r="P185" s="10" t="inlineStr">
        <is>
          <t>Hebdomadaire</t>
        </is>
      </c>
      <c r="Q185" s="9" t="inlineStr">
        <is>
          <t>Original (septembre)</t>
        </is>
      </c>
      <c r="R185" s="9" t="inlineStr"/>
      <c r="S185" s="44">
        <f>IF($M185="","",IF(SUMPRODUCT(($D$4:$D$704=$D185)*($M$4:$M$704=$M185)*($F$4:$F$704&lt;$G185)*($G$4:$G$704&gt;$F185))&gt;1,"⚠ CONFLIT",""))</f>
        <v/>
      </c>
      <c r="T185" s="44">
        <f>IF($J185="","",IF(SUMPRODUCT(($D$4:$D$704=$D185)*($J$4:$J$704=$J185)*($F$4:$F$704&lt;$G185)*($G$4:$G$704&gt;$F185))&gt;1,"⚠ CONFLIT",""))</f>
        <v/>
      </c>
      <c r="U185" s="44">
        <f>IF(COUNTIFS($D$4:$D$704,$D185,$J$4:$J$704,$J185,$F$4:$F$704,$F185,$K$4:$K$704,$K185)&gt;1,"⚠ DOUBLON","")</f>
        <v/>
      </c>
      <c r="V185" s="44">
        <f>COUNTIFS($A$4:$A185,$A185,$J$4:$J185,$J185,$E$4:$E185,$E185)</f>
        <v/>
      </c>
      <c r="W185" s="45">
        <f>$A185&amp;"|"&amp;$J185&amp;"|"&amp;$E185&amp;"|"&amp;$V185</f>
        <v/>
      </c>
      <c r="X185" s="46">
        <f>TEXT($F185,"hh:mm")&amp;" - "&amp;TEXT($G185,"hh:mm")&amp;IF($P185="Quinzaine A","   ◆ Q-A",IF($P185="Quinzaine B","   ◆ Q-B",IF($P185="Exception","   ◆ PONCTUEL","")))&amp;CHAR(10)&amp;$K185&amp;CHAR(10)&amp;$M185&amp;IF($N185&lt;&gt;"",CHAR(10)&amp;"Salle "&amp;$N185,"")&amp;IF($O185="En ligne",CHAR(10)&amp;"◆ EN LIGNE","")&amp;IF($R185&lt;&gt;"",CHAR(10)&amp;$R185,"")</f>
        <v/>
      </c>
      <c r="Y185" s="45" t="inlineStr">
        <is>
          <t>17h-18h30 Français (Marwa)</t>
        </is>
      </c>
      <c r="Z185" s="45" t="inlineStr">
        <is>
          <t>du 21-09 jusquà le 27-09!M32</t>
        </is>
      </c>
    </row>
    <row r="186" ht="15" customHeight="1">
      <c r="A186" s="10" t="inlineStr">
        <is>
          <t>S2</t>
        </is>
      </c>
      <c r="B186" s="9" t="inlineStr">
        <is>
          <t>du 21 au 27 septembre 2026</t>
        </is>
      </c>
      <c r="C186" s="10" t="inlineStr">
        <is>
          <t>B</t>
        </is>
      </c>
      <c r="D186" s="41" t="n">
        <v>46292</v>
      </c>
      <c r="E186" s="10" t="inlineStr">
        <is>
          <t>Dimanche</t>
        </is>
      </c>
      <c r="F186" s="42" t="n">
        <v>0.4375</v>
      </c>
      <c r="G186" s="42" t="n">
        <v>0.5</v>
      </c>
      <c r="H186" s="43">
        <f>IF(OR($F186="",$G186=""),"",($G186-$F186)*24)</f>
        <v/>
      </c>
      <c r="I186" s="10" t="inlineStr">
        <is>
          <t>Collège</t>
        </is>
      </c>
      <c r="J186" s="9" t="inlineStr">
        <is>
          <t>9éme (A)</t>
        </is>
      </c>
      <c r="K186" s="9" t="inlineStr">
        <is>
          <t>Anglais</t>
        </is>
      </c>
      <c r="L186" s="9" t="inlineStr">
        <is>
          <t>Anglais</t>
        </is>
      </c>
      <c r="M186" s="9" t="inlineStr">
        <is>
          <t>Bassma</t>
        </is>
      </c>
      <c r="N186" s="10" t="n"/>
      <c r="O186" s="10" t="n"/>
      <c r="P186" s="10" t="inlineStr">
        <is>
          <t>Hebdomadaire</t>
        </is>
      </c>
      <c r="Q186" s="9" t="inlineStr">
        <is>
          <t>Original (septembre)</t>
        </is>
      </c>
      <c r="R186" s="9" t="inlineStr"/>
      <c r="S186" s="44">
        <f>IF($M186="","",IF(SUMPRODUCT(($D$4:$D$704=$D186)*($M$4:$M$704=$M186)*($F$4:$F$704&lt;$G186)*($G$4:$G$704&gt;$F186))&gt;1,"⚠ CONFLIT",""))</f>
        <v/>
      </c>
      <c r="T186" s="44">
        <f>IF($J186="","",IF(SUMPRODUCT(($D$4:$D$704=$D186)*($J$4:$J$704=$J186)*($F$4:$F$704&lt;$G186)*($G$4:$G$704&gt;$F186))&gt;1,"⚠ CONFLIT",""))</f>
        <v/>
      </c>
      <c r="U186" s="44">
        <f>IF(COUNTIFS($D$4:$D$704,$D186,$J$4:$J$704,$J186,$F$4:$F$704,$F186,$K$4:$K$704,$K186)&gt;1,"⚠ DOUBLON","")</f>
        <v/>
      </c>
      <c r="V186" s="44">
        <f>COUNTIFS($A$4:$A186,$A186,$J$4:$J186,$J186,$E$4:$E186,$E186)</f>
        <v/>
      </c>
      <c r="W186" s="45">
        <f>$A186&amp;"|"&amp;$J186&amp;"|"&amp;$E186&amp;"|"&amp;$V186</f>
        <v/>
      </c>
      <c r="X186" s="46">
        <f>TEXT($F186,"hh:mm")&amp;" - "&amp;TEXT($G186,"hh:mm")&amp;IF($P186="Quinzaine A","   ◆ Q-A",IF($P186="Quinzaine B","   ◆ Q-B",IF($P186="Exception","   ◆ PONCTUEL","")))&amp;CHAR(10)&amp;$K186&amp;CHAR(10)&amp;$M186&amp;IF($N186&lt;&gt;"",CHAR(10)&amp;"Salle "&amp;$N186,"")&amp;IF($O186="En ligne",CHAR(10)&amp;"◆ EN LIGNE","")&amp;IF($R186&lt;&gt;"",CHAR(10)&amp;$R186,"")</f>
        <v/>
      </c>
      <c r="Y186" s="45" t="inlineStr">
        <is>
          <t>10h30-12h Anglais (Bassma)</t>
        </is>
      </c>
      <c r="Z186" s="45" t="inlineStr">
        <is>
          <t>du 21-09 jusquà le 27-09!M37</t>
        </is>
      </c>
    </row>
    <row r="187" ht="15" customHeight="1">
      <c r="A187" s="10" t="inlineStr">
        <is>
          <t>S2</t>
        </is>
      </c>
      <c r="B187" s="9" t="inlineStr">
        <is>
          <t>du 21 au 27 septembre 2026</t>
        </is>
      </c>
      <c r="C187" s="10" t="inlineStr">
        <is>
          <t>B</t>
        </is>
      </c>
      <c r="D187" s="41" t="n">
        <v>46292</v>
      </c>
      <c r="E187" s="10" t="inlineStr">
        <is>
          <t>Dimanche</t>
        </is>
      </c>
      <c r="F187" s="42" t="n">
        <v>0.6458333333333334</v>
      </c>
      <c r="G187" s="42" t="n">
        <v>0.7083333333333334</v>
      </c>
      <c r="H187" s="43">
        <f>IF(OR($F187="",$G187=""),"",($G187-$F187)*24)</f>
        <v/>
      </c>
      <c r="I187" s="10" t="inlineStr">
        <is>
          <t>Collège</t>
        </is>
      </c>
      <c r="J187" s="9" t="inlineStr">
        <is>
          <t>9éme (A)</t>
        </is>
      </c>
      <c r="K187" s="9" t="inlineStr">
        <is>
          <t>Français</t>
        </is>
      </c>
      <c r="L187" s="9" t="inlineStr">
        <is>
          <t>Français</t>
        </is>
      </c>
      <c r="M187" s="9" t="inlineStr">
        <is>
          <t>Nassima</t>
        </is>
      </c>
      <c r="N187" s="10" t="n"/>
      <c r="O187" s="10" t="n"/>
      <c r="P187" s="10" t="inlineStr">
        <is>
          <t>Hebdomadaire</t>
        </is>
      </c>
      <c r="Q187" s="9" t="inlineStr">
        <is>
          <t>Original (septembre)</t>
        </is>
      </c>
      <c r="R187" s="9" t="inlineStr"/>
      <c r="S187" s="44">
        <f>IF($M187="","",IF(SUMPRODUCT(($D$4:$D$704=$D187)*($M$4:$M$704=$M187)*($F$4:$F$704&lt;$G187)*($G$4:$G$704&gt;$F187))&gt;1,"⚠ CONFLIT",""))</f>
        <v/>
      </c>
      <c r="T187" s="44">
        <f>IF($J187="","",IF(SUMPRODUCT(($D$4:$D$704=$D187)*($J$4:$J$704=$J187)*($F$4:$F$704&lt;$G187)*($G$4:$G$704&gt;$F187))&gt;1,"⚠ CONFLIT",""))</f>
        <v/>
      </c>
      <c r="U187" s="44">
        <f>IF(COUNTIFS($D$4:$D$704,$D187,$J$4:$J$704,$J187,$F$4:$F$704,$F187,$K$4:$K$704,$K187)&gt;1,"⚠ DOUBLON","")</f>
        <v/>
      </c>
      <c r="V187" s="44">
        <f>COUNTIFS($A$4:$A187,$A187,$J$4:$J187,$J187,$E$4:$E187,$E187)</f>
        <v/>
      </c>
      <c r="W187" s="45">
        <f>$A187&amp;"|"&amp;$J187&amp;"|"&amp;$E187&amp;"|"&amp;$V187</f>
        <v/>
      </c>
      <c r="X187" s="46">
        <f>TEXT($F187,"hh:mm")&amp;" - "&amp;TEXT($G187,"hh:mm")&amp;IF($P187="Quinzaine A","   ◆ Q-A",IF($P187="Quinzaine B","   ◆ Q-B",IF($P187="Exception","   ◆ PONCTUEL","")))&amp;CHAR(10)&amp;$K187&amp;CHAR(10)&amp;$M187&amp;IF($N187&lt;&gt;"",CHAR(10)&amp;"Salle "&amp;$N187,"")&amp;IF($O187="En ligne",CHAR(10)&amp;"◆ EN LIGNE","")&amp;IF($R187&lt;&gt;"",CHAR(10)&amp;$R187,"")</f>
        <v/>
      </c>
      <c r="Y187" s="45" t="inlineStr">
        <is>
          <t>15h30-17h Français (Nassima)</t>
        </is>
      </c>
      <c r="Z187" s="45" t="inlineStr">
        <is>
          <t>du 21-09 jusquà le 27-09!M40</t>
        </is>
      </c>
    </row>
    <row r="188" ht="15" customHeight="1">
      <c r="A188" s="10" t="inlineStr">
        <is>
          <t>S2</t>
        </is>
      </c>
      <c r="B188" s="9" t="inlineStr">
        <is>
          <t>du 21 au 27 septembre 2026</t>
        </is>
      </c>
      <c r="C188" s="10" t="inlineStr">
        <is>
          <t>B</t>
        </is>
      </c>
      <c r="D188" s="41" t="n">
        <v>46292</v>
      </c>
      <c r="E188" s="10" t="inlineStr">
        <is>
          <t>Dimanche</t>
        </is>
      </c>
      <c r="F188" s="42" t="n">
        <v>0.375</v>
      </c>
      <c r="G188" s="42" t="n">
        <v>0.4375</v>
      </c>
      <c r="H188" s="43">
        <f>IF(OR($F188="",$G188=""),"",($G188-$F188)*24)</f>
        <v/>
      </c>
      <c r="I188" s="10" t="inlineStr">
        <is>
          <t>Collège</t>
        </is>
      </c>
      <c r="J188" s="9" t="inlineStr">
        <is>
          <t>9éme (B)</t>
        </is>
      </c>
      <c r="K188" s="9" t="inlineStr">
        <is>
          <t>Anglais</t>
        </is>
      </c>
      <c r="L188" s="9" t="inlineStr">
        <is>
          <t>Anglais</t>
        </is>
      </c>
      <c r="M188" s="9" t="inlineStr">
        <is>
          <t>Bassma</t>
        </is>
      </c>
      <c r="N188" s="10" t="n"/>
      <c r="O188" s="10" t="n"/>
      <c r="P188" s="10" t="inlineStr">
        <is>
          <t>Hebdomadaire</t>
        </is>
      </c>
      <c r="Q188" s="9" t="inlineStr">
        <is>
          <t>Original (septembre)</t>
        </is>
      </c>
      <c r="R188" s="9" t="inlineStr"/>
      <c r="S188" s="44">
        <f>IF($M188="","",IF(SUMPRODUCT(($D$4:$D$704=$D188)*($M$4:$M$704=$M188)*($F$4:$F$704&lt;$G188)*($G$4:$G$704&gt;$F188))&gt;1,"⚠ CONFLIT",""))</f>
        <v/>
      </c>
      <c r="T188" s="44">
        <f>IF($J188="","",IF(SUMPRODUCT(($D$4:$D$704=$D188)*($J$4:$J$704=$J188)*($F$4:$F$704&lt;$G188)*($G$4:$G$704&gt;$F188))&gt;1,"⚠ CONFLIT",""))</f>
        <v/>
      </c>
      <c r="U188" s="44">
        <f>IF(COUNTIFS($D$4:$D$704,$D188,$J$4:$J$704,$J188,$F$4:$F$704,$F188,$K$4:$K$704,$K188)&gt;1,"⚠ DOUBLON","")</f>
        <v/>
      </c>
      <c r="V188" s="44">
        <f>COUNTIFS($A$4:$A188,$A188,$J$4:$J188,$J188,$E$4:$E188,$E188)</f>
        <v/>
      </c>
      <c r="W188" s="45">
        <f>$A188&amp;"|"&amp;$J188&amp;"|"&amp;$E188&amp;"|"&amp;$V188</f>
        <v/>
      </c>
      <c r="X188" s="46">
        <f>TEXT($F188,"hh:mm")&amp;" - "&amp;TEXT($G188,"hh:mm")&amp;IF($P188="Quinzaine A","   ◆ Q-A",IF($P188="Quinzaine B","   ◆ Q-B",IF($P188="Exception","   ◆ PONCTUEL","")))&amp;CHAR(10)&amp;$K188&amp;CHAR(10)&amp;$M188&amp;IF($N188&lt;&gt;"",CHAR(10)&amp;"Salle "&amp;$N188,"")&amp;IF($O188="En ligne",CHAR(10)&amp;"◆ EN LIGNE","")&amp;IF($R188&lt;&gt;"",CHAR(10)&amp;$R188,"")</f>
        <v/>
      </c>
      <c r="Y188" s="45" t="inlineStr">
        <is>
          <t>9h-10h30 Anglais (Bassma)</t>
        </is>
      </c>
      <c r="Z188" s="45" t="inlineStr">
        <is>
          <t>du 21-09 jusquà le 27-09!M44</t>
        </is>
      </c>
    </row>
    <row r="189" ht="15" customHeight="1">
      <c r="A189" s="10" t="inlineStr">
        <is>
          <t>S2</t>
        </is>
      </c>
      <c r="B189" s="9" t="inlineStr">
        <is>
          <t>du 21 au 27 septembre 2026</t>
        </is>
      </c>
      <c r="C189" s="10" t="inlineStr">
        <is>
          <t>B</t>
        </is>
      </c>
      <c r="D189" s="41" t="n">
        <v>46292</v>
      </c>
      <c r="E189" s="10" t="inlineStr">
        <is>
          <t>Dimanche</t>
        </is>
      </c>
      <c r="F189" s="42" t="n">
        <v>0.7083333333333334</v>
      </c>
      <c r="G189" s="42" t="n">
        <v>0.7708333333333334</v>
      </c>
      <c r="H189" s="43">
        <f>IF(OR($F189="",$G189=""),"",($G189-$F189)*24)</f>
        <v/>
      </c>
      <c r="I189" s="10" t="inlineStr">
        <is>
          <t>Collège</t>
        </is>
      </c>
      <c r="J189" s="9" t="inlineStr">
        <is>
          <t>9éme (B)</t>
        </is>
      </c>
      <c r="K189" s="9" t="inlineStr">
        <is>
          <t>Français</t>
        </is>
      </c>
      <c r="L189" s="9" t="inlineStr">
        <is>
          <t>Français</t>
        </is>
      </c>
      <c r="M189" s="9" t="inlineStr">
        <is>
          <t>Nassima</t>
        </is>
      </c>
      <c r="N189" s="10" t="n"/>
      <c r="O189" s="10" t="n"/>
      <c r="P189" s="10" t="inlineStr">
        <is>
          <t>Hebdomadaire</t>
        </is>
      </c>
      <c r="Q189" s="9" t="inlineStr">
        <is>
          <t>Original (septembre)</t>
        </is>
      </c>
      <c r="R189" s="9" t="inlineStr"/>
      <c r="S189" s="44">
        <f>IF($M189="","",IF(SUMPRODUCT(($D$4:$D$704=$D189)*($M$4:$M$704=$M189)*($F$4:$F$704&lt;$G189)*($G$4:$G$704&gt;$F189))&gt;1,"⚠ CONFLIT",""))</f>
        <v/>
      </c>
      <c r="T189" s="44">
        <f>IF($J189="","",IF(SUMPRODUCT(($D$4:$D$704=$D189)*($J$4:$J$704=$J189)*($F$4:$F$704&lt;$G189)*($G$4:$G$704&gt;$F189))&gt;1,"⚠ CONFLIT",""))</f>
        <v/>
      </c>
      <c r="U189" s="44">
        <f>IF(COUNTIFS($D$4:$D$704,$D189,$J$4:$J$704,$J189,$F$4:$F$704,$F189,$K$4:$K$704,$K189)&gt;1,"⚠ DOUBLON","")</f>
        <v/>
      </c>
      <c r="V189" s="44">
        <f>COUNTIFS($A$4:$A189,$A189,$J$4:$J189,$J189,$E$4:$E189,$E189)</f>
        <v/>
      </c>
      <c r="W189" s="45">
        <f>$A189&amp;"|"&amp;$J189&amp;"|"&amp;$E189&amp;"|"&amp;$V189</f>
        <v/>
      </c>
      <c r="X189" s="46">
        <f>TEXT($F189,"hh:mm")&amp;" - "&amp;TEXT($G189,"hh:mm")&amp;IF($P189="Quinzaine A","   ◆ Q-A",IF($P189="Quinzaine B","   ◆ Q-B",IF($P189="Exception","   ◆ PONCTUEL","")))&amp;CHAR(10)&amp;$K189&amp;CHAR(10)&amp;$M189&amp;IF($N189&lt;&gt;"",CHAR(10)&amp;"Salle "&amp;$N189,"")&amp;IF($O189="En ligne",CHAR(10)&amp;"◆ EN LIGNE","")&amp;IF($R189&lt;&gt;"",CHAR(10)&amp;$R189,"")</f>
        <v/>
      </c>
      <c r="Y189" s="45" t="inlineStr">
        <is>
          <t>17h-18h30 Français (Nassima)</t>
        </is>
      </c>
      <c r="Z189" s="45" t="inlineStr">
        <is>
          <t>du 21-09 jusquà le 27-09!M46</t>
        </is>
      </c>
    </row>
    <row r="190" ht="15" customHeight="1">
      <c r="A190" s="10" t="inlineStr">
        <is>
          <t>S2</t>
        </is>
      </c>
      <c r="B190" s="9" t="inlineStr">
        <is>
          <t>du 21 au 27 septembre 2026</t>
        </is>
      </c>
      <c r="C190" s="10" t="inlineStr">
        <is>
          <t>B</t>
        </is>
      </c>
      <c r="D190" s="41" t="n">
        <v>46292</v>
      </c>
      <c r="E190" s="10" t="inlineStr">
        <is>
          <t>Dimanche</t>
        </is>
      </c>
      <c r="F190" s="42" t="n">
        <v>0.375</v>
      </c>
      <c r="G190" s="42" t="n">
        <v>0.4375</v>
      </c>
      <c r="H190" s="43">
        <f>IF(OR($F190="",$G190=""),"",($G190-$F190)*24)</f>
        <v/>
      </c>
      <c r="I190" s="10" t="inlineStr">
        <is>
          <t>Secondaire</t>
        </is>
      </c>
      <c r="J190" s="9" t="inlineStr">
        <is>
          <t>1ére (A)</t>
        </is>
      </c>
      <c r="K190" s="9" t="inlineStr">
        <is>
          <t>Physique</t>
        </is>
      </c>
      <c r="L190" s="9" t="inlineStr">
        <is>
          <t>Physique</t>
        </is>
      </c>
      <c r="M190" s="9" t="inlineStr">
        <is>
          <t>Refka</t>
        </is>
      </c>
      <c r="N190" s="10" t="n"/>
      <c r="O190" s="10" t="n"/>
      <c r="P190" s="10" t="inlineStr">
        <is>
          <t>Hebdomadaire</t>
        </is>
      </c>
      <c r="Q190" s="9" t="inlineStr">
        <is>
          <t>Original (septembre)</t>
        </is>
      </c>
      <c r="R190" s="9" t="inlineStr"/>
      <c r="S190" s="44">
        <f>IF($M190="","",IF(SUMPRODUCT(($D$4:$D$704=$D190)*($M$4:$M$704=$M190)*($F$4:$F$704&lt;$G190)*($G$4:$G$704&gt;$F190))&gt;1,"⚠ CONFLIT",""))</f>
        <v/>
      </c>
      <c r="T190" s="44">
        <f>IF($J190="","",IF(SUMPRODUCT(($D$4:$D$704=$D190)*($J$4:$J$704=$J190)*($F$4:$F$704&lt;$G190)*($G$4:$G$704&gt;$F190))&gt;1,"⚠ CONFLIT",""))</f>
        <v/>
      </c>
      <c r="U190" s="44">
        <f>IF(COUNTIFS($D$4:$D$704,$D190,$J$4:$J$704,$J190,$F$4:$F$704,$F190,$K$4:$K$704,$K190)&gt;1,"⚠ DOUBLON","")</f>
        <v/>
      </c>
      <c r="V190" s="44">
        <f>COUNTIFS($A$4:$A190,$A190,$J$4:$J190,$J190,$E$4:$E190,$E190)</f>
        <v/>
      </c>
      <c r="W190" s="45">
        <f>$A190&amp;"|"&amp;$J190&amp;"|"&amp;$E190&amp;"|"&amp;$V190</f>
        <v/>
      </c>
      <c r="X190" s="46">
        <f>TEXT($F190,"hh:mm")&amp;" - "&amp;TEXT($G190,"hh:mm")&amp;IF($P190="Quinzaine A","   ◆ Q-A",IF($P190="Quinzaine B","   ◆ Q-B",IF($P190="Exception","   ◆ PONCTUEL","")))&amp;CHAR(10)&amp;$K190&amp;CHAR(10)&amp;$M190&amp;IF($N190&lt;&gt;"",CHAR(10)&amp;"Salle "&amp;$N190,"")&amp;IF($O190="En ligne",CHAR(10)&amp;"◆ EN LIGNE","")&amp;IF($R190&lt;&gt;"",CHAR(10)&amp;$R190,"")</f>
        <v/>
      </c>
      <c r="Y190" s="45" t="inlineStr">
        <is>
          <t>9h-10h30 Physique (Refka)</t>
        </is>
      </c>
      <c r="Z190" s="45" t="inlineStr">
        <is>
          <t>du 21-09 jusquà le 27-09!M49</t>
        </is>
      </c>
    </row>
    <row r="191" ht="15" customHeight="1">
      <c r="A191" s="10" t="inlineStr">
        <is>
          <t>S2</t>
        </is>
      </c>
      <c r="B191" s="9" t="inlineStr">
        <is>
          <t>du 21 au 27 septembre 2026</t>
        </is>
      </c>
      <c r="C191" s="10" t="inlineStr">
        <is>
          <t>B</t>
        </is>
      </c>
      <c r="D191" s="41" t="n">
        <v>46292</v>
      </c>
      <c r="E191" s="10" t="inlineStr">
        <is>
          <t>Dimanche</t>
        </is>
      </c>
      <c r="F191" s="42" t="n">
        <v>0.4375</v>
      </c>
      <c r="G191" s="42" t="n">
        <v>0.5</v>
      </c>
      <c r="H191" s="43">
        <f>IF(OR($F191="",$G191=""),"",($G191-$F191)*24)</f>
        <v/>
      </c>
      <c r="I191" s="10" t="inlineStr">
        <is>
          <t>Secondaire</t>
        </is>
      </c>
      <c r="J191" s="9" t="inlineStr">
        <is>
          <t>1ére (B)</t>
        </is>
      </c>
      <c r="K191" s="9" t="inlineStr">
        <is>
          <t>Physique</t>
        </is>
      </c>
      <c r="L191" s="9" t="inlineStr">
        <is>
          <t>Physique</t>
        </is>
      </c>
      <c r="M191" s="9" t="inlineStr">
        <is>
          <t>Refka</t>
        </is>
      </c>
      <c r="N191" s="10" t="n"/>
      <c r="O191" s="10" t="n"/>
      <c r="P191" s="10" t="inlineStr">
        <is>
          <t>Hebdomadaire</t>
        </is>
      </c>
      <c r="Q191" s="9" t="inlineStr">
        <is>
          <t>Original (septembre)</t>
        </is>
      </c>
      <c r="R191" s="9" t="inlineStr"/>
      <c r="S191" s="44">
        <f>IF($M191="","",IF(SUMPRODUCT(($D$4:$D$704=$D191)*($M$4:$M$704=$M191)*($F$4:$F$704&lt;$G191)*($G$4:$G$704&gt;$F191))&gt;1,"⚠ CONFLIT",""))</f>
        <v/>
      </c>
      <c r="T191" s="44">
        <f>IF($J191="","",IF(SUMPRODUCT(($D$4:$D$704=$D191)*($J$4:$J$704=$J191)*($F$4:$F$704&lt;$G191)*($G$4:$G$704&gt;$F191))&gt;1,"⚠ CONFLIT",""))</f>
        <v/>
      </c>
      <c r="U191" s="44">
        <f>IF(COUNTIFS($D$4:$D$704,$D191,$J$4:$J$704,$J191,$F$4:$F$704,$F191,$K$4:$K$704,$K191)&gt;1,"⚠ DOUBLON","")</f>
        <v/>
      </c>
      <c r="V191" s="44">
        <f>COUNTIFS($A$4:$A191,$A191,$J$4:$J191,$J191,$E$4:$E191,$E191)</f>
        <v/>
      </c>
      <c r="W191" s="45">
        <f>$A191&amp;"|"&amp;$J191&amp;"|"&amp;$E191&amp;"|"&amp;$V191</f>
        <v/>
      </c>
      <c r="X191" s="46">
        <f>TEXT($F191,"hh:mm")&amp;" - "&amp;TEXT($G191,"hh:mm")&amp;IF($P191="Quinzaine A","   ◆ Q-A",IF($P191="Quinzaine B","   ◆ Q-B",IF($P191="Exception","   ◆ PONCTUEL","")))&amp;CHAR(10)&amp;$K191&amp;CHAR(10)&amp;$M191&amp;IF($N191&lt;&gt;"",CHAR(10)&amp;"Salle "&amp;$N191,"")&amp;IF($O191="En ligne",CHAR(10)&amp;"◆ EN LIGNE","")&amp;IF($R191&lt;&gt;"",CHAR(10)&amp;$R191,"")</f>
        <v/>
      </c>
      <c r="Y191" s="45" t="inlineStr">
        <is>
          <t>10h30-12h Physique (Refka)</t>
        </is>
      </c>
      <c r="Z191" s="45" t="inlineStr">
        <is>
          <t>du 21-09 jusquà le 27-09!M54</t>
        </is>
      </c>
    </row>
    <row r="192" ht="15" customHeight="1">
      <c r="A192" s="10" t="inlineStr">
        <is>
          <t>S2</t>
        </is>
      </c>
      <c r="B192" s="9" t="inlineStr">
        <is>
          <t>du 21 au 27 septembre 2026</t>
        </is>
      </c>
      <c r="C192" s="10" t="inlineStr">
        <is>
          <t>B</t>
        </is>
      </c>
      <c r="D192" s="41" t="n">
        <v>46292</v>
      </c>
      <c r="E192" s="10" t="inlineStr">
        <is>
          <t>Dimanche</t>
        </is>
      </c>
      <c r="F192" s="42" t="n">
        <v>0.5416666666666666</v>
      </c>
      <c r="G192" s="42" t="n">
        <v>0.6041666666666666</v>
      </c>
      <c r="H192" s="43">
        <f>IF(OR($F192="",$G192=""),"",($G192-$F192)*24)</f>
        <v/>
      </c>
      <c r="I192" s="10" t="inlineStr">
        <is>
          <t>Secondaire</t>
        </is>
      </c>
      <c r="J192" s="9" t="inlineStr">
        <is>
          <t>1ére (B)</t>
        </is>
      </c>
      <c r="K192" s="9" t="inlineStr">
        <is>
          <t>SVT</t>
        </is>
      </c>
      <c r="L192" s="9" t="inlineStr">
        <is>
          <t>SVT</t>
        </is>
      </c>
      <c r="M192" s="9" t="inlineStr">
        <is>
          <t>Imen Ghoumem</t>
        </is>
      </c>
      <c r="N192" s="10" t="n"/>
      <c r="O192" s="10" t="n"/>
      <c r="P192" s="10" t="inlineStr">
        <is>
          <t>Quinzaine B</t>
        </is>
      </c>
      <c r="Q192" s="9" t="inlineStr">
        <is>
          <t>Original (septembre)</t>
        </is>
      </c>
      <c r="R192" s="9" t="inlineStr"/>
      <c r="S192" s="44">
        <f>IF($M192="","",IF(SUMPRODUCT(($D$4:$D$704=$D192)*($M$4:$M$704=$M192)*($F$4:$F$704&lt;$G192)*($G$4:$G$704&gt;$F192))&gt;1,"⚠ CONFLIT",""))</f>
        <v/>
      </c>
      <c r="T192" s="44">
        <f>IF($J192="","",IF(SUMPRODUCT(($D$4:$D$704=$D192)*($J$4:$J$704=$J192)*($F$4:$F$704&lt;$G192)*($G$4:$G$704&gt;$F192))&gt;1,"⚠ CONFLIT",""))</f>
        <v/>
      </c>
      <c r="U192" s="44">
        <f>IF(COUNTIFS($D$4:$D$704,$D192,$J$4:$J$704,$J192,$F$4:$F$704,$F192,$K$4:$K$704,$K192)&gt;1,"⚠ DOUBLON","")</f>
        <v/>
      </c>
      <c r="V192" s="44">
        <f>COUNTIFS($A$4:$A192,$A192,$J$4:$J192,$J192,$E$4:$E192,$E192)</f>
        <v/>
      </c>
      <c r="W192" s="45">
        <f>$A192&amp;"|"&amp;$J192&amp;"|"&amp;$E192&amp;"|"&amp;$V192</f>
        <v/>
      </c>
      <c r="X192" s="46">
        <f>TEXT($F192,"hh:mm")&amp;" - "&amp;TEXT($G192,"hh:mm")&amp;IF($P192="Quinzaine A","   ◆ Q-A",IF($P192="Quinzaine B","   ◆ Q-B",IF($P192="Exception","   ◆ PONCTUEL","")))&amp;CHAR(10)&amp;$K192&amp;CHAR(10)&amp;$M192&amp;IF($N192&lt;&gt;"",CHAR(10)&amp;"Salle "&amp;$N192,"")&amp;IF($O192="En ligne",CHAR(10)&amp;"◆ EN LIGNE","")&amp;IF($R192&lt;&gt;"",CHAR(10)&amp;$R192,"")</f>
        <v/>
      </c>
      <c r="Y192" s="45" t="inlineStr">
        <is>
          <t>13h-14h30 SVT (Imen Ghoumem)/Par quizaine</t>
        </is>
      </c>
      <c r="Z192" s="45" t="inlineStr">
        <is>
          <t>du 21-09 jusquà le 27-09!M57</t>
        </is>
      </c>
    </row>
    <row r="193" ht="15" customHeight="1">
      <c r="A193" s="10" t="inlineStr">
        <is>
          <t>S2</t>
        </is>
      </c>
      <c r="B193" s="9" t="inlineStr">
        <is>
          <t>du 21 au 27 septembre 2026</t>
        </is>
      </c>
      <c r="C193" s="10" t="inlineStr">
        <is>
          <t>B</t>
        </is>
      </c>
      <c r="D193" s="41" t="n">
        <v>46292</v>
      </c>
      <c r="E193" s="10" t="inlineStr">
        <is>
          <t>Dimanche</t>
        </is>
      </c>
      <c r="F193" s="42" t="n">
        <v>0.375</v>
      </c>
      <c r="G193" s="42" t="n">
        <v>0.4375</v>
      </c>
      <c r="H193" s="43">
        <f>IF(OR($F193="",$G193=""),"",($G193-$F193)*24)</f>
        <v/>
      </c>
      <c r="I193" s="10" t="inlineStr">
        <is>
          <t>Secondaire</t>
        </is>
      </c>
      <c r="J193" s="9" t="inlineStr">
        <is>
          <t>2éme Eco</t>
        </is>
      </c>
      <c r="K193" s="9" t="inlineStr">
        <is>
          <t>Eco</t>
        </is>
      </c>
      <c r="L193" s="9" t="inlineStr">
        <is>
          <t>Eco</t>
        </is>
      </c>
      <c r="M193" s="9" t="inlineStr">
        <is>
          <t>Rym</t>
        </is>
      </c>
      <c r="N193" s="10" t="n"/>
      <c r="O193" s="10" t="n"/>
      <c r="P193" s="10" t="inlineStr">
        <is>
          <t>Hebdomadaire</t>
        </is>
      </c>
      <c r="Q193" s="9" t="inlineStr">
        <is>
          <t>Original (septembre)</t>
        </is>
      </c>
      <c r="R193" s="9" t="inlineStr"/>
      <c r="S193" s="44">
        <f>IF($M193="","",IF(SUMPRODUCT(($D$4:$D$704=$D193)*($M$4:$M$704=$M193)*($F$4:$F$704&lt;$G193)*($G$4:$G$704&gt;$F193))&gt;1,"⚠ CONFLIT",""))</f>
        <v/>
      </c>
      <c r="T193" s="44">
        <f>IF($J193="","",IF(SUMPRODUCT(($D$4:$D$704=$D193)*($J$4:$J$704=$J193)*($F$4:$F$704&lt;$G193)*($G$4:$G$704&gt;$F193))&gt;1,"⚠ CONFLIT",""))</f>
        <v/>
      </c>
      <c r="U193" s="44">
        <f>IF(COUNTIFS($D$4:$D$704,$D193,$J$4:$J$704,$J193,$F$4:$F$704,$F193,$K$4:$K$704,$K193)&gt;1,"⚠ DOUBLON","")</f>
        <v/>
      </c>
      <c r="V193" s="44">
        <f>COUNTIFS($A$4:$A193,$A193,$J$4:$J193,$J193,$E$4:$E193,$E193)</f>
        <v/>
      </c>
      <c r="W193" s="45">
        <f>$A193&amp;"|"&amp;$J193&amp;"|"&amp;$E193&amp;"|"&amp;$V193</f>
        <v/>
      </c>
      <c r="X193" s="46">
        <f>TEXT($F193,"hh:mm")&amp;" - "&amp;TEXT($G193,"hh:mm")&amp;IF($P193="Quinzaine A","   ◆ Q-A",IF($P193="Quinzaine B","   ◆ Q-B",IF($P193="Exception","   ◆ PONCTUEL","")))&amp;CHAR(10)&amp;$K193&amp;CHAR(10)&amp;$M193&amp;IF($N193&lt;&gt;"",CHAR(10)&amp;"Salle "&amp;$N193,"")&amp;IF($O193="En ligne",CHAR(10)&amp;"◆ EN LIGNE","")&amp;IF($R193&lt;&gt;"",CHAR(10)&amp;$R193,"")</f>
        <v/>
      </c>
      <c r="Y193" s="45" t="inlineStr">
        <is>
          <t>9h-10h30 Eco (Rym)</t>
        </is>
      </c>
      <c r="Z193" s="45" t="inlineStr">
        <is>
          <t>du 21-09 jusquà le 27-09!M60</t>
        </is>
      </c>
    </row>
    <row r="194" ht="15" customHeight="1">
      <c r="A194" s="10" t="inlineStr">
        <is>
          <t>S2</t>
        </is>
      </c>
      <c r="B194" s="9" t="inlineStr">
        <is>
          <t>du 21 au 27 septembre 2026</t>
        </is>
      </c>
      <c r="C194" s="10" t="inlineStr">
        <is>
          <t>B</t>
        </is>
      </c>
      <c r="D194" s="41" t="n">
        <v>46292</v>
      </c>
      <c r="E194" s="10" t="inlineStr">
        <is>
          <t>Dimanche</t>
        </is>
      </c>
      <c r="F194" s="42" t="n">
        <v>0.5</v>
      </c>
      <c r="G194" s="42" t="n">
        <v>0.5625</v>
      </c>
      <c r="H194" s="43">
        <f>IF(OR($F194="",$G194=""),"",($G194-$F194)*24)</f>
        <v/>
      </c>
      <c r="I194" s="10" t="inlineStr">
        <is>
          <t>Secondaire</t>
        </is>
      </c>
      <c r="J194" s="9" t="inlineStr">
        <is>
          <t>2éme SCE</t>
        </is>
      </c>
      <c r="K194" s="9" t="inlineStr">
        <is>
          <t>Physique</t>
        </is>
      </c>
      <c r="L194" s="9" t="inlineStr">
        <is>
          <t>Physique</t>
        </is>
      </c>
      <c r="M194" s="9" t="inlineStr">
        <is>
          <t>Refka</t>
        </is>
      </c>
      <c r="N194" s="10" t="n"/>
      <c r="O194" s="10" t="n"/>
      <c r="P194" s="10" t="inlineStr">
        <is>
          <t>Hebdomadaire</t>
        </is>
      </c>
      <c r="Q194" s="9" t="inlineStr">
        <is>
          <t>Original (septembre)</t>
        </is>
      </c>
      <c r="R194" s="9" t="inlineStr"/>
      <c r="S194" s="44">
        <f>IF($M194="","",IF(SUMPRODUCT(($D$4:$D$704=$D194)*($M$4:$M$704=$M194)*($F$4:$F$704&lt;$G194)*($G$4:$G$704&gt;$F194))&gt;1,"⚠ CONFLIT",""))</f>
        <v/>
      </c>
      <c r="T194" s="44">
        <f>IF($J194="","",IF(SUMPRODUCT(($D$4:$D$704=$D194)*($J$4:$J$704=$J194)*($F$4:$F$704&lt;$G194)*($G$4:$G$704&gt;$F194))&gt;1,"⚠ CONFLIT",""))</f>
        <v/>
      </c>
      <c r="U194" s="44">
        <f>IF(COUNTIFS($D$4:$D$704,$D194,$J$4:$J$704,$J194,$F$4:$F$704,$F194,$K$4:$K$704,$K194)&gt;1,"⚠ DOUBLON","")</f>
        <v/>
      </c>
      <c r="V194" s="44">
        <f>COUNTIFS($A$4:$A194,$A194,$J$4:$J194,$J194,$E$4:$E194,$E194)</f>
        <v/>
      </c>
      <c r="W194" s="45">
        <f>$A194&amp;"|"&amp;$J194&amp;"|"&amp;$E194&amp;"|"&amp;$V194</f>
        <v/>
      </c>
      <c r="X194" s="46">
        <f>TEXT($F194,"hh:mm")&amp;" - "&amp;TEXT($G194,"hh:mm")&amp;IF($P194="Quinzaine A","   ◆ Q-A",IF($P194="Quinzaine B","   ◆ Q-B",IF($P194="Exception","   ◆ PONCTUEL","")))&amp;CHAR(10)&amp;$K194&amp;CHAR(10)&amp;$M194&amp;IF($N194&lt;&gt;"",CHAR(10)&amp;"Salle "&amp;$N194,"")&amp;IF($O194="En ligne",CHAR(10)&amp;"◆ EN LIGNE","")&amp;IF($R194&lt;&gt;"",CHAR(10)&amp;$R194,"")</f>
        <v/>
      </c>
      <c r="Y194" s="45" t="inlineStr">
        <is>
          <t>12h-13h30 Physique (Refka)</t>
        </is>
      </c>
      <c r="Z194" s="45" t="inlineStr">
        <is>
          <t>du 21-09 jusquà le 27-09!M62</t>
        </is>
      </c>
    </row>
    <row r="195" ht="15" customHeight="1">
      <c r="A195" s="10" t="inlineStr">
        <is>
          <t>S2</t>
        </is>
      </c>
      <c r="B195" s="9" t="inlineStr">
        <is>
          <t>du 21 au 27 septembre 2026</t>
        </is>
      </c>
      <c r="C195" s="10" t="inlineStr">
        <is>
          <t>B</t>
        </is>
      </c>
      <c r="D195" s="41" t="n">
        <v>46292</v>
      </c>
      <c r="E195" s="10" t="inlineStr">
        <is>
          <t>Dimanche</t>
        </is>
      </c>
      <c r="F195" s="42" t="n">
        <v>0.4375</v>
      </c>
      <c r="G195" s="42" t="n">
        <v>0.5</v>
      </c>
      <c r="H195" s="43">
        <f>IF(OR($F195="",$G195=""),"",($G195-$F195)*24)</f>
        <v/>
      </c>
      <c r="I195" s="10" t="inlineStr">
        <is>
          <t>Secondaire</t>
        </is>
      </c>
      <c r="J195" s="9" t="inlineStr">
        <is>
          <t>3éme Eco</t>
        </is>
      </c>
      <c r="K195" s="9" t="inlineStr">
        <is>
          <t>Eco</t>
        </is>
      </c>
      <c r="L195" s="9" t="inlineStr">
        <is>
          <t>Eco</t>
        </is>
      </c>
      <c r="M195" s="9" t="inlineStr">
        <is>
          <t>Rym</t>
        </is>
      </c>
      <c r="N195" s="10" t="n"/>
      <c r="O195" s="10" t="n"/>
      <c r="P195" s="10" t="inlineStr">
        <is>
          <t>Hebdomadaire</t>
        </is>
      </c>
      <c r="Q195" s="9" t="inlineStr">
        <is>
          <t>Original (septembre)</t>
        </is>
      </c>
      <c r="R195" s="9" t="inlineStr"/>
      <c r="S195" s="44">
        <f>IF($M195="","",IF(SUMPRODUCT(($D$4:$D$704=$D195)*($M$4:$M$704=$M195)*($F$4:$F$704&lt;$G195)*($G$4:$G$704&gt;$F195))&gt;1,"⚠ CONFLIT",""))</f>
        <v/>
      </c>
      <c r="T195" s="44">
        <f>IF($J195="","",IF(SUMPRODUCT(($D$4:$D$704=$D195)*($J$4:$J$704=$J195)*($F$4:$F$704&lt;$G195)*($G$4:$G$704&gt;$F195))&gt;1,"⚠ CONFLIT",""))</f>
        <v/>
      </c>
      <c r="U195" s="44">
        <f>IF(COUNTIFS($D$4:$D$704,$D195,$J$4:$J$704,$J195,$F$4:$F$704,$F195,$K$4:$K$704,$K195)&gt;1,"⚠ DOUBLON","")</f>
        <v/>
      </c>
      <c r="V195" s="44">
        <f>COUNTIFS($A$4:$A195,$A195,$J$4:$J195,$J195,$E$4:$E195,$E195)</f>
        <v/>
      </c>
      <c r="W195" s="45">
        <f>$A195&amp;"|"&amp;$J195&amp;"|"&amp;$E195&amp;"|"&amp;$V195</f>
        <v/>
      </c>
      <c r="X195" s="46">
        <f>TEXT($F195,"hh:mm")&amp;" - "&amp;TEXT($G195,"hh:mm")&amp;IF($P195="Quinzaine A","   ◆ Q-A",IF($P195="Quinzaine B","   ◆ Q-B",IF($P195="Exception","   ◆ PONCTUEL","")))&amp;CHAR(10)&amp;$K195&amp;CHAR(10)&amp;$M195&amp;IF($N195&lt;&gt;"",CHAR(10)&amp;"Salle "&amp;$N195,"")&amp;IF($O195="En ligne",CHAR(10)&amp;"◆ EN LIGNE","")&amp;IF($R195&lt;&gt;"",CHAR(10)&amp;$R195,"")</f>
        <v/>
      </c>
      <c r="Y195" s="45" t="inlineStr">
        <is>
          <t>10h30-12h Eco (Rym)</t>
        </is>
      </c>
      <c r="Z195" s="45" t="inlineStr">
        <is>
          <t>du 21-09 jusquà le 27-09!M68</t>
        </is>
      </c>
    </row>
    <row r="196" ht="15" customHeight="1">
      <c r="A196" s="10" t="inlineStr">
        <is>
          <t>S2</t>
        </is>
      </c>
      <c r="B196" s="9" t="inlineStr">
        <is>
          <t>du 21 au 27 septembre 2026</t>
        </is>
      </c>
      <c r="C196" s="10" t="inlineStr">
        <is>
          <t>B</t>
        </is>
      </c>
      <c r="D196" s="41" t="n">
        <v>46292</v>
      </c>
      <c r="E196" s="10" t="inlineStr">
        <is>
          <t>Dimanche</t>
        </is>
      </c>
      <c r="F196" s="42" t="n">
        <v>0.6666666666666666</v>
      </c>
      <c r="G196" s="42" t="n">
        <v>0.7291666666666666</v>
      </c>
      <c r="H196" s="43">
        <f>IF(OR($F196="",$G196=""),"",($G196-$F196)*24)</f>
        <v/>
      </c>
      <c r="I196" s="10" t="inlineStr">
        <is>
          <t>Secondaire</t>
        </is>
      </c>
      <c r="J196" s="9" t="inlineStr">
        <is>
          <t>3éme Eco</t>
        </is>
      </c>
      <c r="K196" s="9" t="inlineStr">
        <is>
          <t>Math</t>
        </is>
      </c>
      <c r="L196" s="9" t="inlineStr">
        <is>
          <t>Math</t>
        </is>
      </c>
      <c r="M196" s="9" t="inlineStr">
        <is>
          <t>Lotfi</t>
        </is>
      </c>
      <c r="N196" s="10" t="n"/>
      <c r="O196" s="10" t="n"/>
      <c r="P196" s="10" t="inlineStr">
        <is>
          <t>Hebdomadaire</t>
        </is>
      </c>
      <c r="Q196" s="9" t="inlineStr">
        <is>
          <t>Original (septembre)</t>
        </is>
      </c>
      <c r="R196" s="9" t="inlineStr"/>
      <c r="S196" s="44">
        <f>IF($M196="","",IF(SUMPRODUCT(($D$4:$D$704=$D196)*($M$4:$M$704=$M196)*($F$4:$F$704&lt;$G196)*($G$4:$G$704&gt;$F196))&gt;1,"⚠ CONFLIT",""))</f>
        <v/>
      </c>
      <c r="T196" s="44">
        <f>IF($J196="","",IF(SUMPRODUCT(($D$4:$D$704=$D196)*($J$4:$J$704=$J196)*($F$4:$F$704&lt;$G196)*($G$4:$G$704&gt;$F196))&gt;1,"⚠ CONFLIT",""))</f>
        <v/>
      </c>
      <c r="U196" s="44">
        <f>IF(COUNTIFS($D$4:$D$704,$D196,$J$4:$J$704,$J196,$F$4:$F$704,$F196,$K$4:$K$704,$K196)&gt;1,"⚠ DOUBLON","")</f>
        <v/>
      </c>
      <c r="V196" s="44">
        <f>COUNTIFS($A$4:$A196,$A196,$J$4:$J196,$J196,$E$4:$E196,$E196)</f>
        <v/>
      </c>
      <c r="W196" s="45">
        <f>$A196&amp;"|"&amp;$J196&amp;"|"&amp;$E196&amp;"|"&amp;$V196</f>
        <v/>
      </c>
      <c r="X196" s="46">
        <f>TEXT($F196,"hh:mm")&amp;" - "&amp;TEXT($G196,"hh:mm")&amp;IF($P196="Quinzaine A","   ◆ Q-A",IF($P196="Quinzaine B","   ◆ Q-B",IF($P196="Exception","   ◆ PONCTUEL","")))&amp;CHAR(10)&amp;$K196&amp;CHAR(10)&amp;$M196&amp;IF($N196&lt;&gt;"",CHAR(10)&amp;"Salle "&amp;$N196,"")&amp;IF($O196="En ligne",CHAR(10)&amp;"◆ EN LIGNE","")&amp;IF($R196&lt;&gt;"",CHAR(10)&amp;$R196,"")</f>
        <v/>
      </c>
      <c r="Y196" s="45" t="inlineStr">
        <is>
          <t>16h-17h30 Math (Lotfi)</t>
        </is>
      </c>
      <c r="Z196" s="45" t="inlineStr">
        <is>
          <t>du 21-09 jusquà le 27-09!M67</t>
        </is>
      </c>
    </row>
    <row r="197" ht="15" customHeight="1">
      <c r="A197" s="10" t="inlineStr">
        <is>
          <t>S2</t>
        </is>
      </c>
      <c r="B197" s="9" t="inlineStr">
        <is>
          <t>du 21 au 27 septembre 2026</t>
        </is>
      </c>
      <c r="C197" s="10" t="inlineStr">
        <is>
          <t>B</t>
        </is>
      </c>
      <c r="D197" s="41" t="n">
        <v>46292</v>
      </c>
      <c r="E197" s="10" t="inlineStr">
        <is>
          <t>Dimanche</t>
        </is>
      </c>
      <c r="F197" s="42" t="n">
        <v>0.6458333333333334</v>
      </c>
      <c r="G197" s="42" t="n">
        <v>0.7291666666666666</v>
      </c>
      <c r="H197" s="43">
        <f>IF(OR($F197="",$G197=""),"",($G197-$F197)*24)</f>
        <v/>
      </c>
      <c r="I197" s="10" t="inlineStr">
        <is>
          <t>Secondaire</t>
        </is>
      </c>
      <c r="J197" s="9" t="inlineStr">
        <is>
          <t>3éme INFO</t>
        </is>
      </c>
      <c r="K197" s="9" t="inlineStr">
        <is>
          <t>STI</t>
        </is>
      </c>
      <c r="L197" s="9" t="inlineStr">
        <is>
          <t>STI</t>
        </is>
      </c>
      <c r="M197" s="9" t="inlineStr">
        <is>
          <t>Aymen</t>
        </is>
      </c>
      <c r="N197" s="10" t="n"/>
      <c r="O197" s="10" t="n"/>
      <c r="P197" s="10" t="inlineStr">
        <is>
          <t>Ponctuelle / modifiée</t>
        </is>
      </c>
      <c r="Q197" s="9" t="inlineStr">
        <is>
          <t>Original (septembre)</t>
        </is>
      </c>
      <c r="R197" s="9" t="inlineStr"/>
      <c r="S197" s="44">
        <f>IF($M197="","",IF(SUMPRODUCT(($D$4:$D$704=$D197)*($M$4:$M$704=$M197)*($F$4:$F$704&lt;$G197)*($G$4:$G$704&gt;$F197))&gt;1,"⚠ CONFLIT",""))</f>
        <v/>
      </c>
      <c r="T197" s="44">
        <f>IF($J197="","",IF(SUMPRODUCT(($D$4:$D$704=$D197)*($J$4:$J$704=$J197)*($F$4:$F$704&lt;$G197)*($G$4:$G$704&gt;$F197))&gt;1,"⚠ CONFLIT",""))</f>
        <v/>
      </c>
      <c r="U197" s="44">
        <f>IF(COUNTIFS($D$4:$D$704,$D197,$J$4:$J$704,$J197,$F$4:$F$704,$F197,$K$4:$K$704,$K197)&gt;1,"⚠ DOUBLON","")</f>
        <v/>
      </c>
      <c r="V197" s="44">
        <f>COUNTIFS($A$4:$A197,$A197,$J$4:$J197,$J197,$E$4:$E197,$E197)</f>
        <v/>
      </c>
      <c r="W197" s="45">
        <f>$A197&amp;"|"&amp;$J197&amp;"|"&amp;$E197&amp;"|"&amp;$V197</f>
        <v/>
      </c>
      <c r="X197" s="46">
        <f>TEXT($F197,"hh:mm")&amp;" - "&amp;TEXT($G197,"hh:mm")&amp;IF($P197="Quinzaine A","   ◆ Q-A",IF($P197="Quinzaine B","   ◆ Q-B",IF($P197="Exception","   ◆ PONCTUEL","")))&amp;CHAR(10)&amp;$K197&amp;CHAR(10)&amp;$M197&amp;IF($N197&lt;&gt;"",CHAR(10)&amp;"Salle "&amp;$N197,"")&amp;IF($O197="En ligne",CHAR(10)&amp;"◆ EN LIGNE","")&amp;IF($R197&lt;&gt;"",CHAR(10)&amp;$R197,"")</f>
        <v/>
      </c>
      <c r="Y197" s="45" t="inlineStr">
        <is>
          <t>15h30-17h30 STI (Aymen)</t>
        </is>
      </c>
      <c r="Z197" s="45" t="inlineStr">
        <is>
          <t>du 21-09 jusquà le 27-09!M71</t>
        </is>
      </c>
    </row>
    <row r="198" ht="15" customHeight="1">
      <c r="A198" s="10" t="inlineStr">
        <is>
          <t>S2</t>
        </is>
      </c>
      <c r="B198" s="9" t="inlineStr">
        <is>
          <t>du 21 au 27 septembre 2026</t>
        </is>
      </c>
      <c r="C198" s="10" t="inlineStr">
        <is>
          <t>B</t>
        </is>
      </c>
      <c r="D198" s="41" t="n">
        <v>46292</v>
      </c>
      <c r="E198" s="10" t="inlineStr">
        <is>
          <t>Dimanche</t>
        </is>
      </c>
      <c r="F198" s="42" t="n">
        <v>0.7291666666666666</v>
      </c>
      <c r="G198" s="42" t="n">
        <v>0.7916666666666666</v>
      </c>
      <c r="H198" s="43">
        <f>IF(OR($F198="",$G198=""),"",($G198-$F198)*24)</f>
        <v/>
      </c>
      <c r="I198" s="10" t="inlineStr">
        <is>
          <t>Secondaire</t>
        </is>
      </c>
      <c r="J198" s="9" t="inlineStr">
        <is>
          <t>3éme INFO</t>
        </is>
      </c>
      <c r="K198" s="9" t="inlineStr">
        <is>
          <t>Math</t>
        </is>
      </c>
      <c r="L198" s="9" t="inlineStr">
        <is>
          <t>Math</t>
        </is>
      </c>
      <c r="M198" s="9" t="inlineStr">
        <is>
          <t>Lotfi</t>
        </is>
      </c>
      <c r="N198" s="10" t="n"/>
      <c r="O198" s="10" t="n"/>
      <c r="P198" s="10" t="inlineStr">
        <is>
          <t>Hebdomadaire</t>
        </is>
      </c>
      <c r="Q198" s="9" t="inlineStr">
        <is>
          <t>Original (septembre)</t>
        </is>
      </c>
      <c r="R198" s="9" t="inlineStr"/>
      <c r="S198" s="44">
        <f>IF($M198="","",IF(SUMPRODUCT(($D$4:$D$704=$D198)*($M$4:$M$704=$M198)*($F$4:$F$704&lt;$G198)*($G$4:$G$704&gt;$F198))&gt;1,"⚠ CONFLIT",""))</f>
        <v/>
      </c>
      <c r="T198" s="44">
        <f>IF($J198="","",IF(SUMPRODUCT(($D$4:$D$704=$D198)*($J$4:$J$704=$J198)*($F$4:$F$704&lt;$G198)*($G$4:$G$704&gt;$F198))&gt;1,"⚠ CONFLIT",""))</f>
        <v/>
      </c>
      <c r="U198" s="44">
        <f>IF(COUNTIFS($D$4:$D$704,$D198,$J$4:$J$704,$J198,$F$4:$F$704,$F198,$K$4:$K$704,$K198)&gt;1,"⚠ DOUBLON","")</f>
        <v/>
      </c>
      <c r="V198" s="44">
        <f>COUNTIFS($A$4:$A198,$A198,$J$4:$J198,$J198,$E$4:$E198,$E198)</f>
        <v/>
      </c>
      <c r="W198" s="45">
        <f>$A198&amp;"|"&amp;$J198&amp;"|"&amp;$E198&amp;"|"&amp;$V198</f>
        <v/>
      </c>
      <c r="X198" s="46">
        <f>TEXT($F198,"hh:mm")&amp;" - "&amp;TEXT($G198,"hh:mm")&amp;IF($P198="Quinzaine A","   ◆ Q-A",IF($P198="Quinzaine B","   ◆ Q-B",IF($P198="Exception","   ◆ PONCTUEL","")))&amp;CHAR(10)&amp;$K198&amp;CHAR(10)&amp;$M198&amp;IF($N198&lt;&gt;"",CHAR(10)&amp;"Salle "&amp;$N198,"")&amp;IF($O198="En ligne",CHAR(10)&amp;"◆ EN LIGNE","")&amp;IF($R198&lt;&gt;"",CHAR(10)&amp;$R198,"")</f>
        <v/>
      </c>
      <c r="Y198" s="45" t="inlineStr">
        <is>
          <t>17h30-19h Math (Lotfi)</t>
        </is>
      </c>
      <c r="Z198" s="45" t="inlineStr">
        <is>
          <t>du 21-09 jusquà le 27-09!M69</t>
        </is>
      </c>
    </row>
    <row r="199" ht="15" customHeight="1">
      <c r="A199" s="10" t="inlineStr">
        <is>
          <t>S2</t>
        </is>
      </c>
      <c r="B199" s="9" t="inlineStr">
        <is>
          <t>du 21 au 27 septembre 2026</t>
        </is>
      </c>
      <c r="C199" s="10" t="inlineStr">
        <is>
          <t>B</t>
        </is>
      </c>
      <c r="D199" s="41" t="n">
        <v>46292</v>
      </c>
      <c r="E199" s="10" t="inlineStr">
        <is>
          <t>Dimanche</t>
        </is>
      </c>
      <c r="F199" s="42" t="n">
        <v>0.4375</v>
      </c>
      <c r="G199" s="42" t="n">
        <v>0.5</v>
      </c>
      <c r="H199" s="43">
        <f>IF(OR($F199="",$G199=""),"",($G199-$F199)*24)</f>
        <v/>
      </c>
      <c r="I199" s="10" t="inlineStr">
        <is>
          <t>Secondaire</t>
        </is>
      </c>
      <c r="J199" s="9" t="inlineStr">
        <is>
          <t>3éme SCE</t>
        </is>
      </c>
      <c r="K199" s="9" t="inlineStr">
        <is>
          <t>Physique</t>
        </is>
      </c>
      <c r="L199" s="9" t="inlineStr">
        <is>
          <t>Physique</t>
        </is>
      </c>
      <c r="M199" s="9" t="inlineStr">
        <is>
          <t>Sondes</t>
        </is>
      </c>
      <c r="N199" s="10" t="n"/>
      <c r="O199" s="10" t="n"/>
      <c r="P199" s="10" t="inlineStr">
        <is>
          <t>Hebdomadaire</t>
        </is>
      </c>
      <c r="Q199" s="9" t="inlineStr">
        <is>
          <t>Original (septembre)</t>
        </is>
      </c>
      <c r="R199" s="9" t="inlineStr"/>
      <c r="S199" s="44">
        <f>IF($M199="","",IF(SUMPRODUCT(($D$4:$D$704=$D199)*($M$4:$M$704=$M199)*($F$4:$F$704&lt;$G199)*($G$4:$G$704&gt;$F199))&gt;1,"⚠ CONFLIT",""))</f>
        <v/>
      </c>
      <c r="T199" s="44">
        <f>IF($J199="","",IF(SUMPRODUCT(($D$4:$D$704=$D199)*($J$4:$J$704=$J199)*($F$4:$F$704&lt;$G199)*($G$4:$G$704&gt;$F199))&gt;1,"⚠ CONFLIT",""))</f>
        <v/>
      </c>
      <c r="U199" s="44">
        <f>IF(COUNTIFS($D$4:$D$704,$D199,$J$4:$J$704,$J199,$F$4:$F$704,$F199,$K$4:$K$704,$K199)&gt;1,"⚠ DOUBLON","")</f>
        <v/>
      </c>
      <c r="V199" s="44">
        <f>COUNTIFS($A$4:$A199,$A199,$J$4:$J199,$J199,$E$4:$E199,$E199)</f>
        <v/>
      </c>
      <c r="W199" s="45">
        <f>$A199&amp;"|"&amp;$J199&amp;"|"&amp;$E199&amp;"|"&amp;$V199</f>
        <v/>
      </c>
      <c r="X199" s="46">
        <f>TEXT($F199,"hh:mm")&amp;" - "&amp;TEXT($G199,"hh:mm")&amp;IF($P199="Quinzaine A","   ◆ Q-A",IF($P199="Quinzaine B","   ◆ Q-B",IF($P199="Exception","   ◆ PONCTUEL","")))&amp;CHAR(10)&amp;$K199&amp;CHAR(10)&amp;$M199&amp;IF($N199&lt;&gt;"",CHAR(10)&amp;"Salle "&amp;$N199,"")&amp;IF($O199="En ligne",CHAR(10)&amp;"◆ EN LIGNE","")&amp;IF($R199&lt;&gt;"",CHAR(10)&amp;$R199,"")</f>
        <v/>
      </c>
      <c r="Y199" s="45" t="inlineStr">
        <is>
          <t>10h30-12h Physique (Sondes)</t>
        </is>
      </c>
      <c r="Z199" s="45" t="inlineStr">
        <is>
          <t>du 21-09 jusquà le 27-09!M74</t>
        </is>
      </c>
    </row>
    <row r="200" ht="15" customHeight="1">
      <c r="A200" s="10" t="inlineStr">
        <is>
          <t>S2</t>
        </is>
      </c>
      <c r="B200" s="9" t="inlineStr">
        <is>
          <t>du 21 au 27 septembre 2026</t>
        </is>
      </c>
      <c r="C200" s="10" t="inlineStr">
        <is>
          <t>B</t>
        </is>
      </c>
      <c r="D200" s="41" t="n">
        <v>46292</v>
      </c>
      <c r="E200" s="10" t="inlineStr">
        <is>
          <t>Dimanche</t>
        </is>
      </c>
      <c r="F200" s="42" t="n">
        <v>0.5625</v>
      </c>
      <c r="G200" s="42" t="n">
        <v>0.625</v>
      </c>
      <c r="H200" s="43">
        <f>IF(OR($F200="",$G200=""),"",($G200-$F200)*24)</f>
        <v/>
      </c>
      <c r="I200" s="10" t="inlineStr">
        <is>
          <t>Secondaire</t>
        </is>
      </c>
      <c r="J200" s="9" t="inlineStr">
        <is>
          <t>3éme SCE</t>
        </is>
      </c>
      <c r="K200" s="9" t="inlineStr">
        <is>
          <t>Math</t>
        </is>
      </c>
      <c r="L200" s="9" t="inlineStr">
        <is>
          <t>Math</t>
        </is>
      </c>
      <c r="M200" s="9" t="inlineStr">
        <is>
          <t>Lotfi</t>
        </is>
      </c>
      <c r="N200" s="10" t="n"/>
      <c r="O200" s="10" t="n"/>
      <c r="P200" s="10" t="inlineStr">
        <is>
          <t>Ponctuelle / modifiée</t>
        </is>
      </c>
      <c r="Q200" s="9" t="inlineStr">
        <is>
          <t>Original (septembre)</t>
        </is>
      </c>
      <c r="R200" s="9" t="inlineStr"/>
      <c r="S200" s="44">
        <f>IF($M200="","",IF(SUMPRODUCT(($D$4:$D$704=$D200)*($M$4:$M$704=$M200)*($F$4:$F$704&lt;$G200)*($G$4:$G$704&gt;$F200))&gt;1,"⚠ CONFLIT",""))</f>
        <v/>
      </c>
      <c r="T200" s="44">
        <f>IF($J200="","",IF(SUMPRODUCT(($D$4:$D$704=$D200)*($J$4:$J$704=$J200)*($F$4:$F$704&lt;$G200)*($G$4:$G$704&gt;$F200))&gt;1,"⚠ CONFLIT",""))</f>
        <v/>
      </c>
      <c r="U200" s="44">
        <f>IF(COUNTIFS($D$4:$D$704,$D200,$J$4:$J$704,$J200,$F$4:$F$704,$F200,$K$4:$K$704,$K200)&gt;1,"⚠ DOUBLON","")</f>
        <v/>
      </c>
      <c r="V200" s="44">
        <f>COUNTIFS($A$4:$A200,$A200,$J$4:$J200,$J200,$E$4:$E200,$E200)</f>
        <v/>
      </c>
      <c r="W200" s="45">
        <f>$A200&amp;"|"&amp;$J200&amp;"|"&amp;$E200&amp;"|"&amp;$V200</f>
        <v/>
      </c>
      <c r="X200" s="46">
        <f>TEXT($F200,"hh:mm")&amp;" - "&amp;TEXT($G200,"hh:mm")&amp;IF($P200="Quinzaine A","   ◆ Q-A",IF($P200="Quinzaine B","   ◆ Q-B",IF($P200="Exception","   ◆ PONCTUEL","")))&amp;CHAR(10)&amp;$K200&amp;CHAR(10)&amp;$M200&amp;IF($N200&lt;&gt;"",CHAR(10)&amp;"Salle "&amp;$N200,"")&amp;IF($O200="En ligne",CHAR(10)&amp;"◆ EN LIGNE","")&amp;IF($R200&lt;&gt;"",CHAR(10)&amp;$R200,"")</f>
        <v/>
      </c>
      <c r="Y200" s="45" t="inlineStr">
        <is>
          <t>13h30-15h Math (Lotfi)</t>
        </is>
      </c>
      <c r="Z200" s="45" t="inlineStr">
        <is>
          <t>du 21-09 jusquà le 27-09!M73</t>
        </is>
      </c>
    </row>
    <row r="201" ht="15" customHeight="1">
      <c r="A201" s="10" t="inlineStr">
        <is>
          <t>S2</t>
        </is>
      </c>
      <c r="B201" s="9" t="inlineStr">
        <is>
          <t>du 21 au 27 septembre 2026</t>
        </is>
      </c>
      <c r="C201" s="10" t="inlineStr">
        <is>
          <t>B</t>
        </is>
      </c>
      <c r="D201" s="41" t="n">
        <v>46292</v>
      </c>
      <c r="E201" s="10" t="inlineStr">
        <is>
          <t>Dimanche</t>
        </is>
      </c>
      <c r="F201" s="42" t="n">
        <v>0.4375</v>
      </c>
      <c r="G201" s="42" t="n">
        <v>0.5</v>
      </c>
      <c r="H201" s="43">
        <f>IF(OR($F201="",$G201=""),"",($G201-$F201)*24)</f>
        <v/>
      </c>
      <c r="I201" s="10" t="inlineStr">
        <is>
          <t>Bac</t>
        </is>
      </c>
      <c r="J201" s="9" t="inlineStr">
        <is>
          <t>Bac Eco</t>
        </is>
      </c>
      <c r="K201" s="9" t="inlineStr">
        <is>
          <t>Math</t>
        </is>
      </c>
      <c r="L201" s="9" t="inlineStr">
        <is>
          <t>Math</t>
        </is>
      </c>
      <c r="M201" s="9" t="inlineStr">
        <is>
          <t>Lotfi</t>
        </is>
      </c>
      <c r="N201" s="10" t="n"/>
      <c r="O201" s="10" t="n"/>
      <c r="P201" s="10" t="inlineStr">
        <is>
          <t>Hebdomadaire</t>
        </is>
      </c>
      <c r="Q201" s="9" t="inlineStr">
        <is>
          <t>Original (septembre)</t>
        </is>
      </c>
      <c r="R201" s="9" t="inlineStr"/>
      <c r="S201" s="44">
        <f>IF($M201="","",IF(SUMPRODUCT(($D$4:$D$704=$D201)*($M$4:$M$704=$M201)*($F$4:$F$704&lt;$G201)*($G$4:$G$704&gt;$F201))&gt;1,"⚠ CONFLIT",""))</f>
        <v/>
      </c>
      <c r="T201" s="44">
        <f>IF($J201="","",IF(SUMPRODUCT(($D$4:$D$704=$D201)*($J$4:$J$704=$J201)*($F$4:$F$704&lt;$G201)*($G$4:$G$704&gt;$F201))&gt;1,"⚠ CONFLIT",""))</f>
        <v/>
      </c>
      <c r="U201" s="44">
        <f>IF(COUNTIFS($D$4:$D$704,$D201,$J$4:$J$704,$J201,$F$4:$F$704,$F201,$K$4:$K$704,$K201)&gt;1,"⚠ DOUBLON","")</f>
        <v/>
      </c>
      <c r="V201" s="44">
        <f>COUNTIFS($A$4:$A201,$A201,$J$4:$J201,$J201,$E$4:$E201,$E201)</f>
        <v/>
      </c>
      <c r="W201" s="45">
        <f>$A201&amp;"|"&amp;$J201&amp;"|"&amp;$E201&amp;"|"&amp;$V201</f>
        <v/>
      </c>
      <c r="X201" s="46">
        <f>TEXT($F201,"hh:mm")&amp;" - "&amp;TEXT($G201,"hh:mm")&amp;IF($P201="Quinzaine A","   ◆ Q-A",IF($P201="Quinzaine B","   ◆ Q-B",IF($P201="Exception","   ◆ PONCTUEL","")))&amp;CHAR(10)&amp;$K201&amp;CHAR(10)&amp;$M201&amp;IF($N201&lt;&gt;"",CHAR(10)&amp;"Salle "&amp;$N201,"")&amp;IF($O201="En ligne",CHAR(10)&amp;"◆ EN LIGNE","")&amp;IF($R201&lt;&gt;"",CHAR(10)&amp;$R201,"")</f>
        <v/>
      </c>
      <c r="Y201" s="45" t="inlineStr">
        <is>
          <t>10h30-12h Math (Lotfi)</t>
        </is>
      </c>
      <c r="Z201" s="45" t="inlineStr">
        <is>
          <t>du 21-09 jusquà le 27-09!M75</t>
        </is>
      </c>
    </row>
    <row r="202" ht="15" customHeight="1">
      <c r="A202" s="10" t="inlineStr">
        <is>
          <t>S2</t>
        </is>
      </c>
      <c r="B202" s="9" t="inlineStr">
        <is>
          <t>du 21 au 27 septembre 2026</t>
        </is>
      </c>
      <c r="C202" s="10" t="inlineStr">
        <is>
          <t>B</t>
        </is>
      </c>
      <c r="D202" s="41" t="n">
        <v>46292</v>
      </c>
      <c r="E202" s="10" t="inlineStr">
        <is>
          <t>Dimanche</t>
        </is>
      </c>
      <c r="F202" s="42" t="n">
        <v>0.5208333333333334</v>
      </c>
      <c r="G202" s="42" t="n">
        <v>0.6041666666666666</v>
      </c>
      <c r="H202" s="43">
        <f>IF(OR($F202="",$G202=""),"",($G202-$F202)*24)</f>
        <v/>
      </c>
      <c r="I202" s="10" t="inlineStr">
        <is>
          <t>Bac</t>
        </is>
      </c>
      <c r="J202" s="9" t="inlineStr">
        <is>
          <t>Bac Eco</t>
        </is>
      </c>
      <c r="K202" s="9" t="inlineStr">
        <is>
          <t>Eco</t>
        </is>
      </c>
      <c r="L202" s="9" t="inlineStr">
        <is>
          <t>Eco</t>
        </is>
      </c>
      <c r="M202" s="9" t="inlineStr">
        <is>
          <t>Rym</t>
        </is>
      </c>
      <c r="N202" s="10" t="n"/>
      <c r="O202" s="10" t="n"/>
      <c r="P202" s="10" t="inlineStr">
        <is>
          <t>Hebdomadaire</t>
        </is>
      </c>
      <c r="Q202" s="9" t="inlineStr">
        <is>
          <t>Original (septembre)</t>
        </is>
      </c>
      <c r="R202" s="9" t="inlineStr"/>
      <c r="S202" s="44">
        <f>IF($M202="","",IF(SUMPRODUCT(($D$4:$D$704=$D202)*($M$4:$M$704=$M202)*($F$4:$F$704&lt;$G202)*($G$4:$G$704&gt;$F202))&gt;1,"⚠ CONFLIT",""))</f>
        <v/>
      </c>
      <c r="T202" s="44">
        <f>IF($J202="","",IF(SUMPRODUCT(($D$4:$D$704=$D202)*($J$4:$J$704=$J202)*($F$4:$F$704&lt;$G202)*($G$4:$G$704&gt;$F202))&gt;1,"⚠ CONFLIT",""))</f>
        <v/>
      </c>
      <c r="U202" s="44">
        <f>IF(COUNTIFS($D$4:$D$704,$D202,$J$4:$J$704,$J202,$F$4:$F$704,$F202,$K$4:$K$704,$K202)&gt;1,"⚠ DOUBLON","")</f>
        <v/>
      </c>
      <c r="V202" s="44">
        <f>COUNTIFS($A$4:$A202,$A202,$J$4:$J202,$J202,$E$4:$E202,$E202)</f>
        <v/>
      </c>
      <c r="W202" s="45">
        <f>$A202&amp;"|"&amp;$J202&amp;"|"&amp;$E202&amp;"|"&amp;$V202</f>
        <v/>
      </c>
      <c r="X202" s="46">
        <f>TEXT($F202,"hh:mm")&amp;" - "&amp;TEXT($G202,"hh:mm")&amp;IF($P202="Quinzaine A","   ◆ Q-A",IF($P202="Quinzaine B","   ◆ Q-B",IF($P202="Exception","   ◆ PONCTUEL","")))&amp;CHAR(10)&amp;$K202&amp;CHAR(10)&amp;$M202&amp;IF($N202&lt;&gt;"",CHAR(10)&amp;"Salle "&amp;$N202,"")&amp;IF($O202="En ligne",CHAR(10)&amp;"◆ EN LIGNE","")&amp;IF($R202&lt;&gt;"",CHAR(10)&amp;$R202,"")</f>
        <v/>
      </c>
      <c r="Y202" s="45" t="inlineStr">
        <is>
          <t>12h30-14h30 Eco (Rym)</t>
        </is>
      </c>
      <c r="Z202" s="45" t="inlineStr">
        <is>
          <t>du 21-09 jusquà le 27-09!M78</t>
        </is>
      </c>
    </row>
    <row r="203" ht="15" customHeight="1">
      <c r="A203" s="10" t="inlineStr">
        <is>
          <t>S2</t>
        </is>
      </c>
      <c r="B203" s="9" t="inlineStr">
        <is>
          <t>du 21 au 27 septembre 2026</t>
        </is>
      </c>
      <c r="C203" s="10" t="inlineStr">
        <is>
          <t>B</t>
        </is>
      </c>
      <c r="D203" s="41" t="n">
        <v>46292</v>
      </c>
      <c r="E203" s="10" t="inlineStr">
        <is>
          <t>Dimanche</t>
        </is>
      </c>
      <c r="F203" s="42" t="n">
        <v>0.5</v>
      </c>
      <c r="G203" s="42" t="n">
        <v>0.5625</v>
      </c>
      <c r="H203" s="43">
        <f>IF(OR($F203="",$G203=""),"",($G203-$F203)*24)</f>
        <v/>
      </c>
      <c r="I203" s="10" t="inlineStr">
        <is>
          <t>Bac</t>
        </is>
      </c>
      <c r="J203" s="9" t="inlineStr">
        <is>
          <t>Bac INFO</t>
        </is>
      </c>
      <c r="K203" s="9" t="inlineStr">
        <is>
          <t>Math</t>
        </is>
      </c>
      <c r="L203" s="9" t="inlineStr">
        <is>
          <t>Math</t>
        </is>
      </c>
      <c r="M203" s="9" t="inlineStr">
        <is>
          <t>Lotfi</t>
        </is>
      </c>
      <c r="N203" s="10" t="n"/>
      <c r="O203" s="10" t="n"/>
      <c r="P203" s="10" t="inlineStr">
        <is>
          <t>Hebdomadaire</t>
        </is>
      </c>
      <c r="Q203" s="9" t="inlineStr">
        <is>
          <t>Original (septembre)</t>
        </is>
      </c>
      <c r="R203" s="9" t="inlineStr"/>
      <c r="S203" s="44">
        <f>IF($M203="","",IF(SUMPRODUCT(($D$4:$D$704=$D203)*($M$4:$M$704=$M203)*($F$4:$F$704&lt;$G203)*($G$4:$G$704&gt;$F203))&gt;1,"⚠ CONFLIT",""))</f>
        <v/>
      </c>
      <c r="T203" s="44">
        <f>IF($J203="","",IF(SUMPRODUCT(($D$4:$D$704=$D203)*($J$4:$J$704=$J203)*($F$4:$F$704&lt;$G203)*($G$4:$G$704&gt;$F203))&gt;1,"⚠ CONFLIT",""))</f>
        <v/>
      </c>
      <c r="U203" s="44">
        <f>IF(COUNTIFS($D$4:$D$704,$D203,$J$4:$J$704,$J203,$F$4:$F$704,$F203,$K$4:$K$704,$K203)&gt;1,"⚠ DOUBLON","")</f>
        <v/>
      </c>
      <c r="V203" s="44">
        <f>COUNTIFS($A$4:$A203,$A203,$J$4:$J203,$J203,$E$4:$E203,$E203)</f>
        <v/>
      </c>
      <c r="W203" s="45">
        <f>$A203&amp;"|"&amp;$J203&amp;"|"&amp;$E203&amp;"|"&amp;$V203</f>
        <v/>
      </c>
      <c r="X203" s="46">
        <f>TEXT($F203,"hh:mm")&amp;" - "&amp;TEXT($G203,"hh:mm")&amp;IF($P203="Quinzaine A","   ◆ Q-A",IF($P203="Quinzaine B","   ◆ Q-B",IF($P203="Exception","   ◆ PONCTUEL","")))&amp;CHAR(10)&amp;$K203&amp;CHAR(10)&amp;$M203&amp;IF($N203&lt;&gt;"",CHAR(10)&amp;"Salle "&amp;$N203,"")&amp;IF($O203="En ligne",CHAR(10)&amp;"◆ EN LIGNE","")&amp;IF($R203&lt;&gt;"",CHAR(10)&amp;$R203,"")</f>
        <v/>
      </c>
      <c r="Y203" s="45" t="inlineStr">
        <is>
          <t>12h-13h30 Math (Lotfi)</t>
        </is>
      </c>
      <c r="Z203" s="45" t="inlineStr">
        <is>
          <t>du 21-09 jusquà le 27-09!M85</t>
        </is>
      </c>
    </row>
    <row r="204" ht="15" customHeight="1">
      <c r="A204" s="10" t="inlineStr">
        <is>
          <t>S3</t>
        </is>
      </c>
      <c r="B204" s="9" t="inlineStr">
        <is>
          <t>du 28 septembre au 4 octobre 2026</t>
        </is>
      </c>
      <c r="C204" s="10" t="inlineStr">
        <is>
          <t>A</t>
        </is>
      </c>
      <c r="D204" s="41" t="n">
        <v>46293</v>
      </c>
      <c r="E204" s="10" t="inlineStr">
        <is>
          <t>Lundi</t>
        </is>
      </c>
      <c r="F204" s="42" t="n">
        <v>0.7916666666666666</v>
      </c>
      <c r="G204" s="42" t="n">
        <v>0.875</v>
      </c>
      <c r="H204" s="43">
        <f>IF(OR($F204="",$G204=""),"",($G204-$F204)*24)</f>
        <v/>
      </c>
      <c r="I204" s="10" t="inlineStr">
        <is>
          <t>Primaire</t>
        </is>
      </c>
      <c r="J204" s="9" t="inlineStr">
        <is>
          <t>4éme</t>
        </is>
      </c>
      <c r="K204" s="9" t="inlineStr">
        <is>
          <t>عربية</t>
        </is>
      </c>
      <c r="L204" s="9" t="inlineStr">
        <is>
          <t>Arabe</t>
        </is>
      </c>
      <c r="M204" s="9" t="inlineStr">
        <is>
          <t>Lobna</t>
        </is>
      </c>
      <c r="N204" s="10" t="n"/>
      <c r="O204" s="10" t="n"/>
      <c r="P204" s="10" t="inlineStr">
        <is>
          <t>Hebdomadaire</t>
        </is>
      </c>
      <c r="Q204" s="9" t="inlineStr">
        <is>
          <t>Original (septembre)</t>
        </is>
      </c>
      <c r="R204" s="9" t="inlineStr"/>
      <c r="S204" s="44">
        <f>IF($M204="","",IF(SUMPRODUCT(($D$4:$D$704=$D204)*($M$4:$M$704=$M204)*($F$4:$F$704&lt;$G204)*($G$4:$G$704&gt;$F204))&gt;1,"⚠ CONFLIT",""))</f>
        <v/>
      </c>
      <c r="T204" s="44">
        <f>IF($J204="","",IF(SUMPRODUCT(($D$4:$D$704=$D204)*($J$4:$J$704=$J204)*($F$4:$F$704&lt;$G204)*($G$4:$G$704&gt;$F204))&gt;1,"⚠ CONFLIT",""))</f>
        <v/>
      </c>
      <c r="U204" s="44">
        <f>IF(COUNTIFS($D$4:$D$704,$D204,$J$4:$J$704,$J204,$F$4:$F$704,$F204,$K$4:$K$704,$K204)&gt;1,"⚠ DOUBLON","")</f>
        <v/>
      </c>
      <c r="V204" s="44">
        <f>COUNTIFS($A$4:$A204,$A204,$J$4:$J204,$J204,$E$4:$E204,$E204)</f>
        <v/>
      </c>
      <c r="W204" s="45">
        <f>$A204&amp;"|"&amp;$J204&amp;"|"&amp;$E204&amp;"|"&amp;$V204</f>
        <v/>
      </c>
      <c r="X204" s="46">
        <f>TEXT($F204,"hh:mm")&amp;" - "&amp;TEXT($G204,"hh:mm")&amp;IF($P204="Quinzaine A","   ◆ Q-A",IF($P204="Quinzaine B","   ◆ Q-B",IF($P204="Exception","   ◆ PONCTUEL","")))&amp;CHAR(10)&amp;$K204&amp;CHAR(10)&amp;$M204&amp;IF($N204&lt;&gt;"",CHAR(10)&amp;"Salle "&amp;$N204,"")&amp;IF($O204="En ligne",CHAR(10)&amp;"◆ EN LIGNE","")&amp;IF($R204&lt;&gt;"",CHAR(10)&amp;$R204,"")</f>
        <v/>
      </c>
      <c r="Y204" s="45" t="inlineStr">
        <is>
          <t>19h-21h عربية (Lobna)</t>
        </is>
      </c>
      <c r="Z204" s="45" t="inlineStr">
        <is>
          <t>du 28-09 jusquà le 04-10!G3</t>
        </is>
      </c>
    </row>
    <row r="205" ht="15" customHeight="1">
      <c r="A205" s="10" t="inlineStr">
        <is>
          <t>S3</t>
        </is>
      </c>
      <c r="B205" s="9" t="inlineStr">
        <is>
          <t>du 28 septembre au 4 octobre 2026</t>
        </is>
      </c>
      <c r="C205" s="10" t="inlineStr">
        <is>
          <t>A</t>
        </is>
      </c>
      <c r="D205" s="41" t="n">
        <v>46293</v>
      </c>
      <c r="E205" s="10" t="inlineStr">
        <is>
          <t>Lundi</t>
        </is>
      </c>
      <c r="F205" s="42" t="n">
        <v>0.7916666666666666</v>
      </c>
      <c r="G205" s="42" t="n">
        <v>0.8541666666666666</v>
      </c>
      <c r="H205" s="43">
        <f>IF(OR($F205="",$G205=""),"",($G205-$F205)*24)</f>
        <v/>
      </c>
      <c r="I205" s="10" t="inlineStr">
        <is>
          <t>Primaire</t>
        </is>
      </c>
      <c r="J205" s="9" t="inlineStr">
        <is>
          <t>6éme Pilote (A)</t>
        </is>
      </c>
      <c r="K205" s="9" t="inlineStr">
        <is>
          <t>Français</t>
        </is>
      </c>
      <c r="L205" s="9" t="inlineStr">
        <is>
          <t>Français</t>
        </is>
      </c>
      <c r="M205" s="9" t="inlineStr">
        <is>
          <t>Hend</t>
        </is>
      </c>
      <c r="N205" s="10" t="n"/>
      <c r="O205" s="10" t="n"/>
      <c r="P205" s="10" t="inlineStr">
        <is>
          <t>Hebdomadaire</t>
        </is>
      </c>
      <c r="Q205" s="9" t="inlineStr">
        <is>
          <t>Original (septembre)</t>
        </is>
      </c>
      <c r="R205" s="9" t="inlineStr"/>
      <c r="S205" s="44">
        <f>IF($M205="","",IF(SUMPRODUCT(($D$4:$D$704=$D205)*($M$4:$M$704=$M205)*($F$4:$F$704&lt;$G205)*($G$4:$G$704&gt;$F205))&gt;1,"⚠ CONFLIT",""))</f>
        <v/>
      </c>
      <c r="T205" s="44">
        <f>IF($J205="","",IF(SUMPRODUCT(($D$4:$D$704=$D205)*($J$4:$J$704=$J205)*($F$4:$F$704&lt;$G205)*($G$4:$G$704&gt;$F205))&gt;1,"⚠ CONFLIT",""))</f>
        <v/>
      </c>
      <c r="U205" s="44">
        <f>IF(COUNTIFS($D$4:$D$704,$D205,$J$4:$J$704,$J205,$F$4:$F$704,$F205,$K$4:$K$704,$K205)&gt;1,"⚠ DOUBLON","")</f>
        <v/>
      </c>
      <c r="V205" s="44">
        <f>COUNTIFS($A$4:$A205,$A205,$J$4:$J205,$J205,$E$4:$E205,$E205)</f>
        <v/>
      </c>
      <c r="W205" s="45">
        <f>$A205&amp;"|"&amp;$J205&amp;"|"&amp;$E205&amp;"|"&amp;$V205</f>
        <v/>
      </c>
      <c r="X205" s="46">
        <f>TEXT($F205,"hh:mm")&amp;" - "&amp;TEXT($G205,"hh:mm")&amp;IF($P205="Quinzaine A","   ◆ Q-A",IF($P205="Quinzaine B","   ◆ Q-B",IF($P205="Exception","   ◆ PONCTUEL","")))&amp;CHAR(10)&amp;$K205&amp;CHAR(10)&amp;$M205&amp;IF($N205&lt;&gt;"",CHAR(10)&amp;"Salle "&amp;$N205,"")&amp;IF($O205="En ligne",CHAR(10)&amp;"◆ EN LIGNE","")&amp;IF($R205&lt;&gt;"",CHAR(10)&amp;$R205,"")</f>
        <v/>
      </c>
      <c r="Y205" s="45" t="inlineStr">
        <is>
          <t>19h-20h30 Français (Hend)</t>
        </is>
      </c>
      <c r="Z205" s="45" t="inlineStr">
        <is>
          <t>du 28-09 jusquà le 04-10!G12</t>
        </is>
      </c>
    </row>
    <row r="206" ht="15" customHeight="1">
      <c r="A206" s="10" t="inlineStr">
        <is>
          <t>S3</t>
        </is>
      </c>
      <c r="B206" s="9" t="inlineStr">
        <is>
          <t>du 28 septembre au 4 octobre 2026</t>
        </is>
      </c>
      <c r="C206" s="10" t="inlineStr">
        <is>
          <t>A</t>
        </is>
      </c>
      <c r="D206" s="41" t="n">
        <v>46293</v>
      </c>
      <c r="E206" s="10" t="inlineStr">
        <is>
          <t>Lundi</t>
        </is>
      </c>
      <c r="F206" s="42" t="n">
        <v>0.8125</v>
      </c>
      <c r="G206" s="42" t="n">
        <v>0.875</v>
      </c>
      <c r="H206" s="43">
        <f>IF(OR($F206="",$G206=""),"",($G206-$F206)*24)</f>
        <v/>
      </c>
      <c r="I206" s="10" t="inlineStr">
        <is>
          <t>Collège</t>
        </is>
      </c>
      <c r="J206" s="9" t="inlineStr">
        <is>
          <t>7éme (B)</t>
        </is>
      </c>
      <c r="K206" s="9" t="inlineStr">
        <is>
          <t>Arabe</t>
        </is>
      </c>
      <c r="L206" s="9" t="inlineStr">
        <is>
          <t>Arabe</t>
        </is>
      </c>
      <c r="M206" s="9" t="inlineStr">
        <is>
          <t>Yahya</t>
        </is>
      </c>
      <c r="N206" s="10" t="n"/>
      <c r="O206" s="10" t="n"/>
      <c r="P206" s="10" t="inlineStr">
        <is>
          <t>Hebdomadaire</t>
        </is>
      </c>
      <c r="Q206" s="9" t="inlineStr">
        <is>
          <t>Original (septembre)</t>
        </is>
      </c>
      <c r="R206" s="9" t="inlineStr"/>
      <c r="S206" s="44">
        <f>IF($M206="","",IF(SUMPRODUCT(($D$4:$D$704=$D206)*($M$4:$M$704=$M206)*($F$4:$F$704&lt;$G206)*($G$4:$G$704&gt;$F206))&gt;1,"⚠ CONFLIT",""))</f>
        <v/>
      </c>
      <c r="T206" s="44">
        <f>IF($J206="","",IF(SUMPRODUCT(($D$4:$D$704=$D206)*($J$4:$J$704=$J206)*($F$4:$F$704&lt;$G206)*($G$4:$G$704&gt;$F206))&gt;1,"⚠ CONFLIT",""))</f>
        <v/>
      </c>
      <c r="U206" s="44">
        <f>IF(COUNTIFS($D$4:$D$704,$D206,$J$4:$J$704,$J206,$F$4:$F$704,$F206,$K$4:$K$704,$K206)&gt;1,"⚠ DOUBLON","")</f>
        <v/>
      </c>
      <c r="V206" s="44">
        <f>COUNTIFS($A$4:$A206,$A206,$J$4:$J206,$J206,$E$4:$E206,$E206)</f>
        <v/>
      </c>
      <c r="W206" s="45">
        <f>$A206&amp;"|"&amp;$J206&amp;"|"&amp;$E206&amp;"|"&amp;$V206</f>
        <v/>
      </c>
      <c r="X206" s="46">
        <f>TEXT($F206,"hh:mm")&amp;" - "&amp;TEXT($G206,"hh:mm")&amp;IF($P206="Quinzaine A","   ◆ Q-A",IF($P206="Quinzaine B","   ◆ Q-B",IF($P206="Exception","   ◆ PONCTUEL","")))&amp;CHAR(10)&amp;$K206&amp;CHAR(10)&amp;$M206&amp;IF($N206&lt;&gt;"",CHAR(10)&amp;"Salle "&amp;$N206,"")&amp;IF($O206="En ligne",CHAR(10)&amp;"◆ EN LIGNE","")&amp;IF($R206&lt;&gt;"",CHAR(10)&amp;$R206,"")</f>
        <v/>
      </c>
      <c r="Y206" s="45" t="inlineStr">
        <is>
          <t>19h30-21h Arabe (Yahya)</t>
        </is>
      </c>
      <c r="Z206" s="45" t="inlineStr">
        <is>
          <t>du 28-09 jusquà le 04-10!G23</t>
        </is>
      </c>
    </row>
    <row r="207" ht="15" customHeight="1">
      <c r="A207" s="10" t="inlineStr">
        <is>
          <t>S3</t>
        </is>
      </c>
      <c r="B207" s="9" t="inlineStr">
        <is>
          <t>du 28 septembre au 4 octobre 2026</t>
        </is>
      </c>
      <c r="C207" s="10" t="inlineStr">
        <is>
          <t>A</t>
        </is>
      </c>
      <c r="D207" s="41" t="n">
        <v>46293</v>
      </c>
      <c r="E207" s="10" t="inlineStr">
        <is>
          <t>Lundi</t>
        </is>
      </c>
      <c r="F207" s="42" t="n">
        <v>0.8125</v>
      </c>
      <c r="G207" s="42" t="n">
        <v>0.875</v>
      </c>
      <c r="H207" s="43">
        <f>IF(OR($F207="",$G207=""),"",($G207-$F207)*24)</f>
        <v/>
      </c>
      <c r="I207" s="10" t="inlineStr">
        <is>
          <t>Collège</t>
        </is>
      </c>
      <c r="J207" s="9" t="inlineStr">
        <is>
          <t>9éme (A)</t>
        </is>
      </c>
      <c r="K207" s="9" t="inlineStr">
        <is>
          <t>فيزياء</t>
        </is>
      </c>
      <c r="L207" s="9" t="inlineStr">
        <is>
          <t>Physique</t>
        </is>
      </c>
      <c r="M207" s="9" t="inlineStr">
        <is>
          <t>Melek</t>
        </is>
      </c>
      <c r="N207" s="10" t="n"/>
      <c r="O207" s="10" t="n"/>
      <c r="P207" s="10" t="inlineStr">
        <is>
          <t>Hebdomadaire</t>
        </is>
      </c>
      <c r="Q207" s="9" t="inlineStr">
        <is>
          <t>Original (septembre)</t>
        </is>
      </c>
      <c r="R207" s="9" t="inlineStr"/>
      <c r="S207" s="44">
        <f>IF($M207="","",IF(SUMPRODUCT(($D$4:$D$704=$D207)*($M$4:$M$704=$M207)*($F$4:$F$704&lt;$G207)*($G$4:$G$704&gt;$F207))&gt;1,"⚠ CONFLIT",""))</f>
        <v/>
      </c>
      <c r="T207" s="44">
        <f>IF($J207="","",IF(SUMPRODUCT(($D$4:$D$704=$D207)*($J$4:$J$704=$J207)*($F$4:$F$704&lt;$G207)*($G$4:$G$704&gt;$F207))&gt;1,"⚠ CONFLIT",""))</f>
        <v/>
      </c>
      <c r="U207" s="44">
        <f>IF(COUNTIFS($D$4:$D$704,$D207,$J$4:$J$704,$J207,$F$4:$F$704,$F207,$K$4:$K$704,$K207)&gt;1,"⚠ DOUBLON","")</f>
        <v/>
      </c>
      <c r="V207" s="44">
        <f>COUNTIFS($A$4:$A207,$A207,$J$4:$J207,$J207,$E$4:$E207,$E207)</f>
        <v/>
      </c>
      <c r="W207" s="45">
        <f>$A207&amp;"|"&amp;$J207&amp;"|"&amp;$E207&amp;"|"&amp;$V207</f>
        <v/>
      </c>
      <c r="X207" s="46">
        <f>TEXT($F207,"hh:mm")&amp;" - "&amp;TEXT($G207,"hh:mm")&amp;IF($P207="Quinzaine A","   ◆ Q-A",IF($P207="Quinzaine B","   ◆ Q-B",IF($P207="Exception","   ◆ PONCTUEL","")))&amp;CHAR(10)&amp;$K207&amp;CHAR(10)&amp;$M207&amp;IF($N207&lt;&gt;"",CHAR(10)&amp;"Salle "&amp;$N207,"")&amp;IF($O207="En ligne",CHAR(10)&amp;"◆ EN LIGNE","")&amp;IF($R207&lt;&gt;"",CHAR(10)&amp;$R207,"")</f>
        <v/>
      </c>
      <c r="Y207" s="45" t="inlineStr">
        <is>
          <t>19h30-21h فيزياء /par quinzaine (Melek)</t>
        </is>
      </c>
      <c r="Z207" s="45" t="inlineStr">
        <is>
          <t>du 28-09 jusquà le 04-10!G36</t>
        </is>
      </c>
    </row>
    <row r="208" ht="15" customHeight="1">
      <c r="A208" s="10" t="inlineStr">
        <is>
          <t>S3</t>
        </is>
      </c>
      <c r="B208" s="9" t="inlineStr">
        <is>
          <t>du 28 septembre au 4 octobre 2026</t>
        </is>
      </c>
      <c r="C208" s="10" t="inlineStr">
        <is>
          <t>A</t>
        </is>
      </c>
      <c r="D208" s="41" t="n">
        <v>46293</v>
      </c>
      <c r="E208" s="10" t="inlineStr">
        <is>
          <t>Lundi</t>
        </is>
      </c>
      <c r="F208" s="42" t="n">
        <v>0.8125</v>
      </c>
      <c r="G208" s="42" t="n">
        <v>0.875</v>
      </c>
      <c r="H208" s="43">
        <f>IF(OR($F208="",$G208=""),"",($G208-$F208)*24)</f>
        <v/>
      </c>
      <c r="I208" s="10" t="inlineStr">
        <is>
          <t>Secondaire</t>
        </is>
      </c>
      <c r="J208" s="9" t="inlineStr">
        <is>
          <t>1ére (A)</t>
        </is>
      </c>
      <c r="K208" s="9" t="inlineStr">
        <is>
          <t>Math</t>
        </is>
      </c>
      <c r="L208" s="9" t="inlineStr">
        <is>
          <t>Math</t>
        </is>
      </c>
      <c r="M208" s="9" t="inlineStr">
        <is>
          <t>Haythem</t>
        </is>
      </c>
      <c r="N208" s="10" t="n"/>
      <c r="O208" s="10" t="n"/>
      <c r="P208" s="10" t="inlineStr">
        <is>
          <t>Hebdomadaire</t>
        </is>
      </c>
      <c r="Q208" s="9" t="inlineStr">
        <is>
          <t>Original (septembre)</t>
        </is>
      </c>
      <c r="R208" s="9" t="inlineStr"/>
      <c r="S208" s="44">
        <f>IF($M208="","",IF(SUMPRODUCT(($D$4:$D$704=$D208)*($M$4:$M$704=$M208)*($F$4:$F$704&lt;$G208)*($G$4:$G$704&gt;$F208))&gt;1,"⚠ CONFLIT",""))</f>
        <v/>
      </c>
      <c r="T208" s="44">
        <f>IF($J208="","",IF(SUMPRODUCT(($D$4:$D$704=$D208)*($J$4:$J$704=$J208)*($F$4:$F$704&lt;$G208)*($G$4:$G$704&gt;$F208))&gt;1,"⚠ CONFLIT",""))</f>
        <v/>
      </c>
      <c r="U208" s="44">
        <f>IF(COUNTIFS($D$4:$D$704,$D208,$J$4:$J$704,$J208,$F$4:$F$704,$F208,$K$4:$K$704,$K208)&gt;1,"⚠ DOUBLON","")</f>
        <v/>
      </c>
      <c r="V208" s="44">
        <f>COUNTIFS($A$4:$A208,$A208,$J$4:$J208,$J208,$E$4:$E208,$E208)</f>
        <v/>
      </c>
      <c r="W208" s="45">
        <f>$A208&amp;"|"&amp;$J208&amp;"|"&amp;$E208&amp;"|"&amp;$V208</f>
        <v/>
      </c>
      <c r="X208" s="46">
        <f>TEXT($F208,"hh:mm")&amp;" - "&amp;TEXT($G208,"hh:mm")&amp;IF($P208="Quinzaine A","   ◆ Q-A",IF($P208="Quinzaine B","   ◆ Q-B",IF($P208="Exception","   ◆ PONCTUEL","")))&amp;CHAR(10)&amp;$K208&amp;CHAR(10)&amp;$M208&amp;IF($N208&lt;&gt;"",CHAR(10)&amp;"Salle "&amp;$N208,"")&amp;IF($O208="En ligne",CHAR(10)&amp;"◆ EN LIGNE","")&amp;IF($R208&lt;&gt;"",CHAR(10)&amp;$R208,"")</f>
        <v/>
      </c>
      <c r="Y208" s="45" t="inlineStr">
        <is>
          <t>19h30-21h Math (Haythem)</t>
        </is>
      </c>
      <c r="Z208" s="45" t="inlineStr">
        <is>
          <t>du 28-09 jusquà le 04-10!G48</t>
        </is>
      </c>
    </row>
    <row r="209" ht="15" customHeight="1">
      <c r="A209" s="10" t="inlineStr">
        <is>
          <t>S3</t>
        </is>
      </c>
      <c r="B209" s="9" t="inlineStr">
        <is>
          <t>du 28 septembre au 4 octobre 2026</t>
        </is>
      </c>
      <c r="C209" s="10" t="inlineStr">
        <is>
          <t>A</t>
        </is>
      </c>
      <c r="D209" s="41" t="n">
        <v>46293</v>
      </c>
      <c r="E209" s="10" t="inlineStr">
        <is>
          <t>Lundi</t>
        </is>
      </c>
      <c r="F209" s="42" t="n">
        <v>0.6458333333333334</v>
      </c>
      <c r="G209" s="42" t="n">
        <v>0.7291666666666666</v>
      </c>
      <c r="H209" s="43">
        <f>IF(OR($F209="",$G209=""),"",($G209-$F209)*24)</f>
        <v/>
      </c>
      <c r="I209" s="10" t="inlineStr">
        <is>
          <t>Secondaire</t>
        </is>
      </c>
      <c r="J209" s="9" t="inlineStr">
        <is>
          <t>3éme INFO</t>
        </is>
      </c>
      <c r="K209" s="9" t="inlineStr">
        <is>
          <t>STI</t>
        </is>
      </c>
      <c r="L209" s="9" t="inlineStr">
        <is>
          <t>STI</t>
        </is>
      </c>
      <c r="M209" s="9" t="inlineStr">
        <is>
          <t>Aymen</t>
        </is>
      </c>
      <c r="N209" s="10" t="n"/>
      <c r="O209" s="10" t="n"/>
      <c r="P209" s="10" t="inlineStr">
        <is>
          <t>Hebdomadaire</t>
        </is>
      </c>
      <c r="Q209" s="9" t="inlineStr">
        <is>
          <t>Original (septembre)</t>
        </is>
      </c>
      <c r="R209" s="9" t="inlineStr"/>
      <c r="S209" s="44">
        <f>IF($M209="","",IF(SUMPRODUCT(($D$4:$D$704=$D209)*($M$4:$M$704=$M209)*($F$4:$F$704&lt;$G209)*($G$4:$G$704&gt;$F209))&gt;1,"⚠ CONFLIT",""))</f>
        <v/>
      </c>
      <c r="T209" s="44">
        <f>IF($J209="","",IF(SUMPRODUCT(($D$4:$D$704=$D209)*($J$4:$J$704=$J209)*($F$4:$F$704&lt;$G209)*($G$4:$G$704&gt;$F209))&gt;1,"⚠ CONFLIT",""))</f>
        <v/>
      </c>
      <c r="U209" s="44">
        <f>IF(COUNTIFS($D$4:$D$704,$D209,$J$4:$J$704,$J209,$F$4:$F$704,$F209,$K$4:$K$704,$K209)&gt;1,"⚠ DOUBLON","")</f>
        <v/>
      </c>
      <c r="V209" s="44">
        <f>COUNTIFS($A$4:$A209,$A209,$J$4:$J209,$J209,$E$4:$E209,$E209)</f>
        <v/>
      </c>
      <c r="W209" s="45">
        <f>$A209&amp;"|"&amp;$J209&amp;"|"&amp;$E209&amp;"|"&amp;$V209</f>
        <v/>
      </c>
      <c r="X209" s="46">
        <f>TEXT($F209,"hh:mm")&amp;" - "&amp;TEXT($G209,"hh:mm")&amp;IF($P209="Quinzaine A","   ◆ Q-A",IF($P209="Quinzaine B","   ◆ Q-B",IF($P209="Exception","   ◆ PONCTUEL","")))&amp;CHAR(10)&amp;$K209&amp;CHAR(10)&amp;$M209&amp;IF($N209&lt;&gt;"",CHAR(10)&amp;"Salle "&amp;$N209,"")&amp;IF($O209="En ligne",CHAR(10)&amp;"◆ EN LIGNE","")&amp;IF($R209&lt;&gt;"",CHAR(10)&amp;$R209,"")</f>
        <v/>
      </c>
      <c r="Y209" s="45" t="inlineStr">
        <is>
          <t>15h30-17h30 STI (Aymen)</t>
        </is>
      </c>
      <c r="Z209" s="45" t="inlineStr">
        <is>
          <t>du 28-09 jusquà le 04-10!G64</t>
        </is>
      </c>
    </row>
    <row r="210" ht="15" customHeight="1">
      <c r="A210" s="10" t="inlineStr">
        <is>
          <t>S3</t>
        </is>
      </c>
      <c r="B210" s="9" t="inlineStr">
        <is>
          <t>du 28 septembre au 4 octobre 2026</t>
        </is>
      </c>
      <c r="C210" s="10" t="inlineStr">
        <is>
          <t>A</t>
        </is>
      </c>
      <c r="D210" s="41" t="n">
        <v>46293</v>
      </c>
      <c r="E210" s="10" t="inlineStr">
        <is>
          <t>Lundi</t>
        </is>
      </c>
      <c r="F210" s="42" t="n">
        <v>0.7916666666666666</v>
      </c>
      <c r="G210" s="42" t="n">
        <v>0.8541666666666666</v>
      </c>
      <c r="H210" s="43">
        <f>IF(OR($F210="",$G210=""),"",($G210-$F210)*24)</f>
        <v/>
      </c>
      <c r="I210" s="10" t="inlineStr">
        <is>
          <t>Secondaire</t>
        </is>
      </c>
      <c r="J210" s="9" t="inlineStr">
        <is>
          <t>3éme SCE</t>
        </is>
      </c>
      <c r="K210" s="9" t="inlineStr">
        <is>
          <t>Math</t>
        </is>
      </c>
      <c r="L210" s="9" t="inlineStr">
        <is>
          <t>Math</t>
        </is>
      </c>
      <c r="M210" s="9" t="inlineStr">
        <is>
          <t>Lotfi</t>
        </is>
      </c>
      <c r="N210" s="10" t="n"/>
      <c r="O210" s="10" t="n"/>
      <c r="P210" s="10" t="inlineStr">
        <is>
          <t>Hebdomadaire</t>
        </is>
      </c>
      <c r="Q210" s="9" t="inlineStr">
        <is>
          <t>Original (septembre)</t>
        </is>
      </c>
      <c r="R210" s="9" t="inlineStr"/>
      <c r="S210" s="44">
        <f>IF($M210="","",IF(SUMPRODUCT(($D$4:$D$704=$D210)*($M$4:$M$704=$M210)*($F$4:$F$704&lt;$G210)*($G$4:$G$704&gt;$F210))&gt;1,"⚠ CONFLIT",""))</f>
        <v/>
      </c>
      <c r="T210" s="44">
        <f>IF($J210="","",IF(SUMPRODUCT(($D$4:$D$704=$D210)*($J$4:$J$704=$J210)*($F$4:$F$704&lt;$G210)*($G$4:$G$704&gt;$F210))&gt;1,"⚠ CONFLIT",""))</f>
        <v/>
      </c>
      <c r="U210" s="44">
        <f>IF(COUNTIFS($D$4:$D$704,$D210,$J$4:$J$704,$J210,$F$4:$F$704,$F210,$K$4:$K$704,$K210)&gt;1,"⚠ DOUBLON","")</f>
        <v/>
      </c>
      <c r="V210" s="44">
        <f>COUNTIFS($A$4:$A210,$A210,$J$4:$J210,$J210,$E$4:$E210,$E210)</f>
        <v/>
      </c>
      <c r="W210" s="45">
        <f>$A210&amp;"|"&amp;$J210&amp;"|"&amp;$E210&amp;"|"&amp;$V210</f>
        <v/>
      </c>
      <c r="X210" s="46">
        <f>TEXT($F210,"hh:mm")&amp;" - "&amp;TEXT($G210,"hh:mm")&amp;IF($P210="Quinzaine A","   ◆ Q-A",IF($P210="Quinzaine B","   ◆ Q-B",IF($P210="Exception","   ◆ PONCTUEL","")))&amp;CHAR(10)&amp;$K210&amp;CHAR(10)&amp;$M210&amp;IF($N210&lt;&gt;"",CHAR(10)&amp;"Salle "&amp;$N210,"")&amp;IF($O210="En ligne",CHAR(10)&amp;"◆ EN LIGNE","")&amp;IF($R210&lt;&gt;"",CHAR(10)&amp;$R210,"")</f>
        <v/>
      </c>
      <c r="Y210" s="45" t="inlineStr">
        <is>
          <t>19h-20h30 Math (Lotfi)</t>
        </is>
      </c>
      <c r="Z210" s="45" t="inlineStr">
        <is>
          <t>du 28-09 jusquà le 04-10!G67</t>
        </is>
      </c>
    </row>
    <row r="211" ht="15" customHeight="1">
      <c r="A211" s="10" t="inlineStr">
        <is>
          <t>S3</t>
        </is>
      </c>
      <c r="B211" s="9" t="inlineStr">
        <is>
          <t>du 28 septembre au 4 octobre 2026</t>
        </is>
      </c>
      <c r="C211" s="10" t="inlineStr">
        <is>
          <t>A</t>
        </is>
      </c>
      <c r="D211" s="41" t="n">
        <v>46293</v>
      </c>
      <c r="E211" s="10" t="inlineStr">
        <is>
          <t>Lundi</t>
        </is>
      </c>
      <c r="F211" s="42" t="n">
        <v>0.7916666666666666</v>
      </c>
      <c r="G211" s="42" t="n">
        <v>0.875</v>
      </c>
      <c r="H211" s="43">
        <f>IF(OR($F211="",$G211=""),"",($G211-$F211)*24)</f>
        <v/>
      </c>
      <c r="I211" s="10" t="inlineStr">
        <is>
          <t>Bac</t>
        </is>
      </c>
      <c r="J211" s="9" t="inlineStr">
        <is>
          <t>Bac Eco</t>
        </is>
      </c>
      <c r="K211" s="9" t="inlineStr">
        <is>
          <t>Gestion</t>
        </is>
      </c>
      <c r="L211" s="9" t="inlineStr">
        <is>
          <t>Gestion</t>
        </is>
      </c>
      <c r="M211" s="9" t="inlineStr">
        <is>
          <t>Yassine</t>
        </is>
      </c>
      <c r="N211" s="10" t="n"/>
      <c r="O211" s="10" t="n"/>
      <c r="P211" s="10" t="inlineStr">
        <is>
          <t>Hebdomadaire</t>
        </is>
      </c>
      <c r="Q211" s="9" t="inlineStr">
        <is>
          <t>Original (septembre)</t>
        </is>
      </c>
      <c r="R211" s="9" t="inlineStr"/>
      <c r="S211" s="44">
        <f>IF($M211="","",IF(SUMPRODUCT(($D$4:$D$704=$D211)*($M$4:$M$704=$M211)*($F$4:$F$704&lt;$G211)*($G$4:$G$704&gt;$F211))&gt;1,"⚠ CONFLIT",""))</f>
        <v/>
      </c>
      <c r="T211" s="44">
        <f>IF($J211="","",IF(SUMPRODUCT(($D$4:$D$704=$D211)*($J$4:$J$704=$J211)*($F$4:$F$704&lt;$G211)*($G$4:$G$704&gt;$F211))&gt;1,"⚠ CONFLIT",""))</f>
        <v/>
      </c>
      <c r="U211" s="44">
        <f>IF(COUNTIFS($D$4:$D$704,$D211,$J$4:$J$704,$J211,$F$4:$F$704,$F211,$K$4:$K$704,$K211)&gt;1,"⚠ DOUBLON","")</f>
        <v/>
      </c>
      <c r="V211" s="44">
        <f>COUNTIFS($A$4:$A211,$A211,$J$4:$J211,$J211,$E$4:$E211,$E211)</f>
        <v/>
      </c>
      <c r="W211" s="45">
        <f>$A211&amp;"|"&amp;$J211&amp;"|"&amp;$E211&amp;"|"&amp;$V211</f>
        <v/>
      </c>
      <c r="X211" s="46">
        <f>TEXT($F211,"hh:mm")&amp;" - "&amp;TEXT($G211,"hh:mm")&amp;IF($P211="Quinzaine A","   ◆ Q-A",IF($P211="Quinzaine B","   ◆ Q-B",IF($P211="Exception","   ◆ PONCTUEL","")))&amp;CHAR(10)&amp;$K211&amp;CHAR(10)&amp;$M211&amp;IF($N211&lt;&gt;"",CHAR(10)&amp;"Salle "&amp;$N211,"")&amp;IF($O211="En ligne",CHAR(10)&amp;"◆ EN LIGNE","")&amp;IF($R211&lt;&gt;"",CHAR(10)&amp;$R211,"")</f>
        <v/>
      </c>
      <c r="Y211" s="45" t="inlineStr">
        <is>
          <t>19h-21h Gestion (Yassine)</t>
        </is>
      </c>
      <c r="Z211" s="45" t="inlineStr">
        <is>
          <t>du 28-09 jusquà le 04-10!G69</t>
        </is>
      </c>
    </row>
    <row r="212" ht="15" customHeight="1">
      <c r="A212" s="10" t="inlineStr">
        <is>
          <t>S3</t>
        </is>
      </c>
      <c r="B212" s="9" t="inlineStr">
        <is>
          <t>du 28 septembre au 4 octobre 2026</t>
        </is>
      </c>
      <c r="C212" s="10" t="inlineStr">
        <is>
          <t>A</t>
        </is>
      </c>
      <c r="D212" s="41" t="n">
        <v>46293</v>
      </c>
      <c r="E212" s="10" t="inlineStr">
        <is>
          <t>Lundi</t>
        </is>
      </c>
      <c r="F212" s="42" t="n">
        <v>0.7916666666666666</v>
      </c>
      <c r="G212" s="42" t="n">
        <v>0.875</v>
      </c>
      <c r="H212" s="43">
        <f>IF(OR($F212="",$G212=""),"",($G212-$F212)*24)</f>
        <v/>
      </c>
      <c r="I212" s="10" t="inlineStr">
        <is>
          <t>Bac</t>
        </is>
      </c>
      <c r="J212" s="9" t="inlineStr">
        <is>
          <t>Bac SCE</t>
        </is>
      </c>
      <c r="K212" s="9" t="inlineStr">
        <is>
          <t>Physique</t>
        </is>
      </c>
      <c r="L212" s="9" t="inlineStr">
        <is>
          <t>Physique</t>
        </is>
      </c>
      <c r="M212" s="9" t="inlineStr">
        <is>
          <t>Sondes</t>
        </is>
      </c>
      <c r="N212" s="10" t="n"/>
      <c r="O212" s="10" t="n"/>
      <c r="P212" s="10" t="inlineStr">
        <is>
          <t>Hebdomadaire</t>
        </is>
      </c>
      <c r="Q212" s="9" t="inlineStr">
        <is>
          <t>Original (septembre)</t>
        </is>
      </c>
      <c r="R212" s="9" t="inlineStr"/>
      <c r="S212" s="44">
        <f>IF($M212="","",IF(SUMPRODUCT(($D$4:$D$704=$D212)*($M$4:$M$704=$M212)*($F$4:$F$704&lt;$G212)*($G$4:$G$704&gt;$F212))&gt;1,"⚠ CONFLIT",""))</f>
        <v/>
      </c>
      <c r="T212" s="44">
        <f>IF($J212="","",IF(SUMPRODUCT(($D$4:$D$704=$D212)*($J$4:$J$704=$J212)*($F$4:$F$704&lt;$G212)*($G$4:$G$704&gt;$F212))&gt;1,"⚠ CONFLIT",""))</f>
        <v/>
      </c>
      <c r="U212" s="44">
        <f>IF(COUNTIFS($D$4:$D$704,$D212,$J$4:$J$704,$J212,$F$4:$F$704,$F212,$K$4:$K$704,$K212)&gt;1,"⚠ DOUBLON","")</f>
        <v/>
      </c>
      <c r="V212" s="44">
        <f>COUNTIFS($A$4:$A212,$A212,$J$4:$J212,$J212,$E$4:$E212,$E212)</f>
        <v/>
      </c>
      <c r="W212" s="45">
        <f>$A212&amp;"|"&amp;$J212&amp;"|"&amp;$E212&amp;"|"&amp;$V212</f>
        <v/>
      </c>
      <c r="X212" s="46">
        <f>TEXT($F212,"hh:mm")&amp;" - "&amp;TEXT($G212,"hh:mm")&amp;IF($P212="Quinzaine A","   ◆ Q-A",IF($P212="Quinzaine B","   ◆ Q-B",IF($P212="Exception","   ◆ PONCTUEL","")))&amp;CHAR(10)&amp;$K212&amp;CHAR(10)&amp;$M212&amp;IF($N212&lt;&gt;"",CHAR(10)&amp;"Salle "&amp;$N212,"")&amp;IF($O212="En ligne",CHAR(10)&amp;"◆ EN LIGNE","")&amp;IF($R212&lt;&gt;"",CHAR(10)&amp;$R212,"")</f>
        <v/>
      </c>
      <c r="Y212" s="45" t="inlineStr">
        <is>
          <t>19h-21h Physique (Sondes)</t>
        </is>
      </c>
      <c r="Z212" s="45" t="inlineStr">
        <is>
          <t>du 28-09 jusquà le 04-10!G75</t>
        </is>
      </c>
    </row>
    <row r="213" ht="15" customHeight="1">
      <c r="A213" s="10" t="inlineStr">
        <is>
          <t>S3</t>
        </is>
      </c>
      <c r="B213" s="9" t="inlineStr">
        <is>
          <t>du 28 septembre au 4 octobre 2026</t>
        </is>
      </c>
      <c r="C213" s="10" t="inlineStr">
        <is>
          <t>A</t>
        </is>
      </c>
      <c r="D213" s="41" t="n">
        <v>46293</v>
      </c>
      <c r="E213" s="10" t="inlineStr">
        <is>
          <t>Lundi</t>
        </is>
      </c>
      <c r="F213" s="42" t="n">
        <v>0.8125</v>
      </c>
      <c r="G213" s="42" t="n">
        <v>0.875</v>
      </c>
      <c r="H213" s="43">
        <f>IF(OR($F213="",$G213=""),"",($G213-$F213)*24)</f>
        <v/>
      </c>
      <c r="I213" s="10" t="inlineStr">
        <is>
          <t>Bac</t>
        </is>
      </c>
      <c r="J213" s="9" t="inlineStr">
        <is>
          <t>Bac INFO</t>
        </is>
      </c>
      <c r="K213" s="9" t="inlineStr">
        <is>
          <t>Physique</t>
        </is>
      </c>
      <c r="L213" s="9" t="inlineStr">
        <is>
          <t>Physique</t>
        </is>
      </c>
      <c r="M213" s="9" t="inlineStr">
        <is>
          <t>Samia</t>
        </is>
      </c>
      <c r="N213" s="10" t="n"/>
      <c r="O213" s="10" t="n"/>
      <c r="P213" s="10" t="inlineStr">
        <is>
          <t>Hebdomadaire</t>
        </is>
      </c>
      <c r="Q213" s="9" t="inlineStr">
        <is>
          <t>Original (septembre)</t>
        </is>
      </c>
      <c r="R213" s="9" t="inlineStr"/>
      <c r="S213" s="44">
        <f>IF($M213="","",IF(SUMPRODUCT(($D$4:$D$704=$D213)*($M$4:$M$704=$M213)*($F$4:$F$704&lt;$G213)*($G$4:$G$704&gt;$F213))&gt;1,"⚠ CONFLIT",""))</f>
        <v/>
      </c>
      <c r="T213" s="44">
        <f>IF($J213="","",IF(SUMPRODUCT(($D$4:$D$704=$D213)*($J$4:$J$704=$J213)*($F$4:$F$704&lt;$G213)*($G$4:$G$704&gt;$F213))&gt;1,"⚠ CONFLIT",""))</f>
        <v/>
      </c>
      <c r="U213" s="44">
        <f>IF(COUNTIFS($D$4:$D$704,$D213,$J$4:$J$704,$J213,$F$4:$F$704,$F213,$K$4:$K$704,$K213)&gt;1,"⚠ DOUBLON","")</f>
        <v/>
      </c>
      <c r="V213" s="44">
        <f>COUNTIFS($A$4:$A213,$A213,$J$4:$J213,$J213,$E$4:$E213,$E213)</f>
        <v/>
      </c>
      <c r="W213" s="45">
        <f>$A213&amp;"|"&amp;$J213&amp;"|"&amp;$E213&amp;"|"&amp;$V213</f>
        <v/>
      </c>
      <c r="X213" s="46">
        <f>TEXT($F213,"hh:mm")&amp;" - "&amp;TEXT($G213,"hh:mm")&amp;IF($P213="Quinzaine A","   ◆ Q-A",IF($P213="Quinzaine B","   ◆ Q-B",IF($P213="Exception","   ◆ PONCTUEL","")))&amp;CHAR(10)&amp;$K213&amp;CHAR(10)&amp;$M213&amp;IF($N213&lt;&gt;"",CHAR(10)&amp;"Salle "&amp;$N213,"")&amp;IF($O213="En ligne",CHAR(10)&amp;"◆ EN LIGNE","")&amp;IF($R213&lt;&gt;"",CHAR(10)&amp;$R213,"")</f>
        <v/>
      </c>
      <c r="Y213" s="45" t="inlineStr">
        <is>
          <t>19h30-21h Physique (Samia)</t>
        </is>
      </c>
      <c r="Z213" s="45" t="inlineStr">
        <is>
          <t>du 28-09 jusquà le 04-10!G79</t>
        </is>
      </c>
    </row>
    <row r="214" ht="15" customHeight="1">
      <c r="A214" s="10" t="inlineStr">
        <is>
          <t>S3</t>
        </is>
      </c>
      <c r="B214" s="9" t="inlineStr">
        <is>
          <t>du 28 septembre au 4 octobre 2026</t>
        </is>
      </c>
      <c r="C214" s="10" t="inlineStr">
        <is>
          <t>A</t>
        </is>
      </c>
      <c r="D214" s="41" t="n">
        <v>46294</v>
      </c>
      <c r="E214" s="10" t="inlineStr">
        <is>
          <t>Mardi</t>
        </is>
      </c>
      <c r="F214" s="42" t="n">
        <v>0.7916666666666666</v>
      </c>
      <c r="G214" s="42" t="n">
        <v>0.875</v>
      </c>
      <c r="H214" s="43">
        <f>IF(OR($F214="",$G214=""),"",($G214-$F214)*24)</f>
        <v/>
      </c>
      <c r="I214" s="10" t="inlineStr">
        <is>
          <t>Primaire</t>
        </is>
      </c>
      <c r="J214" s="9" t="inlineStr">
        <is>
          <t>5éme</t>
        </is>
      </c>
      <c r="K214" s="9" t="inlineStr">
        <is>
          <t>عربية</t>
        </is>
      </c>
      <c r="L214" s="9" t="inlineStr">
        <is>
          <t>Arabe</t>
        </is>
      </c>
      <c r="M214" s="9" t="inlineStr">
        <is>
          <t>Lobna</t>
        </is>
      </c>
      <c r="N214" s="10" t="n"/>
      <c r="O214" s="10" t="n"/>
      <c r="P214" s="10" t="inlineStr">
        <is>
          <t>Hebdomadaire</t>
        </is>
      </c>
      <c r="Q214" s="9" t="inlineStr">
        <is>
          <t>Original (septembre)</t>
        </is>
      </c>
      <c r="R214" s="9" t="inlineStr"/>
      <c r="S214" s="44">
        <f>IF($M214="","",IF(SUMPRODUCT(($D$4:$D$704=$D214)*($M$4:$M$704=$M214)*($F$4:$F$704&lt;$G214)*($G$4:$G$704&gt;$F214))&gt;1,"⚠ CONFLIT",""))</f>
        <v/>
      </c>
      <c r="T214" s="44">
        <f>IF($J214="","",IF(SUMPRODUCT(($D$4:$D$704=$D214)*($J$4:$J$704=$J214)*($F$4:$F$704&lt;$G214)*($G$4:$G$704&gt;$F214))&gt;1,"⚠ CONFLIT",""))</f>
        <v/>
      </c>
      <c r="U214" s="44">
        <f>IF(COUNTIFS($D$4:$D$704,$D214,$J$4:$J$704,$J214,$F$4:$F$704,$F214,$K$4:$K$704,$K214)&gt;1,"⚠ DOUBLON","")</f>
        <v/>
      </c>
      <c r="V214" s="44">
        <f>COUNTIFS($A$4:$A214,$A214,$J$4:$J214,$J214,$E$4:$E214,$E214)</f>
        <v/>
      </c>
      <c r="W214" s="45">
        <f>$A214&amp;"|"&amp;$J214&amp;"|"&amp;$E214&amp;"|"&amp;$V214</f>
        <v/>
      </c>
      <c r="X214" s="46">
        <f>TEXT($F214,"hh:mm")&amp;" - "&amp;TEXT($G214,"hh:mm")&amp;IF($P214="Quinzaine A","   ◆ Q-A",IF($P214="Quinzaine B","   ◆ Q-B",IF($P214="Exception","   ◆ PONCTUEL","")))&amp;CHAR(10)&amp;$K214&amp;CHAR(10)&amp;$M214&amp;IF($N214&lt;&gt;"",CHAR(10)&amp;"Salle "&amp;$N214,"")&amp;IF($O214="En ligne",CHAR(10)&amp;"◆ EN LIGNE","")&amp;IF($R214&lt;&gt;"",CHAR(10)&amp;$R214,"")</f>
        <v/>
      </c>
      <c r="Y214" s="45" t="inlineStr">
        <is>
          <t>19h-21h عربية (Lobna)</t>
        </is>
      </c>
      <c r="Z214" s="45" t="inlineStr">
        <is>
          <t>du 28-09 jusquà le 04-10!H6</t>
        </is>
      </c>
    </row>
    <row r="215" ht="15" customHeight="1">
      <c r="A215" s="10" t="inlineStr">
        <is>
          <t>S3</t>
        </is>
      </c>
      <c r="B215" s="9" t="inlineStr">
        <is>
          <t>du 28 septembre au 4 octobre 2026</t>
        </is>
      </c>
      <c r="C215" s="10" t="inlineStr">
        <is>
          <t>A</t>
        </is>
      </c>
      <c r="D215" s="41" t="n">
        <v>46294</v>
      </c>
      <c r="E215" s="10" t="inlineStr">
        <is>
          <t>Mardi</t>
        </is>
      </c>
      <c r="F215" s="42" t="n">
        <v>0.7916666666666666</v>
      </c>
      <c r="G215" s="42" t="n">
        <v>0.8541666666666666</v>
      </c>
      <c r="H215" s="43">
        <f>IF(OR($F215="",$G215=""),"",($G215-$F215)*24)</f>
        <v/>
      </c>
      <c r="I215" s="10" t="inlineStr">
        <is>
          <t>Primaire</t>
        </is>
      </c>
      <c r="J215" s="9" t="inlineStr">
        <is>
          <t>6éme (B)</t>
        </is>
      </c>
      <c r="K215" s="9" t="inlineStr">
        <is>
          <t>Français</t>
        </is>
      </c>
      <c r="L215" s="9" t="inlineStr">
        <is>
          <t>Français</t>
        </is>
      </c>
      <c r="M215" s="9" t="inlineStr">
        <is>
          <t>Hend</t>
        </is>
      </c>
      <c r="N215" s="10" t="n"/>
      <c r="O215" s="10" t="n"/>
      <c r="P215" s="10" t="inlineStr">
        <is>
          <t>Hebdomadaire</t>
        </is>
      </c>
      <c r="Q215" s="9" t="inlineStr">
        <is>
          <t>Original (septembre)</t>
        </is>
      </c>
      <c r="R215" s="9" t="inlineStr"/>
      <c r="S215" s="44">
        <f>IF($M215="","",IF(SUMPRODUCT(($D$4:$D$704=$D215)*($M$4:$M$704=$M215)*($F$4:$F$704&lt;$G215)*($G$4:$G$704&gt;$F215))&gt;1,"⚠ CONFLIT",""))</f>
        <v/>
      </c>
      <c r="T215" s="44">
        <f>IF($J215="","",IF(SUMPRODUCT(($D$4:$D$704=$D215)*($J$4:$J$704=$J215)*($F$4:$F$704&lt;$G215)*($G$4:$G$704&gt;$F215))&gt;1,"⚠ CONFLIT",""))</f>
        <v/>
      </c>
      <c r="U215" s="44">
        <f>IF(COUNTIFS($D$4:$D$704,$D215,$J$4:$J$704,$J215,$F$4:$F$704,$F215,$K$4:$K$704,$K215)&gt;1,"⚠ DOUBLON","")</f>
        <v/>
      </c>
      <c r="V215" s="44">
        <f>COUNTIFS($A$4:$A215,$A215,$J$4:$J215,$J215,$E$4:$E215,$E215)</f>
        <v/>
      </c>
      <c r="W215" s="45">
        <f>$A215&amp;"|"&amp;$J215&amp;"|"&amp;$E215&amp;"|"&amp;$V215</f>
        <v/>
      </c>
      <c r="X215" s="46">
        <f>TEXT($F215,"hh:mm")&amp;" - "&amp;TEXT($G215,"hh:mm")&amp;IF($P215="Quinzaine A","   ◆ Q-A",IF($P215="Quinzaine B","   ◆ Q-B",IF($P215="Exception","   ◆ PONCTUEL","")))&amp;CHAR(10)&amp;$K215&amp;CHAR(10)&amp;$M215&amp;IF($N215&lt;&gt;"",CHAR(10)&amp;"Salle "&amp;$N215,"")&amp;IF($O215="En ligne",CHAR(10)&amp;"◆ EN LIGNE","")&amp;IF($R215&lt;&gt;"",CHAR(10)&amp;$R215,"")</f>
        <v/>
      </c>
      <c r="Y215" s="45" t="inlineStr">
        <is>
          <t>19h-20h30 Français (Hend)</t>
        </is>
      </c>
      <c r="Z215" s="45" t="inlineStr">
        <is>
          <t>du 28-09 jusquà le 04-10!H16</t>
        </is>
      </c>
    </row>
    <row r="216" ht="15" customHeight="1">
      <c r="A216" s="10" t="inlineStr">
        <is>
          <t>S3</t>
        </is>
      </c>
      <c r="B216" s="9" t="inlineStr">
        <is>
          <t>du 28 septembre au 4 octobre 2026</t>
        </is>
      </c>
      <c r="C216" s="10" t="inlineStr">
        <is>
          <t>A</t>
        </is>
      </c>
      <c r="D216" s="41" t="n">
        <v>46294</v>
      </c>
      <c r="E216" s="10" t="inlineStr">
        <is>
          <t>Mardi</t>
        </is>
      </c>
      <c r="F216" s="42" t="n">
        <v>0.7916666666666666</v>
      </c>
      <c r="G216" s="42" t="n">
        <v>0.8541666666666666</v>
      </c>
      <c r="H216" s="43">
        <f>IF(OR($F216="",$G216=""),"",($G216-$F216)*24)</f>
        <v/>
      </c>
      <c r="I216" s="10" t="inlineStr">
        <is>
          <t>Collège</t>
        </is>
      </c>
      <c r="J216" s="9" t="inlineStr">
        <is>
          <t>7éme (A)</t>
        </is>
      </c>
      <c r="K216" s="9" t="inlineStr">
        <is>
          <t>Anglais</t>
        </is>
      </c>
      <c r="L216" s="9" t="inlineStr">
        <is>
          <t>Anglais</t>
        </is>
      </c>
      <c r="M216" s="9" t="inlineStr">
        <is>
          <t>Imen Ben Lazrak</t>
        </is>
      </c>
      <c r="N216" s="10" t="n"/>
      <c r="O216" s="10" t="n"/>
      <c r="P216" s="10" t="inlineStr">
        <is>
          <t>Quinzaine A</t>
        </is>
      </c>
      <c r="Q216" s="9" t="inlineStr">
        <is>
          <t>Original (septembre)</t>
        </is>
      </c>
      <c r="R216" s="9" t="inlineStr"/>
      <c r="S216" s="44">
        <f>IF($M216="","",IF(SUMPRODUCT(($D$4:$D$704=$D216)*($M$4:$M$704=$M216)*($F$4:$F$704&lt;$G216)*($G$4:$G$704&gt;$F216))&gt;1,"⚠ CONFLIT",""))</f>
        <v/>
      </c>
      <c r="T216" s="44">
        <f>IF($J216="","",IF(SUMPRODUCT(($D$4:$D$704=$D216)*($J$4:$J$704=$J216)*($F$4:$F$704&lt;$G216)*($G$4:$G$704&gt;$F216))&gt;1,"⚠ CONFLIT",""))</f>
        <v/>
      </c>
      <c r="U216" s="44">
        <f>IF(COUNTIFS($D$4:$D$704,$D216,$J$4:$J$704,$J216,$F$4:$F$704,$F216,$K$4:$K$704,$K216)&gt;1,"⚠ DOUBLON","")</f>
        <v/>
      </c>
      <c r="V216" s="44">
        <f>COUNTIFS($A$4:$A216,$A216,$J$4:$J216,$J216,$E$4:$E216,$E216)</f>
        <v/>
      </c>
      <c r="W216" s="45">
        <f>$A216&amp;"|"&amp;$J216&amp;"|"&amp;$E216&amp;"|"&amp;$V216</f>
        <v/>
      </c>
      <c r="X216" s="46">
        <f>TEXT($F216,"hh:mm")&amp;" - "&amp;TEXT($G216,"hh:mm")&amp;IF($P216="Quinzaine A","   ◆ Q-A",IF($P216="Quinzaine B","   ◆ Q-B",IF($P216="Exception","   ◆ PONCTUEL","")))&amp;CHAR(10)&amp;$K216&amp;CHAR(10)&amp;$M216&amp;IF($N216&lt;&gt;"",CHAR(10)&amp;"Salle "&amp;$N216,"")&amp;IF($O216="En ligne",CHAR(10)&amp;"◆ EN LIGNE","")&amp;IF($R216&lt;&gt;"",CHAR(10)&amp;$R216,"")</f>
        <v/>
      </c>
      <c r="Y216" s="45" t="inlineStr">
        <is>
          <t>19h-20h30 Anglais /par quinzaine (Imen Ben Lazrak)</t>
        </is>
      </c>
      <c r="Z216" s="45" t="inlineStr">
        <is>
          <t>du 28-09 jusquà le 04-10!H19</t>
        </is>
      </c>
    </row>
    <row r="217" ht="15" customHeight="1">
      <c r="A217" s="10" t="inlineStr">
        <is>
          <t>S3</t>
        </is>
      </c>
      <c r="B217" s="9" t="inlineStr">
        <is>
          <t>du 28 septembre au 4 octobre 2026</t>
        </is>
      </c>
      <c r="C217" s="10" t="inlineStr">
        <is>
          <t>A</t>
        </is>
      </c>
      <c r="D217" s="41" t="n">
        <v>46294</v>
      </c>
      <c r="E217" s="10" t="inlineStr">
        <is>
          <t>Mardi</t>
        </is>
      </c>
      <c r="F217" s="42" t="n">
        <v>0.8125</v>
      </c>
      <c r="G217" s="42" t="n">
        <v>0.875</v>
      </c>
      <c r="H217" s="43">
        <f>IF(OR($F217="",$G217=""),"",($G217-$F217)*24)</f>
        <v/>
      </c>
      <c r="I217" s="10" t="inlineStr">
        <is>
          <t>Collège</t>
        </is>
      </c>
      <c r="J217" s="9" t="inlineStr">
        <is>
          <t>8éme (B)</t>
        </is>
      </c>
      <c r="K217" s="9" t="inlineStr">
        <is>
          <t>Arabe</t>
        </is>
      </c>
      <c r="L217" s="9" t="inlineStr">
        <is>
          <t>Arabe</t>
        </is>
      </c>
      <c r="M217" s="9" t="inlineStr">
        <is>
          <t>Yahya</t>
        </is>
      </c>
      <c r="N217" s="10" t="n"/>
      <c r="O217" s="10" t="n"/>
      <c r="P217" s="10" t="inlineStr">
        <is>
          <t>Hebdomadaire</t>
        </is>
      </c>
      <c r="Q217" s="9" t="inlineStr">
        <is>
          <t>Original (septembre)</t>
        </is>
      </c>
      <c r="R217" s="9" t="inlineStr"/>
      <c r="S217" s="44">
        <f>IF($M217="","",IF(SUMPRODUCT(($D$4:$D$704=$D217)*($M$4:$M$704=$M217)*($F$4:$F$704&lt;$G217)*($G$4:$G$704&gt;$F217))&gt;1,"⚠ CONFLIT",""))</f>
        <v/>
      </c>
      <c r="T217" s="44">
        <f>IF($J217="","",IF(SUMPRODUCT(($D$4:$D$704=$D217)*($J$4:$J$704=$J217)*($F$4:$F$704&lt;$G217)*($G$4:$G$704&gt;$F217))&gt;1,"⚠ CONFLIT",""))</f>
        <v/>
      </c>
      <c r="U217" s="44">
        <f>IF(COUNTIFS($D$4:$D$704,$D217,$J$4:$J$704,$J217,$F$4:$F$704,$F217,$K$4:$K$704,$K217)&gt;1,"⚠ DOUBLON","")</f>
        <v/>
      </c>
      <c r="V217" s="44">
        <f>COUNTIFS($A$4:$A217,$A217,$J$4:$J217,$J217,$E$4:$E217,$E217)</f>
        <v/>
      </c>
      <c r="W217" s="45">
        <f>$A217&amp;"|"&amp;$J217&amp;"|"&amp;$E217&amp;"|"&amp;$V217</f>
        <v/>
      </c>
      <c r="X217" s="46">
        <f>TEXT($F217,"hh:mm")&amp;" - "&amp;TEXT($G217,"hh:mm")&amp;IF($P217="Quinzaine A","   ◆ Q-A",IF($P217="Quinzaine B","   ◆ Q-B",IF($P217="Exception","   ◆ PONCTUEL","")))&amp;CHAR(10)&amp;$K217&amp;CHAR(10)&amp;$M217&amp;IF($N217&lt;&gt;"",CHAR(10)&amp;"Salle "&amp;$N217,"")&amp;IF($O217="En ligne",CHAR(10)&amp;"◆ EN LIGNE","")&amp;IF($R217&lt;&gt;"",CHAR(10)&amp;$R217,"")</f>
        <v/>
      </c>
      <c r="Y217" s="45" t="inlineStr">
        <is>
          <t>19h30-21h Arabe (Yahya)</t>
        </is>
      </c>
      <c r="Z217" s="45" t="inlineStr">
        <is>
          <t>du 28-09 jusquà le 04-10!H31</t>
        </is>
      </c>
    </row>
    <row r="218" ht="15" customHeight="1">
      <c r="A218" s="10" t="inlineStr">
        <is>
          <t>S3</t>
        </is>
      </c>
      <c r="B218" s="9" t="inlineStr">
        <is>
          <t>du 28 septembre au 4 octobre 2026</t>
        </is>
      </c>
      <c r="C218" s="10" t="inlineStr">
        <is>
          <t>A</t>
        </is>
      </c>
      <c r="D218" s="41" t="n">
        <v>46294</v>
      </c>
      <c r="E218" s="10" t="inlineStr">
        <is>
          <t>Mardi</t>
        </is>
      </c>
      <c r="F218" s="42" t="n">
        <v>0.7916666666666666</v>
      </c>
      <c r="G218" s="42" t="n">
        <v>0.8541666666666666</v>
      </c>
      <c r="H218" s="43">
        <f>IF(OR($F218="",$G218=""),"",($G218-$F218)*24)</f>
        <v/>
      </c>
      <c r="I218" s="10" t="inlineStr">
        <is>
          <t>Collège</t>
        </is>
      </c>
      <c r="J218" s="9" t="inlineStr">
        <is>
          <t>9éme (A)</t>
        </is>
      </c>
      <c r="K218" s="9" t="inlineStr">
        <is>
          <t>Math</t>
        </is>
      </c>
      <c r="L218" s="9" t="inlineStr">
        <is>
          <t>Math</t>
        </is>
      </c>
      <c r="M218" s="9" t="inlineStr">
        <is>
          <t>Faouzi</t>
        </is>
      </c>
      <c r="N218" s="10" t="n"/>
      <c r="O218" s="10" t="n"/>
      <c r="P218" s="10" t="inlineStr">
        <is>
          <t>Hebdomadaire</t>
        </is>
      </c>
      <c r="Q218" s="9" t="inlineStr">
        <is>
          <t>Original (septembre)</t>
        </is>
      </c>
      <c r="R218" s="9" t="inlineStr"/>
      <c r="S218" s="44">
        <f>IF($M218="","",IF(SUMPRODUCT(($D$4:$D$704=$D218)*($M$4:$M$704=$M218)*($F$4:$F$704&lt;$G218)*($G$4:$G$704&gt;$F218))&gt;1,"⚠ CONFLIT",""))</f>
        <v/>
      </c>
      <c r="T218" s="44">
        <f>IF($J218="","",IF(SUMPRODUCT(($D$4:$D$704=$D218)*($J$4:$J$704=$J218)*($F$4:$F$704&lt;$G218)*($G$4:$G$704&gt;$F218))&gt;1,"⚠ CONFLIT",""))</f>
        <v/>
      </c>
      <c r="U218" s="44">
        <f>IF(COUNTIFS($D$4:$D$704,$D218,$J$4:$J$704,$J218,$F$4:$F$704,$F218,$K$4:$K$704,$K218)&gt;1,"⚠ DOUBLON","")</f>
        <v/>
      </c>
      <c r="V218" s="44">
        <f>COUNTIFS($A$4:$A218,$A218,$J$4:$J218,$J218,$E$4:$E218,$E218)</f>
        <v/>
      </c>
      <c r="W218" s="45">
        <f>$A218&amp;"|"&amp;$J218&amp;"|"&amp;$E218&amp;"|"&amp;$V218</f>
        <v/>
      </c>
      <c r="X218" s="46">
        <f>TEXT($F218,"hh:mm")&amp;" - "&amp;TEXT($G218,"hh:mm")&amp;IF($P218="Quinzaine A","   ◆ Q-A",IF($P218="Quinzaine B","   ◆ Q-B",IF($P218="Exception","   ◆ PONCTUEL","")))&amp;CHAR(10)&amp;$K218&amp;CHAR(10)&amp;$M218&amp;IF($N218&lt;&gt;"",CHAR(10)&amp;"Salle "&amp;$N218,"")&amp;IF($O218="En ligne",CHAR(10)&amp;"◆ EN LIGNE","")&amp;IF($R218&lt;&gt;"",CHAR(10)&amp;$R218,"")</f>
        <v/>
      </c>
      <c r="Y218" s="45" t="inlineStr">
        <is>
          <t>19h-20h30 Math (Faouzi)</t>
        </is>
      </c>
      <c r="Z218" s="45" t="inlineStr">
        <is>
          <t>du 28-09 jusquà le 04-10!H36</t>
        </is>
      </c>
    </row>
    <row r="219" ht="15" customHeight="1">
      <c r="A219" s="10" t="inlineStr">
        <is>
          <t>S3</t>
        </is>
      </c>
      <c r="B219" s="9" t="inlineStr">
        <is>
          <t>du 28 septembre au 4 octobre 2026</t>
        </is>
      </c>
      <c r="C219" s="10" t="inlineStr">
        <is>
          <t>A</t>
        </is>
      </c>
      <c r="D219" s="41" t="n">
        <v>46294</v>
      </c>
      <c r="E219" s="10" t="inlineStr">
        <is>
          <t>Mardi</t>
        </is>
      </c>
      <c r="F219" s="42" t="n">
        <v>0.8020833333333334</v>
      </c>
      <c r="G219" s="42" t="n">
        <v>0.8645833333333334</v>
      </c>
      <c r="H219" s="43">
        <f>IF(OR($F219="",$G219=""),"",($G219-$F219)*24)</f>
        <v/>
      </c>
      <c r="I219" s="10" t="inlineStr">
        <is>
          <t>Collège</t>
        </is>
      </c>
      <c r="J219" s="9" t="inlineStr">
        <is>
          <t>9éme (B)</t>
        </is>
      </c>
      <c r="K219" s="9" t="inlineStr">
        <is>
          <t>SVT</t>
        </is>
      </c>
      <c r="L219" s="9" t="inlineStr">
        <is>
          <t>SVT</t>
        </is>
      </c>
      <c r="M219" s="9" t="inlineStr">
        <is>
          <t>Imen Jribi</t>
        </is>
      </c>
      <c r="N219" s="10" t="n"/>
      <c r="O219" s="10" t="n"/>
      <c r="P219" s="10" t="inlineStr">
        <is>
          <t>Hebdomadaire</t>
        </is>
      </c>
      <c r="Q219" s="9" t="inlineStr">
        <is>
          <t>Original (septembre)</t>
        </is>
      </c>
      <c r="R219" s="9" t="inlineStr"/>
      <c r="S219" s="44">
        <f>IF($M219="","",IF(SUMPRODUCT(($D$4:$D$704=$D219)*($M$4:$M$704=$M219)*($F$4:$F$704&lt;$G219)*($G$4:$G$704&gt;$F219))&gt;1,"⚠ CONFLIT",""))</f>
        <v/>
      </c>
      <c r="T219" s="44">
        <f>IF($J219="","",IF(SUMPRODUCT(($D$4:$D$704=$D219)*($J$4:$J$704=$J219)*($F$4:$F$704&lt;$G219)*($G$4:$G$704&gt;$F219))&gt;1,"⚠ CONFLIT",""))</f>
        <v/>
      </c>
      <c r="U219" s="44">
        <f>IF(COUNTIFS($D$4:$D$704,$D219,$J$4:$J$704,$J219,$F$4:$F$704,$F219,$K$4:$K$704,$K219)&gt;1,"⚠ DOUBLON","")</f>
        <v/>
      </c>
      <c r="V219" s="44">
        <f>COUNTIFS($A$4:$A219,$A219,$J$4:$J219,$J219,$E$4:$E219,$E219)</f>
        <v/>
      </c>
      <c r="W219" s="45">
        <f>$A219&amp;"|"&amp;$J219&amp;"|"&amp;$E219&amp;"|"&amp;$V219</f>
        <v/>
      </c>
      <c r="X219" s="46">
        <f>TEXT($F219,"hh:mm")&amp;" - "&amp;TEXT($G219,"hh:mm")&amp;IF($P219="Quinzaine A","   ◆ Q-A",IF($P219="Quinzaine B","   ◆ Q-B",IF($P219="Exception","   ◆ PONCTUEL","")))&amp;CHAR(10)&amp;$K219&amp;CHAR(10)&amp;$M219&amp;IF($N219&lt;&gt;"",CHAR(10)&amp;"Salle "&amp;$N219,"")&amp;IF($O219="En ligne",CHAR(10)&amp;"◆ EN LIGNE","")&amp;IF($R219&lt;&gt;"",CHAR(10)&amp;$R219,"")</f>
        <v/>
      </c>
      <c r="Y219" s="45" t="inlineStr">
        <is>
          <t>19h15-20h45 SVT (Imen Jribi)</t>
        </is>
      </c>
      <c r="Z219" s="45" t="inlineStr">
        <is>
          <t>du 28-09 jusquà le 04-10!H43</t>
        </is>
      </c>
    </row>
    <row r="220" ht="15" customHeight="1">
      <c r="A220" s="10" t="inlineStr">
        <is>
          <t>S3</t>
        </is>
      </c>
      <c r="B220" s="9" t="inlineStr">
        <is>
          <t>du 28 septembre au 4 octobre 2026</t>
        </is>
      </c>
      <c r="C220" s="10" t="inlineStr">
        <is>
          <t>A</t>
        </is>
      </c>
      <c r="D220" s="41" t="n">
        <v>46294</v>
      </c>
      <c r="E220" s="10" t="inlineStr">
        <is>
          <t>Mardi</t>
        </is>
      </c>
      <c r="F220" s="42" t="n">
        <v>0.8020833333333334</v>
      </c>
      <c r="G220" s="42" t="n">
        <v>0.8645833333333334</v>
      </c>
      <c r="H220" s="43">
        <f>IF(OR($F220="",$G220=""),"",($G220-$F220)*24)</f>
        <v/>
      </c>
      <c r="I220" s="10" t="inlineStr">
        <is>
          <t>Secondaire</t>
        </is>
      </c>
      <c r="J220" s="9" t="inlineStr">
        <is>
          <t>1ére (A)</t>
        </is>
      </c>
      <c r="K220" s="9" t="inlineStr">
        <is>
          <t>Français</t>
        </is>
      </c>
      <c r="L220" s="9" t="inlineStr">
        <is>
          <t>Français</t>
        </is>
      </c>
      <c r="M220" s="9" t="inlineStr">
        <is>
          <t>Nassima</t>
        </is>
      </c>
      <c r="N220" s="10" t="n"/>
      <c r="O220" s="10" t="n"/>
      <c r="P220" s="10" t="inlineStr">
        <is>
          <t>Hebdomadaire</t>
        </is>
      </c>
      <c r="Q220" s="9" t="inlineStr">
        <is>
          <t>Original (septembre)</t>
        </is>
      </c>
      <c r="R220" s="9" t="inlineStr"/>
      <c r="S220" s="44">
        <f>IF($M220="","",IF(SUMPRODUCT(($D$4:$D$704=$D220)*($M$4:$M$704=$M220)*($F$4:$F$704&lt;$G220)*($G$4:$G$704&gt;$F220))&gt;1,"⚠ CONFLIT",""))</f>
        <v/>
      </c>
      <c r="T220" s="44">
        <f>IF($J220="","",IF(SUMPRODUCT(($D$4:$D$704=$D220)*($J$4:$J$704=$J220)*($F$4:$F$704&lt;$G220)*($G$4:$G$704&gt;$F220))&gt;1,"⚠ CONFLIT",""))</f>
        <v/>
      </c>
      <c r="U220" s="44">
        <f>IF(COUNTIFS($D$4:$D$704,$D220,$J$4:$J$704,$J220,$F$4:$F$704,$F220,$K$4:$K$704,$K220)&gt;1,"⚠ DOUBLON","")</f>
        <v/>
      </c>
      <c r="V220" s="44">
        <f>COUNTIFS($A$4:$A220,$A220,$J$4:$J220,$J220,$E$4:$E220,$E220)</f>
        <v/>
      </c>
      <c r="W220" s="45">
        <f>$A220&amp;"|"&amp;$J220&amp;"|"&amp;$E220&amp;"|"&amp;$V220</f>
        <v/>
      </c>
      <c r="X220" s="46">
        <f>TEXT($F220,"hh:mm")&amp;" - "&amp;TEXT($G220,"hh:mm")&amp;IF($P220="Quinzaine A","   ◆ Q-A",IF($P220="Quinzaine B","   ◆ Q-B",IF($P220="Exception","   ◆ PONCTUEL","")))&amp;CHAR(10)&amp;$K220&amp;CHAR(10)&amp;$M220&amp;IF($N220&lt;&gt;"",CHAR(10)&amp;"Salle "&amp;$N220,"")&amp;IF($O220="En ligne",CHAR(10)&amp;"◆ EN LIGNE","")&amp;IF($R220&lt;&gt;"",CHAR(10)&amp;$R220,"")</f>
        <v/>
      </c>
      <c r="Y220" s="45" t="inlineStr">
        <is>
          <t>19h15-20h45 Français (Nassima)</t>
        </is>
      </c>
      <c r="Z220" s="45" t="inlineStr">
        <is>
          <t>du 28-09 jusquà le 04-10!H48</t>
        </is>
      </c>
    </row>
    <row r="221" ht="15" customHeight="1">
      <c r="A221" s="10" t="inlineStr">
        <is>
          <t>S3</t>
        </is>
      </c>
      <c r="B221" s="9" t="inlineStr">
        <is>
          <t>du 28 septembre au 4 octobre 2026</t>
        </is>
      </c>
      <c r="C221" s="10" t="inlineStr">
        <is>
          <t>A</t>
        </is>
      </c>
      <c r="D221" s="41" t="n">
        <v>46294</v>
      </c>
      <c r="E221" s="10" t="inlineStr">
        <is>
          <t>Mardi</t>
        </is>
      </c>
      <c r="F221" s="42" t="n">
        <v>0.8125</v>
      </c>
      <c r="G221" s="42" t="n">
        <v>0.875</v>
      </c>
      <c r="H221" s="43">
        <f>IF(OR($F221="",$G221=""),"",($G221-$F221)*24)</f>
        <v/>
      </c>
      <c r="I221" s="10" t="inlineStr">
        <is>
          <t>Secondaire</t>
        </is>
      </c>
      <c r="J221" s="9" t="inlineStr">
        <is>
          <t>1ére (B)</t>
        </is>
      </c>
      <c r="K221" s="9" t="inlineStr">
        <is>
          <t>Math</t>
        </is>
      </c>
      <c r="L221" s="9" t="inlineStr">
        <is>
          <t>Math</t>
        </is>
      </c>
      <c r="M221" s="9" t="inlineStr">
        <is>
          <t>Haythem</t>
        </is>
      </c>
      <c r="N221" s="10" t="n"/>
      <c r="O221" s="10" t="n"/>
      <c r="P221" s="10" t="inlineStr">
        <is>
          <t>Hebdomadaire</t>
        </is>
      </c>
      <c r="Q221" s="9" t="inlineStr">
        <is>
          <t>Original (septembre)</t>
        </is>
      </c>
      <c r="R221" s="9" t="inlineStr"/>
      <c r="S221" s="44">
        <f>IF($M221="","",IF(SUMPRODUCT(($D$4:$D$704=$D221)*($M$4:$M$704=$M221)*($F$4:$F$704&lt;$G221)*($G$4:$G$704&gt;$F221))&gt;1,"⚠ CONFLIT",""))</f>
        <v/>
      </c>
      <c r="T221" s="44">
        <f>IF($J221="","",IF(SUMPRODUCT(($D$4:$D$704=$D221)*($J$4:$J$704=$J221)*($F$4:$F$704&lt;$G221)*($G$4:$G$704&gt;$F221))&gt;1,"⚠ CONFLIT",""))</f>
        <v/>
      </c>
      <c r="U221" s="44">
        <f>IF(COUNTIFS($D$4:$D$704,$D221,$J$4:$J$704,$J221,$F$4:$F$704,$F221,$K$4:$K$704,$K221)&gt;1,"⚠ DOUBLON","")</f>
        <v/>
      </c>
      <c r="V221" s="44">
        <f>COUNTIFS($A$4:$A221,$A221,$J$4:$J221,$J221,$E$4:$E221,$E221)</f>
        <v/>
      </c>
      <c r="W221" s="45">
        <f>$A221&amp;"|"&amp;$J221&amp;"|"&amp;$E221&amp;"|"&amp;$V221</f>
        <v/>
      </c>
      <c r="X221" s="46">
        <f>TEXT($F221,"hh:mm")&amp;" - "&amp;TEXT($G221,"hh:mm")&amp;IF($P221="Quinzaine A","   ◆ Q-A",IF($P221="Quinzaine B","   ◆ Q-B",IF($P221="Exception","   ◆ PONCTUEL","")))&amp;CHAR(10)&amp;$K221&amp;CHAR(10)&amp;$M221&amp;IF($N221&lt;&gt;"",CHAR(10)&amp;"Salle "&amp;$N221,"")&amp;IF($O221="En ligne",CHAR(10)&amp;"◆ EN LIGNE","")&amp;IF($R221&lt;&gt;"",CHAR(10)&amp;$R221,"")</f>
        <v/>
      </c>
      <c r="Y221" s="45" t="inlineStr">
        <is>
          <t>19h30-21h Math (Haythem)</t>
        </is>
      </c>
      <c r="Z221" s="45" t="inlineStr">
        <is>
          <t>du 28-09 jusquà le 04-10!H52</t>
        </is>
      </c>
    </row>
    <row r="222" ht="15" customHeight="1">
      <c r="A222" s="10" t="inlineStr">
        <is>
          <t>S3</t>
        </is>
      </c>
      <c r="B222" s="9" t="inlineStr">
        <is>
          <t>du 28 septembre au 4 octobre 2026</t>
        </is>
      </c>
      <c r="C222" s="10" t="inlineStr">
        <is>
          <t>A</t>
        </is>
      </c>
      <c r="D222" s="41" t="n">
        <v>46294</v>
      </c>
      <c r="E222" s="10" t="inlineStr">
        <is>
          <t>Mardi</t>
        </is>
      </c>
      <c r="F222" s="42" t="n">
        <v>0.8020833333333334</v>
      </c>
      <c r="G222" s="42" t="n">
        <v>0.8645833333333334</v>
      </c>
      <c r="H222" s="43">
        <f>IF(OR($F222="",$G222=""),"",($G222-$F222)*24)</f>
        <v/>
      </c>
      <c r="I222" s="10" t="inlineStr">
        <is>
          <t>Secondaire</t>
        </is>
      </c>
      <c r="J222" s="9" t="inlineStr">
        <is>
          <t>2éme Eco</t>
        </is>
      </c>
      <c r="K222" s="9" t="inlineStr">
        <is>
          <t>Anglais</t>
        </is>
      </c>
      <c r="L222" s="9" t="inlineStr">
        <is>
          <t>Anglais</t>
        </is>
      </c>
      <c r="M222" s="9" t="inlineStr">
        <is>
          <t>Imen Bennour</t>
        </is>
      </c>
      <c r="N222" s="10" t="n"/>
      <c r="O222" s="10" t="n"/>
      <c r="P222" s="10" t="inlineStr">
        <is>
          <t>Quinzaine A</t>
        </is>
      </c>
      <c r="Q222" s="9" t="inlineStr">
        <is>
          <t>Original (septembre)</t>
        </is>
      </c>
      <c r="R222" s="9" t="inlineStr"/>
      <c r="S222" s="44">
        <f>IF($M222="","",IF(SUMPRODUCT(($D$4:$D$704=$D222)*($M$4:$M$704=$M222)*($F$4:$F$704&lt;$G222)*($G$4:$G$704&gt;$F222))&gt;1,"⚠ CONFLIT",""))</f>
        <v/>
      </c>
      <c r="T222" s="44">
        <f>IF($J222="","",IF(SUMPRODUCT(($D$4:$D$704=$D222)*($J$4:$J$704=$J222)*($F$4:$F$704&lt;$G222)*($G$4:$G$704&gt;$F222))&gt;1,"⚠ CONFLIT",""))</f>
        <v/>
      </c>
      <c r="U222" s="44">
        <f>IF(COUNTIFS($D$4:$D$704,$D222,$J$4:$J$704,$J222,$F$4:$F$704,$F222,$K$4:$K$704,$K222)&gt;1,"⚠ DOUBLON","")</f>
        <v/>
      </c>
      <c r="V222" s="44">
        <f>COUNTIFS($A$4:$A222,$A222,$J$4:$J222,$J222,$E$4:$E222,$E222)</f>
        <v/>
      </c>
      <c r="W222" s="45">
        <f>$A222&amp;"|"&amp;$J222&amp;"|"&amp;$E222&amp;"|"&amp;$V222</f>
        <v/>
      </c>
      <c r="X222" s="46">
        <f>TEXT($F222,"hh:mm")&amp;" - "&amp;TEXT($G222,"hh:mm")&amp;IF($P222="Quinzaine A","   ◆ Q-A",IF($P222="Quinzaine B","   ◆ Q-B",IF($P222="Exception","   ◆ PONCTUEL","")))&amp;CHAR(10)&amp;$K222&amp;CHAR(10)&amp;$M222&amp;IF($N222&lt;&gt;"",CHAR(10)&amp;"Salle "&amp;$N222,"")&amp;IF($O222="En ligne",CHAR(10)&amp;"◆ EN LIGNE","")&amp;IF($R222&lt;&gt;"",CHAR(10)&amp;$R222,"")</f>
        <v/>
      </c>
      <c r="Y222" s="45" t="inlineStr">
        <is>
          <t>19h15-20h45 Anglais /par quinzaine (Imen Bennour)</t>
        </is>
      </c>
      <c r="Z222" s="45" t="inlineStr">
        <is>
          <t>du 28-09 jusquà le 04-10!H56</t>
        </is>
      </c>
    </row>
    <row r="223" ht="15" customHeight="1">
      <c r="A223" s="10" t="inlineStr">
        <is>
          <t>S3</t>
        </is>
      </c>
      <c r="B223" s="9" t="inlineStr">
        <is>
          <t>du 28 septembre au 4 octobre 2026</t>
        </is>
      </c>
      <c r="C223" s="10" t="inlineStr">
        <is>
          <t>A</t>
        </is>
      </c>
      <c r="D223" s="41" t="n">
        <v>46294</v>
      </c>
      <c r="E223" s="10" t="inlineStr">
        <is>
          <t>Mardi</t>
        </is>
      </c>
      <c r="F223" s="42" t="n">
        <v>0.8020833333333334</v>
      </c>
      <c r="G223" s="42" t="n">
        <v>0.8645833333333334</v>
      </c>
      <c r="H223" s="43">
        <f>IF(OR($F223="",$G223=""),"",($G223-$F223)*24)</f>
        <v/>
      </c>
      <c r="I223" s="10" t="inlineStr">
        <is>
          <t>Bac</t>
        </is>
      </c>
      <c r="J223" s="9" t="inlineStr">
        <is>
          <t>Bac Eco</t>
        </is>
      </c>
      <c r="K223" s="9" t="inlineStr">
        <is>
          <t>Espagnol</t>
        </is>
      </c>
      <c r="L223" s="9" t="inlineStr">
        <is>
          <t>Espagnol</t>
        </is>
      </c>
      <c r="M223" s="9" t="inlineStr">
        <is>
          <t>Imen</t>
        </is>
      </c>
      <c r="N223" s="10" t="n"/>
      <c r="O223" s="10" t="n"/>
      <c r="P223" s="10" t="inlineStr">
        <is>
          <t>Quinzaine A</t>
        </is>
      </c>
      <c r="Q223" s="9" t="inlineStr">
        <is>
          <t>Original (septembre)</t>
        </is>
      </c>
      <c r="R223" s="9" t="inlineStr"/>
      <c r="S223" s="44">
        <f>IF($M223="","",IF(SUMPRODUCT(($D$4:$D$704=$D223)*($M$4:$M$704=$M223)*($F$4:$F$704&lt;$G223)*($G$4:$G$704&gt;$F223))&gt;1,"⚠ CONFLIT",""))</f>
        <v/>
      </c>
      <c r="T223" s="44">
        <f>IF($J223="","",IF(SUMPRODUCT(($D$4:$D$704=$D223)*($J$4:$J$704=$J223)*($F$4:$F$704&lt;$G223)*($G$4:$G$704&gt;$F223))&gt;1,"⚠ CONFLIT",""))</f>
        <v/>
      </c>
      <c r="U223" s="44">
        <f>IF(COUNTIFS($D$4:$D$704,$D223,$J$4:$J$704,$J223,$F$4:$F$704,$F223,$K$4:$K$704,$K223)&gt;1,"⚠ DOUBLON","")</f>
        <v/>
      </c>
      <c r="V223" s="44">
        <f>COUNTIFS($A$4:$A223,$A223,$J$4:$J223,$J223,$E$4:$E223,$E223)</f>
        <v/>
      </c>
      <c r="W223" s="45">
        <f>$A223&amp;"|"&amp;$J223&amp;"|"&amp;$E223&amp;"|"&amp;$V223</f>
        <v/>
      </c>
      <c r="X223" s="46">
        <f>TEXT($F223,"hh:mm")&amp;" - "&amp;TEXT($G223,"hh:mm")&amp;IF($P223="Quinzaine A","   ◆ Q-A",IF($P223="Quinzaine B","   ◆ Q-B",IF($P223="Exception","   ◆ PONCTUEL","")))&amp;CHAR(10)&amp;$K223&amp;CHAR(10)&amp;$M223&amp;IF($N223&lt;&gt;"",CHAR(10)&amp;"Salle "&amp;$N223,"")&amp;IF($O223="En ligne",CHAR(10)&amp;"◆ EN LIGNE","")&amp;IF($R223&lt;&gt;"",CHAR(10)&amp;$R223,"")</f>
        <v/>
      </c>
      <c r="Y223" s="45" t="inlineStr">
        <is>
          <t>19h15-20h45 Espagnol (Imen)</t>
        </is>
      </c>
      <c r="Z223" s="45" t="inlineStr">
        <is>
          <t>du 28-09 jusquà le 04-10!H69</t>
        </is>
      </c>
    </row>
    <row r="224" ht="15" customHeight="1">
      <c r="A224" s="10" t="inlineStr">
        <is>
          <t>S3</t>
        </is>
      </c>
      <c r="B224" s="9" t="inlineStr">
        <is>
          <t>du 28 septembre au 4 octobre 2026</t>
        </is>
      </c>
      <c r="C224" s="10" t="inlineStr">
        <is>
          <t>A</t>
        </is>
      </c>
      <c r="D224" s="41" t="n">
        <v>46294</v>
      </c>
      <c r="E224" s="10" t="inlineStr">
        <is>
          <t>Mardi</t>
        </is>
      </c>
      <c r="F224" s="42" t="n">
        <v>0.8020833333333334</v>
      </c>
      <c r="G224" s="42" t="n">
        <v>0.8645833333333334</v>
      </c>
      <c r="H224" s="43">
        <f>IF(OR($F224="",$G224=""),"",($G224-$F224)*24)</f>
        <v/>
      </c>
      <c r="I224" s="10" t="inlineStr">
        <is>
          <t>Bac</t>
        </is>
      </c>
      <c r="J224" s="9" t="inlineStr">
        <is>
          <t>Bac SCE</t>
        </is>
      </c>
      <c r="K224" s="9" t="inlineStr">
        <is>
          <t>Italien</t>
        </is>
      </c>
      <c r="L224" s="9" t="inlineStr">
        <is>
          <t>Italien</t>
        </is>
      </c>
      <c r="M224" s="9" t="inlineStr">
        <is>
          <t>Amel</t>
        </is>
      </c>
      <c r="N224" s="10" t="n"/>
      <c r="O224" s="10" t="n"/>
      <c r="P224" s="10" t="inlineStr">
        <is>
          <t>Quinzaine A</t>
        </is>
      </c>
      <c r="Q224" s="9" t="inlineStr">
        <is>
          <t>Original (septembre)</t>
        </is>
      </c>
      <c r="R224" s="9" t="inlineStr"/>
      <c r="S224" s="44">
        <f>IF($M224="","",IF(SUMPRODUCT(($D$4:$D$704=$D224)*($M$4:$M$704=$M224)*($F$4:$F$704&lt;$G224)*($G$4:$G$704&gt;$F224))&gt;1,"⚠ CONFLIT",""))</f>
        <v/>
      </c>
      <c r="T224" s="44">
        <f>IF($J224="","",IF(SUMPRODUCT(($D$4:$D$704=$D224)*($J$4:$J$704=$J224)*($F$4:$F$704&lt;$G224)*($G$4:$G$704&gt;$F224))&gt;1,"⚠ CONFLIT",""))</f>
        <v/>
      </c>
      <c r="U224" s="44">
        <f>IF(COUNTIFS($D$4:$D$704,$D224,$J$4:$J$704,$J224,$F$4:$F$704,$F224,$K$4:$K$704,$K224)&gt;1,"⚠ DOUBLON","")</f>
        <v/>
      </c>
      <c r="V224" s="44">
        <f>COUNTIFS($A$4:$A224,$A224,$J$4:$J224,$J224,$E$4:$E224,$E224)</f>
        <v/>
      </c>
      <c r="W224" s="45">
        <f>$A224&amp;"|"&amp;$J224&amp;"|"&amp;$E224&amp;"|"&amp;$V224</f>
        <v/>
      </c>
      <c r="X224" s="46">
        <f>TEXT($F224,"hh:mm")&amp;" - "&amp;TEXT($G224,"hh:mm")&amp;IF($P224="Quinzaine A","   ◆ Q-A",IF($P224="Quinzaine B","   ◆ Q-B",IF($P224="Exception","   ◆ PONCTUEL","")))&amp;CHAR(10)&amp;$K224&amp;CHAR(10)&amp;$M224&amp;IF($N224&lt;&gt;"",CHAR(10)&amp;"Salle "&amp;$N224,"")&amp;IF($O224="En ligne",CHAR(10)&amp;"◆ EN LIGNE","")&amp;IF($R224&lt;&gt;"",CHAR(10)&amp;$R224,"")</f>
        <v/>
      </c>
      <c r="Y224" s="45" t="inlineStr">
        <is>
          <t>19h15-20h45 Italien (Amel)</t>
        </is>
      </c>
      <c r="Z224" s="45" t="inlineStr">
        <is>
          <t>du 28-09 jusquà le 04-10!H77</t>
        </is>
      </c>
    </row>
    <row r="225" ht="15" customHeight="1">
      <c r="A225" s="10" t="inlineStr">
        <is>
          <t>S3</t>
        </is>
      </c>
      <c r="B225" s="9" t="inlineStr">
        <is>
          <t>du 28 septembre au 4 octobre 2026</t>
        </is>
      </c>
      <c r="C225" s="10" t="inlineStr">
        <is>
          <t>A</t>
        </is>
      </c>
      <c r="D225" s="41" t="n">
        <v>46295</v>
      </c>
      <c r="E225" s="10" t="inlineStr">
        <is>
          <t>Mercredi</t>
        </is>
      </c>
      <c r="F225" s="42" t="n">
        <v>0.7916666666666666</v>
      </c>
      <c r="G225" s="42" t="n">
        <v>0.875</v>
      </c>
      <c r="H225" s="43">
        <f>IF(OR($F225="",$G225=""),"",($G225-$F225)*24)</f>
        <v/>
      </c>
      <c r="I225" s="10" t="inlineStr">
        <is>
          <t>Primaire</t>
        </is>
      </c>
      <c r="J225" s="9" t="inlineStr">
        <is>
          <t>4éme</t>
        </is>
      </c>
      <c r="K225" s="9" t="inlineStr">
        <is>
          <t>رياضيات</t>
        </is>
      </c>
      <c r="L225" s="9" t="inlineStr">
        <is>
          <t>Math</t>
        </is>
      </c>
      <c r="M225" s="9" t="inlineStr">
        <is>
          <t>Bassma</t>
        </is>
      </c>
      <c r="N225" s="10" t="n"/>
      <c r="O225" s="10" t="n"/>
      <c r="P225" s="10" t="inlineStr">
        <is>
          <t>Hebdomadaire</t>
        </is>
      </c>
      <c r="Q225" s="9" t="inlineStr">
        <is>
          <t>Original (septembre)</t>
        </is>
      </c>
      <c r="R225" s="9" t="inlineStr"/>
      <c r="S225" s="44">
        <f>IF($M225="","",IF(SUMPRODUCT(($D$4:$D$704=$D225)*($M$4:$M$704=$M225)*($F$4:$F$704&lt;$G225)*($G$4:$G$704&gt;$F225))&gt;1,"⚠ CONFLIT",""))</f>
        <v/>
      </c>
      <c r="T225" s="44">
        <f>IF($J225="","",IF(SUMPRODUCT(($D$4:$D$704=$D225)*($J$4:$J$704=$J225)*($F$4:$F$704&lt;$G225)*($G$4:$G$704&gt;$F225))&gt;1,"⚠ CONFLIT",""))</f>
        <v/>
      </c>
      <c r="U225" s="44">
        <f>IF(COUNTIFS($D$4:$D$704,$D225,$J$4:$J$704,$J225,$F$4:$F$704,$F225,$K$4:$K$704,$K225)&gt;1,"⚠ DOUBLON","")</f>
        <v/>
      </c>
      <c r="V225" s="44">
        <f>COUNTIFS($A$4:$A225,$A225,$J$4:$J225,$J225,$E$4:$E225,$E225)</f>
        <v/>
      </c>
      <c r="W225" s="45">
        <f>$A225&amp;"|"&amp;$J225&amp;"|"&amp;$E225&amp;"|"&amp;$V225</f>
        <v/>
      </c>
      <c r="X225" s="46">
        <f>TEXT($F225,"hh:mm")&amp;" - "&amp;TEXT($G225,"hh:mm")&amp;IF($P225="Quinzaine A","   ◆ Q-A",IF($P225="Quinzaine B","   ◆ Q-B",IF($P225="Exception","   ◆ PONCTUEL","")))&amp;CHAR(10)&amp;$K225&amp;CHAR(10)&amp;$M225&amp;IF($N225&lt;&gt;"",CHAR(10)&amp;"Salle "&amp;$N225,"")&amp;IF($O225="En ligne",CHAR(10)&amp;"◆ EN LIGNE","")&amp;IF($R225&lt;&gt;"",CHAR(10)&amp;$R225,"")</f>
        <v/>
      </c>
      <c r="Y225" s="45" t="inlineStr">
        <is>
          <t>19h-21h رياضيات (Bassma)</t>
        </is>
      </c>
      <c r="Z225" s="45" t="inlineStr">
        <is>
          <t>du 28-09 jusquà le 04-10!I3</t>
        </is>
      </c>
    </row>
    <row r="226" ht="15" customHeight="1">
      <c r="A226" s="10" t="inlineStr">
        <is>
          <t>S3</t>
        </is>
      </c>
      <c r="B226" s="9" t="inlineStr">
        <is>
          <t>du 28 septembre au 4 octobre 2026</t>
        </is>
      </c>
      <c r="C226" s="10" t="inlineStr">
        <is>
          <t>A</t>
        </is>
      </c>
      <c r="D226" s="41" t="n">
        <v>46295</v>
      </c>
      <c r="E226" s="10" t="inlineStr">
        <is>
          <t>Mercredi</t>
        </is>
      </c>
      <c r="F226" s="42" t="n">
        <v>0.7916666666666666</v>
      </c>
      <c r="G226" s="42" t="n">
        <v>0.875</v>
      </c>
      <c r="H226" s="43">
        <f>IF(OR($F226="",$G226=""),"",($G226-$F226)*24)</f>
        <v/>
      </c>
      <c r="I226" s="10" t="inlineStr">
        <is>
          <t>Primaire</t>
        </is>
      </c>
      <c r="J226" s="9" t="inlineStr">
        <is>
          <t>6éme Pilote (A)</t>
        </is>
      </c>
      <c r="K226" s="9" t="inlineStr">
        <is>
          <t>رياضيات</t>
        </is>
      </c>
      <c r="L226" s="9" t="inlineStr">
        <is>
          <t>Math</t>
        </is>
      </c>
      <c r="M226" s="9" t="inlineStr">
        <is>
          <t>Noura</t>
        </is>
      </c>
      <c r="N226" s="10" t="n"/>
      <c r="O226" s="10" t="n"/>
      <c r="P226" s="10" t="inlineStr">
        <is>
          <t>Hebdomadaire</t>
        </is>
      </c>
      <c r="Q226" s="9" t="inlineStr">
        <is>
          <t>Original (septembre)</t>
        </is>
      </c>
      <c r="R226" s="9" t="inlineStr"/>
      <c r="S226" s="44">
        <f>IF($M226="","",IF(SUMPRODUCT(($D$4:$D$704=$D226)*($M$4:$M$704=$M226)*($F$4:$F$704&lt;$G226)*($G$4:$G$704&gt;$F226))&gt;1,"⚠ CONFLIT",""))</f>
        <v/>
      </c>
      <c r="T226" s="44">
        <f>IF($J226="","",IF(SUMPRODUCT(($D$4:$D$704=$D226)*($J$4:$J$704=$J226)*($F$4:$F$704&lt;$G226)*($G$4:$G$704&gt;$F226))&gt;1,"⚠ CONFLIT",""))</f>
        <v/>
      </c>
      <c r="U226" s="44">
        <f>IF(COUNTIFS($D$4:$D$704,$D226,$J$4:$J$704,$J226,$F$4:$F$704,$F226,$K$4:$K$704,$K226)&gt;1,"⚠ DOUBLON","")</f>
        <v/>
      </c>
      <c r="V226" s="44">
        <f>COUNTIFS($A$4:$A226,$A226,$J$4:$J226,$J226,$E$4:$E226,$E226)</f>
        <v/>
      </c>
      <c r="W226" s="45">
        <f>$A226&amp;"|"&amp;$J226&amp;"|"&amp;$E226&amp;"|"&amp;$V226</f>
        <v/>
      </c>
      <c r="X226" s="46">
        <f>TEXT($F226,"hh:mm")&amp;" - "&amp;TEXT($G226,"hh:mm")&amp;IF($P226="Quinzaine A","   ◆ Q-A",IF($P226="Quinzaine B","   ◆ Q-B",IF($P226="Exception","   ◆ PONCTUEL","")))&amp;CHAR(10)&amp;$K226&amp;CHAR(10)&amp;$M226&amp;IF($N226&lt;&gt;"",CHAR(10)&amp;"Salle "&amp;$N226,"")&amp;IF($O226="En ligne",CHAR(10)&amp;"◆ EN LIGNE","")&amp;IF($R226&lt;&gt;"",CHAR(10)&amp;$R226,"")</f>
        <v/>
      </c>
      <c r="Y226" s="45" t="inlineStr">
        <is>
          <t>19h-21h رياضيات (Noura)</t>
        </is>
      </c>
      <c r="Z226" s="45" t="inlineStr">
        <is>
          <t>du 28-09 jusquà le 04-10!I12</t>
        </is>
      </c>
    </row>
    <row r="227" ht="15" customHeight="1">
      <c r="A227" s="10" t="inlineStr">
        <is>
          <t>S3</t>
        </is>
      </c>
      <c r="B227" s="9" t="inlineStr">
        <is>
          <t>du 28 septembre au 4 octobre 2026</t>
        </is>
      </c>
      <c r="C227" s="10" t="inlineStr">
        <is>
          <t>A</t>
        </is>
      </c>
      <c r="D227" s="41" t="n">
        <v>46295</v>
      </c>
      <c r="E227" s="10" t="inlineStr">
        <is>
          <t>Mercredi</t>
        </is>
      </c>
      <c r="F227" s="42" t="n">
        <v>0.8125</v>
      </c>
      <c r="G227" s="42" t="n">
        <v>0.875</v>
      </c>
      <c r="H227" s="43">
        <f>IF(OR($F227="",$G227=""),"",($G227-$F227)*24)</f>
        <v/>
      </c>
      <c r="I227" s="10" t="inlineStr">
        <is>
          <t>Collège</t>
        </is>
      </c>
      <c r="J227" s="9" t="inlineStr">
        <is>
          <t>7éme (A)</t>
        </is>
      </c>
      <c r="K227" s="9" t="inlineStr">
        <is>
          <t>فيزياء</t>
        </is>
      </c>
      <c r="L227" s="9" t="inlineStr">
        <is>
          <t>Physique</t>
        </is>
      </c>
      <c r="M227" s="9" t="inlineStr">
        <is>
          <t>Melek</t>
        </is>
      </c>
      <c r="N227" s="10" t="n"/>
      <c r="O227" s="10" t="n"/>
      <c r="P227" s="10" t="inlineStr">
        <is>
          <t>Hebdomadaire</t>
        </is>
      </c>
      <c r="Q227" s="9" t="inlineStr">
        <is>
          <t>Original (septembre)</t>
        </is>
      </c>
      <c r="R227" s="9" t="inlineStr"/>
      <c r="S227" s="44">
        <f>IF($M227="","",IF(SUMPRODUCT(($D$4:$D$704=$D227)*($M$4:$M$704=$M227)*($F$4:$F$704&lt;$G227)*($G$4:$G$704&gt;$F227))&gt;1,"⚠ CONFLIT",""))</f>
        <v/>
      </c>
      <c r="T227" s="44">
        <f>IF($J227="","",IF(SUMPRODUCT(($D$4:$D$704=$D227)*($J$4:$J$704=$J227)*($F$4:$F$704&lt;$G227)*($G$4:$G$704&gt;$F227))&gt;1,"⚠ CONFLIT",""))</f>
        <v/>
      </c>
      <c r="U227" s="44">
        <f>IF(COUNTIFS($D$4:$D$704,$D227,$J$4:$J$704,$J227,$F$4:$F$704,$F227,$K$4:$K$704,$K227)&gt;1,"⚠ DOUBLON","")</f>
        <v/>
      </c>
      <c r="V227" s="44">
        <f>COUNTIFS($A$4:$A227,$A227,$J$4:$J227,$J227,$E$4:$E227,$E227)</f>
        <v/>
      </c>
      <c r="W227" s="45">
        <f>$A227&amp;"|"&amp;$J227&amp;"|"&amp;$E227&amp;"|"&amp;$V227</f>
        <v/>
      </c>
      <c r="X227" s="46">
        <f>TEXT($F227,"hh:mm")&amp;" - "&amp;TEXT($G227,"hh:mm")&amp;IF($P227="Quinzaine A","   ◆ Q-A",IF($P227="Quinzaine B","   ◆ Q-B",IF($P227="Exception","   ◆ PONCTUEL","")))&amp;CHAR(10)&amp;$K227&amp;CHAR(10)&amp;$M227&amp;IF($N227&lt;&gt;"",CHAR(10)&amp;"Salle "&amp;$N227,"")&amp;IF($O227="En ligne",CHAR(10)&amp;"◆ EN LIGNE","")&amp;IF($R227&lt;&gt;"",CHAR(10)&amp;$R227,"")</f>
        <v/>
      </c>
      <c r="Y227" s="45" t="inlineStr">
        <is>
          <t>19h30-21h فيزياء /par quinzaine (Melek)</t>
        </is>
      </c>
      <c r="Z227" s="45" t="inlineStr">
        <is>
          <t>du 28-09 jusquà le 04-10!I19</t>
        </is>
      </c>
    </row>
    <row r="228" ht="15" customHeight="1">
      <c r="A228" s="10" t="inlineStr">
        <is>
          <t>S3</t>
        </is>
      </c>
      <c r="B228" s="9" t="inlineStr">
        <is>
          <t>du 28 septembre au 4 octobre 2026</t>
        </is>
      </c>
      <c r="C228" s="10" t="inlineStr">
        <is>
          <t>A</t>
        </is>
      </c>
      <c r="D228" s="41" t="n">
        <v>46295</v>
      </c>
      <c r="E228" s="10" t="inlineStr">
        <is>
          <t>Mercredi</t>
        </is>
      </c>
      <c r="F228" s="42" t="n">
        <v>0.7916666666666666</v>
      </c>
      <c r="G228" s="42" t="n">
        <v>0.8541666666666666</v>
      </c>
      <c r="H228" s="43">
        <f>IF(OR($F228="",$G228=""),"",($G228-$F228)*24)</f>
        <v/>
      </c>
      <c r="I228" s="10" t="inlineStr">
        <is>
          <t>Collège</t>
        </is>
      </c>
      <c r="J228" s="9" t="inlineStr">
        <is>
          <t>8éme (A)</t>
        </is>
      </c>
      <c r="K228" s="9" t="inlineStr">
        <is>
          <t>Arabe</t>
        </is>
      </c>
      <c r="L228" s="9" t="inlineStr">
        <is>
          <t>Arabe</t>
        </is>
      </c>
      <c r="M228" s="9" t="inlineStr">
        <is>
          <t>Awatef</t>
        </is>
      </c>
      <c r="N228" s="10" t="n"/>
      <c r="O228" s="10" t="n"/>
      <c r="P228" s="10" t="inlineStr">
        <is>
          <t>Hebdomadaire</t>
        </is>
      </c>
      <c r="Q228" s="9" t="inlineStr">
        <is>
          <t>Original (septembre)</t>
        </is>
      </c>
      <c r="R228" s="9" t="inlineStr"/>
      <c r="S228" s="44">
        <f>IF($M228="","",IF(SUMPRODUCT(($D$4:$D$704=$D228)*($M$4:$M$704=$M228)*($F$4:$F$704&lt;$G228)*($G$4:$G$704&gt;$F228))&gt;1,"⚠ CONFLIT",""))</f>
        <v/>
      </c>
      <c r="T228" s="44">
        <f>IF($J228="","",IF(SUMPRODUCT(($D$4:$D$704=$D228)*($J$4:$J$704=$J228)*($F$4:$F$704&lt;$G228)*($G$4:$G$704&gt;$F228))&gt;1,"⚠ CONFLIT",""))</f>
        <v/>
      </c>
      <c r="U228" s="44">
        <f>IF(COUNTIFS($D$4:$D$704,$D228,$J$4:$J$704,$J228,$F$4:$F$704,$F228,$K$4:$K$704,$K228)&gt;1,"⚠ DOUBLON","")</f>
        <v/>
      </c>
      <c r="V228" s="44">
        <f>COUNTIFS($A$4:$A228,$A228,$J$4:$J228,$J228,$E$4:$E228,$E228)</f>
        <v/>
      </c>
      <c r="W228" s="45">
        <f>$A228&amp;"|"&amp;$J228&amp;"|"&amp;$E228&amp;"|"&amp;$V228</f>
        <v/>
      </c>
      <c r="X228" s="46">
        <f>TEXT($F228,"hh:mm")&amp;" - "&amp;TEXT($G228,"hh:mm")&amp;IF($P228="Quinzaine A","   ◆ Q-A",IF($P228="Quinzaine B","   ◆ Q-B",IF($P228="Exception","   ◆ PONCTUEL","")))&amp;CHAR(10)&amp;$K228&amp;CHAR(10)&amp;$M228&amp;IF($N228&lt;&gt;"",CHAR(10)&amp;"Salle "&amp;$N228,"")&amp;IF($O228="En ligne",CHAR(10)&amp;"◆ EN LIGNE","")&amp;IF($R228&lt;&gt;"",CHAR(10)&amp;$R228,"")</f>
        <v/>
      </c>
      <c r="Y228" s="45" t="inlineStr">
        <is>
          <t>19h-20h30 Arabe (Awatef)</t>
        </is>
      </c>
      <c r="Z228" s="45" t="inlineStr">
        <is>
          <t>du 28-09 jusquà le 04-10!I27</t>
        </is>
      </c>
    </row>
    <row r="229" ht="15" customHeight="1">
      <c r="A229" s="10" t="inlineStr">
        <is>
          <t>S3</t>
        </is>
      </c>
      <c r="B229" s="9" t="inlineStr">
        <is>
          <t>du 28 septembre au 4 octobre 2026</t>
        </is>
      </c>
      <c r="C229" s="10" t="inlineStr">
        <is>
          <t>A</t>
        </is>
      </c>
      <c r="D229" s="41" t="n">
        <v>46295</v>
      </c>
      <c r="E229" s="10" t="inlineStr">
        <is>
          <t>Mercredi</t>
        </is>
      </c>
      <c r="F229" s="42" t="n">
        <v>0.8020833333333334</v>
      </c>
      <c r="G229" s="42" t="n">
        <v>0.8645833333333334</v>
      </c>
      <c r="H229" s="43">
        <f>IF(OR($F229="",$G229=""),"",($G229-$F229)*24)</f>
        <v/>
      </c>
      <c r="I229" s="10" t="inlineStr">
        <is>
          <t>Collège</t>
        </is>
      </c>
      <c r="J229" s="9" t="inlineStr">
        <is>
          <t>8éme (B)</t>
        </is>
      </c>
      <c r="K229" s="9" t="inlineStr">
        <is>
          <t>Math</t>
        </is>
      </c>
      <c r="L229" s="9" t="inlineStr">
        <is>
          <t>Math</t>
        </is>
      </c>
      <c r="M229" s="9" t="inlineStr">
        <is>
          <t>Khouloud</t>
        </is>
      </c>
      <c r="N229" s="10" t="n"/>
      <c r="O229" s="10" t="n"/>
      <c r="P229" s="10" t="inlineStr">
        <is>
          <t>Hebdomadaire</t>
        </is>
      </c>
      <c r="Q229" s="9" t="inlineStr">
        <is>
          <t>Original (septembre)</t>
        </is>
      </c>
      <c r="R229" s="9" t="inlineStr"/>
      <c r="S229" s="44">
        <f>IF($M229="","",IF(SUMPRODUCT(($D$4:$D$704=$D229)*($M$4:$M$704=$M229)*($F$4:$F$704&lt;$G229)*($G$4:$G$704&gt;$F229))&gt;1,"⚠ CONFLIT",""))</f>
        <v/>
      </c>
      <c r="T229" s="44">
        <f>IF($J229="","",IF(SUMPRODUCT(($D$4:$D$704=$D229)*($J$4:$J$704=$J229)*($F$4:$F$704&lt;$G229)*($G$4:$G$704&gt;$F229))&gt;1,"⚠ CONFLIT",""))</f>
        <v/>
      </c>
      <c r="U229" s="44">
        <f>IF(COUNTIFS($D$4:$D$704,$D229,$J$4:$J$704,$J229,$F$4:$F$704,$F229,$K$4:$K$704,$K229)&gt;1,"⚠ DOUBLON","")</f>
        <v/>
      </c>
      <c r="V229" s="44">
        <f>COUNTIFS($A$4:$A229,$A229,$J$4:$J229,$J229,$E$4:$E229,$E229)</f>
        <v/>
      </c>
      <c r="W229" s="45">
        <f>$A229&amp;"|"&amp;$J229&amp;"|"&amp;$E229&amp;"|"&amp;$V229</f>
        <v/>
      </c>
      <c r="X229" s="46">
        <f>TEXT($F229,"hh:mm")&amp;" - "&amp;TEXT($G229,"hh:mm")&amp;IF($P229="Quinzaine A","   ◆ Q-A",IF($P229="Quinzaine B","   ◆ Q-B",IF($P229="Exception","   ◆ PONCTUEL","")))&amp;CHAR(10)&amp;$K229&amp;CHAR(10)&amp;$M229&amp;IF($N229&lt;&gt;"",CHAR(10)&amp;"Salle "&amp;$N229,"")&amp;IF($O229="En ligne",CHAR(10)&amp;"◆ EN LIGNE","")&amp;IF($R229&lt;&gt;"",CHAR(10)&amp;$R229,"")</f>
        <v/>
      </c>
      <c r="Y229" s="45" t="inlineStr">
        <is>
          <t>19h15-20h45 Math (Khouloud)</t>
        </is>
      </c>
      <c r="Z229" s="45" t="inlineStr">
        <is>
          <t>du 28-09 jusquà le 04-10!I31</t>
        </is>
      </c>
    </row>
    <row r="230" ht="15" customHeight="1">
      <c r="A230" s="10" t="inlineStr">
        <is>
          <t>S3</t>
        </is>
      </c>
      <c r="B230" s="9" t="inlineStr">
        <is>
          <t>du 28 septembre au 4 octobre 2026</t>
        </is>
      </c>
      <c r="C230" s="10" t="inlineStr">
        <is>
          <t>A</t>
        </is>
      </c>
      <c r="D230" s="41" t="n">
        <v>46295</v>
      </c>
      <c r="E230" s="10" t="inlineStr">
        <is>
          <t>Mercredi</t>
        </is>
      </c>
      <c r="F230" s="42" t="n">
        <v>0.8125</v>
      </c>
      <c r="G230" s="42" t="n">
        <v>0.875</v>
      </c>
      <c r="H230" s="43">
        <f>IF(OR($F230="",$G230=""),"",($G230-$F230)*24)</f>
        <v/>
      </c>
      <c r="I230" s="10" t="inlineStr">
        <is>
          <t>Collège</t>
        </is>
      </c>
      <c r="J230" s="9" t="inlineStr">
        <is>
          <t>8éme (C)</t>
        </is>
      </c>
      <c r="K230" s="9" t="inlineStr">
        <is>
          <t>Français</t>
        </is>
      </c>
      <c r="L230" s="9" t="inlineStr">
        <is>
          <t>Français</t>
        </is>
      </c>
      <c r="M230" s="9" t="inlineStr">
        <is>
          <t>Nabil</t>
        </is>
      </c>
      <c r="N230" s="10" t="n"/>
      <c r="O230" s="10" t="n"/>
      <c r="P230" s="10" t="inlineStr">
        <is>
          <t>Hebdomadaire</t>
        </is>
      </c>
      <c r="Q230" s="9" t="inlineStr">
        <is>
          <t>Original (septembre)</t>
        </is>
      </c>
      <c r="R230" s="9" t="inlineStr"/>
      <c r="S230" s="44">
        <f>IF($M230="","",IF(SUMPRODUCT(($D$4:$D$704=$D230)*($M$4:$M$704=$M230)*($F$4:$F$704&lt;$G230)*($G$4:$G$704&gt;$F230))&gt;1,"⚠ CONFLIT",""))</f>
        <v/>
      </c>
      <c r="T230" s="44">
        <f>IF($J230="","",IF(SUMPRODUCT(($D$4:$D$704=$D230)*($J$4:$J$704=$J230)*($F$4:$F$704&lt;$G230)*($G$4:$G$704&gt;$F230))&gt;1,"⚠ CONFLIT",""))</f>
        <v/>
      </c>
      <c r="U230" s="44">
        <f>IF(COUNTIFS($D$4:$D$704,$D230,$J$4:$J$704,$J230,$F$4:$F$704,$F230,$K$4:$K$704,$K230)&gt;1,"⚠ DOUBLON","")</f>
        <v/>
      </c>
      <c r="V230" s="44">
        <f>COUNTIFS($A$4:$A230,$A230,$J$4:$J230,$J230,$E$4:$E230,$E230)</f>
        <v/>
      </c>
      <c r="W230" s="45">
        <f>$A230&amp;"|"&amp;$J230&amp;"|"&amp;$E230&amp;"|"&amp;$V230</f>
        <v/>
      </c>
      <c r="X230" s="46">
        <f>TEXT($F230,"hh:mm")&amp;" - "&amp;TEXT($G230,"hh:mm")&amp;IF($P230="Quinzaine A","   ◆ Q-A",IF($P230="Quinzaine B","   ◆ Q-B",IF($P230="Exception","   ◆ PONCTUEL","")))&amp;CHAR(10)&amp;$K230&amp;CHAR(10)&amp;$M230&amp;IF($N230&lt;&gt;"",CHAR(10)&amp;"Salle "&amp;$N230,"")&amp;IF($O230="En ligne",CHAR(10)&amp;"◆ EN LIGNE","")&amp;IF($R230&lt;&gt;"",CHAR(10)&amp;$R230,"")</f>
        <v/>
      </c>
      <c r="Y230" s="45" t="inlineStr">
        <is>
          <t>19h30-21h Français (Nabil)</t>
        </is>
      </c>
      <c r="Z230" s="45" t="inlineStr">
        <is>
          <t>du 28-09 jusquà le 04-10!I34</t>
        </is>
      </c>
    </row>
    <row r="231" ht="15" customHeight="1">
      <c r="A231" s="10" t="inlineStr">
        <is>
          <t>S3</t>
        </is>
      </c>
      <c r="B231" s="9" t="inlineStr">
        <is>
          <t>du 28 septembre au 4 octobre 2026</t>
        </is>
      </c>
      <c r="C231" s="10" t="inlineStr">
        <is>
          <t>A</t>
        </is>
      </c>
      <c r="D231" s="41" t="n">
        <v>46295</v>
      </c>
      <c r="E231" s="10" t="inlineStr">
        <is>
          <t>Mercredi</t>
        </is>
      </c>
      <c r="F231" s="42" t="n">
        <v>0.8125</v>
      </c>
      <c r="G231" s="42" t="n">
        <v>0.875</v>
      </c>
      <c r="H231" s="43">
        <f>IF(OR($F231="",$G231=""),"",($G231-$F231)*24)</f>
        <v/>
      </c>
      <c r="I231" s="10" t="inlineStr">
        <is>
          <t>Collège</t>
        </is>
      </c>
      <c r="J231" s="9" t="inlineStr">
        <is>
          <t>9éme (B)</t>
        </is>
      </c>
      <c r="K231" s="9" t="inlineStr">
        <is>
          <t>Arabe</t>
        </is>
      </c>
      <c r="L231" s="9" t="inlineStr">
        <is>
          <t>Arabe</t>
        </is>
      </c>
      <c r="M231" s="9" t="inlineStr">
        <is>
          <t>Yahya</t>
        </is>
      </c>
      <c r="N231" s="10" t="n"/>
      <c r="O231" s="10" t="n"/>
      <c r="P231" s="10" t="inlineStr">
        <is>
          <t>Hebdomadaire</t>
        </is>
      </c>
      <c r="Q231" s="9" t="inlineStr">
        <is>
          <t>Original (septembre)</t>
        </is>
      </c>
      <c r="R231" s="9" t="inlineStr"/>
      <c r="S231" s="44">
        <f>IF($M231="","",IF(SUMPRODUCT(($D$4:$D$704=$D231)*($M$4:$M$704=$M231)*($F$4:$F$704&lt;$G231)*($G$4:$G$704&gt;$F231))&gt;1,"⚠ CONFLIT",""))</f>
        <v/>
      </c>
      <c r="T231" s="44">
        <f>IF($J231="","",IF(SUMPRODUCT(($D$4:$D$704=$D231)*($J$4:$J$704=$J231)*($F$4:$F$704&lt;$G231)*($G$4:$G$704&gt;$F231))&gt;1,"⚠ CONFLIT",""))</f>
        <v/>
      </c>
      <c r="U231" s="44">
        <f>IF(COUNTIFS($D$4:$D$704,$D231,$J$4:$J$704,$J231,$F$4:$F$704,$F231,$K$4:$K$704,$K231)&gt;1,"⚠ DOUBLON","")</f>
        <v/>
      </c>
      <c r="V231" s="44">
        <f>COUNTIFS($A$4:$A231,$A231,$J$4:$J231,$J231,$E$4:$E231,$E231)</f>
        <v/>
      </c>
      <c r="W231" s="45">
        <f>$A231&amp;"|"&amp;$J231&amp;"|"&amp;$E231&amp;"|"&amp;$V231</f>
        <v/>
      </c>
      <c r="X231" s="46">
        <f>TEXT($F231,"hh:mm")&amp;" - "&amp;TEXT($G231,"hh:mm")&amp;IF($P231="Quinzaine A","   ◆ Q-A",IF($P231="Quinzaine B","   ◆ Q-B",IF($P231="Exception","   ◆ PONCTUEL","")))&amp;CHAR(10)&amp;$K231&amp;CHAR(10)&amp;$M231&amp;IF($N231&lt;&gt;"",CHAR(10)&amp;"Salle "&amp;$N231,"")&amp;IF($O231="En ligne",CHAR(10)&amp;"◆ EN LIGNE","")&amp;IF($R231&lt;&gt;"",CHAR(10)&amp;$R231,"")</f>
        <v/>
      </c>
      <c r="Y231" s="45" t="inlineStr">
        <is>
          <t>19h30-21h Arabe (Yahya)</t>
        </is>
      </c>
      <c r="Z231" s="45" t="inlineStr">
        <is>
          <t>du 28-09 jusquà le 04-10!I43</t>
        </is>
      </c>
    </row>
    <row r="232" ht="15" customHeight="1">
      <c r="A232" s="10" t="inlineStr">
        <is>
          <t>S3</t>
        </is>
      </c>
      <c r="B232" s="9" t="inlineStr">
        <is>
          <t>du 28 septembre au 4 octobre 2026</t>
        </is>
      </c>
      <c r="C232" s="10" t="inlineStr">
        <is>
          <t>A</t>
        </is>
      </c>
      <c r="D232" s="41" t="n">
        <v>46295</v>
      </c>
      <c r="E232" s="10" t="inlineStr">
        <is>
          <t>Mercredi</t>
        </is>
      </c>
      <c r="F232" s="42" t="n">
        <v>0.8020833333333334</v>
      </c>
      <c r="G232" s="42" t="n">
        <v>0.8645833333333334</v>
      </c>
      <c r="H232" s="43">
        <f>IF(OR($F232="",$G232=""),"",($G232-$F232)*24)</f>
        <v/>
      </c>
      <c r="I232" s="10" t="inlineStr">
        <is>
          <t>Collège</t>
        </is>
      </c>
      <c r="J232" s="9" t="inlineStr">
        <is>
          <t>9éme (C)</t>
        </is>
      </c>
      <c r="K232" s="9" t="inlineStr">
        <is>
          <t>SVT</t>
        </is>
      </c>
      <c r="L232" s="9" t="inlineStr">
        <is>
          <t>SVT</t>
        </is>
      </c>
      <c r="M232" s="9" t="inlineStr">
        <is>
          <t>Imen Jribi</t>
        </is>
      </c>
      <c r="N232" s="10" t="n"/>
      <c r="O232" s="10" t="n"/>
      <c r="P232" s="10" t="inlineStr">
        <is>
          <t>Hebdomadaire</t>
        </is>
      </c>
      <c r="Q232" s="9" t="inlineStr">
        <is>
          <t>Original (septembre)</t>
        </is>
      </c>
      <c r="R232" s="9" t="inlineStr"/>
      <c r="S232" s="44">
        <f>IF($M232="","",IF(SUMPRODUCT(($D$4:$D$704=$D232)*($M$4:$M$704=$M232)*($F$4:$F$704&lt;$G232)*($G$4:$G$704&gt;$F232))&gt;1,"⚠ CONFLIT",""))</f>
        <v/>
      </c>
      <c r="T232" s="44">
        <f>IF($J232="","",IF(SUMPRODUCT(($D$4:$D$704=$D232)*($J$4:$J$704=$J232)*($F$4:$F$704&lt;$G232)*($G$4:$G$704&gt;$F232))&gt;1,"⚠ CONFLIT",""))</f>
        <v/>
      </c>
      <c r="U232" s="44">
        <f>IF(COUNTIFS($D$4:$D$704,$D232,$J$4:$J$704,$J232,$F$4:$F$704,$F232,$K$4:$K$704,$K232)&gt;1,"⚠ DOUBLON","")</f>
        <v/>
      </c>
      <c r="V232" s="44">
        <f>COUNTIFS($A$4:$A232,$A232,$J$4:$J232,$J232,$E$4:$E232,$E232)</f>
        <v/>
      </c>
      <c r="W232" s="45">
        <f>$A232&amp;"|"&amp;$J232&amp;"|"&amp;$E232&amp;"|"&amp;$V232</f>
        <v/>
      </c>
      <c r="X232" s="46">
        <f>TEXT($F232,"hh:mm")&amp;" - "&amp;TEXT($G232,"hh:mm")&amp;IF($P232="Quinzaine A","   ◆ Q-A",IF($P232="Quinzaine B","   ◆ Q-B",IF($P232="Exception","   ◆ PONCTUEL","")))&amp;CHAR(10)&amp;$K232&amp;CHAR(10)&amp;$M232&amp;IF($N232&lt;&gt;"",CHAR(10)&amp;"Salle "&amp;$N232,"")&amp;IF($O232="En ligne",CHAR(10)&amp;"◆ EN LIGNE","")&amp;IF($R232&lt;&gt;"",CHAR(10)&amp;$R232,"")</f>
        <v/>
      </c>
      <c r="Y232" s="45" t="inlineStr">
        <is>
          <t>19h15-20h45 SVT (Imen Jribi)</t>
        </is>
      </c>
      <c r="Z232" s="45" t="inlineStr">
        <is>
          <t>du 28-09 jusquà le 04-10!I46</t>
        </is>
      </c>
    </row>
    <row r="233" ht="15" customHeight="1">
      <c r="A233" s="10" t="inlineStr">
        <is>
          <t>S3</t>
        </is>
      </c>
      <c r="B233" s="9" t="inlineStr">
        <is>
          <t>du 28 septembre au 4 octobre 2026</t>
        </is>
      </c>
      <c r="C233" s="10" t="inlineStr">
        <is>
          <t>A</t>
        </is>
      </c>
      <c r="D233" s="41" t="n">
        <v>46295</v>
      </c>
      <c r="E233" s="10" t="inlineStr">
        <is>
          <t>Mercredi</t>
        </is>
      </c>
      <c r="F233" s="42" t="n">
        <v>0.8020833333333334</v>
      </c>
      <c r="G233" s="42" t="n">
        <v>0.8645833333333334</v>
      </c>
      <c r="H233" s="43">
        <f>IF(OR($F233="",$G233=""),"",($G233-$F233)*24)</f>
        <v/>
      </c>
      <c r="I233" s="10" t="inlineStr">
        <is>
          <t>Secondaire</t>
        </is>
      </c>
      <c r="J233" s="9" t="inlineStr">
        <is>
          <t>1ére (B)</t>
        </is>
      </c>
      <c r="K233" s="9" t="inlineStr">
        <is>
          <t>Français</t>
        </is>
      </c>
      <c r="L233" s="9" t="inlineStr">
        <is>
          <t>Français</t>
        </is>
      </c>
      <c r="M233" s="9" t="inlineStr">
        <is>
          <t>Nassima</t>
        </is>
      </c>
      <c r="N233" s="10" t="n"/>
      <c r="O233" s="10" t="n"/>
      <c r="P233" s="10" t="inlineStr">
        <is>
          <t>Hebdomadaire</t>
        </is>
      </c>
      <c r="Q233" s="9" t="inlineStr">
        <is>
          <t>Original (septembre)</t>
        </is>
      </c>
      <c r="R233" s="9" t="inlineStr"/>
      <c r="S233" s="44">
        <f>IF($M233="","",IF(SUMPRODUCT(($D$4:$D$704=$D233)*($M$4:$M$704=$M233)*($F$4:$F$704&lt;$G233)*($G$4:$G$704&gt;$F233))&gt;1,"⚠ CONFLIT",""))</f>
        <v/>
      </c>
      <c r="T233" s="44">
        <f>IF($J233="","",IF(SUMPRODUCT(($D$4:$D$704=$D233)*($J$4:$J$704=$J233)*($F$4:$F$704&lt;$G233)*($G$4:$G$704&gt;$F233))&gt;1,"⚠ CONFLIT",""))</f>
        <v/>
      </c>
      <c r="U233" s="44">
        <f>IF(COUNTIFS($D$4:$D$704,$D233,$J$4:$J$704,$J233,$F$4:$F$704,$F233,$K$4:$K$704,$K233)&gt;1,"⚠ DOUBLON","")</f>
        <v/>
      </c>
      <c r="V233" s="44">
        <f>COUNTIFS($A$4:$A233,$A233,$J$4:$J233,$J233,$E$4:$E233,$E233)</f>
        <v/>
      </c>
      <c r="W233" s="45">
        <f>$A233&amp;"|"&amp;$J233&amp;"|"&amp;$E233&amp;"|"&amp;$V233</f>
        <v/>
      </c>
      <c r="X233" s="46">
        <f>TEXT($F233,"hh:mm")&amp;" - "&amp;TEXT($G233,"hh:mm")&amp;IF($P233="Quinzaine A","   ◆ Q-A",IF($P233="Quinzaine B","   ◆ Q-B",IF($P233="Exception","   ◆ PONCTUEL","")))&amp;CHAR(10)&amp;$K233&amp;CHAR(10)&amp;$M233&amp;IF($N233&lt;&gt;"",CHAR(10)&amp;"Salle "&amp;$N233,"")&amp;IF($O233="En ligne",CHAR(10)&amp;"◆ EN LIGNE","")&amp;IF($R233&lt;&gt;"",CHAR(10)&amp;$R233,"")</f>
        <v/>
      </c>
      <c r="Y233" s="45" t="inlineStr">
        <is>
          <t>19h15-20h45 Français (Nassima)</t>
        </is>
      </c>
      <c r="Z233" s="45" t="inlineStr">
        <is>
          <t>du 28-09 jusquà le 04-10!I52</t>
        </is>
      </c>
    </row>
    <row r="234" ht="15" customHeight="1">
      <c r="A234" s="10" t="inlineStr">
        <is>
          <t>S3</t>
        </is>
      </c>
      <c r="B234" s="9" t="inlineStr">
        <is>
          <t>du 28 septembre au 4 octobre 2026</t>
        </is>
      </c>
      <c r="C234" s="10" t="inlineStr">
        <is>
          <t>A</t>
        </is>
      </c>
      <c r="D234" s="41" t="n">
        <v>46295</v>
      </c>
      <c r="E234" s="10" t="inlineStr">
        <is>
          <t>Mercredi</t>
        </is>
      </c>
      <c r="F234" s="42" t="n">
        <v>0.8125</v>
      </c>
      <c r="G234" s="42" t="n">
        <v>0.875</v>
      </c>
      <c r="H234" s="43">
        <f>IF(OR($F234="",$G234=""),"",($G234-$F234)*24)</f>
        <v/>
      </c>
      <c r="I234" s="10" t="inlineStr">
        <is>
          <t>Secondaire</t>
        </is>
      </c>
      <c r="J234" s="9" t="inlineStr">
        <is>
          <t>2éme Eco</t>
        </is>
      </c>
      <c r="K234" s="9" t="inlineStr">
        <is>
          <t>Math</t>
        </is>
      </c>
      <c r="L234" s="9" t="inlineStr">
        <is>
          <t>Math</t>
        </is>
      </c>
      <c r="M234" s="9" t="inlineStr">
        <is>
          <t>Haythem</t>
        </is>
      </c>
      <c r="N234" s="10" t="n"/>
      <c r="O234" s="10" t="n"/>
      <c r="P234" s="10" t="inlineStr">
        <is>
          <t>Hebdomadaire</t>
        </is>
      </c>
      <c r="Q234" s="9" t="inlineStr">
        <is>
          <t>Original (septembre)</t>
        </is>
      </c>
      <c r="R234" s="9" t="inlineStr"/>
      <c r="S234" s="44">
        <f>IF($M234="","",IF(SUMPRODUCT(($D$4:$D$704=$D234)*($M$4:$M$704=$M234)*($F$4:$F$704&lt;$G234)*($G$4:$G$704&gt;$F234))&gt;1,"⚠ CONFLIT",""))</f>
        <v/>
      </c>
      <c r="T234" s="44">
        <f>IF($J234="","",IF(SUMPRODUCT(($D$4:$D$704=$D234)*($J$4:$J$704=$J234)*($F$4:$F$704&lt;$G234)*($G$4:$G$704&gt;$F234))&gt;1,"⚠ CONFLIT",""))</f>
        <v/>
      </c>
      <c r="U234" s="44">
        <f>IF(COUNTIFS($D$4:$D$704,$D234,$J$4:$J$704,$J234,$F$4:$F$704,$F234,$K$4:$K$704,$K234)&gt;1,"⚠ DOUBLON","")</f>
        <v/>
      </c>
      <c r="V234" s="44">
        <f>COUNTIFS($A$4:$A234,$A234,$J$4:$J234,$J234,$E$4:$E234,$E234)</f>
        <v/>
      </c>
      <c r="W234" s="45">
        <f>$A234&amp;"|"&amp;$J234&amp;"|"&amp;$E234&amp;"|"&amp;$V234</f>
        <v/>
      </c>
      <c r="X234" s="46">
        <f>TEXT($F234,"hh:mm")&amp;" - "&amp;TEXT($G234,"hh:mm")&amp;IF($P234="Quinzaine A","   ◆ Q-A",IF($P234="Quinzaine B","   ◆ Q-B",IF($P234="Exception","   ◆ PONCTUEL","")))&amp;CHAR(10)&amp;$K234&amp;CHAR(10)&amp;$M234&amp;IF($N234&lt;&gt;"",CHAR(10)&amp;"Salle "&amp;$N234,"")&amp;IF($O234="En ligne",CHAR(10)&amp;"◆ EN LIGNE","")&amp;IF($R234&lt;&gt;"",CHAR(10)&amp;$R234,"")</f>
        <v/>
      </c>
      <c r="Y234" s="45" t="inlineStr">
        <is>
          <t>19h30-21h Math (Haythem)</t>
        </is>
      </c>
      <c r="Z234" s="45" t="inlineStr">
        <is>
          <t>du 28-09 jusquà le 04-10!I56</t>
        </is>
      </c>
    </row>
    <row r="235" ht="15" customHeight="1">
      <c r="A235" s="10" t="inlineStr">
        <is>
          <t>S3</t>
        </is>
      </c>
      <c r="B235" s="9" t="inlineStr">
        <is>
          <t>du 28 septembre au 4 octobre 2026</t>
        </is>
      </c>
      <c r="C235" s="10" t="inlineStr">
        <is>
          <t>A</t>
        </is>
      </c>
      <c r="D235" s="41" t="n">
        <v>46295</v>
      </c>
      <c r="E235" s="10" t="inlineStr">
        <is>
          <t>Mercredi</t>
        </is>
      </c>
      <c r="F235" s="42" t="n">
        <v>0.7916666666666666</v>
      </c>
      <c r="G235" s="42" t="n">
        <v>0.8541666666666666</v>
      </c>
      <c r="H235" s="43">
        <f>IF(OR($F235="",$G235=""),"",($G235-$F235)*24)</f>
        <v/>
      </c>
      <c r="I235" s="10" t="inlineStr">
        <is>
          <t>Secondaire</t>
        </is>
      </c>
      <c r="J235" s="9" t="inlineStr">
        <is>
          <t>3éme Eco</t>
        </is>
      </c>
      <c r="K235" s="9" t="inlineStr">
        <is>
          <t>Gestion</t>
        </is>
      </c>
      <c r="L235" s="9" t="inlineStr">
        <is>
          <t>Gestion</t>
        </is>
      </c>
      <c r="M235" s="9" t="inlineStr">
        <is>
          <t>Yassine</t>
        </is>
      </c>
      <c r="N235" s="10" t="n"/>
      <c r="O235" s="10" t="n"/>
      <c r="P235" s="10" t="inlineStr">
        <is>
          <t>Hebdomadaire</t>
        </is>
      </c>
      <c r="Q235" s="9" t="inlineStr">
        <is>
          <t>Original (septembre)</t>
        </is>
      </c>
      <c r="R235" s="9" t="inlineStr"/>
      <c r="S235" s="44">
        <f>IF($M235="","",IF(SUMPRODUCT(($D$4:$D$704=$D235)*($M$4:$M$704=$M235)*($F$4:$F$704&lt;$G235)*($G$4:$G$704&gt;$F235))&gt;1,"⚠ CONFLIT",""))</f>
        <v/>
      </c>
      <c r="T235" s="44">
        <f>IF($J235="","",IF(SUMPRODUCT(($D$4:$D$704=$D235)*($J$4:$J$704=$J235)*($F$4:$F$704&lt;$G235)*($G$4:$G$704&gt;$F235))&gt;1,"⚠ CONFLIT",""))</f>
        <v/>
      </c>
      <c r="U235" s="44">
        <f>IF(COUNTIFS($D$4:$D$704,$D235,$J$4:$J$704,$J235,$F$4:$F$704,$F235,$K$4:$K$704,$K235)&gt;1,"⚠ DOUBLON","")</f>
        <v/>
      </c>
      <c r="V235" s="44">
        <f>COUNTIFS($A$4:$A235,$A235,$J$4:$J235,$J235,$E$4:$E235,$E235)</f>
        <v/>
      </c>
      <c r="W235" s="45">
        <f>$A235&amp;"|"&amp;$J235&amp;"|"&amp;$E235&amp;"|"&amp;$V235</f>
        <v/>
      </c>
      <c r="X235" s="46">
        <f>TEXT($F235,"hh:mm")&amp;" - "&amp;TEXT($G235,"hh:mm")&amp;IF($P235="Quinzaine A","   ◆ Q-A",IF($P235="Quinzaine B","   ◆ Q-B",IF($P235="Exception","   ◆ PONCTUEL","")))&amp;CHAR(10)&amp;$K235&amp;CHAR(10)&amp;$M235&amp;IF($N235&lt;&gt;"",CHAR(10)&amp;"Salle "&amp;$N235,"")&amp;IF($O235="En ligne",CHAR(10)&amp;"◆ EN LIGNE","")&amp;IF($R235&lt;&gt;"",CHAR(10)&amp;$R235,"")</f>
        <v/>
      </c>
      <c r="Y235" s="45" t="inlineStr">
        <is>
          <t>19h-20h30 Gestion (Yassine)</t>
        </is>
      </c>
      <c r="Z235" s="45" t="inlineStr">
        <is>
          <t>du 28-09 jusquà le 04-10!I62</t>
        </is>
      </c>
    </row>
    <row r="236" ht="15" customHeight="1">
      <c r="A236" s="10" t="inlineStr">
        <is>
          <t>S3</t>
        </is>
      </c>
      <c r="B236" s="9" t="inlineStr">
        <is>
          <t>du 28 septembre au 4 octobre 2026</t>
        </is>
      </c>
      <c r="C236" s="10" t="inlineStr">
        <is>
          <t>A</t>
        </is>
      </c>
      <c r="D236" s="41" t="n">
        <v>46295</v>
      </c>
      <c r="E236" s="10" t="inlineStr">
        <is>
          <t>Mercredi</t>
        </is>
      </c>
      <c r="F236" s="42" t="n">
        <v>0.8125</v>
      </c>
      <c r="G236" s="42" t="n">
        <v>0.875</v>
      </c>
      <c r="H236" s="43">
        <f>IF(OR($F236="",$G236=""),"",($G236-$F236)*24)</f>
        <v/>
      </c>
      <c r="I236" s="10" t="inlineStr">
        <is>
          <t>Secondaire</t>
        </is>
      </c>
      <c r="J236" s="9" t="inlineStr">
        <is>
          <t>3éme INFO</t>
        </is>
      </c>
      <c r="K236" s="9" t="inlineStr">
        <is>
          <t>Physique</t>
        </is>
      </c>
      <c r="L236" s="9" t="inlineStr">
        <is>
          <t>Physique</t>
        </is>
      </c>
      <c r="M236" s="9" t="inlineStr">
        <is>
          <t>Samia</t>
        </is>
      </c>
      <c r="N236" s="10" t="n"/>
      <c r="O236" s="10" t="n"/>
      <c r="P236" s="10" t="inlineStr">
        <is>
          <t>Hebdomadaire</t>
        </is>
      </c>
      <c r="Q236" s="9" t="inlineStr">
        <is>
          <t>Original (septembre)</t>
        </is>
      </c>
      <c r="R236" s="9" t="inlineStr"/>
      <c r="S236" s="44">
        <f>IF($M236="","",IF(SUMPRODUCT(($D$4:$D$704=$D236)*($M$4:$M$704=$M236)*($F$4:$F$704&lt;$G236)*($G$4:$G$704&gt;$F236))&gt;1,"⚠ CONFLIT",""))</f>
        <v/>
      </c>
      <c r="T236" s="44">
        <f>IF($J236="","",IF(SUMPRODUCT(($D$4:$D$704=$D236)*($J$4:$J$704=$J236)*($F$4:$F$704&lt;$G236)*($G$4:$G$704&gt;$F236))&gt;1,"⚠ CONFLIT",""))</f>
        <v/>
      </c>
      <c r="U236" s="44">
        <f>IF(COUNTIFS($D$4:$D$704,$D236,$J$4:$J$704,$J236,$F$4:$F$704,$F236,$K$4:$K$704,$K236)&gt;1,"⚠ DOUBLON","")</f>
        <v/>
      </c>
      <c r="V236" s="44">
        <f>COUNTIFS($A$4:$A236,$A236,$J$4:$J236,$J236,$E$4:$E236,$E236)</f>
        <v/>
      </c>
      <c r="W236" s="45">
        <f>$A236&amp;"|"&amp;$J236&amp;"|"&amp;$E236&amp;"|"&amp;$V236</f>
        <v/>
      </c>
      <c r="X236" s="46">
        <f>TEXT($F236,"hh:mm")&amp;" - "&amp;TEXT($G236,"hh:mm")&amp;IF($P236="Quinzaine A","   ◆ Q-A",IF($P236="Quinzaine B","   ◆ Q-B",IF($P236="Exception","   ◆ PONCTUEL","")))&amp;CHAR(10)&amp;$K236&amp;CHAR(10)&amp;$M236&amp;IF($N236&lt;&gt;"",CHAR(10)&amp;"Salle "&amp;$N236,"")&amp;IF($O236="En ligne",CHAR(10)&amp;"◆ EN LIGNE","")&amp;IF($R236&lt;&gt;"",CHAR(10)&amp;$R236,"")</f>
        <v/>
      </c>
      <c r="Y236" s="45" t="inlineStr">
        <is>
          <t>19h30-21h Physique (Samia)</t>
        </is>
      </c>
      <c r="Z236" s="45" t="inlineStr">
        <is>
          <t>du 28-09 jusquà le 04-10!I64</t>
        </is>
      </c>
    </row>
    <row r="237" ht="15" customHeight="1">
      <c r="A237" s="10" t="inlineStr">
        <is>
          <t>S3</t>
        </is>
      </c>
      <c r="B237" s="9" t="inlineStr">
        <is>
          <t>du 28 septembre au 4 octobre 2026</t>
        </is>
      </c>
      <c r="C237" s="10" t="inlineStr">
        <is>
          <t>A</t>
        </is>
      </c>
      <c r="D237" s="41" t="n">
        <v>46295</v>
      </c>
      <c r="E237" s="10" t="inlineStr">
        <is>
          <t>Mercredi</t>
        </is>
      </c>
      <c r="F237" s="42" t="n">
        <v>0.7916666666666666</v>
      </c>
      <c r="G237" s="42" t="n">
        <v>0.875</v>
      </c>
      <c r="H237" s="43">
        <f>IF(OR($F237="",$G237=""),"",($G237-$F237)*24)</f>
        <v/>
      </c>
      <c r="I237" s="10" t="inlineStr">
        <is>
          <t>Bac</t>
        </is>
      </c>
      <c r="J237" s="9" t="inlineStr">
        <is>
          <t>Bac SCE</t>
        </is>
      </c>
      <c r="K237" s="9" t="inlineStr">
        <is>
          <t>Math</t>
        </is>
      </c>
      <c r="L237" s="9" t="inlineStr">
        <is>
          <t>Math</t>
        </is>
      </c>
      <c r="M237" s="9" t="inlineStr">
        <is>
          <t>Ahmed</t>
        </is>
      </c>
      <c r="N237" s="10" t="n"/>
      <c r="O237" s="10" t="n"/>
      <c r="P237" s="10" t="inlineStr">
        <is>
          <t>Hebdomadaire</t>
        </is>
      </c>
      <c r="Q237" s="9" t="inlineStr">
        <is>
          <t>Original (septembre)</t>
        </is>
      </c>
      <c r="R237" s="9" t="inlineStr"/>
      <c r="S237" s="44">
        <f>IF($M237="","",IF(SUMPRODUCT(($D$4:$D$704=$D237)*($M$4:$M$704=$M237)*($F$4:$F$704&lt;$G237)*($G$4:$G$704&gt;$F237))&gt;1,"⚠ CONFLIT",""))</f>
        <v/>
      </c>
      <c r="T237" s="44">
        <f>IF($J237="","",IF(SUMPRODUCT(($D$4:$D$704=$D237)*($J$4:$J$704=$J237)*($F$4:$F$704&lt;$G237)*($G$4:$G$704&gt;$F237))&gt;1,"⚠ CONFLIT",""))</f>
        <v/>
      </c>
      <c r="U237" s="44">
        <f>IF(COUNTIFS($D$4:$D$704,$D237,$J$4:$J$704,$J237,$F$4:$F$704,$F237,$K$4:$K$704,$K237)&gt;1,"⚠ DOUBLON","")</f>
        <v/>
      </c>
      <c r="V237" s="44">
        <f>COUNTIFS($A$4:$A237,$A237,$J$4:$J237,$J237,$E$4:$E237,$E237)</f>
        <v/>
      </c>
      <c r="W237" s="45">
        <f>$A237&amp;"|"&amp;$J237&amp;"|"&amp;$E237&amp;"|"&amp;$V237</f>
        <v/>
      </c>
      <c r="X237" s="46">
        <f>TEXT($F237,"hh:mm")&amp;" - "&amp;TEXT($G237,"hh:mm")&amp;IF($P237="Quinzaine A","   ◆ Q-A",IF($P237="Quinzaine B","   ◆ Q-B",IF($P237="Exception","   ◆ PONCTUEL","")))&amp;CHAR(10)&amp;$K237&amp;CHAR(10)&amp;$M237&amp;IF($N237&lt;&gt;"",CHAR(10)&amp;"Salle "&amp;$N237,"")&amp;IF($O237="En ligne",CHAR(10)&amp;"◆ EN LIGNE","")&amp;IF($R237&lt;&gt;"",CHAR(10)&amp;$R237,"")</f>
        <v/>
      </c>
      <c r="Y237" s="45" t="inlineStr">
        <is>
          <t>19h-21h Math (Ahmed)</t>
        </is>
      </c>
      <c r="Z237" s="45" t="inlineStr">
        <is>
          <t>du 28-09 jusquà le 04-10!I75</t>
        </is>
      </c>
    </row>
    <row r="238" ht="15" customHeight="1">
      <c r="A238" s="10" t="inlineStr">
        <is>
          <t>S3</t>
        </is>
      </c>
      <c r="B238" s="9" t="inlineStr">
        <is>
          <t>du 28 septembre au 4 octobre 2026</t>
        </is>
      </c>
      <c r="C238" s="10" t="inlineStr">
        <is>
          <t>A</t>
        </is>
      </c>
      <c r="D238" s="41" t="n">
        <v>46295</v>
      </c>
      <c r="E238" s="10" t="inlineStr">
        <is>
          <t>Mercredi</t>
        </is>
      </c>
      <c r="F238" s="42" t="n">
        <v>0.7916666666666666</v>
      </c>
      <c r="G238" s="42" t="n">
        <v>0.875</v>
      </c>
      <c r="H238" s="43">
        <f>IF(OR($F238="",$G238=""),"",($G238-$F238)*24)</f>
        <v/>
      </c>
      <c r="I238" s="10" t="inlineStr">
        <is>
          <t>Bac</t>
        </is>
      </c>
      <c r="J238" s="9" t="inlineStr">
        <is>
          <t>Bac INFO</t>
        </is>
      </c>
      <c r="K238" s="9" t="inlineStr">
        <is>
          <t>STI</t>
        </is>
      </c>
      <c r="L238" s="9" t="inlineStr">
        <is>
          <t>STI</t>
        </is>
      </c>
      <c r="M238" s="9" t="inlineStr">
        <is>
          <t>Aymen</t>
        </is>
      </c>
      <c r="N238" s="10" t="n"/>
      <c r="O238" s="10" t="n"/>
      <c r="P238" s="10" t="inlineStr">
        <is>
          <t>Hebdomadaire</t>
        </is>
      </c>
      <c r="Q238" s="9" t="inlineStr">
        <is>
          <t>Original (septembre)</t>
        </is>
      </c>
      <c r="R238" s="9" t="inlineStr"/>
      <c r="S238" s="44">
        <f>IF($M238="","",IF(SUMPRODUCT(($D$4:$D$704=$D238)*($M$4:$M$704=$M238)*($F$4:$F$704&lt;$G238)*($G$4:$G$704&gt;$F238))&gt;1,"⚠ CONFLIT",""))</f>
        <v/>
      </c>
      <c r="T238" s="44">
        <f>IF($J238="","",IF(SUMPRODUCT(($D$4:$D$704=$D238)*($J$4:$J$704=$J238)*($F$4:$F$704&lt;$G238)*($G$4:$G$704&gt;$F238))&gt;1,"⚠ CONFLIT",""))</f>
        <v/>
      </c>
      <c r="U238" s="44">
        <f>IF(COUNTIFS($D$4:$D$704,$D238,$J$4:$J$704,$J238,$F$4:$F$704,$F238,$K$4:$K$704,$K238)&gt;1,"⚠ DOUBLON","")</f>
        <v/>
      </c>
      <c r="V238" s="44">
        <f>COUNTIFS($A$4:$A238,$A238,$J$4:$J238,$J238,$E$4:$E238,$E238)</f>
        <v/>
      </c>
      <c r="W238" s="45">
        <f>$A238&amp;"|"&amp;$J238&amp;"|"&amp;$E238&amp;"|"&amp;$V238</f>
        <v/>
      </c>
      <c r="X238" s="46">
        <f>TEXT($F238,"hh:mm")&amp;" - "&amp;TEXT($G238,"hh:mm")&amp;IF($P238="Quinzaine A","   ◆ Q-A",IF($P238="Quinzaine B","   ◆ Q-B",IF($P238="Exception","   ◆ PONCTUEL","")))&amp;CHAR(10)&amp;$K238&amp;CHAR(10)&amp;$M238&amp;IF($N238&lt;&gt;"",CHAR(10)&amp;"Salle "&amp;$N238,"")&amp;IF($O238="En ligne",CHAR(10)&amp;"◆ EN LIGNE","")&amp;IF($R238&lt;&gt;"",CHAR(10)&amp;$R238,"")</f>
        <v/>
      </c>
      <c r="Y238" s="45" t="inlineStr">
        <is>
          <t>19h-21h STI (Aymen)</t>
        </is>
      </c>
      <c r="Z238" s="45" t="inlineStr">
        <is>
          <t>du 28-09 jusquà le 04-10!I79</t>
        </is>
      </c>
    </row>
    <row r="239" ht="15" customHeight="1">
      <c r="A239" s="10" t="inlineStr">
        <is>
          <t>S3</t>
        </is>
      </c>
      <c r="B239" s="9" t="inlineStr">
        <is>
          <t>du 28 septembre au 4 octobre 2026</t>
        </is>
      </c>
      <c r="C239" s="10" t="inlineStr">
        <is>
          <t>A</t>
        </is>
      </c>
      <c r="D239" s="41" t="n">
        <v>46296</v>
      </c>
      <c r="E239" s="10" t="inlineStr">
        <is>
          <t>Jeudi</t>
        </is>
      </c>
      <c r="F239" s="42" t="n">
        <v>0.7916666666666666</v>
      </c>
      <c r="G239" s="42" t="n">
        <v>0.875</v>
      </c>
      <c r="H239" s="43">
        <f>IF(OR($F239="",$G239=""),"",($G239-$F239)*24)</f>
        <v/>
      </c>
      <c r="I239" s="10" t="inlineStr">
        <is>
          <t>Primaire</t>
        </is>
      </c>
      <c r="J239" s="9" t="inlineStr">
        <is>
          <t>5éme</t>
        </is>
      </c>
      <c r="K239" s="9" t="inlineStr">
        <is>
          <t>رياضيات</t>
        </is>
      </c>
      <c r="L239" s="9" t="inlineStr">
        <is>
          <t>Math</t>
        </is>
      </c>
      <c r="M239" s="9" t="inlineStr">
        <is>
          <t>Bassma</t>
        </is>
      </c>
      <c r="N239" s="10" t="n"/>
      <c r="O239" s="10" t="n"/>
      <c r="P239" s="10" t="inlineStr">
        <is>
          <t>Hebdomadaire</t>
        </is>
      </c>
      <c r="Q239" s="9" t="inlineStr">
        <is>
          <t>Original (septembre)</t>
        </is>
      </c>
      <c r="R239" s="9" t="inlineStr"/>
      <c r="S239" s="44">
        <f>IF($M239="","",IF(SUMPRODUCT(($D$4:$D$704=$D239)*($M$4:$M$704=$M239)*($F$4:$F$704&lt;$G239)*($G$4:$G$704&gt;$F239))&gt;1,"⚠ CONFLIT",""))</f>
        <v/>
      </c>
      <c r="T239" s="44">
        <f>IF($J239="","",IF(SUMPRODUCT(($D$4:$D$704=$D239)*($J$4:$J$704=$J239)*($F$4:$F$704&lt;$G239)*($G$4:$G$704&gt;$F239))&gt;1,"⚠ CONFLIT",""))</f>
        <v/>
      </c>
      <c r="U239" s="44">
        <f>IF(COUNTIFS($D$4:$D$704,$D239,$J$4:$J$704,$J239,$F$4:$F$704,$F239,$K$4:$K$704,$K239)&gt;1,"⚠ DOUBLON","")</f>
        <v/>
      </c>
      <c r="V239" s="44">
        <f>COUNTIFS($A$4:$A239,$A239,$J$4:$J239,$J239,$E$4:$E239,$E239)</f>
        <v/>
      </c>
      <c r="W239" s="45">
        <f>$A239&amp;"|"&amp;$J239&amp;"|"&amp;$E239&amp;"|"&amp;$V239</f>
        <v/>
      </c>
      <c r="X239" s="46">
        <f>TEXT($F239,"hh:mm")&amp;" - "&amp;TEXT($G239,"hh:mm")&amp;IF($P239="Quinzaine A","   ◆ Q-A",IF($P239="Quinzaine B","   ◆ Q-B",IF($P239="Exception","   ◆ PONCTUEL","")))&amp;CHAR(10)&amp;$K239&amp;CHAR(10)&amp;$M239&amp;IF($N239&lt;&gt;"",CHAR(10)&amp;"Salle "&amp;$N239,"")&amp;IF($O239="En ligne",CHAR(10)&amp;"◆ EN LIGNE","")&amp;IF($R239&lt;&gt;"",CHAR(10)&amp;$R239,"")</f>
        <v/>
      </c>
      <c r="Y239" s="45" t="inlineStr">
        <is>
          <t>19h-21h رياضيات (Bassma)</t>
        </is>
      </c>
      <c r="Z239" s="45" t="inlineStr">
        <is>
          <t>du 28-09 jusquà le 04-10!J6</t>
        </is>
      </c>
    </row>
    <row r="240" ht="15" customHeight="1">
      <c r="A240" s="10" t="inlineStr">
        <is>
          <t>S3</t>
        </is>
      </c>
      <c r="B240" s="9" t="inlineStr">
        <is>
          <t>du 28 septembre au 4 octobre 2026</t>
        </is>
      </c>
      <c r="C240" s="10" t="inlineStr">
        <is>
          <t>A</t>
        </is>
      </c>
      <c r="D240" s="41" t="n">
        <v>46296</v>
      </c>
      <c r="E240" s="10" t="inlineStr">
        <is>
          <t>Jeudi</t>
        </is>
      </c>
      <c r="F240" s="42" t="n">
        <v>0.7916666666666666</v>
      </c>
      <c r="G240" s="42" t="n">
        <v>0.875</v>
      </c>
      <c r="H240" s="43">
        <f>IF(OR($F240="",$G240=""),"",($G240-$F240)*24)</f>
        <v/>
      </c>
      <c r="I240" s="10" t="inlineStr">
        <is>
          <t>Primaire</t>
        </is>
      </c>
      <c r="J240" s="9" t="inlineStr">
        <is>
          <t>6éme (B)</t>
        </is>
      </c>
      <c r="K240" s="9" t="inlineStr">
        <is>
          <t>رياضيات</t>
        </is>
      </c>
      <c r="L240" s="9" t="inlineStr">
        <is>
          <t>Math</t>
        </is>
      </c>
      <c r="M240" s="9" t="inlineStr">
        <is>
          <t>Noura</t>
        </is>
      </c>
      <c r="N240" s="10" t="n"/>
      <c r="O240" s="10" t="n"/>
      <c r="P240" s="10" t="inlineStr">
        <is>
          <t>Hebdomadaire</t>
        </is>
      </c>
      <c r="Q240" s="9" t="inlineStr">
        <is>
          <t>Original (septembre)</t>
        </is>
      </c>
      <c r="R240" s="9" t="inlineStr"/>
      <c r="S240" s="44">
        <f>IF($M240="","",IF(SUMPRODUCT(($D$4:$D$704=$D240)*($M$4:$M$704=$M240)*($F$4:$F$704&lt;$G240)*($G$4:$G$704&gt;$F240))&gt;1,"⚠ CONFLIT",""))</f>
        <v/>
      </c>
      <c r="T240" s="44">
        <f>IF($J240="","",IF(SUMPRODUCT(($D$4:$D$704=$D240)*($J$4:$J$704=$J240)*($F$4:$F$704&lt;$G240)*($G$4:$G$704&gt;$F240))&gt;1,"⚠ CONFLIT",""))</f>
        <v/>
      </c>
      <c r="U240" s="44">
        <f>IF(COUNTIFS($D$4:$D$704,$D240,$J$4:$J$704,$J240,$F$4:$F$704,$F240,$K$4:$K$704,$K240)&gt;1,"⚠ DOUBLON","")</f>
        <v/>
      </c>
      <c r="V240" s="44">
        <f>COUNTIFS($A$4:$A240,$A240,$J$4:$J240,$J240,$E$4:$E240,$E240)</f>
        <v/>
      </c>
      <c r="W240" s="45">
        <f>$A240&amp;"|"&amp;$J240&amp;"|"&amp;$E240&amp;"|"&amp;$V240</f>
        <v/>
      </c>
      <c r="X240" s="46">
        <f>TEXT($F240,"hh:mm")&amp;" - "&amp;TEXT($G240,"hh:mm")&amp;IF($P240="Quinzaine A","   ◆ Q-A",IF($P240="Quinzaine B","   ◆ Q-B",IF($P240="Exception","   ◆ PONCTUEL","")))&amp;CHAR(10)&amp;$K240&amp;CHAR(10)&amp;$M240&amp;IF($N240&lt;&gt;"",CHAR(10)&amp;"Salle "&amp;$N240,"")&amp;IF($O240="En ligne",CHAR(10)&amp;"◆ EN LIGNE","")&amp;IF($R240&lt;&gt;"",CHAR(10)&amp;$R240,"")</f>
        <v/>
      </c>
      <c r="Y240" s="45" t="inlineStr">
        <is>
          <t>19h-21h رياضيات (Noura)</t>
        </is>
      </c>
      <c r="Z240" s="45" t="inlineStr">
        <is>
          <t>du 28-09 jusquà le 04-10!J16</t>
        </is>
      </c>
    </row>
    <row r="241" ht="15" customHeight="1">
      <c r="A241" s="10" t="inlineStr">
        <is>
          <t>S3</t>
        </is>
      </c>
      <c r="B241" s="9" t="inlineStr">
        <is>
          <t>du 28 septembre au 4 octobre 2026</t>
        </is>
      </c>
      <c r="C241" s="10" t="inlineStr">
        <is>
          <t>A</t>
        </is>
      </c>
      <c r="D241" s="41" t="n">
        <v>46296</v>
      </c>
      <c r="E241" s="10" t="inlineStr">
        <is>
          <t>Jeudi</t>
        </is>
      </c>
      <c r="F241" s="42" t="n">
        <v>0.8020833333333334</v>
      </c>
      <c r="G241" s="42" t="n">
        <v>0.8645833333333334</v>
      </c>
      <c r="H241" s="43">
        <f>IF(OR($F241="",$G241=""),"",($G241-$F241)*24)</f>
        <v/>
      </c>
      <c r="I241" s="10" t="inlineStr">
        <is>
          <t>Collège</t>
        </is>
      </c>
      <c r="J241" s="9" t="inlineStr">
        <is>
          <t>8éme (A)</t>
        </is>
      </c>
      <c r="K241" s="9" t="inlineStr">
        <is>
          <t>Français</t>
        </is>
      </c>
      <c r="L241" s="9" t="inlineStr">
        <is>
          <t>Français</t>
        </is>
      </c>
      <c r="M241" s="9" t="inlineStr">
        <is>
          <t>Nassima</t>
        </is>
      </c>
      <c r="N241" s="10" t="n"/>
      <c r="O241" s="10" t="n"/>
      <c r="P241" s="10" t="inlineStr">
        <is>
          <t>Hebdomadaire</t>
        </is>
      </c>
      <c r="Q241" s="9" t="inlineStr">
        <is>
          <t>Original (septembre)</t>
        </is>
      </c>
      <c r="R241" s="9" t="inlineStr"/>
      <c r="S241" s="44">
        <f>IF($M241="","",IF(SUMPRODUCT(($D$4:$D$704=$D241)*($M$4:$M$704=$M241)*($F$4:$F$704&lt;$G241)*($G$4:$G$704&gt;$F241))&gt;1,"⚠ CONFLIT",""))</f>
        <v/>
      </c>
      <c r="T241" s="44">
        <f>IF($J241="","",IF(SUMPRODUCT(($D$4:$D$704=$D241)*($J$4:$J$704=$J241)*($F$4:$F$704&lt;$G241)*($G$4:$G$704&gt;$F241))&gt;1,"⚠ CONFLIT",""))</f>
        <v/>
      </c>
      <c r="U241" s="44">
        <f>IF(COUNTIFS($D$4:$D$704,$D241,$J$4:$J$704,$J241,$F$4:$F$704,$F241,$K$4:$K$704,$K241)&gt;1,"⚠ DOUBLON","")</f>
        <v/>
      </c>
      <c r="V241" s="44">
        <f>COUNTIFS($A$4:$A241,$A241,$J$4:$J241,$J241,$E$4:$E241,$E241)</f>
        <v/>
      </c>
      <c r="W241" s="45">
        <f>$A241&amp;"|"&amp;$J241&amp;"|"&amp;$E241&amp;"|"&amp;$V241</f>
        <v/>
      </c>
      <c r="X241" s="46">
        <f>TEXT($F241,"hh:mm")&amp;" - "&amp;TEXT($G241,"hh:mm")&amp;IF($P241="Quinzaine A","   ◆ Q-A",IF($P241="Quinzaine B","   ◆ Q-B",IF($P241="Exception","   ◆ PONCTUEL","")))&amp;CHAR(10)&amp;$K241&amp;CHAR(10)&amp;$M241&amp;IF($N241&lt;&gt;"",CHAR(10)&amp;"Salle "&amp;$N241,"")&amp;IF($O241="En ligne",CHAR(10)&amp;"◆ EN LIGNE","")&amp;IF($R241&lt;&gt;"",CHAR(10)&amp;$R241,"")</f>
        <v/>
      </c>
      <c r="Y241" s="45" t="inlineStr">
        <is>
          <t>19h15-20h45 Français (Nassima)</t>
        </is>
      </c>
      <c r="Z241" s="45" t="inlineStr">
        <is>
          <t>du 28-09 jusquà le 04-10!J27</t>
        </is>
      </c>
    </row>
    <row r="242" ht="15" customHeight="1">
      <c r="A242" s="10" t="inlineStr">
        <is>
          <t>S3</t>
        </is>
      </c>
      <c r="B242" s="9" t="inlineStr">
        <is>
          <t>du 28 septembre au 4 octobre 2026</t>
        </is>
      </c>
      <c r="C242" s="10" t="inlineStr">
        <is>
          <t>A</t>
        </is>
      </c>
      <c r="D242" s="41" t="n">
        <v>46296</v>
      </c>
      <c r="E242" s="10" t="inlineStr">
        <is>
          <t>Jeudi</t>
        </is>
      </c>
      <c r="F242" s="42" t="n">
        <v>0.8020833333333334</v>
      </c>
      <c r="G242" s="42" t="n">
        <v>0.8645833333333334</v>
      </c>
      <c r="H242" s="43">
        <f>IF(OR($F242="",$G242=""),"",($G242-$F242)*24)</f>
        <v/>
      </c>
      <c r="I242" s="10" t="inlineStr">
        <is>
          <t>Collège</t>
        </is>
      </c>
      <c r="J242" s="9" t="inlineStr">
        <is>
          <t>8éme (C)</t>
        </is>
      </c>
      <c r="K242" s="9" t="inlineStr">
        <is>
          <t>Math</t>
        </is>
      </c>
      <c r="L242" s="9" t="inlineStr">
        <is>
          <t>Math</t>
        </is>
      </c>
      <c r="M242" s="9" t="inlineStr">
        <is>
          <t>Khouloud</t>
        </is>
      </c>
      <c r="N242" s="10" t="n"/>
      <c r="O242" s="10" t="n"/>
      <c r="P242" s="10" t="inlineStr">
        <is>
          <t>Hebdomadaire</t>
        </is>
      </c>
      <c r="Q242" s="9" t="inlineStr">
        <is>
          <t>Original (septembre)</t>
        </is>
      </c>
      <c r="R242" s="9" t="inlineStr"/>
      <c r="S242" s="44">
        <f>IF($M242="","",IF(SUMPRODUCT(($D$4:$D$704=$D242)*($M$4:$M$704=$M242)*($F$4:$F$704&lt;$G242)*($G$4:$G$704&gt;$F242))&gt;1,"⚠ CONFLIT",""))</f>
        <v/>
      </c>
      <c r="T242" s="44">
        <f>IF($J242="","",IF(SUMPRODUCT(($D$4:$D$704=$D242)*($J$4:$J$704=$J242)*($F$4:$F$704&lt;$G242)*($G$4:$G$704&gt;$F242))&gt;1,"⚠ CONFLIT",""))</f>
        <v/>
      </c>
      <c r="U242" s="44">
        <f>IF(COUNTIFS($D$4:$D$704,$D242,$J$4:$J$704,$J242,$F$4:$F$704,$F242,$K$4:$K$704,$K242)&gt;1,"⚠ DOUBLON","")</f>
        <v/>
      </c>
      <c r="V242" s="44">
        <f>COUNTIFS($A$4:$A242,$A242,$J$4:$J242,$J242,$E$4:$E242,$E242)</f>
        <v/>
      </c>
      <c r="W242" s="45">
        <f>$A242&amp;"|"&amp;$J242&amp;"|"&amp;$E242&amp;"|"&amp;$V242</f>
        <v/>
      </c>
      <c r="X242" s="46">
        <f>TEXT($F242,"hh:mm")&amp;" - "&amp;TEXT($G242,"hh:mm")&amp;IF($P242="Quinzaine A","   ◆ Q-A",IF($P242="Quinzaine B","   ◆ Q-B",IF($P242="Exception","   ◆ PONCTUEL","")))&amp;CHAR(10)&amp;$K242&amp;CHAR(10)&amp;$M242&amp;IF($N242&lt;&gt;"",CHAR(10)&amp;"Salle "&amp;$N242,"")&amp;IF($O242="En ligne",CHAR(10)&amp;"◆ EN LIGNE","")&amp;IF($R242&lt;&gt;"",CHAR(10)&amp;$R242,"")</f>
        <v/>
      </c>
      <c r="Y242" s="45" t="inlineStr">
        <is>
          <t>19h15-20h45 Math (Khouloud)</t>
        </is>
      </c>
      <c r="Z242" s="45" t="inlineStr">
        <is>
          <t>du 28-09 jusquà le 04-10!J34</t>
        </is>
      </c>
    </row>
    <row r="243" ht="15" customHeight="1">
      <c r="A243" s="10" t="inlineStr">
        <is>
          <t>S3</t>
        </is>
      </c>
      <c r="B243" s="9" t="inlineStr">
        <is>
          <t>du 28 septembre au 4 octobre 2026</t>
        </is>
      </c>
      <c r="C243" s="10" t="inlineStr">
        <is>
          <t>A</t>
        </is>
      </c>
      <c r="D243" s="41" t="n">
        <v>46296</v>
      </c>
      <c r="E243" s="10" t="inlineStr">
        <is>
          <t>Jeudi</t>
        </is>
      </c>
      <c r="F243" s="42" t="n">
        <v>0.8020833333333334</v>
      </c>
      <c r="G243" s="42" t="n">
        <v>0.8645833333333334</v>
      </c>
      <c r="H243" s="43">
        <f>IF(OR($F243="",$G243=""),"",($G243-$F243)*24)</f>
        <v/>
      </c>
      <c r="I243" s="10" t="inlineStr">
        <is>
          <t>Collège</t>
        </is>
      </c>
      <c r="J243" s="9" t="inlineStr">
        <is>
          <t>9éme (A)</t>
        </is>
      </c>
      <c r="K243" s="9" t="inlineStr">
        <is>
          <t>SVT</t>
        </is>
      </c>
      <c r="L243" s="9" t="inlineStr">
        <is>
          <t>SVT</t>
        </is>
      </c>
      <c r="M243" s="9" t="inlineStr">
        <is>
          <t>Imen Jribi</t>
        </is>
      </c>
      <c r="N243" s="10" t="n"/>
      <c r="O243" s="10" t="n"/>
      <c r="P243" s="10" t="inlineStr">
        <is>
          <t>Hebdomadaire</t>
        </is>
      </c>
      <c r="Q243" s="9" t="inlineStr">
        <is>
          <t>Original (septembre)</t>
        </is>
      </c>
      <c r="R243" s="9" t="inlineStr"/>
      <c r="S243" s="44">
        <f>IF($M243="","",IF(SUMPRODUCT(($D$4:$D$704=$D243)*($M$4:$M$704=$M243)*($F$4:$F$704&lt;$G243)*($G$4:$G$704&gt;$F243))&gt;1,"⚠ CONFLIT",""))</f>
        <v/>
      </c>
      <c r="T243" s="44">
        <f>IF($J243="","",IF(SUMPRODUCT(($D$4:$D$704=$D243)*($J$4:$J$704=$J243)*($F$4:$F$704&lt;$G243)*($G$4:$G$704&gt;$F243))&gt;1,"⚠ CONFLIT",""))</f>
        <v/>
      </c>
      <c r="U243" s="44">
        <f>IF(COUNTIFS($D$4:$D$704,$D243,$J$4:$J$704,$J243,$F$4:$F$704,$F243,$K$4:$K$704,$K243)&gt;1,"⚠ DOUBLON","")</f>
        <v/>
      </c>
      <c r="V243" s="44">
        <f>COUNTIFS($A$4:$A243,$A243,$J$4:$J243,$J243,$E$4:$E243,$E243)</f>
        <v/>
      </c>
      <c r="W243" s="45">
        <f>$A243&amp;"|"&amp;$J243&amp;"|"&amp;$E243&amp;"|"&amp;$V243</f>
        <v/>
      </c>
      <c r="X243" s="46">
        <f>TEXT($F243,"hh:mm")&amp;" - "&amp;TEXT($G243,"hh:mm")&amp;IF($P243="Quinzaine A","   ◆ Q-A",IF($P243="Quinzaine B","   ◆ Q-B",IF($P243="Exception","   ◆ PONCTUEL","")))&amp;CHAR(10)&amp;$K243&amp;CHAR(10)&amp;$M243&amp;IF($N243&lt;&gt;"",CHAR(10)&amp;"Salle "&amp;$N243,"")&amp;IF($O243="En ligne",CHAR(10)&amp;"◆ EN LIGNE","")&amp;IF($R243&lt;&gt;"",CHAR(10)&amp;$R243,"")</f>
        <v/>
      </c>
      <c r="Y243" s="45" t="inlineStr">
        <is>
          <t>19h15-20h45 SVT (Imen Jribi)</t>
        </is>
      </c>
      <c r="Z243" s="45" t="inlineStr">
        <is>
          <t>du 28-09 jusquà le 04-10!J36</t>
        </is>
      </c>
    </row>
    <row r="244" ht="15" customHeight="1">
      <c r="A244" s="10" t="inlineStr">
        <is>
          <t>S3</t>
        </is>
      </c>
      <c r="B244" s="9" t="inlineStr">
        <is>
          <t>du 28 septembre au 4 octobre 2026</t>
        </is>
      </c>
      <c r="C244" s="10" t="inlineStr">
        <is>
          <t>A</t>
        </is>
      </c>
      <c r="D244" s="41" t="n">
        <v>46296</v>
      </c>
      <c r="E244" s="10" t="inlineStr">
        <is>
          <t>Jeudi</t>
        </is>
      </c>
      <c r="F244" s="42" t="n">
        <v>0.8125</v>
      </c>
      <c r="G244" s="42" t="n">
        <v>0.875</v>
      </c>
      <c r="H244" s="43">
        <f>IF(OR($F244="",$G244=""),"",($G244-$F244)*24)</f>
        <v/>
      </c>
      <c r="I244" s="10" t="inlineStr">
        <is>
          <t>Collège</t>
        </is>
      </c>
      <c r="J244" s="9" t="inlineStr">
        <is>
          <t>9éme (C)</t>
        </is>
      </c>
      <c r="K244" s="9" t="inlineStr">
        <is>
          <t>Anglais</t>
        </is>
      </c>
      <c r="L244" s="9" t="inlineStr">
        <is>
          <t>Anglais</t>
        </is>
      </c>
      <c r="M244" s="9" t="inlineStr">
        <is>
          <t>Saber</t>
        </is>
      </c>
      <c r="N244" s="10" t="n"/>
      <c r="O244" s="10" t="n"/>
      <c r="P244" s="10" t="inlineStr">
        <is>
          <t>Hebdomadaire</t>
        </is>
      </c>
      <c r="Q244" s="9" t="inlineStr">
        <is>
          <t>Original (septembre)</t>
        </is>
      </c>
      <c r="R244" s="9" t="inlineStr"/>
      <c r="S244" s="44">
        <f>IF($M244="","",IF(SUMPRODUCT(($D$4:$D$704=$D244)*($M$4:$M$704=$M244)*($F$4:$F$704&lt;$G244)*($G$4:$G$704&gt;$F244))&gt;1,"⚠ CONFLIT",""))</f>
        <v/>
      </c>
      <c r="T244" s="44">
        <f>IF($J244="","",IF(SUMPRODUCT(($D$4:$D$704=$D244)*($J$4:$J$704=$J244)*($F$4:$F$704&lt;$G244)*($G$4:$G$704&gt;$F244))&gt;1,"⚠ CONFLIT",""))</f>
        <v/>
      </c>
      <c r="U244" s="44">
        <f>IF(COUNTIFS($D$4:$D$704,$D244,$J$4:$J$704,$J244,$F$4:$F$704,$F244,$K$4:$K$704,$K244)&gt;1,"⚠ DOUBLON","")</f>
        <v/>
      </c>
      <c r="V244" s="44">
        <f>COUNTIFS($A$4:$A244,$A244,$J$4:$J244,$J244,$E$4:$E244,$E244)</f>
        <v/>
      </c>
      <c r="W244" s="45">
        <f>$A244&amp;"|"&amp;$J244&amp;"|"&amp;$E244&amp;"|"&amp;$V244</f>
        <v/>
      </c>
      <c r="X244" s="46">
        <f>TEXT($F244,"hh:mm")&amp;" - "&amp;TEXT($G244,"hh:mm")&amp;IF($P244="Quinzaine A","   ◆ Q-A",IF($P244="Quinzaine B","   ◆ Q-B",IF($P244="Exception","   ◆ PONCTUEL","")))&amp;CHAR(10)&amp;$K244&amp;CHAR(10)&amp;$M244&amp;IF($N244&lt;&gt;"",CHAR(10)&amp;"Salle "&amp;$N244,"")&amp;IF($O244="En ligne",CHAR(10)&amp;"◆ EN LIGNE","")&amp;IF($R244&lt;&gt;"",CHAR(10)&amp;$R244,"")</f>
        <v/>
      </c>
      <c r="Y244" s="45" t="inlineStr">
        <is>
          <t>19h30-21h Anglais (Saber)</t>
        </is>
      </c>
      <c r="Z244" s="45" t="inlineStr">
        <is>
          <t>du 28-09 jusquà le 04-10!J46</t>
        </is>
      </c>
    </row>
    <row r="245" ht="15" customHeight="1">
      <c r="A245" s="10" t="inlineStr">
        <is>
          <t>S3</t>
        </is>
      </c>
      <c r="B245" s="9" t="inlineStr">
        <is>
          <t>du 28 septembre au 4 octobre 2026</t>
        </is>
      </c>
      <c r="C245" s="10" t="inlineStr">
        <is>
          <t>A</t>
        </is>
      </c>
      <c r="D245" s="41" t="n">
        <v>46296</v>
      </c>
      <c r="E245" s="10" t="inlineStr">
        <is>
          <t>Jeudi</t>
        </is>
      </c>
      <c r="F245" s="42" t="n">
        <v>0.8020833333333334</v>
      </c>
      <c r="G245" s="42" t="n">
        <v>0.8645833333333334</v>
      </c>
      <c r="H245" s="43">
        <f>IF(OR($F245="",$G245=""),"",($G245-$F245)*24)</f>
        <v/>
      </c>
      <c r="I245" s="10" t="inlineStr">
        <is>
          <t>Secondaire</t>
        </is>
      </c>
      <c r="J245" s="9" t="inlineStr">
        <is>
          <t>1ére (A)</t>
        </is>
      </c>
      <c r="K245" s="9" t="inlineStr">
        <is>
          <t>Anglais</t>
        </is>
      </c>
      <c r="L245" s="9" t="inlineStr">
        <is>
          <t>Anglais</t>
        </is>
      </c>
      <c r="M245" s="9" t="inlineStr">
        <is>
          <t>Imen Bennour</t>
        </is>
      </c>
      <c r="N245" s="10" t="n"/>
      <c r="O245" s="10" t="n"/>
      <c r="P245" s="10" t="inlineStr">
        <is>
          <t>Quinzaine A</t>
        </is>
      </c>
      <c r="Q245" s="9" t="inlineStr">
        <is>
          <t>Original (septembre)</t>
        </is>
      </c>
      <c r="R245" s="9" t="inlineStr"/>
      <c r="S245" s="44">
        <f>IF($M245="","",IF(SUMPRODUCT(($D$4:$D$704=$D245)*($M$4:$M$704=$M245)*($F$4:$F$704&lt;$G245)*($G$4:$G$704&gt;$F245))&gt;1,"⚠ CONFLIT",""))</f>
        <v/>
      </c>
      <c r="T245" s="44">
        <f>IF($J245="","",IF(SUMPRODUCT(($D$4:$D$704=$D245)*($J$4:$J$704=$J245)*($F$4:$F$704&lt;$G245)*($G$4:$G$704&gt;$F245))&gt;1,"⚠ CONFLIT",""))</f>
        <v/>
      </c>
      <c r="U245" s="44">
        <f>IF(COUNTIFS($D$4:$D$704,$D245,$J$4:$J$704,$J245,$F$4:$F$704,$F245,$K$4:$K$704,$K245)&gt;1,"⚠ DOUBLON","")</f>
        <v/>
      </c>
      <c r="V245" s="44">
        <f>COUNTIFS($A$4:$A245,$A245,$J$4:$J245,$J245,$E$4:$E245,$E245)</f>
        <v/>
      </c>
      <c r="W245" s="45">
        <f>$A245&amp;"|"&amp;$J245&amp;"|"&amp;$E245&amp;"|"&amp;$V245</f>
        <v/>
      </c>
      <c r="X245" s="46">
        <f>TEXT($F245,"hh:mm")&amp;" - "&amp;TEXT($G245,"hh:mm")&amp;IF($P245="Quinzaine A","   ◆ Q-A",IF($P245="Quinzaine B","   ◆ Q-B",IF($P245="Exception","   ◆ PONCTUEL","")))&amp;CHAR(10)&amp;$K245&amp;CHAR(10)&amp;$M245&amp;IF($N245&lt;&gt;"",CHAR(10)&amp;"Salle "&amp;$N245,"")&amp;IF($O245="En ligne",CHAR(10)&amp;"◆ EN LIGNE","")&amp;IF($R245&lt;&gt;"",CHAR(10)&amp;$R245,"")</f>
        <v/>
      </c>
      <c r="Y245" s="45" t="inlineStr">
        <is>
          <t>19h15-20h45 Anglais /par quinzaine (Imen Bennour)</t>
        </is>
      </c>
      <c r="Z245" s="45" t="inlineStr">
        <is>
          <t>du 28-09 jusquà le 04-10!J48</t>
        </is>
      </c>
    </row>
    <row r="246" ht="15" customHeight="1">
      <c r="A246" s="10" t="inlineStr">
        <is>
          <t>S3</t>
        </is>
      </c>
      <c r="B246" s="9" t="inlineStr">
        <is>
          <t>du 28 septembre au 4 octobre 2026</t>
        </is>
      </c>
      <c r="C246" s="10" t="inlineStr">
        <is>
          <t>A</t>
        </is>
      </c>
      <c r="D246" s="41" t="n">
        <v>46296</v>
      </c>
      <c r="E246" s="10" t="inlineStr">
        <is>
          <t>Jeudi</t>
        </is>
      </c>
      <c r="F246" s="42" t="n">
        <v>0.7916666666666666</v>
      </c>
      <c r="G246" s="42" t="n">
        <v>0.8541666666666666</v>
      </c>
      <c r="H246" s="43">
        <f>IF(OR($F246="",$G246=""),"",($G246-$F246)*24)</f>
        <v/>
      </c>
      <c r="I246" s="10" t="inlineStr">
        <is>
          <t>Secondaire</t>
        </is>
      </c>
      <c r="J246" s="9" t="inlineStr">
        <is>
          <t>2éme Eco</t>
        </is>
      </c>
      <c r="K246" s="9" t="inlineStr">
        <is>
          <t>Gestion</t>
        </is>
      </c>
      <c r="L246" s="9" t="inlineStr">
        <is>
          <t>Gestion</t>
        </is>
      </c>
      <c r="M246" s="9" t="inlineStr">
        <is>
          <t>Yassine</t>
        </is>
      </c>
      <c r="N246" s="10" t="n"/>
      <c r="O246" s="10" t="n"/>
      <c r="P246" s="10" t="inlineStr">
        <is>
          <t>Hebdomadaire</t>
        </is>
      </c>
      <c r="Q246" s="9" t="inlineStr">
        <is>
          <t>Original (septembre)</t>
        </is>
      </c>
      <c r="R246" s="9" t="inlineStr"/>
      <c r="S246" s="44">
        <f>IF($M246="","",IF(SUMPRODUCT(($D$4:$D$704=$D246)*($M$4:$M$704=$M246)*($F$4:$F$704&lt;$G246)*($G$4:$G$704&gt;$F246))&gt;1,"⚠ CONFLIT",""))</f>
        <v/>
      </c>
      <c r="T246" s="44">
        <f>IF($J246="","",IF(SUMPRODUCT(($D$4:$D$704=$D246)*($J$4:$J$704=$J246)*($F$4:$F$704&lt;$G246)*($G$4:$G$704&gt;$F246))&gt;1,"⚠ CONFLIT",""))</f>
        <v/>
      </c>
      <c r="U246" s="44">
        <f>IF(COUNTIFS($D$4:$D$704,$D246,$J$4:$J$704,$J246,$F$4:$F$704,$F246,$K$4:$K$704,$K246)&gt;1,"⚠ DOUBLON","")</f>
        <v/>
      </c>
      <c r="V246" s="44">
        <f>COUNTIFS($A$4:$A246,$A246,$J$4:$J246,$J246,$E$4:$E246,$E246)</f>
        <v/>
      </c>
      <c r="W246" s="45">
        <f>$A246&amp;"|"&amp;$J246&amp;"|"&amp;$E246&amp;"|"&amp;$V246</f>
        <v/>
      </c>
      <c r="X246" s="46">
        <f>TEXT($F246,"hh:mm")&amp;" - "&amp;TEXT($G246,"hh:mm")&amp;IF($P246="Quinzaine A","   ◆ Q-A",IF($P246="Quinzaine B","   ◆ Q-B",IF($P246="Exception","   ◆ PONCTUEL","")))&amp;CHAR(10)&amp;$K246&amp;CHAR(10)&amp;$M246&amp;IF($N246&lt;&gt;"",CHAR(10)&amp;"Salle "&amp;$N246,"")&amp;IF($O246="En ligne",CHAR(10)&amp;"◆ EN LIGNE","")&amp;IF($R246&lt;&gt;"",CHAR(10)&amp;$R246,"")</f>
        <v/>
      </c>
      <c r="Y246" s="45" t="inlineStr">
        <is>
          <t>19h-20h30 Gestion (Yassine)</t>
        </is>
      </c>
      <c r="Z246" s="45" t="inlineStr">
        <is>
          <t>du 28-09 jusquà le 04-10!J56</t>
        </is>
      </c>
    </row>
    <row r="247" ht="15" customHeight="1">
      <c r="A247" s="10" t="inlineStr">
        <is>
          <t>S3</t>
        </is>
      </c>
      <c r="B247" s="9" t="inlineStr">
        <is>
          <t>du 28 septembre au 4 octobre 2026</t>
        </is>
      </c>
      <c r="C247" s="10" t="inlineStr">
        <is>
          <t>A</t>
        </is>
      </c>
      <c r="D247" s="41" t="n">
        <v>46296</v>
      </c>
      <c r="E247" s="10" t="inlineStr">
        <is>
          <t>Jeudi</t>
        </is>
      </c>
      <c r="F247" s="42" t="n">
        <v>0.8125</v>
      </c>
      <c r="G247" s="42" t="n">
        <v>0.875</v>
      </c>
      <c r="H247" s="43">
        <f>IF(OR($F247="",$G247=""),"",($G247-$F247)*24)</f>
        <v/>
      </c>
      <c r="I247" s="10" t="inlineStr">
        <is>
          <t>Secondaire</t>
        </is>
      </c>
      <c r="J247" s="9" t="inlineStr">
        <is>
          <t>2éme SCE</t>
        </is>
      </c>
      <c r="K247" s="9" t="inlineStr">
        <is>
          <t>Math</t>
        </is>
      </c>
      <c r="L247" s="9" t="inlineStr">
        <is>
          <t>Math</t>
        </is>
      </c>
      <c r="M247" s="9" t="inlineStr">
        <is>
          <t>Haythem</t>
        </is>
      </c>
      <c r="N247" s="10" t="n"/>
      <c r="O247" s="10" t="n"/>
      <c r="P247" s="10" t="inlineStr">
        <is>
          <t>Hebdomadaire</t>
        </is>
      </c>
      <c r="Q247" s="9" t="inlineStr">
        <is>
          <t>Original (septembre)</t>
        </is>
      </c>
      <c r="R247" s="9" t="inlineStr"/>
      <c r="S247" s="44">
        <f>IF($M247="","",IF(SUMPRODUCT(($D$4:$D$704=$D247)*($M$4:$M$704=$M247)*($F$4:$F$704&lt;$G247)*($G$4:$G$704&gt;$F247))&gt;1,"⚠ CONFLIT",""))</f>
        <v/>
      </c>
      <c r="T247" s="44">
        <f>IF($J247="","",IF(SUMPRODUCT(($D$4:$D$704=$D247)*($J$4:$J$704=$J247)*($F$4:$F$704&lt;$G247)*($G$4:$G$704&gt;$F247))&gt;1,"⚠ CONFLIT",""))</f>
        <v/>
      </c>
      <c r="U247" s="44">
        <f>IF(COUNTIFS($D$4:$D$704,$D247,$J$4:$J$704,$J247,$F$4:$F$704,$F247,$K$4:$K$704,$K247)&gt;1,"⚠ DOUBLON","")</f>
        <v/>
      </c>
      <c r="V247" s="44">
        <f>COUNTIFS($A$4:$A247,$A247,$J$4:$J247,$J247,$E$4:$E247,$E247)</f>
        <v/>
      </c>
      <c r="W247" s="45">
        <f>$A247&amp;"|"&amp;$J247&amp;"|"&amp;$E247&amp;"|"&amp;$V247</f>
        <v/>
      </c>
      <c r="X247" s="46">
        <f>TEXT($F247,"hh:mm")&amp;" - "&amp;TEXT($G247,"hh:mm")&amp;IF($P247="Quinzaine A","   ◆ Q-A",IF($P247="Quinzaine B","   ◆ Q-B",IF($P247="Exception","   ◆ PONCTUEL","")))&amp;CHAR(10)&amp;$K247&amp;CHAR(10)&amp;$M247&amp;IF($N247&lt;&gt;"",CHAR(10)&amp;"Salle "&amp;$N247,"")&amp;IF($O247="En ligne",CHAR(10)&amp;"◆ EN LIGNE","")&amp;IF($R247&lt;&gt;"",CHAR(10)&amp;$R247,"")</f>
        <v/>
      </c>
      <c r="Y247" s="45" t="inlineStr">
        <is>
          <t>19h30-21h Math (Haythem)</t>
        </is>
      </c>
      <c r="Z247" s="45" t="inlineStr">
        <is>
          <t>du 28-09 jusquà le 04-10!J58</t>
        </is>
      </c>
    </row>
    <row r="248" ht="15" customHeight="1">
      <c r="A248" s="10" t="inlineStr">
        <is>
          <t>S3</t>
        </is>
      </c>
      <c r="B248" s="9" t="inlineStr">
        <is>
          <t>du 28 septembre au 4 octobre 2026</t>
        </is>
      </c>
      <c r="C248" s="10" t="inlineStr">
        <is>
          <t>A</t>
        </is>
      </c>
      <c r="D248" s="41" t="n">
        <v>46296</v>
      </c>
      <c r="E248" s="10" t="inlineStr">
        <is>
          <t>Jeudi</t>
        </is>
      </c>
      <c r="F248" s="42" t="n">
        <v>0.8125</v>
      </c>
      <c r="G248" s="42" t="n">
        <v>0.875</v>
      </c>
      <c r="H248" s="43">
        <f>IF(OR($F248="",$G248=""),"",($G248-$F248)*24)</f>
        <v/>
      </c>
      <c r="I248" s="10" t="inlineStr">
        <is>
          <t>Secondaire</t>
        </is>
      </c>
      <c r="J248" s="9" t="inlineStr">
        <is>
          <t>2éme INFO</t>
        </is>
      </c>
      <c r="K248" s="9" t="inlineStr">
        <is>
          <t>Physique</t>
        </is>
      </c>
      <c r="L248" s="9" t="inlineStr">
        <is>
          <t>Physique</t>
        </is>
      </c>
      <c r="M248" s="9" t="inlineStr">
        <is>
          <t>Samia</t>
        </is>
      </c>
      <c r="N248" s="10" t="n"/>
      <c r="O248" s="10" t="n"/>
      <c r="P248" s="10" t="inlineStr">
        <is>
          <t>Hebdomadaire</t>
        </is>
      </c>
      <c r="Q248" s="9" t="inlineStr">
        <is>
          <t>Original (septembre)</t>
        </is>
      </c>
      <c r="R248" s="9" t="inlineStr"/>
      <c r="S248" s="44">
        <f>IF($M248="","",IF(SUMPRODUCT(($D$4:$D$704=$D248)*($M$4:$M$704=$M248)*($F$4:$F$704&lt;$G248)*($G$4:$G$704&gt;$F248))&gt;1,"⚠ CONFLIT",""))</f>
        <v/>
      </c>
      <c r="T248" s="44">
        <f>IF($J248="","",IF(SUMPRODUCT(($D$4:$D$704=$D248)*($J$4:$J$704=$J248)*($F$4:$F$704&lt;$G248)*($G$4:$G$704&gt;$F248))&gt;1,"⚠ CONFLIT",""))</f>
        <v/>
      </c>
      <c r="U248" s="44">
        <f>IF(COUNTIFS($D$4:$D$704,$D248,$J$4:$J$704,$J248,$F$4:$F$704,$F248,$K$4:$K$704,$K248)&gt;1,"⚠ DOUBLON","")</f>
        <v/>
      </c>
      <c r="V248" s="44">
        <f>COUNTIFS($A$4:$A248,$A248,$J$4:$J248,$J248,$E$4:$E248,$E248)</f>
        <v/>
      </c>
      <c r="W248" s="45">
        <f>$A248&amp;"|"&amp;$J248&amp;"|"&amp;$E248&amp;"|"&amp;$V248</f>
        <v/>
      </c>
      <c r="X248" s="46">
        <f>TEXT($F248,"hh:mm")&amp;" - "&amp;TEXT($G248,"hh:mm")&amp;IF($P248="Quinzaine A","   ◆ Q-A",IF($P248="Quinzaine B","   ◆ Q-B",IF($P248="Exception","   ◆ PONCTUEL","")))&amp;CHAR(10)&amp;$K248&amp;CHAR(10)&amp;$M248&amp;IF($N248&lt;&gt;"",CHAR(10)&amp;"Salle "&amp;$N248,"")&amp;IF($O248="En ligne",CHAR(10)&amp;"◆ EN LIGNE","")&amp;IF($R248&lt;&gt;"",CHAR(10)&amp;$R248,"")</f>
        <v/>
      </c>
      <c r="Y248" s="45" t="inlineStr">
        <is>
          <t>19h30-21h Physique (Samia)</t>
        </is>
      </c>
      <c r="Z248" s="45" t="inlineStr">
        <is>
          <t>du 28-09 jusquà le 04-10!J60</t>
        </is>
      </c>
    </row>
    <row r="249" ht="15" customHeight="1">
      <c r="A249" s="10" t="inlineStr">
        <is>
          <t>S3</t>
        </is>
      </c>
      <c r="B249" s="9" t="inlineStr">
        <is>
          <t>du 28 septembre au 4 octobre 2026</t>
        </is>
      </c>
      <c r="C249" s="10" t="inlineStr">
        <is>
          <t>A</t>
        </is>
      </c>
      <c r="D249" s="41" t="n">
        <v>46296</v>
      </c>
      <c r="E249" s="10" t="inlineStr">
        <is>
          <t>Jeudi</t>
        </is>
      </c>
      <c r="F249" s="42" t="n">
        <v>0.8125</v>
      </c>
      <c r="G249" s="42" t="n">
        <v>0.875</v>
      </c>
      <c r="H249" s="43">
        <f>IF(OR($F249="",$G249=""),"",($G249-$F249)*24)</f>
        <v/>
      </c>
      <c r="I249" s="10" t="inlineStr">
        <is>
          <t>Secondaire</t>
        </is>
      </c>
      <c r="J249" s="9" t="inlineStr">
        <is>
          <t>3éme Eco</t>
        </is>
      </c>
      <c r="K249" s="9" t="inlineStr">
        <is>
          <t>Arabe</t>
        </is>
      </c>
      <c r="L249" s="9" t="inlineStr">
        <is>
          <t>Arabe</t>
        </is>
      </c>
      <c r="M249" s="9" t="inlineStr">
        <is>
          <t>Najet</t>
        </is>
      </c>
      <c r="N249" s="10" t="n"/>
      <c r="O249" s="10" t="n"/>
      <c r="P249" s="10" t="inlineStr">
        <is>
          <t>Quinzaine A</t>
        </is>
      </c>
      <c r="Q249" s="9" t="inlineStr">
        <is>
          <t>Original (septembre)</t>
        </is>
      </c>
      <c r="R249" s="9" t="inlineStr"/>
      <c r="S249" s="44">
        <f>IF($M249="","",IF(SUMPRODUCT(($D$4:$D$704=$D249)*($M$4:$M$704=$M249)*($F$4:$F$704&lt;$G249)*($G$4:$G$704&gt;$F249))&gt;1,"⚠ CONFLIT",""))</f>
        <v/>
      </c>
      <c r="T249" s="44">
        <f>IF($J249="","",IF(SUMPRODUCT(($D$4:$D$704=$D249)*($J$4:$J$704=$J249)*($F$4:$F$704&lt;$G249)*($G$4:$G$704&gt;$F249))&gt;1,"⚠ CONFLIT",""))</f>
        <v/>
      </c>
      <c r="U249" s="44">
        <f>IF(COUNTIFS($D$4:$D$704,$D249,$J$4:$J$704,$J249,$F$4:$F$704,$F249,$K$4:$K$704,$K249)&gt;1,"⚠ DOUBLON","")</f>
        <v/>
      </c>
      <c r="V249" s="44">
        <f>COUNTIFS($A$4:$A249,$A249,$J$4:$J249,$J249,$E$4:$E249,$E249)</f>
        <v/>
      </c>
      <c r="W249" s="45">
        <f>$A249&amp;"|"&amp;$J249&amp;"|"&amp;$E249&amp;"|"&amp;$V249</f>
        <v/>
      </c>
      <c r="X249" s="46">
        <f>TEXT($F249,"hh:mm")&amp;" - "&amp;TEXT($G249,"hh:mm")&amp;IF($P249="Quinzaine A","   ◆ Q-A",IF($P249="Quinzaine B","   ◆ Q-B",IF($P249="Exception","   ◆ PONCTUEL","")))&amp;CHAR(10)&amp;$K249&amp;CHAR(10)&amp;$M249&amp;IF($N249&lt;&gt;"",CHAR(10)&amp;"Salle "&amp;$N249,"")&amp;IF($O249="En ligne",CHAR(10)&amp;"◆ EN LIGNE","")&amp;IF($R249&lt;&gt;"",CHAR(10)&amp;$R249,"")</f>
        <v/>
      </c>
      <c r="Y249" s="45" t="inlineStr">
        <is>
          <t>19h30-21h Arabe (Najet) /par quinzaine</t>
        </is>
      </c>
      <c r="Z249" s="45" t="inlineStr">
        <is>
          <t>du 28-09 jusquà le 04-10!J62</t>
        </is>
      </c>
    </row>
    <row r="250" ht="15" customHeight="1">
      <c r="A250" s="10" t="inlineStr">
        <is>
          <t>S3</t>
        </is>
      </c>
      <c r="B250" s="9" t="inlineStr">
        <is>
          <t>du 28 septembre au 4 octobre 2026</t>
        </is>
      </c>
      <c r="C250" s="10" t="inlineStr">
        <is>
          <t>A</t>
        </is>
      </c>
      <c r="D250" s="41" t="n">
        <v>46296</v>
      </c>
      <c r="E250" s="10" t="inlineStr">
        <is>
          <t>Jeudi</t>
        </is>
      </c>
      <c r="F250" s="42" t="n">
        <v>0.7916666666666666</v>
      </c>
      <c r="G250" s="42" t="n">
        <v>0.8541666666666666</v>
      </c>
      <c r="H250" s="43">
        <f>IF(OR($F250="",$G250=""),"",($G250-$F250)*24)</f>
        <v/>
      </c>
      <c r="I250" s="10" t="inlineStr">
        <is>
          <t>Bac</t>
        </is>
      </c>
      <c r="J250" s="9" t="inlineStr">
        <is>
          <t>Bac Eco</t>
        </is>
      </c>
      <c r="K250" s="9" t="inlineStr">
        <is>
          <t>Philo</t>
        </is>
      </c>
      <c r="L250" s="9" t="inlineStr">
        <is>
          <t>Philo</t>
        </is>
      </c>
      <c r="M250" s="9" t="inlineStr">
        <is>
          <t>Fayssel</t>
        </is>
      </c>
      <c r="N250" s="10" t="n"/>
      <c r="O250" s="10" t="n"/>
      <c r="P250" s="10" t="inlineStr">
        <is>
          <t>Quinzaine A</t>
        </is>
      </c>
      <c r="Q250" s="9" t="inlineStr">
        <is>
          <t>Original (septembre)</t>
        </is>
      </c>
      <c r="R250" s="9" t="inlineStr"/>
      <c r="S250" s="44">
        <f>IF($M250="","",IF(SUMPRODUCT(($D$4:$D$704=$D250)*($M$4:$M$704=$M250)*($F$4:$F$704&lt;$G250)*($G$4:$G$704&gt;$F250))&gt;1,"⚠ CONFLIT",""))</f>
        <v/>
      </c>
      <c r="T250" s="44">
        <f>IF($J250="","",IF(SUMPRODUCT(($D$4:$D$704=$D250)*($J$4:$J$704=$J250)*($F$4:$F$704&lt;$G250)*($G$4:$G$704&gt;$F250))&gt;1,"⚠ CONFLIT",""))</f>
        <v/>
      </c>
      <c r="U250" s="44">
        <f>IF(COUNTIFS($D$4:$D$704,$D250,$J$4:$J$704,$J250,$F$4:$F$704,$F250,$K$4:$K$704,$K250)&gt;1,"⚠ DOUBLON","")</f>
        <v/>
      </c>
      <c r="V250" s="44">
        <f>COUNTIFS($A$4:$A250,$A250,$J$4:$J250,$J250,$E$4:$E250,$E250)</f>
        <v/>
      </c>
      <c r="W250" s="45">
        <f>$A250&amp;"|"&amp;$J250&amp;"|"&amp;$E250&amp;"|"&amp;$V250</f>
        <v/>
      </c>
      <c r="X250" s="46">
        <f>TEXT($F250,"hh:mm")&amp;" - "&amp;TEXT($G250,"hh:mm")&amp;IF($P250="Quinzaine A","   ◆ Q-A",IF($P250="Quinzaine B","   ◆ Q-B",IF($P250="Exception","   ◆ PONCTUEL","")))&amp;CHAR(10)&amp;$K250&amp;CHAR(10)&amp;$M250&amp;IF($N250&lt;&gt;"",CHAR(10)&amp;"Salle "&amp;$N250,"")&amp;IF($O250="En ligne",CHAR(10)&amp;"◆ EN LIGNE","")&amp;IF($R250&lt;&gt;"",CHAR(10)&amp;$R250,"")</f>
        <v/>
      </c>
      <c r="Y250" s="45" t="inlineStr">
        <is>
          <t>19h-20h30 Philo (Fayssel) /par quizaine</t>
        </is>
      </c>
      <c r="Z250" s="45" t="inlineStr">
        <is>
          <t>du 28-09 jusquà le 04-10!J69</t>
        </is>
      </c>
    </row>
    <row r="251" ht="15" customHeight="1">
      <c r="A251" s="10" t="inlineStr">
        <is>
          <t>S3</t>
        </is>
      </c>
      <c r="B251" s="9" t="inlineStr">
        <is>
          <t>du 28 septembre au 4 octobre 2026</t>
        </is>
      </c>
      <c r="C251" s="10" t="inlineStr">
        <is>
          <t>A</t>
        </is>
      </c>
      <c r="D251" s="41" t="n">
        <v>46297</v>
      </c>
      <c r="E251" s="10" t="inlineStr">
        <is>
          <t>Vendredi</t>
        </is>
      </c>
      <c r="F251" s="42" t="n">
        <v>0.7916666666666666</v>
      </c>
      <c r="G251" s="42" t="n">
        <v>0.8541666666666666</v>
      </c>
      <c r="H251" s="43">
        <f>IF(OR($F251="",$G251=""),"",($G251-$F251)*24)</f>
        <v/>
      </c>
      <c r="I251" s="10" t="inlineStr">
        <is>
          <t>Primaire</t>
        </is>
      </c>
      <c r="J251" s="9" t="inlineStr">
        <is>
          <t>4éme</t>
        </is>
      </c>
      <c r="K251" s="9" t="inlineStr">
        <is>
          <t>إيقاظ علمي</t>
        </is>
      </c>
      <c r="L251" s="9" t="inlineStr">
        <is>
          <t>Éveil scientifique</t>
        </is>
      </c>
      <c r="M251" s="9" t="inlineStr">
        <is>
          <t>Bassma</t>
        </is>
      </c>
      <c r="N251" s="10" t="n"/>
      <c r="O251" s="10" t="n"/>
      <c r="P251" s="10" t="inlineStr">
        <is>
          <t>Quinzaine A</t>
        </is>
      </c>
      <c r="Q251" s="9" t="inlineStr">
        <is>
          <t>Original (septembre)</t>
        </is>
      </c>
      <c r="R251" s="9" t="inlineStr"/>
      <c r="S251" s="44">
        <f>IF($M251="","",IF(SUMPRODUCT(($D$4:$D$704=$D251)*($M$4:$M$704=$M251)*($F$4:$F$704&lt;$G251)*($G$4:$G$704&gt;$F251))&gt;1,"⚠ CONFLIT",""))</f>
        <v/>
      </c>
      <c r="T251" s="44">
        <f>IF($J251="","",IF(SUMPRODUCT(($D$4:$D$704=$D251)*($J$4:$J$704=$J251)*($F$4:$F$704&lt;$G251)*($G$4:$G$704&gt;$F251))&gt;1,"⚠ CONFLIT",""))</f>
        <v/>
      </c>
      <c r="U251" s="44">
        <f>IF(COUNTIFS($D$4:$D$704,$D251,$J$4:$J$704,$J251,$F$4:$F$704,$F251,$K$4:$K$704,$K251)&gt;1,"⚠ DOUBLON","")</f>
        <v/>
      </c>
      <c r="V251" s="44">
        <f>COUNTIFS($A$4:$A251,$A251,$J$4:$J251,$J251,$E$4:$E251,$E251)</f>
        <v/>
      </c>
      <c r="W251" s="45">
        <f>$A251&amp;"|"&amp;$J251&amp;"|"&amp;$E251&amp;"|"&amp;$V251</f>
        <v/>
      </c>
      <c r="X251" s="46">
        <f>TEXT($F251,"hh:mm")&amp;" - "&amp;TEXT($G251,"hh:mm")&amp;IF($P251="Quinzaine A","   ◆ Q-A",IF($P251="Quinzaine B","   ◆ Q-B",IF($P251="Exception","   ◆ PONCTUEL","")))&amp;CHAR(10)&amp;$K251&amp;CHAR(10)&amp;$M251&amp;IF($N251&lt;&gt;"",CHAR(10)&amp;"Salle "&amp;$N251,"")&amp;IF($O251="En ligne",CHAR(10)&amp;"◆ EN LIGNE","")&amp;IF($R251&lt;&gt;"",CHAR(10)&amp;$R251,"")</f>
        <v/>
      </c>
      <c r="Y251" s="45" t="inlineStr">
        <is>
          <t>19h-20h30 إيقاظ علمي /par quinzaine (Bassma)</t>
        </is>
      </c>
      <c r="Z251" s="45" t="inlineStr">
        <is>
          <t>du 28-09 jusquà le 04-10!K3</t>
        </is>
      </c>
    </row>
    <row r="252" ht="15" customHeight="1">
      <c r="A252" s="10" t="inlineStr">
        <is>
          <t>S3</t>
        </is>
      </c>
      <c r="B252" s="9" t="inlineStr">
        <is>
          <t>du 28 septembre au 4 octobre 2026</t>
        </is>
      </c>
      <c r="C252" s="10" t="inlineStr">
        <is>
          <t>A</t>
        </is>
      </c>
      <c r="D252" s="41" t="n">
        <v>46297</v>
      </c>
      <c r="E252" s="10" t="inlineStr">
        <is>
          <t>Vendredi</t>
        </is>
      </c>
      <c r="F252" s="42" t="n">
        <v>0.8125</v>
      </c>
      <c r="G252" s="42" t="n">
        <v>0.875</v>
      </c>
      <c r="H252" s="43">
        <f>IF(OR($F252="",$G252=""),"",($G252-$F252)*24)</f>
        <v/>
      </c>
      <c r="I252" s="10" t="inlineStr">
        <is>
          <t>Primaire</t>
        </is>
      </c>
      <c r="J252" s="9" t="inlineStr">
        <is>
          <t>6éme Pilote (A)</t>
        </is>
      </c>
      <c r="K252" s="9" t="inlineStr">
        <is>
          <t>إيقاظ علمي</t>
        </is>
      </c>
      <c r="L252" s="9" t="inlineStr">
        <is>
          <t>Éveil scientifique</t>
        </is>
      </c>
      <c r="M252" s="9" t="inlineStr">
        <is>
          <t>Noura</t>
        </is>
      </c>
      <c r="N252" s="10" t="n"/>
      <c r="O252" s="10" t="n"/>
      <c r="P252" s="10" t="inlineStr">
        <is>
          <t>Hebdomadaire</t>
        </is>
      </c>
      <c r="Q252" s="9" t="inlineStr">
        <is>
          <t>Original (septembre)</t>
        </is>
      </c>
      <c r="R252" s="9" t="inlineStr"/>
      <c r="S252" s="44">
        <f>IF($M252="","",IF(SUMPRODUCT(($D$4:$D$704=$D252)*($M$4:$M$704=$M252)*($F$4:$F$704&lt;$G252)*($G$4:$G$704&gt;$F252))&gt;1,"⚠ CONFLIT",""))</f>
        <v/>
      </c>
      <c r="T252" s="44">
        <f>IF($J252="","",IF(SUMPRODUCT(($D$4:$D$704=$D252)*($J$4:$J$704=$J252)*($F$4:$F$704&lt;$G252)*($G$4:$G$704&gt;$F252))&gt;1,"⚠ CONFLIT",""))</f>
        <v/>
      </c>
      <c r="U252" s="44">
        <f>IF(COUNTIFS($D$4:$D$704,$D252,$J$4:$J$704,$J252,$F$4:$F$704,$F252,$K$4:$K$704,$K252)&gt;1,"⚠ DOUBLON","")</f>
        <v/>
      </c>
      <c r="V252" s="44">
        <f>COUNTIFS($A$4:$A252,$A252,$J$4:$J252,$J252,$E$4:$E252,$E252)</f>
        <v/>
      </c>
      <c r="W252" s="45">
        <f>$A252&amp;"|"&amp;$J252&amp;"|"&amp;$E252&amp;"|"&amp;$V252</f>
        <v/>
      </c>
      <c r="X252" s="46">
        <f>TEXT($F252,"hh:mm")&amp;" - "&amp;TEXT($G252,"hh:mm")&amp;IF($P252="Quinzaine A","   ◆ Q-A",IF($P252="Quinzaine B","   ◆ Q-B",IF($P252="Exception","   ◆ PONCTUEL","")))&amp;CHAR(10)&amp;$K252&amp;CHAR(10)&amp;$M252&amp;IF($N252&lt;&gt;"",CHAR(10)&amp;"Salle "&amp;$N252,"")&amp;IF($O252="En ligne",CHAR(10)&amp;"◆ EN LIGNE","")&amp;IF($R252&lt;&gt;"",CHAR(10)&amp;$R252,"")</f>
        <v/>
      </c>
      <c r="Y252" s="45" t="inlineStr">
        <is>
          <t>19h30-21h إيقاظ علمي (Noura)</t>
        </is>
      </c>
      <c r="Z252" s="45" t="inlineStr">
        <is>
          <t>du 28-09 jusquà le 04-10!K12</t>
        </is>
      </c>
    </row>
    <row r="253" ht="15" customHeight="1">
      <c r="A253" s="10" t="inlineStr">
        <is>
          <t>S3</t>
        </is>
      </c>
      <c r="B253" s="9" t="inlineStr">
        <is>
          <t>du 28 septembre au 4 octobre 2026</t>
        </is>
      </c>
      <c r="C253" s="10" t="inlineStr">
        <is>
          <t>A</t>
        </is>
      </c>
      <c r="D253" s="41" t="n">
        <v>46297</v>
      </c>
      <c r="E253" s="10" t="inlineStr">
        <is>
          <t>Vendredi</t>
        </is>
      </c>
      <c r="F253" s="42" t="n">
        <v>0.75</v>
      </c>
      <c r="G253" s="42" t="n">
        <v>0.8125</v>
      </c>
      <c r="H253" s="43">
        <f>IF(OR($F253="",$G253=""),"",($G253-$F253)*24)</f>
        <v/>
      </c>
      <c r="I253" s="10" t="inlineStr">
        <is>
          <t>Collège</t>
        </is>
      </c>
      <c r="J253" s="9" t="inlineStr">
        <is>
          <t>7éme (A)</t>
        </is>
      </c>
      <c r="K253" s="9" t="inlineStr">
        <is>
          <t>Math</t>
        </is>
      </c>
      <c r="L253" s="9" t="inlineStr">
        <is>
          <t>Math</t>
        </is>
      </c>
      <c r="M253" s="9" t="inlineStr">
        <is>
          <t>Khouloud</t>
        </is>
      </c>
      <c r="N253" s="10" t="n"/>
      <c r="O253" s="10" t="n"/>
      <c r="P253" s="10" t="inlineStr">
        <is>
          <t>Hebdomadaire</t>
        </is>
      </c>
      <c r="Q253" s="9" t="inlineStr">
        <is>
          <t>Original (septembre)</t>
        </is>
      </c>
      <c r="R253" s="9" t="inlineStr"/>
      <c r="S253" s="44">
        <f>IF($M253="","",IF(SUMPRODUCT(($D$4:$D$704=$D253)*($M$4:$M$704=$M253)*($F$4:$F$704&lt;$G253)*($G$4:$G$704&gt;$F253))&gt;1,"⚠ CONFLIT",""))</f>
        <v/>
      </c>
      <c r="T253" s="44">
        <f>IF($J253="","",IF(SUMPRODUCT(($D$4:$D$704=$D253)*($J$4:$J$704=$J253)*($F$4:$F$704&lt;$G253)*($G$4:$G$704&gt;$F253))&gt;1,"⚠ CONFLIT",""))</f>
        <v/>
      </c>
      <c r="U253" s="44">
        <f>IF(COUNTIFS($D$4:$D$704,$D253,$J$4:$J$704,$J253,$F$4:$F$704,$F253,$K$4:$K$704,$K253)&gt;1,"⚠ DOUBLON","")</f>
        <v/>
      </c>
      <c r="V253" s="44">
        <f>COUNTIFS($A$4:$A253,$A253,$J$4:$J253,$J253,$E$4:$E253,$E253)</f>
        <v/>
      </c>
      <c r="W253" s="45">
        <f>$A253&amp;"|"&amp;$J253&amp;"|"&amp;$E253&amp;"|"&amp;$V253</f>
        <v/>
      </c>
      <c r="X253" s="46">
        <f>TEXT($F253,"hh:mm")&amp;" - "&amp;TEXT($G253,"hh:mm")&amp;IF($P253="Quinzaine A","   ◆ Q-A",IF($P253="Quinzaine B","   ◆ Q-B",IF($P253="Exception","   ◆ PONCTUEL","")))&amp;CHAR(10)&amp;$K253&amp;CHAR(10)&amp;$M253&amp;IF($N253&lt;&gt;"",CHAR(10)&amp;"Salle "&amp;$N253,"")&amp;IF($O253="En ligne",CHAR(10)&amp;"◆ EN LIGNE","")&amp;IF($R253&lt;&gt;"",CHAR(10)&amp;$R253,"")</f>
        <v/>
      </c>
      <c r="Y253" s="45" t="inlineStr">
        <is>
          <t>18h-19h30 Math (Khouloud)</t>
        </is>
      </c>
      <c r="Z253" s="45" t="inlineStr">
        <is>
          <t>du 28-09 jusquà le 04-10!K19</t>
        </is>
      </c>
    </row>
    <row r="254" ht="15" customHeight="1">
      <c r="A254" s="10" t="inlineStr">
        <is>
          <t>S3</t>
        </is>
      </c>
      <c r="B254" s="9" t="inlineStr">
        <is>
          <t>du 28 septembre au 4 octobre 2026</t>
        </is>
      </c>
      <c r="C254" s="10" t="inlineStr">
        <is>
          <t>A</t>
        </is>
      </c>
      <c r="D254" s="41" t="n">
        <v>46297</v>
      </c>
      <c r="E254" s="10" t="inlineStr">
        <is>
          <t>Vendredi</t>
        </is>
      </c>
      <c r="F254" s="42" t="n">
        <v>0.8125</v>
      </c>
      <c r="G254" s="42" t="n">
        <v>0.875</v>
      </c>
      <c r="H254" s="43">
        <f>IF(OR($F254="",$G254=""),"",($G254-$F254)*24)</f>
        <v/>
      </c>
      <c r="I254" s="10" t="inlineStr">
        <is>
          <t>Collège</t>
        </is>
      </c>
      <c r="J254" s="9" t="inlineStr">
        <is>
          <t>7éme (B)</t>
        </is>
      </c>
      <c r="K254" s="9" t="inlineStr">
        <is>
          <t>Math</t>
        </is>
      </c>
      <c r="L254" s="9" t="inlineStr">
        <is>
          <t>Math</t>
        </is>
      </c>
      <c r="M254" s="9" t="inlineStr">
        <is>
          <t>Khouloud</t>
        </is>
      </c>
      <c r="N254" s="10" t="n"/>
      <c r="O254" s="10" t="n"/>
      <c r="P254" s="10" t="inlineStr">
        <is>
          <t>Hebdomadaire</t>
        </is>
      </c>
      <c r="Q254" s="9" t="inlineStr">
        <is>
          <t>Original (septembre)</t>
        </is>
      </c>
      <c r="R254" s="9" t="inlineStr"/>
      <c r="S254" s="44">
        <f>IF($M254="","",IF(SUMPRODUCT(($D$4:$D$704=$D254)*($M$4:$M$704=$M254)*($F$4:$F$704&lt;$G254)*($G$4:$G$704&gt;$F254))&gt;1,"⚠ CONFLIT",""))</f>
        <v/>
      </c>
      <c r="T254" s="44">
        <f>IF($J254="","",IF(SUMPRODUCT(($D$4:$D$704=$D254)*($J$4:$J$704=$J254)*($F$4:$F$704&lt;$G254)*($G$4:$G$704&gt;$F254))&gt;1,"⚠ CONFLIT",""))</f>
        <v/>
      </c>
      <c r="U254" s="44">
        <f>IF(COUNTIFS($D$4:$D$704,$D254,$J$4:$J$704,$J254,$F$4:$F$704,$F254,$K$4:$K$704,$K254)&gt;1,"⚠ DOUBLON","")</f>
        <v/>
      </c>
      <c r="V254" s="44">
        <f>COUNTIFS($A$4:$A254,$A254,$J$4:$J254,$J254,$E$4:$E254,$E254)</f>
        <v/>
      </c>
      <c r="W254" s="45">
        <f>$A254&amp;"|"&amp;$J254&amp;"|"&amp;$E254&amp;"|"&amp;$V254</f>
        <v/>
      </c>
      <c r="X254" s="46">
        <f>TEXT($F254,"hh:mm")&amp;" - "&amp;TEXT($G254,"hh:mm")&amp;IF($P254="Quinzaine A","   ◆ Q-A",IF($P254="Quinzaine B","   ◆ Q-B",IF($P254="Exception","   ◆ PONCTUEL","")))&amp;CHAR(10)&amp;$K254&amp;CHAR(10)&amp;$M254&amp;IF($N254&lt;&gt;"",CHAR(10)&amp;"Salle "&amp;$N254,"")&amp;IF($O254="En ligne",CHAR(10)&amp;"◆ EN LIGNE","")&amp;IF($R254&lt;&gt;"",CHAR(10)&amp;$R254,"")</f>
        <v/>
      </c>
      <c r="Y254" s="45" t="inlineStr">
        <is>
          <t>19h30-21h Math (Khouloud)</t>
        </is>
      </c>
      <c r="Z254" s="45" t="inlineStr">
        <is>
          <t>du 28-09 jusquà le 04-10!K23</t>
        </is>
      </c>
    </row>
    <row r="255" ht="15" customHeight="1">
      <c r="A255" s="10" t="inlineStr">
        <is>
          <t>S3</t>
        </is>
      </c>
      <c r="B255" s="9" t="inlineStr">
        <is>
          <t>du 28 septembre au 4 octobre 2026</t>
        </is>
      </c>
      <c r="C255" s="10" t="inlineStr">
        <is>
          <t>A</t>
        </is>
      </c>
      <c r="D255" s="41" t="n">
        <v>46297</v>
      </c>
      <c r="E255" s="10" t="inlineStr">
        <is>
          <t>Vendredi</t>
        </is>
      </c>
      <c r="F255" s="42" t="n">
        <v>0.8125</v>
      </c>
      <c r="G255" s="42" t="n">
        <v>0.875</v>
      </c>
      <c r="H255" s="43">
        <f>IF(OR($F255="",$G255=""),"",($G255-$F255)*24)</f>
        <v/>
      </c>
      <c r="I255" s="10" t="inlineStr">
        <is>
          <t>Collège</t>
        </is>
      </c>
      <c r="J255" s="9" t="inlineStr">
        <is>
          <t>8éme (A)</t>
        </is>
      </c>
      <c r="K255" s="9" t="inlineStr">
        <is>
          <t>فيزياء</t>
        </is>
      </c>
      <c r="L255" s="9" t="inlineStr">
        <is>
          <t>Physique</t>
        </is>
      </c>
      <c r="M255" s="9" t="inlineStr">
        <is>
          <t>Melek</t>
        </is>
      </c>
      <c r="N255" s="10" t="n"/>
      <c r="O255" s="10" t="n"/>
      <c r="P255" s="10" t="inlineStr">
        <is>
          <t>Hebdomadaire</t>
        </is>
      </c>
      <c r="Q255" s="9" t="inlineStr">
        <is>
          <t>Original (septembre)</t>
        </is>
      </c>
      <c r="R255" s="9" t="inlineStr"/>
      <c r="S255" s="44">
        <f>IF($M255="","",IF(SUMPRODUCT(($D$4:$D$704=$D255)*($M$4:$M$704=$M255)*($F$4:$F$704&lt;$G255)*($G$4:$G$704&gt;$F255))&gt;1,"⚠ CONFLIT",""))</f>
        <v/>
      </c>
      <c r="T255" s="44">
        <f>IF($J255="","",IF(SUMPRODUCT(($D$4:$D$704=$D255)*($J$4:$J$704=$J255)*($F$4:$F$704&lt;$G255)*($G$4:$G$704&gt;$F255))&gt;1,"⚠ CONFLIT",""))</f>
        <v/>
      </c>
      <c r="U255" s="44">
        <f>IF(COUNTIFS($D$4:$D$704,$D255,$J$4:$J$704,$J255,$F$4:$F$704,$F255,$K$4:$K$704,$K255)&gt;1,"⚠ DOUBLON","")</f>
        <v/>
      </c>
      <c r="V255" s="44">
        <f>COUNTIFS($A$4:$A255,$A255,$J$4:$J255,$J255,$E$4:$E255,$E255)</f>
        <v/>
      </c>
      <c r="W255" s="45">
        <f>$A255&amp;"|"&amp;$J255&amp;"|"&amp;$E255&amp;"|"&amp;$V255</f>
        <v/>
      </c>
      <c r="X255" s="46">
        <f>TEXT($F255,"hh:mm")&amp;" - "&amp;TEXT($G255,"hh:mm")&amp;IF($P255="Quinzaine A","   ◆ Q-A",IF($P255="Quinzaine B","   ◆ Q-B",IF($P255="Exception","   ◆ PONCTUEL","")))&amp;CHAR(10)&amp;$K255&amp;CHAR(10)&amp;$M255&amp;IF($N255&lt;&gt;"",CHAR(10)&amp;"Salle "&amp;$N255,"")&amp;IF($O255="En ligne",CHAR(10)&amp;"◆ EN LIGNE","")&amp;IF($R255&lt;&gt;"",CHAR(10)&amp;$R255,"")</f>
        <v/>
      </c>
      <c r="Y255" s="45" t="inlineStr">
        <is>
          <t>19h30-21h فيزياء /par quinzaine (Melek)</t>
        </is>
      </c>
      <c r="Z255" s="45" t="inlineStr">
        <is>
          <t>du 28-09 jusquà le 04-10!K27</t>
        </is>
      </c>
    </row>
    <row r="256" ht="15" customHeight="1">
      <c r="A256" s="10" t="inlineStr">
        <is>
          <t>S3</t>
        </is>
      </c>
      <c r="B256" s="9" t="inlineStr">
        <is>
          <t>du 28 septembre au 4 octobre 2026</t>
        </is>
      </c>
      <c r="C256" s="10" t="inlineStr">
        <is>
          <t>A</t>
        </is>
      </c>
      <c r="D256" s="41" t="n">
        <v>46297</v>
      </c>
      <c r="E256" s="10" t="inlineStr">
        <is>
          <t>Vendredi</t>
        </is>
      </c>
      <c r="F256" s="42" t="n">
        <v>0.8125</v>
      </c>
      <c r="G256" s="42" t="n">
        <v>0.875</v>
      </c>
      <c r="H256" s="43">
        <f>IF(OR($F256="",$G256=""),"",($G256-$F256)*24)</f>
        <v/>
      </c>
      <c r="I256" s="10" t="inlineStr">
        <is>
          <t>Collège</t>
        </is>
      </c>
      <c r="J256" s="9" t="inlineStr">
        <is>
          <t>9éme (C)</t>
        </is>
      </c>
      <c r="K256" s="9" t="inlineStr">
        <is>
          <t>Arabe</t>
        </is>
      </c>
      <c r="L256" s="9" t="inlineStr">
        <is>
          <t>Arabe</t>
        </is>
      </c>
      <c r="M256" s="9" t="inlineStr">
        <is>
          <t>Yahya</t>
        </is>
      </c>
      <c r="N256" s="10" t="n"/>
      <c r="O256" s="10" t="n"/>
      <c r="P256" s="10" t="inlineStr">
        <is>
          <t>Hebdomadaire</t>
        </is>
      </c>
      <c r="Q256" s="9" t="inlineStr">
        <is>
          <t>Original (septembre)</t>
        </is>
      </c>
      <c r="R256" s="9" t="inlineStr"/>
      <c r="S256" s="44">
        <f>IF($M256="","",IF(SUMPRODUCT(($D$4:$D$704=$D256)*($M$4:$M$704=$M256)*($F$4:$F$704&lt;$G256)*($G$4:$G$704&gt;$F256))&gt;1,"⚠ CONFLIT",""))</f>
        <v/>
      </c>
      <c r="T256" s="44">
        <f>IF($J256="","",IF(SUMPRODUCT(($D$4:$D$704=$D256)*($J$4:$J$704=$J256)*($F$4:$F$704&lt;$G256)*($G$4:$G$704&gt;$F256))&gt;1,"⚠ CONFLIT",""))</f>
        <v/>
      </c>
      <c r="U256" s="44">
        <f>IF(COUNTIFS($D$4:$D$704,$D256,$J$4:$J$704,$J256,$F$4:$F$704,$F256,$K$4:$K$704,$K256)&gt;1,"⚠ DOUBLON","")</f>
        <v/>
      </c>
      <c r="V256" s="44">
        <f>COUNTIFS($A$4:$A256,$A256,$J$4:$J256,$J256,$E$4:$E256,$E256)</f>
        <v/>
      </c>
      <c r="W256" s="45">
        <f>$A256&amp;"|"&amp;$J256&amp;"|"&amp;$E256&amp;"|"&amp;$V256</f>
        <v/>
      </c>
      <c r="X256" s="46">
        <f>TEXT($F256,"hh:mm")&amp;" - "&amp;TEXT($G256,"hh:mm")&amp;IF($P256="Quinzaine A","   ◆ Q-A",IF($P256="Quinzaine B","   ◆ Q-B",IF($P256="Exception","   ◆ PONCTUEL","")))&amp;CHAR(10)&amp;$K256&amp;CHAR(10)&amp;$M256&amp;IF($N256&lt;&gt;"",CHAR(10)&amp;"Salle "&amp;$N256,"")&amp;IF($O256="En ligne",CHAR(10)&amp;"◆ EN LIGNE","")&amp;IF($R256&lt;&gt;"",CHAR(10)&amp;$R256,"")</f>
        <v/>
      </c>
      <c r="Y256" s="45" t="inlineStr">
        <is>
          <t>19h30-21h Arabe (Yahya)</t>
        </is>
      </c>
      <c r="Z256" s="45" t="inlineStr">
        <is>
          <t>du 28-09 jusquà le 04-10!K46</t>
        </is>
      </c>
    </row>
    <row r="257" ht="15" customHeight="1">
      <c r="A257" s="10" t="inlineStr">
        <is>
          <t>S3</t>
        </is>
      </c>
      <c r="B257" s="9" t="inlineStr">
        <is>
          <t>du 28 septembre au 4 octobre 2026</t>
        </is>
      </c>
      <c r="C257" s="10" t="inlineStr">
        <is>
          <t>A</t>
        </is>
      </c>
      <c r="D257" s="41" t="n">
        <v>46297</v>
      </c>
      <c r="E257" s="10" t="inlineStr">
        <is>
          <t>Vendredi</t>
        </is>
      </c>
      <c r="F257" s="42" t="n">
        <v>0.7291666666666666</v>
      </c>
      <c r="G257" s="42" t="n">
        <v>0.7916666666666666</v>
      </c>
      <c r="H257" s="43">
        <f>IF(OR($F257="",$G257=""),"",($G257-$F257)*24)</f>
        <v/>
      </c>
      <c r="I257" s="10" t="inlineStr">
        <is>
          <t>Secondaire</t>
        </is>
      </c>
      <c r="J257" s="9" t="inlineStr">
        <is>
          <t>1ére (A)</t>
        </is>
      </c>
      <c r="K257" s="9" t="inlineStr">
        <is>
          <t>Arabe</t>
        </is>
      </c>
      <c r="L257" s="9" t="inlineStr">
        <is>
          <t>Arabe</t>
        </is>
      </c>
      <c r="M257" s="9" t="inlineStr">
        <is>
          <t>Najet</t>
        </is>
      </c>
      <c r="N257" s="10" t="n"/>
      <c r="O257" s="10" t="n"/>
      <c r="P257" s="10" t="inlineStr">
        <is>
          <t>Hebdomadaire</t>
        </is>
      </c>
      <c r="Q257" s="9" t="inlineStr">
        <is>
          <t>Original (septembre)</t>
        </is>
      </c>
      <c r="R257" s="9" t="inlineStr"/>
      <c r="S257" s="44">
        <f>IF($M257="","",IF(SUMPRODUCT(($D$4:$D$704=$D257)*($M$4:$M$704=$M257)*($F$4:$F$704&lt;$G257)*($G$4:$G$704&gt;$F257))&gt;1,"⚠ CONFLIT",""))</f>
        <v/>
      </c>
      <c r="T257" s="44">
        <f>IF($J257="","",IF(SUMPRODUCT(($D$4:$D$704=$D257)*($J$4:$J$704=$J257)*($F$4:$F$704&lt;$G257)*($G$4:$G$704&gt;$F257))&gt;1,"⚠ CONFLIT",""))</f>
        <v/>
      </c>
      <c r="U257" s="44">
        <f>IF(COUNTIFS($D$4:$D$704,$D257,$J$4:$J$704,$J257,$F$4:$F$704,$F257,$K$4:$K$704,$K257)&gt;1,"⚠ DOUBLON","")</f>
        <v/>
      </c>
      <c r="V257" s="44">
        <f>COUNTIFS($A$4:$A257,$A257,$J$4:$J257,$J257,$E$4:$E257,$E257)</f>
        <v/>
      </c>
      <c r="W257" s="45">
        <f>$A257&amp;"|"&amp;$J257&amp;"|"&amp;$E257&amp;"|"&amp;$V257</f>
        <v/>
      </c>
      <c r="X257" s="46">
        <f>TEXT($F257,"hh:mm")&amp;" - "&amp;TEXT($G257,"hh:mm")&amp;IF($P257="Quinzaine A","   ◆ Q-A",IF($P257="Quinzaine B","   ◆ Q-B",IF($P257="Exception","   ◆ PONCTUEL","")))&amp;CHAR(10)&amp;$K257&amp;CHAR(10)&amp;$M257&amp;IF($N257&lt;&gt;"",CHAR(10)&amp;"Salle "&amp;$N257,"")&amp;IF($O257="En ligne",CHAR(10)&amp;"◆ EN LIGNE","")&amp;IF($R257&lt;&gt;"",CHAR(10)&amp;$R257,"")</f>
        <v/>
      </c>
      <c r="Y257" s="45" t="inlineStr">
        <is>
          <t>17h30-19h Arabe (Najet)</t>
        </is>
      </c>
      <c r="Z257" s="45" t="inlineStr">
        <is>
          <t>du 28-09 jusquà le 04-10!K48</t>
        </is>
      </c>
    </row>
    <row r="258" ht="15" customHeight="1">
      <c r="A258" s="10" t="inlineStr">
        <is>
          <t>S3</t>
        </is>
      </c>
      <c r="B258" s="9" t="inlineStr">
        <is>
          <t>du 28 septembre au 4 octobre 2026</t>
        </is>
      </c>
      <c r="C258" s="10" t="inlineStr">
        <is>
          <t>A</t>
        </is>
      </c>
      <c r="D258" s="41" t="n">
        <v>46297</v>
      </c>
      <c r="E258" s="10" t="inlineStr">
        <is>
          <t>Vendredi</t>
        </is>
      </c>
      <c r="F258" s="42" t="n">
        <v>0.7916666666666666</v>
      </c>
      <c r="G258" s="42" t="n">
        <v>0.8541666666666666</v>
      </c>
      <c r="H258" s="43">
        <f>IF(OR($F258="",$G258=""),"",($G258-$F258)*24)</f>
        <v/>
      </c>
      <c r="I258" s="10" t="inlineStr">
        <is>
          <t>Secondaire</t>
        </is>
      </c>
      <c r="J258" s="9" t="inlineStr">
        <is>
          <t>1ére (B)</t>
        </is>
      </c>
      <c r="K258" s="9" t="inlineStr">
        <is>
          <t>Arabe</t>
        </is>
      </c>
      <c r="L258" s="9" t="inlineStr">
        <is>
          <t>Arabe</t>
        </is>
      </c>
      <c r="M258" s="9" t="inlineStr">
        <is>
          <t>Najet</t>
        </is>
      </c>
      <c r="N258" s="10" t="n"/>
      <c r="O258" s="10" t="n"/>
      <c r="P258" s="10" t="inlineStr">
        <is>
          <t>Hebdomadaire</t>
        </is>
      </c>
      <c r="Q258" s="9" t="inlineStr">
        <is>
          <t>Original (septembre)</t>
        </is>
      </c>
      <c r="R258" s="9" t="inlineStr"/>
      <c r="S258" s="44">
        <f>IF($M258="","",IF(SUMPRODUCT(($D$4:$D$704=$D258)*($M$4:$M$704=$M258)*($F$4:$F$704&lt;$G258)*($G$4:$G$704&gt;$F258))&gt;1,"⚠ CONFLIT",""))</f>
        <v/>
      </c>
      <c r="T258" s="44">
        <f>IF($J258="","",IF(SUMPRODUCT(($D$4:$D$704=$D258)*($J$4:$J$704=$J258)*($F$4:$F$704&lt;$G258)*($G$4:$G$704&gt;$F258))&gt;1,"⚠ CONFLIT",""))</f>
        <v/>
      </c>
      <c r="U258" s="44">
        <f>IF(COUNTIFS($D$4:$D$704,$D258,$J$4:$J$704,$J258,$F$4:$F$704,$F258,$K$4:$K$704,$K258)&gt;1,"⚠ DOUBLON","")</f>
        <v/>
      </c>
      <c r="V258" s="44">
        <f>COUNTIFS($A$4:$A258,$A258,$J$4:$J258,$J258,$E$4:$E258,$E258)</f>
        <v/>
      </c>
      <c r="W258" s="45">
        <f>$A258&amp;"|"&amp;$J258&amp;"|"&amp;$E258&amp;"|"&amp;$V258</f>
        <v/>
      </c>
      <c r="X258" s="46">
        <f>TEXT($F258,"hh:mm")&amp;" - "&amp;TEXT($G258,"hh:mm")&amp;IF($P258="Quinzaine A","   ◆ Q-A",IF($P258="Quinzaine B","   ◆ Q-B",IF($P258="Exception","   ◆ PONCTUEL","")))&amp;CHAR(10)&amp;$K258&amp;CHAR(10)&amp;$M258&amp;IF($N258&lt;&gt;"",CHAR(10)&amp;"Salle "&amp;$N258,"")&amp;IF($O258="En ligne",CHAR(10)&amp;"◆ EN LIGNE","")&amp;IF($R258&lt;&gt;"",CHAR(10)&amp;$R258,"")</f>
        <v/>
      </c>
      <c r="Y258" s="45" t="inlineStr">
        <is>
          <t>19h-20h30 Arabe (Najet)</t>
        </is>
      </c>
      <c r="Z258" s="45" t="inlineStr">
        <is>
          <t>du 28-09 jusquà le 04-10!K52</t>
        </is>
      </c>
    </row>
    <row r="259" ht="15" customHeight="1">
      <c r="A259" s="10" t="inlineStr">
        <is>
          <t>S3</t>
        </is>
      </c>
      <c r="B259" s="9" t="inlineStr">
        <is>
          <t>du 28 septembre au 4 octobre 2026</t>
        </is>
      </c>
      <c r="C259" s="10" t="inlineStr">
        <is>
          <t>A</t>
        </is>
      </c>
      <c r="D259" s="41" t="n">
        <v>46297</v>
      </c>
      <c r="E259" s="10" t="inlineStr">
        <is>
          <t>Vendredi</t>
        </is>
      </c>
      <c r="F259" s="42" t="n">
        <v>0.7291666666666666</v>
      </c>
      <c r="G259" s="42" t="n">
        <v>0.7916666666666666</v>
      </c>
      <c r="H259" s="43">
        <f>IF(OR($F259="",$G259=""),"",($G259-$F259)*24)</f>
        <v/>
      </c>
      <c r="I259" s="10" t="inlineStr">
        <is>
          <t>Secondaire</t>
        </is>
      </c>
      <c r="J259" s="9" t="inlineStr">
        <is>
          <t>2éme Eco</t>
        </is>
      </c>
      <c r="K259" s="9" t="inlineStr">
        <is>
          <t>Français</t>
        </is>
      </c>
      <c r="L259" s="9" t="inlineStr">
        <is>
          <t>Français</t>
        </is>
      </c>
      <c r="M259" s="9" t="inlineStr">
        <is>
          <t>Nabil</t>
        </is>
      </c>
      <c r="N259" s="10" t="n"/>
      <c r="O259" s="10" t="n"/>
      <c r="P259" s="10" t="inlineStr">
        <is>
          <t>Quinzaine A</t>
        </is>
      </c>
      <c r="Q259" s="9" t="inlineStr">
        <is>
          <t>Original (septembre)</t>
        </is>
      </c>
      <c r="R259" s="9" t="inlineStr"/>
      <c r="S259" s="44">
        <f>IF($M259="","",IF(SUMPRODUCT(($D$4:$D$704=$D259)*($M$4:$M$704=$M259)*($F$4:$F$704&lt;$G259)*($G$4:$G$704&gt;$F259))&gt;1,"⚠ CONFLIT",""))</f>
        <v/>
      </c>
      <c r="T259" s="44">
        <f>IF($J259="","",IF(SUMPRODUCT(($D$4:$D$704=$D259)*($J$4:$J$704=$J259)*($F$4:$F$704&lt;$G259)*($G$4:$G$704&gt;$F259))&gt;1,"⚠ CONFLIT",""))</f>
        <v/>
      </c>
      <c r="U259" s="44">
        <f>IF(COUNTIFS($D$4:$D$704,$D259,$J$4:$J$704,$J259,$F$4:$F$704,$F259,$K$4:$K$704,$K259)&gt;1,"⚠ DOUBLON","")</f>
        <v/>
      </c>
      <c r="V259" s="44">
        <f>COUNTIFS($A$4:$A259,$A259,$J$4:$J259,$J259,$E$4:$E259,$E259)</f>
        <v/>
      </c>
      <c r="W259" s="45">
        <f>$A259&amp;"|"&amp;$J259&amp;"|"&amp;$E259&amp;"|"&amp;$V259</f>
        <v/>
      </c>
      <c r="X259" s="46">
        <f>TEXT($F259,"hh:mm")&amp;" - "&amp;TEXT($G259,"hh:mm")&amp;IF($P259="Quinzaine A","   ◆ Q-A",IF($P259="Quinzaine B","   ◆ Q-B",IF($P259="Exception","   ◆ PONCTUEL","")))&amp;CHAR(10)&amp;$K259&amp;CHAR(10)&amp;$M259&amp;IF($N259&lt;&gt;"",CHAR(10)&amp;"Salle "&amp;$N259,"")&amp;IF($O259="En ligne",CHAR(10)&amp;"◆ EN LIGNE","")&amp;IF($R259&lt;&gt;"",CHAR(10)&amp;$R259,"")</f>
        <v/>
      </c>
      <c r="Y259" s="45" t="inlineStr">
        <is>
          <t>17h30-19h Français (Nabil)</t>
        </is>
      </c>
      <c r="Z259" s="45" t="inlineStr">
        <is>
          <t>du 28-09 jusquà le 04-10!K56</t>
        </is>
      </c>
    </row>
    <row r="260" ht="15" customHeight="1">
      <c r="A260" s="10" t="inlineStr">
        <is>
          <t>S3</t>
        </is>
      </c>
      <c r="B260" s="9" t="inlineStr">
        <is>
          <t>du 28 septembre au 4 octobre 2026</t>
        </is>
      </c>
      <c r="C260" s="10" t="inlineStr">
        <is>
          <t>A</t>
        </is>
      </c>
      <c r="D260" s="41" t="n">
        <v>46297</v>
      </c>
      <c r="E260" s="10" t="inlineStr">
        <is>
          <t>Vendredi</t>
        </is>
      </c>
      <c r="F260" s="42" t="n">
        <v>0.8125</v>
      </c>
      <c r="G260" s="42" t="n">
        <v>0.875</v>
      </c>
      <c r="H260" s="43">
        <f>IF(OR($F260="",$G260=""),"",($G260-$F260)*24)</f>
        <v/>
      </c>
      <c r="I260" s="10" t="inlineStr">
        <is>
          <t>Secondaire</t>
        </is>
      </c>
      <c r="J260" s="9" t="inlineStr">
        <is>
          <t>2éme INFO</t>
        </is>
      </c>
      <c r="K260" s="9" t="inlineStr">
        <is>
          <t>Math</t>
        </is>
      </c>
      <c r="L260" s="9" t="inlineStr">
        <is>
          <t>Math</t>
        </is>
      </c>
      <c r="M260" s="9" t="inlineStr">
        <is>
          <t>Haythem</t>
        </is>
      </c>
      <c r="N260" s="10" t="n"/>
      <c r="O260" s="10" t="n"/>
      <c r="P260" s="10" t="inlineStr">
        <is>
          <t>Hebdomadaire</t>
        </is>
      </c>
      <c r="Q260" s="9" t="inlineStr">
        <is>
          <t>Original (septembre)</t>
        </is>
      </c>
      <c r="R260" s="9" t="inlineStr"/>
      <c r="S260" s="44">
        <f>IF($M260="","",IF(SUMPRODUCT(($D$4:$D$704=$D260)*($M$4:$M$704=$M260)*($F$4:$F$704&lt;$G260)*($G$4:$G$704&gt;$F260))&gt;1,"⚠ CONFLIT",""))</f>
        <v/>
      </c>
      <c r="T260" s="44">
        <f>IF($J260="","",IF(SUMPRODUCT(($D$4:$D$704=$D260)*($J$4:$J$704=$J260)*($F$4:$F$704&lt;$G260)*($G$4:$G$704&gt;$F260))&gt;1,"⚠ CONFLIT",""))</f>
        <v/>
      </c>
      <c r="U260" s="44">
        <f>IF(COUNTIFS($D$4:$D$704,$D260,$J$4:$J$704,$J260,$F$4:$F$704,$F260,$K$4:$K$704,$K260)&gt;1,"⚠ DOUBLON","")</f>
        <v/>
      </c>
      <c r="V260" s="44">
        <f>COUNTIFS($A$4:$A260,$A260,$J$4:$J260,$J260,$E$4:$E260,$E260)</f>
        <v/>
      </c>
      <c r="W260" s="45">
        <f>$A260&amp;"|"&amp;$J260&amp;"|"&amp;$E260&amp;"|"&amp;$V260</f>
        <v/>
      </c>
      <c r="X260" s="46">
        <f>TEXT($F260,"hh:mm")&amp;" - "&amp;TEXT($G260,"hh:mm")&amp;IF($P260="Quinzaine A","   ◆ Q-A",IF($P260="Quinzaine B","   ◆ Q-B",IF($P260="Exception","   ◆ PONCTUEL","")))&amp;CHAR(10)&amp;$K260&amp;CHAR(10)&amp;$M260&amp;IF($N260&lt;&gt;"",CHAR(10)&amp;"Salle "&amp;$N260,"")&amp;IF($O260="En ligne",CHAR(10)&amp;"◆ EN LIGNE","")&amp;IF($R260&lt;&gt;"",CHAR(10)&amp;$R260,"")</f>
        <v/>
      </c>
      <c r="Y260" s="45" t="inlineStr">
        <is>
          <t>19h30-21h Math (Haythem)</t>
        </is>
      </c>
      <c r="Z260" s="45" t="inlineStr">
        <is>
          <t>du 28-09 jusquà le 04-10!K61</t>
        </is>
      </c>
    </row>
    <row r="261" ht="15" customHeight="1">
      <c r="A261" s="10" t="inlineStr">
        <is>
          <t>S3</t>
        </is>
      </c>
      <c r="B261" s="9" t="inlineStr">
        <is>
          <t>du 28 septembre au 4 octobre 2026</t>
        </is>
      </c>
      <c r="C261" s="10" t="inlineStr">
        <is>
          <t>A</t>
        </is>
      </c>
      <c r="D261" s="41" t="n">
        <v>46297</v>
      </c>
      <c r="E261" s="10" t="inlineStr">
        <is>
          <t>Vendredi</t>
        </is>
      </c>
      <c r="F261" s="42" t="n">
        <v>0.7916666666666666</v>
      </c>
      <c r="G261" s="42" t="n">
        <v>0.8541666666666666</v>
      </c>
      <c r="H261" s="43">
        <f>IF(OR($F261="",$G261=""),"",($G261-$F261)*24)</f>
        <v/>
      </c>
      <c r="I261" s="10" t="inlineStr">
        <is>
          <t>Secondaire</t>
        </is>
      </c>
      <c r="J261" s="9" t="inlineStr">
        <is>
          <t>3éme Eco</t>
        </is>
      </c>
      <c r="K261" s="9" t="inlineStr">
        <is>
          <t>Français</t>
        </is>
      </c>
      <c r="L261" s="9" t="inlineStr">
        <is>
          <t>Français</t>
        </is>
      </c>
      <c r="M261" s="9" t="inlineStr">
        <is>
          <t>Nabil</t>
        </is>
      </c>
      <c r="N261" s="10" t="n"/>
      <c r="O261" s="10" t="n"/>
      <c r="P261" s="10" t="inlineStr">
        <is>
          <t>Quinzaine A</t>
        </is>
      </c>
      <c r="Q261" s="9" t="inlineStr">
        <is>
          <t>Original (septembre)</t>
        </is>
      </c>
      <c r="R261" s="9" t="inlineStr"/>
      <c r="S261" s="44">
        <f>IF($M261="","",IF(SUMPRODUCT(($D$4:$D$704=$D261)*($M$4:$M$704=$M261)*($F$4:$F$704&lt;$G261)*($G$4:$G$704&gt;$F261))&gt;1,"⚠ CONFLIT",""))</f>
        <v/>
      </c>
      <c r="T261" s="44">
        <f>IF($J261="","",IF(SUMPRODUCT(($D$4:$D$704=$D261)*($J$4:$J$704=$J261)*($F$4:$F$704&lt;$G261)*($G$4:$G$704&gt;$F261))&gt;1,"⚠ CONFLIT",""))</f>
        <v/>
      </c>
      <c r="U261" s="44">
        <f>IF(COUNTIFS($D$4:$D$704,$D261,$J$4:$J$704,$J261,$F$4:$F$704,$F261,$K$4:$K$704,$K261)&gt;1,"⚠ DOUBLON","")</f>
        <v/>
      </c>
      <c r="V261" s="44">
        <f>COUNTIFS($A$4:$A261,$A261,$J$4:$J261,$J261,$E$4:$E261,$E261)</f>
        <v/>
      </c>
      <c r="W261" s="45">
        <f>$A261&amp;"|"&amp;$J261&amp;"|"&amp;$E261&amp;"|"&amp;$V261</f>
        <v/>
      </c>
      <c r="X261" s="46">
        <f>TEXT($F261,"hh:mm")&amp;" - "&amp;TEXT($G261,"hh:mm")&amp;IF($P261="Quinzaine A","   ◆ Q-A",IF($P261="Quinzaine B","   ◆ Q-B",IF($P261="Exception","   ◆ PONCTUEL","")))&amp;CHAR(10)&amp;$K261&amp;CHAR(10)&amp;$M261&amp;IF($N261&lt;&gt;"",CHAR(10)&amp;"Salle "&amp;$N261,"")&amp;IF($O261="En ligne",CHAR(10)&amp;"◆ EN LIGNE","")&amp;IF($R261&lt;&gt;"",CHAR(10)&amp;$R261,"")</f>
        <v/>
      </c>
      <c r="Y261" s="45" t="inlineStr">
        <is>
          <t>19h-20h30 Français (Nabil)</t>
        </is>
      </c>
      <c r="Z261" s="45" t="inlineStr">
        <is>
          <t>du 28-09 jusquà le 04-10!K62</t>
        </is>
      </c>
    </row>
    <row r="262" ht="15" customHeight="1">
      <c r="A262" s="10" t="inlineStr">
        <is>
          <t>S3</t>
        </is>
      </c>
      <c r="B262" s="9" t="inlineStr">
        <is>
          <t>du 28 septembre au 4 octobre 2026</t>
        </is>
      </c>
      <c r="C262" s="10" t="inlineStr">
        <is>
          <t>A</t>
        </is>
      </c>
      <c r="D262" s="41" t="n">
        <v>46297</v>
      </c>
      <c r="E262" s="10" t="inlineStr">
        <is>
          <t>Vendredi</t>
        </is>
      </c>
      <c r="F262" s="42" t="n">
        <v>0.7291666666666666</v>
      </c>
      <c r="G262" s="42" t="n">
        <v>0.7916666666666666</v>
      </c>
      <c r="H262" s="43">
        <f>IF(OR($F262="",$G262=""),"",($G262-$F262)*24)</f>
        <v/>
      </c>
      <c r="I262" s="10" t="inlineStr">
        <is>
          <t>Bac</t>
        </is>
      </c>
      <c r="J262" s="9" t="inlineStr">
        <is>
          <t>Bac Eco</t>
        </is>
      </c>
      <c r="K262" s="9" t="inlineStr">
        <is>
          <t>Anglais</t>
        </is>
      </c>
      <c r="L262" s="9" t="inlineStr">
        <is>
          <t>Anglais</t>
        </is>
      </c>
      <c r="M262" s="9" t="inlineStr">
        <is>
          <t>Khaled</t>
        </is>
      </c>
      <c r="N262" s="10" t="n"/>
      <c r="O262" s="10" t="n"/>
      <c r="P262" s="10" t="inlineStr">
        <is>
          <t>Quinzaine A</t>
        </is>
      </c>
      <c r="Q262" s="9" t="inlineStr">
        <is>
          <t>Original (septembre)</t>
        </is>
      </c>
      <c r="R262" s="9" t="inlineStr"/>
      <c r="S262" s="44">
        <f>IF($M262="","",IF(SUMPRODUCT(($D$4:$D$704=$D262)*($M$4:$M$704=$M262)*($F$4:$F$704&lt;$G262)*($G$4:$G$704&gt;$F262))&gt;1,"⚠ CONFLIT",""))</f>
        <v/>
      </c>
      <c r="T262" s="44">
        <f>IF($J262="","",IF(SUMPRODUCT(($D$4:$D$704=$D262)*($J$4:$J$704=$J262)*($F$4:$F$704&lt;$G262)*($G$4:$G$704&gt;$F262))&gt;1,"⚠ CONFLIT",""))</f>
        <v/>
      </c>
      <c r="U262" s="44">
        <f>IF(COUNTIFS($D$4:$D$704,$D262,$J$4:$J$704,$J262,$F$4:$F$704,$F262,$K$4:$K$704,$K262)&gt;1,"⚠ DOUBLON","")</f>
        <v/>
      </c>
      <c r="V262" s="44">
        <f>COUNTIFS($A$4:$A262,$A262,$J$4:$J262,$J262,$E$4:$E262,$E262)</f>
        <v/>
      </c>
      <c r="W262" s="45">
        <f>$A262&amp;"|"&amp;$J262&amp;"|"&amp;$E262&amp;"|"&amp;$V262</f>
        <v/>
      </c>
      <c r="X262" s="46">
        <f>TEXT($F262,"hh:mm")&amp;" - "&amp;TEXT($G262,"hh:mm")&amp;IF($P262="Quinzaine A","   ◆ Q-A",IF($P262="Quinzaine B","   ◆ Q-B",IF($P262="Exception","   ◆ PONCTUEL","")))&amp;CHAR(10)&amp;$K262&amp;CHAR(10)&amp;$M262&amp;IF($N262&lt;&gt;"",CHAR(10)&amp;"Salle "&amp;$N262,"")&amp;IF($O262="En ligne",CHAR(10)&amp;"◆ EN LIGNE","")&amp;IF($R262&lt;&gt;"",CHAR(10)&amp;$R262,"")</f>
        <v/>
      </c>
      <c r="Y262" s="45" t="inlineStr">
        <is>
          <t>17h30-19h Anglais (Khaled)</t>
        </is>
      </c>
      <c r="Z262" s="45" t="inlineStr">
        <is>
          <t>du 28-09 jusquà le 04-10!K69</t>
        </is>
      </c>
    </row>
    <row r="263" ht="15" customHeight="1">
      <c r="A263" s="10" t="inlineStr">
        <is>
          <t>S3</t>
        </is>
      </c>
      <c r="B263" s="9" t="inlineStr">
        <is>
          <t>du 28 septembre au 4 octobre 2026</t>
        </is>
      </c>
      <c r="C263" s="10" t="inlineStr">
        <is>
          <t>A</t>
        </is>
      </c>
      <c r="D263" s="41" t="n">
        <v>46298</v>
      </c>
      <c r="E263" s="10" t="inlineStr">
        <is>
          <t>Samedi</t>
        </is>
      </c>
      <c r="F263" s="42" t="n">
        <v>0.6666666666666666</v>
      </c>
      <c r="G263" s="42" t="n">
        <v>0.7291666666666666</v>
      </c>
      <c r="H263" s="43">
        <f>IF(OR($F263="",$G263=""),"",($G263-$F263)*24)</f>
        <v/>
      </c>
      <c r="I263" s="10" t="inlineStr">
        <is>
          <t>Primaire</t>
        </is>
      </c>
      <c r="J263" s="9" t="inlineStr">
        <is>
          <t>4éme</t>
        </is>
      </c>
      <c r="K263" s="9" t="inlineStr">
        <is>
          <t>Français</t>
        </is>
      </c>
      <c r="L263" s="9" t="inlineStr">
        <is>
          <t>Français</t>
        </is>
      </c>
      <c r="M263" s="9" t="inlineStr">
        <is>
          <t>Hend</t>
        </is>
      </c>
      <c r="N263" s="10" t="n"/>
      <c r="O263" s="10" t="n"/>
      <c r="P263" s="10" t="inlineStr">
        <is>
          <t>Hebdomadaire</t>
        </is>
      </c>
      <c r="Q263" s="9" t="inlineStr">
        <is>
          <t>Original (septembre)</t>
        </is>
      </c>
      <c r="R263" s="9" t="inlineStr"/>
      <c r="S263" s="44">
        <f>IF($M263="","",IF(SUMPRODUCT(($D$4:$D$704=$D263)*($M$4:$M$704=$M263)*($F$4:$F$704&lt;$G263)*($G$4:$G$704&gt;$F263))&gt;1,"⚠ CONFLIT",""))</f>
        <v/>
      </c>
      <c r="T263" s="44">
        <f>IF($J263="","",IF(SUMPRODUCT(($D$4:$D$704=$D263)*($J$4:$J$704=$J263)*($F$4:$F$704&lt;$G263)*($G$4:$G$704&gt;$F263))&gt;1,"⚠ CONFLIT",""))</f>
        <v/>
      </c>
      <c r="U263" s="44">
        <f>IF(COUNTIFS($D$4:$D$704,$D263,$J$4:$J$704,$J263,$F$4:$F$704,$F263,$K$4:$K$704,$K263)&gt;1,"⚠ DOUBLON","")</f>
        <v/>
      </c>
      <c r="V263" s="44">
        <f>COUNTIFS($A$4:$A263,$A263,$J$4:$J263,$J263,$E$4:$E263,$E263)</f>
        <v/>
      </c>
      <c r="W263" s="45">
        <f>$A263&amp;"|"&amp;$J263&amp;"|"&amp;$E263&amp;"|"&amp;$V263</f>
        <v/>
      </c>
      <c r="X263" s="46">
        <f>TEXT($F263,"hh:mm")&amp;" - "&amp;TEXT($G263,"hh:mm")&amp;IF($P263="Quinzaine A","   ◆ Q-A",IF($P263="Quinzaine B","   ◆ Q-B",IF($P263="Exception","   ◆ PONCTUEL","")))&amp;CHAR(10)&amp;$K263&amp;CHAR(10)&amp;$M263&amp;IF($N263&lt;&gt;"",CHAR(10)&amp;"Salle "&amp;$N263,"")&amp;IF($O263="En ligne",CHAR(10)&amp;"◆ EN LIGNE","")&amp;IF($R263&lt;&gt;"",CHAR(10)&amp;$R263,"")</f>
        <v/>
      </c>
      <c r="Y263" s="45" t="inlineStr">
        <is>
          <t>16h-17h30 Français (Hend)</t>
        </is>
      </c>
      <c r="Z263" s="45" t="inlineStr">
        <is>
          <t>du 28-09 jusquà le 04-10!L3</t>
        </is>
      </c>
    </row>
    <row r="264" ht="15" customHeight="1">
      <c r="A264" s="10" t="inlineStr">
        <is>
          <t>S3</t>
        </is>
      </c>
      <c r="B264" s="9" t="inlineStr">
        <is>
          <t>du 28 septembre au 4 octobre 2026</t>
        </is>
      </c>
      <c r="C264" s="10" t="inlineStr">
        <is>
          <t>A</t>
        </is>
      </c>
      <c r="D264" s="41" t="n">
        <v>46298</v>
      </c>
      <c r="E264" s="10" t="inlineStr">
        <is>
          <t>Samedi</t>
        </is>
      </c>
      <c r="F264" s="42" t="n">
        <v>0.75</v>
      </c>
      <c r="G264" s="42" t="n">
        <v>0.8125</v>
      </c>
      <c r="H264" s="43">
        <f>IF(OR($F264="",$G264=""),"",($G264-$F264)*24)</f>
        <v/>
      </c>
      <c r="I264" s="10" t="inlineStr">
        <is>
          <t>Primaire</t>
        </is>
      </c>
      <c r="J264" s="9" t="inlineStr">
        <is>
          <t>5éme</t>
        </is>
      </c>
      <c r="K264" s="9" t="inlineStr">
        <is>
          <t>Français</t>
        </is>
      </c>
      <c r="L264" s="9" t="inlineStr">
        <is>
          <t>Français</t>
        </is>
      </c>
      <c r="M264" s="9" t="inlineStr">
        <is>
          <t>Hend</t>
        </is>
      </c>
      <c r="N264" s="10" t="n"/>
      <c r="O264" s="10" t="n"/>
      <c r="P264" s="10" t="inlineStr">
        <is>
          <t>Hebdomadaire</t>
        </is>
      </c>
      <c r="Q264" s="9" t="inlineStr">
        <is>
          <t>Original (septembre)</t>
        </is>
      </c>
      <c r="R264" s="9" t="inlineStr"/>
      <c r="S264" s="44">
        <f>IF($M264="","",IF(SUMPRODUCT(($D$4:$D$704=$D264)*($M$4:$M$704=$M264)*($F$4:$F$704&lt;$G264)*($G$4:$G$704&gt;$F264))&gt;1,"⚠ CONFLIT",""))</f>
        <v/>
      </c>
      <c r="T264" s="44">
        <f>IF($J264="","",IF(SUMPRODUCT(($D$4:$D$704=$D264)*($J$4:$J$704=$J264)*($F$4:$F$704&lt;$G264)*($G$4:$G$704&gt;$F264))&gt;1,"⚠ CONFLIT",""))</f>
        <v/>
      </c>
      <c r="U264" s="44">
        <f>IF(COUNTIFS($D$4:$D$704,$D264,$J$4:$J$704,$J264,$F$4:$F$704,$F264,$K$4:$K$704,$K264)&gt;1,"⚠ DOUBLON","")</f>
        <v/>
      </c>
      <c r="V264" s="44">
        <f>COUNTIFS($A$4:$A264,$A264,$J$4:$J264,$J264,$E$4:$E264,$E264)</f>
        <v/>
      </c>
      <c r="W264" s="45">
        <f>$A264&amp;"|"&amp;$J264&amp;"|"&amp;$E264&amp;"|"&amp;$V264</f>
        <v/>
      </c>
      <c r="X264" s="46">
        <f>TEXT($F264,"hh:mm")&amp;" - "&amp;TEXT($G264,"hh:mm")&amp;IF($P264="Quinzaine A","   ◆ Q-A",IF($P264="Quinzaine B","   ◆ Q-B",IF($P264="Exception","   ◆ PONCTUEL","")))&amp;CHAR(10)&amp;$K264&amp;CHAR(10)&amp;$M264&amp;IF($N264&lt;&gt;"",CHAR(10)&amp;"Salle "&amp;$N264,"")&amp;IF($O264="En ligne",CHAR(10)&amp;"◆ EN LIGNE","")&amp;IF($R264&lt;&gt;"",CHAR(10)&amp;$R264,"")</f>
        <v/>
      </c>
      <c r="Y264" s="45" t="inlineStr">
        <is>
          <t>18h-19h30 Français (Hend)</t>
        </is>
      </c>
      <c r="Z264" s="45" t="inlineStr">
        <is>
          <t>du 28-09 jusquà le 04-10!L6</t>
        </is>
      </c>
    </row>
    <row r="265" ht="15" customHeight="1">
      <c r="A265" s="10" t="inlineStr">
        <is>
          <t>S3</t>
        </is>
      </c>
      <c r="B265" s="9" t="inlineStr">
        <is>
          <t>du 28 septembre au 4 octobre 2026</t>
        </is>
      </c>
      <c r="C265" s="10" t="inlineStr">
        <is>
          <t>A</t>
        </is>
      </c>
      <c r="D265" s="41" t="n">
        <v>46298</v>
      </c>
      <c r="E265" s="10" t="inlineStr">
        <is>
          <t>Samedi</t>
        </is>
      </c>
      <c r="F265" s="42" t="n">
        <v>0.7916666666666666</v>
      </c>
      <c r="G265" s="42" t="n">
        <v>0.875</v>
      </c>
      <c r="H265" s="43">
        <f>IF(OR($F265="",$G265=""),"",($G265-$F265)*24)</f>
        <v/>
      </c>
      <c r="I265" s="10" t="inlineStr">
        <is>
          <t>Primaire</t>
        </is>
      </c>
      <c r="J265" s="9" t="inlineStr">
        <is>
          <t>6éme Pilote (A)</t>
        </is>
      </c>
      <c r="K265" s="9" t="inlineStr">
        <is>
          <t>عربية</t>
        </is>
      </c>
      <c r="L265" s="9" t="inlineStr">
        <is>
          <t>Arabe</t>
        </is>
      </c>
      <c r="M265" s="9" t="inlineStr">
        <is>
          <t>Lobna</t>
        </is>
      </c>
      <c r="N265" s="10" t="n"/>
      <c r="O265" s="10" t="n"/>
      <c r="P265" s="10" t="inlineStr">
        <is>
          <t>Hebdomadaire</t>
        </is>
      </c>
      <c r="Q265" s="9" t="inlineStr">
        <is>
          <t>Original (septembre)</t>
        </is>
      </c>
      <c r="R265" s="9" t="inlineStr"/>
      <c r="S265" s="44">
        <f>IF($M265="","",IF(SUMPRODUCT(($D$4:$D$704=$D265)*($M$4:$M$704=$M265)*($F$4:$F$704&lt;$G265)*($G$4:$G$704&gt;$F265))&gt;1,"⚠ CONFLIT",""))</f>
        <v/>
      </c>
      <c r="T265" s="44">
        <f>IF($J265="","",IF(SUMPRODUCT(($D$4:$D$704=$D265)*($J$4:$J$704=$J265)*($F$4:$F$704&lt;$G265)*($G$4:$G$704&gt;$F265))&gt;1,"⚠ CONFLIT",""))</f>
        <v/>
      </c>
      <c r="U265" s="44">
        <f>IF(COUNTIFS($D$4:$D$704,$D265,$J$4:$J$704,$J265,$F$4:$F$704,$F265,$K$4:$K$704,$K265)&gt;1,"⚠ DOUBLON","")</f>
        <v/>
      </c>
      <c r="V265" s="44">
        <f>COUNTIFS($A$4:$A265,$A265,$J$4:$J265,$J265,$E$4:$E265,$E265)</f>
        <v/>
      </c>
      <c r="W265" s="45">
        <f>$A265&amp;"|"&amp;$J265&amp;"|"&amp;$E265&amp;"|"&amp;$V265</f>
        <v/>
      </c>
      <c r="X265" s="46">
        <f>TEXT($F265,"hh:mm")&amp;" - "&amp;TEXT($G265,"hh:mm")&amp;IF($P265="Quinzaine A","   ◆ Q-A",IF($P265="Quinzaine B","   ◆ Q-B",IF($P265="Exception","   ◆ PONCTUEL","")))&amp;CHAR(10)&amp;$K265&amp;CHAR(10)&amp;$M265&amp;IF($N265&lt;&gt;"",CHAR(10)&amp;"Salle "&amp;$N265,"")&amp;IF($O265="En ligne",CHAR(10)&amp;"◆ EN LIGNE","")&amp;IF($R265&lt;&gt;"",CHAR(10)&amp;$R265,"")</f>
        <v/>
      </c>
      <c r="Y265" s="45" t="inlineStr">
        <is>
          <t>19h-21h عربية (Lobna)</t>
        </is>
      </c>
      <c r="Z265" s="45" t="inlineStr">
        <is>
          <t>du 28-09 jusquà le 04-10!L12</t>
        </is>
      </c>
    </row>
    <row r="266" ht="15" customHeight="1">
      <c r="A266" s="10" t="inlineStr">
        <is>
          <t>S3</t>
        </is>
      </c>
      <c r="B266" s="9" t="inlineStr">
        <is>
          <t>du 28 septembre au 4 octobre 2026</t>
        </is>
      </c>
      <c r="C266" s="10" t="inlineStr">
        <is>
          <t>A</t>
        </is>
      </c>
      <c r="D266" s="41" t="n">
        <v>46298</v>
      </c>
      <c r="E266" s="10" t="inlineStr">
        <is>
          <t>Samedi</t>
        </is>
      </c>
      <c r="F266" s="42" t="n">
        <v>0.7083333333333334</v>
      </c>
      <c r="G266" s="42" t="n">
        <v>0.7916666666666666</v>
      </c>
      <c r="H266" s="43">
        <f>IF(OR($F266="",$G266=""),"",($G266-$F266)*24)</f>
        <v/>
      </c>
      <c r="I266" s="10" t="inlineStr">
        <is>
          <t>Primaire</t>
        </is>
      </c>
      <c r="J266" s="9" t="inlineStr">
        <is>
          <t>6éme (B)</t>
        </is>
      </c>
      <c r="K266" s="9" t="inlineStr">
        <is>
          <t>عربية</t>
        </is>
      </c>
      <c r="L266" s="9" t="inlineStr">
        <is>
          <t>Arabe</t>
        </is>
      </c>
      <c r="M266" s="9" t="inlineStr">
        <is>
          <t>Lobna</t>
        </is>
      </c>
      <c r="N266" s="10" t="n"/>
      <c r="O266" s="10" t="n"/>
      <c r="P266" s="10" t="inlineStr">
        <is>
          <t>Hebdomadaire</t>
        </is>
      </c>
      <c r="Q266" s="9" t="inlineStr">
        <is>
          <t>Original (septembre)</t>
        </is>
      </c>
      <c r="R266" s="9" t="inlineStr"/>
      <c r="S266" s="44">
        <f>IF($M266="","",IF(SUMPRODUCT(($D$4:$D$704=$D266)*($M$4:$M$704=$M266)*($F$4:$F$704&lt;$G266)*($G$4:$G$704&gt;$F266))&gt;1,"⚠ CONFLIT",""))</f>
        <v/>
      </c>
      <c r="T266" s="44">
        <f>IF($J266="","",IF(SUMPRODUCT(($D$4:$D$704=$D266)*($J$4:$J$704=$J266)*($F$4:$F$704&lt;$G266)*($G$4:$G$704&gt;$F266))&gt;1,"⚠ CONFLIT",""))</f>
        <v/>
      </c>
      <c r="U266" s="44">
        <f>IF(COUNTIFS($D$4:$D$704,$D266,$J$4:$J$704,$J266,$F$4:$F$704,$F266,$K$4:$K$704,$K266)&gt;1,"⚠ DOUBLON","")</f>
        <v/>
      </c>
      <c r="V266" s="44">
        <f>COUNTIFS($A$4:$A266,$A266,$J$4:$J266,$J266,$E$4:$E266,$E266)</f>
        <v/>
      </c>
      <c r="W266" s="45">
        <f>$A266&amp;"|"&amp;$J266&amp;"|"&amp;$E266&amp;"|"&amp;$V266</f>
        <v/>
      </c>
      <c r="X266" s="46">
        <f>TEXT($F266,"hh:mm")&amp;" - "&amp;TEXT($G266,"hh:mm")&amp;IF($P266="Quinzaine A","   ◆ Q-A",IF($P266="Quinzaine B","   ◆ Q-B",IF($P266="Exception","   ◆ PONCTUEL","")))&amp;CHAR(10)&amp;$K266&amp;CHAR(10)&amp;$M266&amp;IF($N266&lt;&gt;"",CHAR(10)&amp;"Salle "&amp;$N266,"")&amp;IF($O266="En ligne",CHAR(10)&amp;"◆ EN LIGNE","")&amp;IF($R266&lt;&gt;"",CHAR(10)&amp;$R266,"")</f>
        <v/>
      </c>
      <c r="Y266" s="45" t="inlineStr">
        <is>
          <t>17h-19h عربية (Lobna)</t>
        </is>
      </c>
      <c r="Z266" s="45" t="inlineStr">
        <is>
          <t>du 28-09 jusquà le 04-10!L16</t>
        </is>
      </c>
    </row>
    <row r="267" ht="15" customHeight="1">
      <c r="A267" s="10" t="inlineStr">
        <is>
          <t>S3</t>
        </is>
      </c>
      <c r="B267" s="9" t="inlineStr">
        <is>
          <t>du 28 septembre au 4 octobre 2026</t>
        </is>
      </c>
      <c r="C267" s="10" t="inlineStr">
        <is>
          <t>A</t>
        </is>
      </c>
      <c r="D267" s="41" t="n">
        <v>46298</v>
      </c>
      <c r="E267" s="10" t="inlineStr">
        <is>
          <t>Samedi</t>
        </is>
      </c>
      <c r="F267" s="42" t="n">
        <v>0.6666666666666666</v>
      </c>
      <c r="G267" s="42" t="n">
        <v>0.7291666666666666</v>
      </c>
      <c r="H267" s="43">
        <f>IF(OR($F267="",$G267=""),"",($G267-$F267)*24)</f>
        <v/>
      </c>
      <c r="I267" s="10" t="inlineStr">
        <is>
          <t>Collège</t>
        </is>
      </c>
      <c r="J267" s="9" t="inlineStr">
        <is>
          <t>7éme (A)</t>
        </is>
      </c>
      <c r="K267" s="9" t="inlineStr">
        <is>
          <t>SVT</t>
        </is>
      </c>
      <c r="L267" s="9" t="inlineStr">
        <is>
          <t>SVT</t>
        </is>
      </c>
      <c r="M267" s="9" t="inlineStr">
        <is>
          <t>Sabrine</t>
        </is>
      </c>
      <c r="N267" s="10" t="n"/>
      <c r="O267" s="10" t="n"/>
      <c r="P267" s="10" t="inlineStr">
        <is>
          <t>Quinzaine A</t>
        </is>
      </c>
      <c r="Q267" s="9" t="inlineStr">
        <is>
          <t>Original (septembre)</t>
        </is>
      </c>
      <c r="R267" s="9" t="inlineStr"/>
      <c r="S267" s="44">
        <f>IF($M267="","",IF(SUMPRODUCT(($D$4:$D$704=$D267)*($M$4:$M$704=$M267)*($F$4:$F$704&lt;$G267)*($G$4:$G$704&gt;$F267))&gt;1,"⚠ CONFLIT",""))</f>
        <v/>
      </c>
      <c r="T267" s="44">
        <f>IF($J267="","",IF(SUMPRODUCT(($D$4:$D$704=$D267)*($J$4:$J$704=$J267)*($F$4:$F$704&lt;$G267)*($G$4:$G$704&gt;$F267))&gt;1,"⚠ CONFLIT",""))</f>
        <v/>
      </c>
      <c r="U267" s="44">
        <f>IF(COUNTIFS($D$4:$D$704,$D267,$J$4:$J$704,$J267,$F$4:$F$704,$F267,$K$4:$K$704,$K267)&gt;1,"⚠ DOUBLON","")</f>
        <v/>
      </c>
      <c r="V267" s="44">
        <f>COUNTIFS($A$4:$A267,$A267,$J$4:$J267,$J267,$E$4:$E267,$E267)</f>
        <v/>
      </c>
      <c r="W267" s="45">
        <f>$A267&amp;"|"&amp;$J267&amp;"|"&amp;$E267&amp;"|"&amp;$V267</f>
        <v/>
      </c>
      <c r="X267" s="46">
        <f>TEXT($F267,"hh:mm")&amp;" - "&amp;TEXT($G267,"hh:mm")&amp;IF($P267="Quinzaine A","   ◆ Q-A",IF($P267="Quinzaine B","   ◆ Q-B",IF($P267="Exception","   ◆ PONCTUEL","")))&amp;CHAR(10)&amp;$K267&amp;CHAR(10)&amp;$M267&amp;IF($N267&lt;&gt;"",CHAR(10)&amp;"Salle "&amp;$N267,"")&amp;IF($O267="En ligne",CHAR(10)&amp;"◆ EN LIGNE","")&amp;IF($R267&lt;&gt;"",CHAR(10)&amp;$R267,"")</f>
        <v/>
      </c>
      <c r="Y267" s="45" t="inlineStr">
        <is>
          <t>16h-17h30 SVT /par quinzaine (Sabrine)</t>
        </is>
      </c>
      <c r="Z267" s="45" t="inlineStr">
        <is>
          <t>du 28-09 jusquà le 04-10!L19</t>
        </is>
      </c>
    </row>
    <row r="268" ht="15" customHeight="1">
      <c r="A268" s="10" t="inlineStr">
        <is>
          <t>S3</t>
        </is>
      </c>
      <c r="B268" s="9" t="inlineStr">
        <is>
          <t>du 28 septembre au 4 octobre 2026</t>
        </is>
      </c>
      <c r="C268" s="10" t="inlineStr">
        <is>
          <t>A</t>
        </is>
      </c>
      <c r="D268" s="41" t="n">
        <v>46298</v>
      </c>
      <c r="E268" s="10" t="inlineStr">
        <is>
          <t>Samedi</t>
        </is>
      </c>
      <c r="F268" s="42" t="n">
        <v>0.75</v>
      </c>
      <c r="G268" s="42" t="n">
        <v>0.8125</v>
      </c>
      <c r="H268" s="43">
        <f>IF(OR($F268="",$G268=""),"",($G268-$F268)*24)</f>
        <v/>
      </c>
      <c r="I268" s="10" t="inlineStr">
        <is>
          <t>Collège</t>
        </is>
      </c>
      <c r="J268" s="9" t="inlineStr">
        <is>
          <t>7éme (A)</t>
        </is>
      </c>
      <c r="K268" s="9" t="inlineStr">
        <is>
          <t>Arabe</t>
        </is>
      </c>
      <c r="L268" s="9" t="inlineStr">
        <is>
          <t>Arabe</t>
        </is>
      </c>
      <c r="M268" s="9" t="inlineStr">
        <is>
          <t>Awatef</t>
        </is>
      </c>
      <c r="N268" s="10" t="n"/>
      <c r="O268" s="10" t="n"/>
      <c r="P268" s="10" t="inlineStr">
        <is>
          <t>Hebdomadaire</t>
        </is>
      </c>
      <c r="Q268" s="9" t="inlineStr">
        <is>
          <t>Original (septembre)</t>
        </is>
      </c>
      <c r="R268" s="9" t="inlineStr"/>
      <c r="S268" s="44">
        <f>IF($M268="","",IF(SUMPRODUCT(($D$4:$D$704=$D268)*($M$4:$M$704=$M268)*($F$4:$F$704&lt;$G268)*($G$4:$G$704&gt;$F268))&gt;1,"⚠ CONFLIT",""))</f>
        <v/>
      </c>
      <c r="T268" s="44">
        <f>IF($J268="","",IF(SUMPRODUCT(($D$4:$D$704=$D268)*($J$4:$J$704=$J268)*($F$4:$F$704&lt;$G268)*($G$4:$G$704&gt;$F268))&gt;1,"⚠ CONFLIT",""))</f>
        <v/>
      </c>
      <c r="U268" s="44">
        <f>IF(COUNTIFS($D$4:$D$704,$D268,$J$4:$J$704,$J268,$F$4:$F$704,$F268,$K$4:$K$704,$K268)&gt;1,"⚠ DOUBLON","")</f>
        <v/>
      </c>
      <c r="V268" s="44">
        <f>COUNTIFS($A$4:$A268,$A268,$J$4:$J268,$J268,$E$4:$E268,$E268)</f>
        <v/>
      </c>
      <c r="W268" s="45">
        <f>$A268&amp;"|"&amp;$J268&amp;"|"&amp;$E268&amp;"|"&amp;$V268</f>
        <v/>
      </c>
      <c r="X268" s="46">
        <f>TEXT($F268,"hh:mm")&amp;" - "&amp;TEXT($G268,"hh:mm")&amp;IF($P268="Quinzaine A","   ◆ Q-A",IF($P268="Quinzaine B","   ◆ Q-B",IF($P268="Exception","   ◆ PONCTUEL","")))&amp;CHAR(10)&amp;$K268&amp;CHAR(10)&amp;$M268&amp;IF($N268&lt;&gt;"",CHAR(10)&amp;"Salle "&amp;$N268,"")&amp;IF($O268="En ligne",CHAR(10)&amp;"◆ EN LIGNE","")&amp;IF($R268&lt;&gt;"",CHAR(10)&amp;$R268,"")</f>
        <v/>
      </c>
      <c r="Y268" s="45" t="inlineStr">
        <is>
          <t>18h-19h30 Arabe (Awatef)</t>
        </is>
      </c>
      <c r="Z268" s="45" t="inlineStr">
        <is>
          <t>du 28-09 jusquà le 04-10!L20</t>
        </is>
      </c>
    </row>
    <row r="269" ht="15" customHeight="1">
      <c r="A269" s="10" t="inlineStr">
        <is>
          <t>S3</t>
        </is>
      </c>
      <c r="B269" s="9" t="inlineStr">
        <is>
          <t>du 28 septembre au 4 octobre 2026</t>
        </is>
      </c>
      <c r="C269" s="10" t="inlineStr">
        <is>
          <t>A</t>
        </is>
      </c>
      <c r="D269" s="41" t="n">
        <v>46298</v>
      </c>
      <c r="E269" s="10" t="inlineStr">
        <is>
          <t>Samedi</t>
        </is>
      </c>
      <c r="F269" s="42" t="n">
        <v>0.7291666666666666</v>
      </c>
      <c r="G269" s="42" t="n">
        <v>0.7916666666666666</v>
      </c>
      <c r="H269" s="43">
        <f>IF(OR($F269="",$G269=""),"",($G269-$F269)*24)</f>
        <v/>
      </c>
      <c r="I269" s="10" t="inlineStr">
        <is>
          <t>Collège</t>
        </is>
      </c>
      <c r="J269" s="9" t="inlineStr">
        <is>
          <t>8éme (A)</t>
        </is>
      </c>
      <c r="K269" s="9" t="inlineStr">
        <is>
          <t>SVT</t>
        </is>
      </c>
      <c r="L269" s="9" t="inlineStr">
        <is>
          <t>SVT</t>
        </is>
      </c>
      <c r="M269" s="9" t="inlineStr">
        <is>
          <t>Sabrine</t>
        </is>
      </c>
      <c r="N269" s="10" t="n"/>
      <c r="O269" s="10" t="n"/>
      <c r="P269" s="10" t="inlineStr">
        <is>
          <t>Quinzaine A</t>
        </is>
      </c>
      <c r="Q269" s="9" t="inlineStr">
        <is>
          <t>Original (septembre)</t>
        </is>
      </c>
      <c r="R269" s="9" t="inlineStr"/>
      <c r="S269" s="44">
        <f>IF($M269="","",IF(SUMPRODUCT(($D$4:$D$704=$D269)*($M$4:$M$704=$M269)*($F$4:$F$704&lt;$G269)*($G$4:$G$704&gt;$F269))&gt;1,"⚠ CONFLIT",""))</f>
        <v/>
      </c>
      <c r="T269" s="44">
        <f>IF($J269="","",IF(SUMPRODUCT(($D$4:$D$704=$D269)*($J$4:$J$704=$J269)*($F$4:$F$704&lt;$G269)*($G$4:$G$704&gt;$F269))&gt;1,"⚠ CONFLIT",""))</f>
        <v/>
      </c>
      <c r="U269" s="44">
        <f>IF(COUNTIFS($D$4:$D$704,$D269,$J$4:$J$704,$J269,$F$4:$F$704,$F269,$K$4:$K$704,$K269)&gt;1,"⚠ DOUBLON","")</f>
        <v/>
      </c>
      <c r="V269" s="44">
        <f>COUNTIFS($A$4:$A269,$A269,$J$4:$J269,$J269,$E$4:$E269,$E269)</f>
        <v/>
      </c>
      <c r="W269" s="45">
        <f>$A269&amp;"|"&amp;$J269&amp;"|"&amp;$E269&amp;"|"&amp;$V269</f>
        <v/>
      </c>
      <c r="X269" s="46">
        <f>TEXT($F269,"hh:mm")&amp;" - "&amp;TEXT($G269,"hh:mm")&amp;IF($P269="Quinzaine A","   ◆ Q-A",IF($P269="Quinzaine B","   ◆ Q-B",IF($P269="Exception","   ◆ PONCTUEL","")))&amp;CHAR(10)&amp;$K269&amp;CHAR(10)&amp;$M269&amp;IF($N269&lt;&gt;"",CHAR(10)&amp;"Salle "&amp;$N269,"")&amp;IF($O269="En ligne",CHAR(10)&amp;"◆ EN LIGNE","")&amp;IF($R269&lt;&gt;"",CHAR(10)&amp;$R269,"")</f>
        <v/>
      </c>
      <c r="Y269" s="45" t="inlineStr">
        <is>
          <t>17h30-19h SVT /par quinzaine (Sabrine)</t>
        </is>
      </c>
      <c r="Z269" s="45" t="inlineStr">
        <is>
          <t>du 28-09 jusquà le 04-10!L27</t>
        </is>
      </c>
    </row>
    <row r="270" ht="15" customHeight="1">
      <c r="A270" s="10" t="inlineStr">
        <is>
          <t>S3</t>
        </is>
      </c>
      <c r="B270" s="9" t="inlineStr">
        <is>
          <t>du 28 septembre au 4 octobre 2026</t>
        </is>
      </c>
      <c r="C270" s="10" t="inlineStr">
        <is>
          <t>A</t>
        </is>
      </c>
      <c r="D270" s="41" t="n">
        <v>46298</v>
      </c>
      <c r="E270" s="10" t="inlineStr">
        <is>
          <t>Samedi</t>
        </is>
      </c>
      <c r="F270" s="42" t="n">
        <v>0.7291666666666666</v>
      </c>
      <c r="G270" s="42" t="n">
        <v>0.7916666666666666</v>
      </c>
      <c r="H270" s="43">
        <f>IF(OR($F270="",$G270=""),"",($G270-$F270)*24)</f>
        <v/>
      </c>
      <c r="I270" s="10" t="inlineStr">
        <is>
          <t>Collège</t>
        </is>
      </c>
      <c r="J270" s="9" t="inlineStr">
        <is>
          <t>8éme (B)</t>
        </is>
      </c>
      <c r="K270" s="9" t="inlineStr">
        <is>
          <t>Anglais</t>
        </is>
      </c>
      <c r="L270" s="9" t="inlineStr">
        <is>
          <t>Anglais</t>
        </is>
      </c>
      <c r="M270" s="9" t="inlineStr">
        <is>
          <t>Imen Ben Lazrak</t>
        </is>
      </c>
      <c r="N270" s="10" t="n"/>
      <c r="O270" s="10" t="n"/>
      <c r="P270" s="10" t="inlineStr">
        <is>
          <t>Quinzaine A</t>
        </is>
      </c>
      <c r="Q270" s="9" t="inlineStr">
        <is>
          <t>Original (septembre)</t>
        </is>
      </c>
      <c r="R270" s="9" t="inlineStr"/>
      <c r="S270" s="44">
        <f>IF($M270="","",IF(SUMPRODUCT(($D$4:$D$704=$D270)*($M$4:$M$704=$M270)*($F$4:$F$704&lt;$G270)*($G$4:$G$704&gt;$F270))&gt;1,"⚠ CONFLIT",""))</f>
        <v/>
      </c>
      <c r="T270" s="44">
        <f>IF($J270="","",IF(SUMPRODUCT(($D$4:$D$704=$D270)*($J$4:$J$704=$J270)*($F$4:$F$704&lt;$G270)*($G$4:$G$704&gt;$F270))&gt;1,"⚠ CONFLIT",""))</f>
        <v/>
      </c>
      <c r="U270" s="44">
        <f>IF(COUNTIFS($D$4:$D$704,$D270,$J$4:$J$704,$J270,$F$4:$F$704,$F270,$K$4:$K$704,$K270)&gt;1,"⚠ DOUBLON","")</f>
        <v/>
      </c>
      <c r="V270" s="44">
        <f>COUNTIFS($A$4:$A270,$A270,$J$4:$J270,$J270,$E$4:$E270,$E270)</f>
        <v/>
      </c>
      <c r="W270" s="45">
        <f>$A270&amp;"|"&amp;$J270&amp;"|"&amp;$E270&amp;"|"&amp;$V270</f>
        <v/>
      </c>
      <c r="X270" s="46">
        <f>TEXT($F270,"hh:mm")&amp;" - "&amp;TEXT($G270,"hh:mm")&amp;IF($P270="Quinzaine A","   ◆ Q-A",IF($P270="Quinzaine B","   ◆ Q-B",IF($P270="Exception","   ◆ PONCTUEL","")))&amp;CHAR(10)&amp;$K270&amp;CHAR(10)&amp;$M270&amp;IF($N270&lt;&gt;"",CHAR(10)&amp;"Salle "&amp;$N270,"")&amp;IF($O270="En ligne",CHAR(10)&amp;"◆ EN LIGNE","")&amp;IF($R270&lt;&gt;"",CHAR(10)&amp;$R270,"")</f>
        <v/>
      </c>
      <c r="Y270" s="45" t="inlineStr">
        <is>
          <t>17h30-19h Anglais /par quinzaine (Imen Ben Lazrak)</t>
        </is>
      </c>
      <c r="Z270" s="45" t="inlineStr">
        <is>
          <t>du 28-09 jusquà le 04-10!L31</t>
        </is>
      </c>
    </row>
    <row r="271" ht="15" customHeight="1">
      <c r="A271" s="10" t="inlineStr">
        <is>
          <t>S3</t>
        </is>
      </c>
      <c r="B271" s="9" t="inlineStr">
        <is>
          <t>du 28 septembre au 4 octobre 2026</t>
        </is>
      </c>
      <c r="C271" s="10" t="inlineStr">
        <is>
          <t>A</t>
        </is>
      </c>
      <c r="D271" s="41" t="n">
        <v>46298</v>
      </c>
      <c r="E271" s="10" t="inlineStr">
        <is>
          <t>Samedi</t>
        </is>
      </c>
      <c r="F271" s="42" t="n">
        <v>0.6875</v>
      </c>
      <c r="G271" s="42" t="n">
        <v>0.75</v>
      </c>
      <c r="H271" s="43">
        <f>IF(OR($F271="",$G271=""),"",($G271-$F271)*24)</f>
        <v/>
      </c>
      <c r="I271" s="10" t="inlineStr">
        <is>
          <t>Collège</t>
        </is>
      </c>
      <c r="J271" s="9" t="inlineStr">
        <is>
          <t>9éme (A)</t>
        </is>
      </c>
      <c r="K271" s="9" t="inlineStr">
        <is>
          <t>Arabe</t>
        </is>
      </c>
      <c r="L271" s="9" t="inlineStr">
        <is>
          <t>Arabe</t>
        </is>
      </c>
      <c r="M271" s="9" t="inlineStr">
        <is>
          <t>Awatef</t>
        </is>
      </c>
      <c r="N271" s="10" t="n"/>
      <c r="O271" s="10" t="n"/>
      <c r="P271" s="10" t="inlineStr">
        <is>
          <t>Hebdomadaire</t>
        </is>
      </c>
      <c r="Q271" s="9" t="inlineStr">
        <is>
          <t>Original (septembre)</t>
        </is>
      </c>
      <c r="R271" s="9" t="inlineStr"/>
      <c r="S271" s="44">
        <f>IF($M271="","",IF(SUMPRODUCT(($D$4:$D$704=$D271)*($M$4:$M$704=$M271)*($F$4:$F$704&lt;$G271)*($G$4:$G$704&gt;$F271))&gt;1,"⚠ CONFLIT",""))</f>
        <v/>
      </c>
      <c r="T271" s="44">
        <f>IF($J271="","",IF(SUMPRODUCT(($D$4:$D$704=$D271)*($J$4:$J$704=$J271)*($F$4:$F$704&lt;$G271)*($G$4:$G$704&gt;$F271))&gt;1,"⚠ CONFLIT",""))</f>
        <v/>
      </c>
      <c r="U271" s="44">
        <f>IF(COUNTIFS($D$4:$D$704,$D271,$J$4:$J$704,$J271,$F$4:$F$704,$F271,$K$4:$K$704,$K271)&gt;1,"⚠ DOUBLON","")</f>
        <v/>
      </c>
      <c r="V271" s="44">
        <f>COUNTIFS($A$4:$A271,$A271,$J$4:$J271,$J271,$E$4:$E271,$E271)</f>
        <v/>
      </c>
      <c r="W271" s="45">
        <f>$A271&amp;"|"&amp;$J271&amp;"|"&amp;$E271&amp;"|"&amp;$V271</f>
        <v/>
      </c>
      <c r="X271" s="46">
        <f>TEXT($F271,"hh:mm")&amp;" - "&amp;TEXT($G271,"hh:mm")&amp;IF($P271="Quinzaine A","   ◆ Q-A",IF($P271="Quinzaine B","   ◆ Q-B",IF($P271="Exception","   ◆ PONCTUEL","")))&amp;CHAR(10)&amp;$K271&amp;CHAR(10)&amp;$M271&amp;IF($N271&lt;&gt;"",CHAR(10)&amp;"Salle "&amp;$N271,"")&amp;IF($O271="En ligne",CHAR(10)&amp;"◆ EN LIGNE","")&amp;IF($R271&lt;&gt;"",CHAR(10)&amp;$R271,"")</f>
        <v/>
      </c>
      <c r="Y271" s="45" t="inlineStr">
        <is>
          <t>16h30-18h Arabe (Awatef)</t>
        </is>
      </c>
      <c r="Z271" s="45" t="inlineStr">
        <is>
          <t>du 28-09 jusquà le 04-10!L36</t>
        </is>
      </c>
    </row>
    <row r="272" ht="15" customHeight="1">
      <c r="A272" s="10" t="inlineStr">
        <is>
          <t>S3</t>
        </is>
      </c>
      <c r="B272" s="9" t="inlineStr">
        <is>
          <t>du 28 septembre au 4 octobre 2026</t>
        </is>
      </c>
      <c r="C272" s="10" t="inlineStr">
        <is>
          <t>A</t>
        </is>
      </c>
      <c r="D272" s="41" t="n">
        <v>46298</v>
      </c>
      <c r="E272" s="10" t="inlineStr">
        <is>
          <t>Samedi</t>
        </is>
      </c>
      <c r="F272" s="42" t="n">
        <v>0.7291666666666666</v>
      </c>
      <c r="G272" s="42" t="n">
        <v>0.7916666666666666</v>
      </c>
      <c r="H272" s="43">
        <f>IF(OR($F272="",$G272=""),"",($G272-$F272)*24)</f>
        <v/>
      </c>
      <c r="I272" s="10" t="inlineStr">
        <is>
          <t>Collège</t>
        </is>
      </c>
      <c r="J272" s="9" t="inlineStr">
        <is>
          <t>9éme (B)</t>
        </is>
      </c>
      <c r="K272" s="9" t="inlineStr">
        <is>
          <t>Math</t>
        </is>
      </c>
      <c r="L272" s="9" t="inlineStr">
        <is>
          <t>Math</t>
        </is>
      </c>
      <c r="M272" s="9" t="inlineStr">
        <is>
          <t>Hajer</t>
        </is>
      </c>
      <c r="N272" s="10" t="n"/>
      <c r="O272" s="10" t="n"/>
      <c r="P272" s="10" t="inlineStr">
        <is>
          <t>Hebdomadaire</t>
        </is>
      </c>
      <c r="Q272" s="9" t="inlineStr">
        <is>
          <t>Original (septembre)</t>
        </is>
      </c>
      <c r="R272" s="9" t="inlineStr"/>
      <c r="S272" s="44">
        <f>IF($M272="","",IF(SUMPRODUCT(($D$4:$D$704=$D272)*($M$4:$M$704=$M272)*($F$4:$F$704&lt;$G272)*($G$4:$G$704&gt;$F272))&gt;1,"⚠ CONFLIT",""))</f>
        <v/>
      </c>
      <c r="T272" s="44">
        <f>IF($J272="","",IF(SUMPRODUCT(($D$4:$D$704=$D272)*($J$4:$J$704=$J272)*($F$4:$F$704&lt;$G272)*($G$4:$G$704&gt;$F272))&gt;1,"⚠ CONFLIT",""))</f>
        <v/>
      </c>
      <c r="U272" s="44">
        <f>IF(COUNTIFS($D$4:$D$704,$D272,$J$4:$J$704,$J272,$F$4:$F$704,$F272,$K$4:$K$704,$K272)&gt;1,"⚠ DOUBLON","")</f>
        <v/>
      </c>
      <c r="V272" s="44">
        <f>COUNTIFS($A$4:$A272,$A272,$J$4:$J272,$J272,$E$4:$E272,$E272)</f>
        <v/>
      </c>
      <c r="W272" s="45">
        <f>$A272&amp;"|"&amp;$J272&amp;"|"&amp;$E272&amp;"|"&amp;$V272</f>
        <v/>
      </c>
      <c r="X272" s="46">
        <f>TEXT($F272,"hh:mm")&amp;" - "&amp;TEXT($G272,"hh:mm")&amp;IF($P272="Quinzaine A","   ◆ Q-A",IF($P272="Quinzaine B","   ◆ Q-B",IF($P272="Exception","   ◆ PONCTUEL","")))&amp;CHAR(10)&amp;$K272&amp;CHAR(10)&amp;$M272&amp;IF($N272&lt;&gt;"",CHAR(10)&amp;"Salle "&amp;$N272,"")&amp;IF($O272="En ligne",CHAR(10)&amp;"◆ EN LIGNE","")&amp;IF($R272&lt;&gt;"",CHAR(10)&amp;$R272,"")</f>
        <v/>
      </c>
      <c r="Y272" s="45" t="inlineStr">
        <is>
          <t>17h30-19h Math (Hajer)</t>
        </is>
      </c>
      <c r="Z272" s="45" t="inlineStr">
        <is>
          <t>du 28-09 jusquà le 04-10!L43</t>
        </is>
      </c>
    </row>
    <row r="273" ht="15" customHeight="1">
      <c r="A273" s="10" t="inlineStr">
        <is>
          <t>S3</t>
        </is>
      </c>
      <c r="B273" s="9" t="inlineStr">
        <is>
          <t>du 28 septembre au 4 octobre 2026</t>
        </is>
      </c>
      <c r="C273" s="10" t="inlineStr">
        <is>
          <t>A</t>
        </is>
      </c>
      <c r="D273" s="41" t="n">
        <v>46298</v>
      </c>
      <c r="E273" s="10" t="inlineStr">
        <is>
          <t>Samedi</t>
        </is>
      </c>
      <c r="F273" s="42" t="n">
        <v>0.7916666666666666</v>
      </c>
      <c r="G273" s="42" t="n">
        <v>0.8541666666666666</v>
      </c>
      <c r="H273" s="43">
        <f>IF(OR($F273="",$G273=""),"",($G273-$F273)*24)</f>
        <v/>
      </c>
      <c r="I273" s="10" t="inlineStr">
        <is>
          <t>Collège</t>
        </is>
      </c>
      <c r="J273" s="9" t="inlineStr">
        <is>
          <t>9éme (C)</t>
        </is>
      </c>
      <c r="K273" s="9" t="inlineStr">
        <is>
          <t>Math</t>
        </is>
      </c>
      <c r="L273" s="9" t="inlineStr">
        <is>
          <t>Math</t>
        </is>
      </c>
      <c r="M273" s="9" t="inlineStr">
        <is>
          <t>Hajer</t>
        </is>
      </c>
      <c r="N273" s="10" t="n"/>
      <c r="O273" s="10" t="n"/>
      <c r="P273" s="10" t="inlineStr">
        <is>
          <t>Hebdomadaire</t>
        </is>
      </c>
      <c r="Q273" s="9" t="inlineStr">
        <is>
          <t>Original (septembre)</t>
        </is>
      </c>
      <c r="R273" s="9" t="inlineStr"/>
      <c r="S273" s="44">
        <f>IF($M273="","",IF(SUMPRODUCT(($D$4:$D$704=$D273)*($M$4:$M$704=$M273)*($F$4:$F$704&lt;$G273)*($G$4:$G$704&gt;$F273))&gt;1,"⚠ CONFLIT",""))</f>
        <v/>
      </c>
      <c r="T273" s="44">
        <f>IF($J273="","",IF(SUMPRODUCT(($D$4:$D$704=$D273)*($J$4:$J$704=$J273)*($F$4:$F$704&lt;$G273)*($G$4:$G$704&gt;$F273))&gt;1,"⚠ CONFLIT",""))</f>
        <v/>
      </c>
      <c r="U273" s="44">
        <f>IF(COUNTIFS($D$4:$D$704,$D273,$J$4:$J$704,$J273,$F$4:$F$704,$F273,$K$4:$K$704,$K273)&gt;1,"⚠ DOUBLON","")</f>
        <v/>
      </c>
      <c r="V273" s="44">
        <f>COUNTIFS($A$4:$A273,$A273,$J$4:$J273,$J273,$E$4:$E273,$E273)</f>
        <v/>
      </c>
      <c r="W273" s="45">
        <f>$A273&amp;"|"&amp;$J273&amp;"|"&amp;$E273&amp;"|"&amp;$V273</f>
        <v/>
      </c>
      <c r="X273" s="46">
        <f>TEXT($F273,"hh:mm")&amp;" - "&amp;TEXT($G273,"hh:mm")&amp;IF($P273="Quinzaine A","   ◆ Q-A",IF($P273="Quinzaine B","   ◆ Q-B",IF($P273="Exception","   ◆ PONCTUEL","")))&amp;CHAR(10)&amp;$K273&amp;CHAR(10)&amp;$M273&amp;IF($N273&lt;&gt;"",CHAR(10)&amp;"Salle "&amp;$N273,"")&amp;IF($O273="En ligne",CHAR(10)&amp;"◆ EN LIGNE","")&amp;IF($R273&lt;&gt;"",CHAR(10)&amp;$R273,"")</f>
        <v/>
      </c>
      <c r="Y273" s="45" t="inlineStr">
        <is>
          <t>19h-20h30 Math (Hajer)</t>
        </is>
      </c>
      <c r="Z273" s="45" t="inlineStr">
        <is>
          <t>du 28-09 jusquà le 04-10!L46</t>
        </is>
      </c>
    </row>
    <row r="274" ht="15" customHeight="1">
      <c r="A274" s="10" t="inlineStr">
        <is>
          <t>S3</t>
        </is>
      </c>
      <c r="B274" s="9" t="inlineStr">
        <is>
          <t>du 28 septembre au 4 octobre 2026</t>
        </is>
      </c>
      <c r="C274" s="10" t="inlineStr">
        <is>
          <t>A</t>
        </is>
      </c>
      <c r="D274" s="41" t="n">
        <v>46298</v>
      </c>
      <c r="E274" s="10" t="inlineStr">
        <is>
          <t>Samedi</t>
        </is>
      </c>
      <c r="F274" s="42" t="n">
        <v>0.6458333333333334</v>
      </c>
      <c r="G274" s="42" t="n">
        <v>0.7083333333333334</v>
      </c>
      <c r="H274" s="43">
        <f>IF(OR($F274="",$G274=""),"",($G274-$F274)*24)</f>
        <v/>
      </c>
      <c r="I274" s="10" t="inlineStr">
        <is>
          <t>Secondaire</t>
        </is>
      </c>
      <c r="J274" s="9" t="inlineStr">
        <is>
          <t>2éme Eco</t>
        </is>
      </c>
      <c r="K274" s="9" t="inlineStr">
        <is>
          <t>Histoire</t>
        </is>
      </c>
      <c r="L274" s="9" t="inlineStr">
        <is>
          <t>Histoire</t>
        </is>
      </c>
      <c r="M274" s="9" t="inlineStr">
        <is>
          <t>Abdelwaheb</t>
        </is>
      </c>
      <c r="N274" s="10" t="n"/>
      <c r="O274" s="10" t="n"/>
      <c r="P274" s="10" t="inlineStr">
        <is>
          <t>Quinzaine A</t>
        </is>
      </c>
      <c r="Q274" s="9" t="inlineStr">
        <is>
          <t>Original (septembre)</t>
        </is>
      </c>
      <c r="R274" s="9" t="inlineStr"/>
      <c r="S274" s="44">
        <f>IF($M274="","",IF(SUMPRODUCT(($D$4:$D$704=$D274)*($M$4:$M$704=$M274)*($F$4:$F$704&lt;$G274)*($G$4:$G$704&gt;$F274))&gt;1,"⚠ CONFLIT",""))</f>
        <v/>
      </c>
      <c r="T274" s="44">
        <f>IF($J274="","",IF(SUMPRODUCT(($D$4:$D$704=$D274)*($J$4:$J$704=$J274)*($F$4:$F$704&lt;$G274)*($G$4:$G$704&gt;$F274))&gt;1,"⚠ CONFLIT",""))</f>
        <v/>
      </c>
      <c r="U274" s="44">
        <f>IF(COUNTIFS($D$4:$D$704,$D274,$J$4:$J$704,$J274,$F$4:$F$704,$F274,$K$4:$K$704,$K274)&gt;1,"⚠ DOUBLON","")</f>
        <v/>
      </c>
      <c r="V274" s="44">
        <f>COUNTIFS($A$4:$A274,$A274,$J$4:$J274,$J274,$E$4:$E274,$E274)</f>
        <v/>
      </c>
      <c r="W274" s="45">
        <f>$A274&amp;"|"&amp;$J274&amp;"|"&amp;$E274&amp;"|"&amp;$V274</f>
        <v/>
      </c>
      <c r="X274" s="46">
        <f>TEXT($F274,"hh:mm")&amp;" - "&amp;TEXT($G274,"hh:mm")&amp;IF($P274="Quinzaine A","   ◆ Q-A",IF($P274="Quinzaine B","   ◆ Q-B",IF($P274="Exception","   ◆ PONCTUEL","")))&amp;CHAR(10)&amp;$K274&amp;CHAR(10)&amp;$M274&amp;IF($N274&lt;&gt;"",CHAR(10)&amp;"Salle "&amp;$N274,"")&amp;IF($O274="En ligne",CHAR(10)&amp;"◆ EN LIGNE","")&amp;IF($R274&lt;&gt;"",CHAR(10)&amp;$R274,"")</f>
        <v/>
      </c>
      <c r="Y274" s="45" t="inlineStr">
        <is>
          <t>15h30-17h Histoire (Abdelwaheb)</t>
        </is>
      </c>
      <c r="Z274" s="45" t="inlineStr">
        <is>
          <t>du 28-09 jusquà le 04-10!L56</t>
        </is>
      </c>
    </row>
    <row r="275" ht="15" customHeight="1">
      <c r="A275" s="10" t="inlineStr">
        <is>
          <t>S3</t>
        </is>
      </c>
      <c r="B275" s="9" t="inlineStr">
        <is>
          <t>du 28 septembre au 4 octobre 2026</t>
        </is>
      </c>
      <c r="C275" s="10" t="inlineStr">
        <is>
          <t>A</t>
        </is>
      </c>
      <c r="D275" s="41" t="n">
        <v>46298</v>
      </c>
      <c r="E275" s="10" t="inlineStr">
        <is>
          <t>Samedi</t>
        </is>
      </c>
      <c r="F275" s="42" t="n">
        <v>0.6666666666666666</v>
      </c>
      <c r="G275" s="42" t="n">
        <v>0.7291666666666666</v>
      </c>
      <c r="H275" s="43">
        <f>IF(OR($F275="",$G275=""),"",($G275-$F275)*24)</f>
        <v/>
      </c>
      <c r="I275" s="10" t="inlineStr">
        <is>
          <t>Secondaire</t>
        </is>
      </c>
      <c r="J275" s="9" t="inlineStr">
        <is>
          <t>2éme SCE</t>
        </is>
      </c>
      <c r="K275" s="9" t="inlineStr">
        <is>
          <t>SVT</t>
        </is>
      </c>
      <c r="L275" s="9" t="inlineStr">
        <is>
          <t>SVT</t>
        </is>
      </c>
      <c r="M275" s="9" t="inlineStr">
        <is>
          <t>Rym</t>
        </is>
      </c>
      <c r="N275" s="10" t="n"/>
      <c r="O275" s="10" t="n"/>
      <c r="P275" s="10" t="inlineStr">
        <is>
          <t>Hebdomadaire</t>
        </is>
      </c>
      <c r="Q275" s="9" t="inlineStr">
        <is>
          <t>Original (septembre)</t>
        </is>
      </c>
      <c r="R275" s="9" t="inlineStr"/>
      <c r="S275" s="44">
        <f>IF($M275="","",IF(SUMPRODUCT(($D$4:$D$704=$D275)*($M$4:$M$704=$M275)*($F$4:$F$704&lt;$G275)*($G$4:$G$704&gt;$F275))&gt;1,"⚠ CONFLIT",""))</f>
        <v/>
      </c>
      <c r="T275" s="44">
        <f>IF($J275="","",IF(SUMPRODUCT(($D$4:$D$704=$D275)*($J$4:$J$704=$J275)*($F$4:$F$704&lt;$G275)*($G$4:$G$704&gt;$F275))&gt;1,"⚠ CONFLIT",""))</f>
        <v/>
      </c>
      <c r="U275" s="44">
        <f>IF(COUNTIFS($D$4:$D$704,$D275,$J$4:$J$704,$J275,$F$4:$F$704,$F275,$K$4:$K$704,$K275)&gt;1,"⚠ DOUBLON","")</f>
        <v/>
      </c>
      <c r="V275" s="44">
        <f>COUNTIFS($A$4:$A275,$A275,$J$4:$J275,$J275,$E$4:$E275,$E275)</f>
        <v/>
      </c>
      <c r="W275" s="45">
        <f>$A275&amp;"|"&amp;$J275&amp;"|"&amp;$E275&amp;"|"&amp;$V275</f>
        <v/>
      </c>
      <c r="X275" s="46">
        <f>TEXT($F275,"hh:mm")&amp;" - "&amp;TEXT($G275,"hh:mm")&amp;IF($P275="Quinzaine A","   ◆ Q-A",IF($P275="Quinzaine B","   ◆ Q-B",IF($P275="Exception","   ◆ PONCTUEL","")))&amp;CHAR(10)&amp;$K275&amp;CHAR(10)&amp;$M275&amp;IF($N275&lt;&gt;"",CHAR(10)&amp;"Salle "&amp;$N275,"")&amp;IF($O275="En ligne",CHAR(10)&amp;"◆ EN LIGNE","")&amp;IF($R275&lt;&gt;"",CHAR(10)&amp;$R275,"")</f>
        <v/>
      </c>
      <c r="Y275" s="45" t="inlineStr">
        <is>
          <t>16h-17h30 SVT (Rym)</t>
        </is>
      </c>
      <c r="Z275" s="45" t="inlineStr">
        <is>
          <t>du 28-09 jusquà le 04-10!L58</t>
        </is>
      </c>
    </row>
    <row r="276" ht="15" customHeight="1">
      <c r="A276" s="10" t="inlineStr">
        <is>
          <t>S3</t>
        </is>
      </c>
      <c r="B276" s="9" t="inlineStr">
        <is>
          <t>du 28 septembre au 4 octobre 2026</t>
        </is>
      </c>
      <c r="C276" s="10" t="inlineStr">
        <is>
          <t>A</t>
        </is>
      </c>
      <c r="D276" s="41" t="n">
        <v>46298</v>
      </c>
      <c r="E276" s="10" t="inlineStr">
        <is>
          <t>Samedi</t>
        </is>
      </c>
      <c r="F276" s="42" t="n">
        <v>0.7083333333333334</v>
      </c>
      <c r="G276" s="42" t="n">
        <v>0.7916666666666666</v>
      </c>
      <c r="H276" s="43">
        <f>IF(OR($F276="",$G276=""),"",($G276-$F276)*24)</f>
        <v/>
      </c>
      <c r="I276" s="10" t="inlineStr">
        <is>
          <t>Secondaire</t>
        </is>
      </c>
      <c r="J276" s="9" t="inlineStr">
        <is>
          <t>2éme INFO</t>
        </is>
      </c>
      <c r="K276" s="9" t="inlineStr">
        <is>
          <t>Informatique</t>
        </is>
      </c>
      <c r="L276" s="9" t="inlineStr">
        <is>
          <t>Informatique</t>
        </is>
      </c>
      <c r="M276" s="9" t="inlineStr">
        <is>
          <t>Aymen</t>
        </is>
      </c>
      <c r="N276" s="10" t="n"/>
      <c r="O276" s="10" t="n"/>
      <c r="P276" s="10" t="inlineStr">
        <is>
          <t>Hebdomadaire</t>
        </is>
      </c>
      <c r="Q276" s="9" t="inlineStr">
        <is>
          <t>Original (septembre)</t>
        </is>
      </c>
      <c r="R276" s="9" t="inlineStr"/>
      <c r="S276" s="44">
        <f>IF($M276="","",IF(SUMPRODUCT(($D$4:$D$704=$D276)*($M$4:$M$704=$M276)*($F$4:$F$704&lt;$G276)*($G$4:$G$704&gt;$F276))&gt;1,"⚠ CONFLIT",""))</f>
        <v/>
      </c>
      <c r="T276" s="44">
        <f>IF($J276="","",IF(SUMPRODUCT(($D$4:$D$704=$D276)*($J$4:$J$704=$J276)*($F$4:$F$704&lt;$G276)*($G$4:$G$704&gt;$F276))&gt;1,"⚠ CONFLIT",""))</f>
        <v/>
      </c>
      <c r="U276" s="44">
        <f>IF(COUNTIFS($D$4:$D$704,$D276,$J$4:$J$704,$J276,$F$4:$F$704,$F276,$K$4:$K$704,$K276)&gt;1,"⚠ DOUBLON","")</f>
        <v/>
      </c>
      <c r="V276" s="44">
        <f>COUNTIFS($A$4:$A276,$A276,$J$4:$J276,$J276,$E$4:$E276,$E276)</f>
        <v/>
      </c>
      <c r="W276" s="45">
        <f>$A276&amp;"|"&amp;$J276&amp;"|"&amp;$E276&amp;"|"&amp;$V276</f>
        <v/>
      </c>
      <c r="X276" s="46">
        <f>TEXT($F276,"hh:mm")&amp;" - "&amp;TEXT($G276,"hh:mm")&amp;IF($P276="Quinzaine A","   ◆ Q-A",IF($P276="Quinzaine B","   ◆ Q-B",IF($P276="Exception","   ◆ PONCTUEL","")))&amp;CHAR(10)&amp;$K276&amp;CHAR(10)&amp;$M276&amp;IF($N276&lt;&gt;"",CHAR(10)&amp;"Salle "&amp;$N276,"")&amp;IF($O276="En ligne",CHAR(10)&amp;"◆ EN LIGNE","")&amp;IF($R276&lt;&gt;"",CHAR(10)&amp;$R276,"")</f>
        <v/>
      </c>
      <c r="Y276" s="45" t="inlineStr">
        <is>
          <t>17h-19h Informatique (Aymen)</t>
        </is>
      </c>
      <c r="Z276" s="45" t="inlineStr">
        <is>
          <t>du 28-09 jusquà le 04-10!L60</t>
        </is>
      </c>
    </row>
    <row r="277" ht="15" customHeight="1">
      <c r="A277" s="10" t="inlineStr">
        <is>
          <t>S3</t>
        </is>
      </c>
      <c r="B277" s="9" t="inlineStr">
        <is>
          <t>du 28 septembre au 4 octobre 2026</t>
        </is>
      </c>
      <c r="C277" s="10" t="inlineStr">
        <is>
          <t>A</t>
        </is>
      </c>
      <c r="D277" s="41" t="n">
        <v>46298</v>
      </c>
      <c r="E277" s="10" t="inlineStr">
        <is>
          <t>Samedi</t>
        </is>
      </c>
      <c r="F277" s="42" t="n">
        <v>0.7083333333333334</v>
      </c>
      <c r="G277" s="42" t="n">
        <v>0.7708333333333334</v>
      </c>
      <c r="H277" s="43">
        <f>IF(OR($F277="",$G277=""),"",($G277-$F277)*24)</f>
        <v/>
      </c>
      <c r="I277" s="10" t="inlineStr">
        <is>
          <t>Secondaire</t>
        </is>
      </c>
      <c r="J277" s="9" t="inlineStr">
        <is>
          <t>3éme Eco</t>
        </is>
      </c>
      <c r="K277" s="9" t="inlineStr">
        <is>
          <t>Histoire</t>
        </is>
      </c>
      <c r="L277" s="9" t="inlineStr">
        <is>
          <t>Histoire</t>
        </is>
      </c>
      <c r="M277" s="9" t="inlineStr">
        <is>
          <t>Abdelwaheb</t>
        </is>
      </c>
      <c r="N277" s="10" t="n"/>
      <c r="O277" s="10" t="n"/>
      <c r="P277" s="10" t="inlineStr">
        <is>
          <t>Quinzaine A</t>
        </is>
      </c>
      <c r="Q277" s="9" t="inlineStr">
        <is>
          <t>Original (septembre)</t>
        </is>
      </c>
      <c r="R277" s="9" t="inlineStr"/>
      <c r="S277" s="44">
        <f>IF($M277="","",IF(SUMPRODUCT(($D$4:$D$704=$D277)*($M$4:$M$704=$M277)*($F$4:$F$704&lt;$G277)*($G$4:$G$704&gt;$F277))&gt;1,"⚠ CONFLIT",""))</f>
        <v/>
      </c>
      <c r="T277" s="44">
        <f>IF($J277="","",IF(SUMPRODUCT(($D$4:$D$704=$D277)*($J$4:$J$704=$J277)*($F$4:$F$704&lt;$G277)*($G$4:$G$704&gt;$F277))&gt;1,"⚠ CONFLIT",""))</f>
        <v/>
      </c>
      <c r="U277" s="44">
        <f>IF(COUNTIFS($D$4:$D$704,$D277,$J$4:$J$704,$J277,$F$4:$F$704,$F277,$K$4:$K$704,$K277)&gt;1,"⚠ DOUBLON","")</f>
        <v/>
      </c>
      <c r="V277" s="44">
        <f>COUNTIFS($A$4:$A277,$A277,$J$4:$J277,$J277,$E$4:$E277,$E277)</f>
        <v/>
      </c>
      <c r="W277" s="45">
        <f>$A277&amp;"|"&amp;$J277&amp;"|"&amp;$E277&amp;"|"&amp;$V277</f>
        <v/>
      </c>
      <c r="X277" s="46">
        <f>TEXT($F277,"hh:mm")&amp;" - "&amp;TEXT($G277,"hh:mm")&amp;IF($P277="Quinzaine A","   ◆ Q-A",IF($P277="Quinzaine B","   ◆ Q-B",IF($P277="Exception","   ◆ PONCTUEL","")))&amp;CHAR(10)&amp;$K277&amp;CHAR(10)&amp;$M277&amp;IF($N277&lt;&gt;"",CHAR(10)&amp;"Salle "&amp;$N277,"")&amp;IF($O277="En ligne",CHAR(10)&amp;"◆ EN LIGNE","")&amp;IF($R277&lt;&gt;"",CHAR(10)&amp;$R277,"")</f>
        <v/>
      </c>
      <c r="Y277" s="45" t="inlineStr">
        <is>
          <t>17h-18h30 Histoire (Abdelwaheb)</t>
        </is>
      </c>
      <c r="Z277" s="45" t="inlineStr">
        <is>
          <t>du 28-09 jusquà le 04-10!L62</t>
        </is>
      </c>
    </row>
    <row r="278" ht="15" customHeight="1">
      <c r="A278" s="10" t="inlineStr">
        <is>
          <t>S3</t>
        </is>
      </c>
      <c r="B278" s="9" t="inlineStr">
        <is>
          <t>du 28 septembre au 4 octobre 2026</t>
        </is>
      </c>
      <c r="C278" s="10" t="inlineStr">
        <is>
          <t>A</t>
        </is>
      </c>
      <c r="D278" s="41" t="n">
        <v>46298</v>
      </c>
      <c r="E278" s="10" t="inlineStr">
        <is>
          <t>Samedi</t>
        </is>
      </c>
      <c r="F278" s="42" t="n">
        <v>0.625</v>
      </c>
      <c r="G278" s="42" t="n">
        <v>0.7083333333333334</v>
      </c>
      <c r="H278" s="43">
        <f>IF(OR($F278="",$G278=""),"",($G278-$F278)*24)</f>
        <v/>
      </c>
      <c r="I278" s="10" t="inlineStr">
        <is>
          <t>Secondaire</t>
        </is>
      </c>
      <c r="J278" s="9" t="inlineStr">
        <is>
          <t>3éme INFO</t>
        </is>
      </c>
      <c r="K278" s="9" t="inlineStr">
        <is>
          <t>ALGO</t>
        </is>
      </c>
      <c r="L278" s="9" t="inlineStr">
        <is>
          <t>ALGO</t>
        </is>
      </c>
      <c r="M278" s="9" t="inlineStr">
        <is>
          <t>Aymen</t>
        </is>
      </c>
      <c r="N278" s="10" t="n"/>
      <c r="O278" s="10" t="n"/>
      <c r="P278" s="10" t="inlineStr">
        <is>
          <t>Hebdomadaire</t>
        </is>
      </c>
      <c r="Q278" s="9" t="inlineStr">
        <is>
          <t>Original (septembre)</t>
        </is>
      </c>
      <c r="R278" s="9" t="inlineStr"/>
      <c r="S278" s="44">
        <f>IF($M278="","",IF(SUMPRODUCT(($D$4:$D$704=$D278)*($M$4:$M$704=$M278)*($F$4:$F$704&lt;$G278)*($G$4:$G$704&gt;$F278))&gt;1,"⚠ CONFLIT",""))</f>
        <v/>
      </c>
      <c r="T278" s="44">
        <f>IF($J278="","",IF(SUMPRODUCT(($D$4:$D$704=$D278)*($J$4:$J$704=$J278)*($F$4:$F$704&lt;$G278)*($G$4:$G$704&gt;$F278))&gt;1,"⚠ CONFLIT",""))</f>
        <v/>
      </c>
      <c r="U278" s="44">
        <f>IF(COUNTIFS($D$4:$D$704,$D278,$J$4:$J$704,$J278,$F$4:$F$704,$F278,$K$4:$K$704,$K278)&gt;1,"⚠ DOUBLON","")</f>
        <v/>
      </c>
      <c r="V278" s="44">
        <f>COUNTIFS($A$4:$A278,$A278,$J$4:$J278,$J278,$E$4:$E278,$E278)</f>
        <v/>
      </c>
      <c r="W278" s="45">
        <f>$A278&amp;"|"&amp;$J278&amp;"|"&amp;$E278&amp;"|"&amp;$V278</f>
        <v/>
      </c>
      <c r="X278" s="46">
        <f>TEXT($F278,"hh:mm")&amp;" - "&amp;TEXT($G278,"hh:mm")&amp;IF($P278="Quinzaine A","   ◆ Q-A",IF($P278="Quinzaine B","   ◆ Q-B",IF($P278="Exception","   ◆ PONCTUEL","")))&amp;CHAR(10)&amp;$K278&amp;CHAR(10)&amp;$M278&amp;IF($N278&lt;&gt;"",CHAR(10)&amp;"Salle "&amp;$N278,"")&amp;IF($O278="En ligne",CHAR(10)&amp;"◆ EN LIGNE","")&amp;IF($R278&lt;&gt;"",CHAR(10)&amp;$R278,"")</f>
        <v/>
      </c>
      <c r="Y278" s="45" t="inlineStr">
        <is>
          <t>15h-17h ALGO (Aymen)</t>
        </is>
      </c>
      <c r="Z278" s="45" t="inlineStr">
        <is>
          <t>du 28-09 jusquà le 04-10!L64</t>
        </is>
      </c>
    </row>
    <row r="279" ht="15" customHeight="1">
      <c r="A279" s="10" t="inlineStr">
        <is>
          <t>S3</t>
        </is>
      </c>
      <c r="B279" s="9" t="inlineStr">
        <is>
          <t>du 28 septembre au 4 octobre 2026</t>
        </is>
      </c>
      <c r="C279" s="10" t="inlineStr">
        <is>
          <t>A</t>
        </is>
      </c>
      <c r="D279" s="41" t="n">
        <v>46298</v>
      </c>
      <c r="E279" s="10" t="inlineStr">
        <is>
          <t>Samedi</t>
        </is>
      </c>
      <c r="F279" s="42" t="n">
        <v>0.7291666666666666</v>
      </c>
      <c r="G279" s="42" t="n">
        <v>0.7916666666666666</v>
      </c>
      <c r="H279" s="43">
        <f>IF(OR($F279="",$G279=""),"",($G279-$F279)*24)</f>
        <v/>
      </c>
      <c r="I279" s="10" t="inlineStr">
        <is>
          <t>Secondaire</t>
        </is>
      </c>
      <c r="J279" s="9" t="inlineStr">
        <is>
          <t>3éme SCE</t>
        </is>
      </c>
      <c r="K279" s="9" t="inlineStr">
        <is>
          <t>SVT</t>
        </is>
      </c>
      <c r="L279" s="9" t="inlineStr">
        <is>
          <t>SVT</t>
        </is>
      </c>
      <c r="M279" s="9" t="inlineStr">
        <is>
          <t>Rym</t>
        </is>
      </c>
      <c r="N279" s="10" t="n"/>
      <c r="O279" s="10" t="n"/>
      <c r="P279" s="10" t="inlineStr">
        <is>
          <t>Hebdomadaire</t>
        </is>
      </c>
      <c r="Q279" s="9" t="inlineStr">
        <is>
          <t>Original (septembre)</t>
        </is>
      </c>
      <c r="R279" s="9" t="inlineStr"/>
      <c r="S279" s="44">
        <f>IF($M279="","",IF(SUMPRODUCT(($D$4:$D$704=$D279)*($M$4:$M$704=$M279)*($F$4:$F$704&lt;$G279)*($G$4:$G$704&gt;$F279))&gt;1,"⚠ CONFLIT",""))</f>
        <v/>
      </c>
      <c r="T279" s="44">
        <f>IF($J279="","",IF(SUMPRODUCT(($D$4:$D$704=$D279)*($J$4:$J$704=$J279)*($F$4:$F$704&lt;$G279)*($G$4:$G$704&gt;$F279))&gt;1,"⚠ CONFLIT",""))</f>
        <v/>
      </c>
      <c r="U279" s="44">
        <f>IF(COUNTIFS($D$4:$D$704,$D279,$J$4:$J$704,$J279,$F$4:$F$704,$F279,$K$4:$K$704,$K279)&gt;1,"⚠ DOUBLON","")</f>
        <v/>
      </c>
      <c r="V279" s="44">
        <f>COUNTIFS($A$4:$A279,$A279,$J$4:$J279,$J279,$E$4:$E279,$E279)</f>
        <v/>
      </c>
      <c r="W279" s="45">
        <f>$A279&amp;"|"&amp;$J279&amp;"|"&amp;$E279&amp;"|"&amp;$V279</f>
        <v/>
      </c>
      <c r="X279" s="46">
        <f>TEXT($F279,"hh:mm")&amp;" - "&amp;TEXT($G279,"hh:mm")&amp;IF($P279="Quinzaine A","   ◆ Q-A",IF($P279="Quinzaine B","   ◆ Q-B",IF($P279="Exception","   ◆ PONCTUEL","")))&amp;CHAR(10)&amp;$K279&amp;CHAR(10)&amp;$M279&amp;IF($N279&lt;&gt;"",CHAR(10)&amp;"Salle "&amp;$N279,"")&amp;IF($O279="En ligne",CHAR(10)&amp;"◆ EN LIGNE","")&amp;IF($R279&lt;&gt;"",CHAR(10)&amp;$R279,"")</f>
        <v/>
      </c>
      <c r="Y279" s="45" t="inlineStr">
        <is>
          <t>17h30-19h SVT (Rym)</t>
        </is>
      </c>
      <c r="Z279" s="45" t="inlineStr">
        <is>
          <t>du 28-09 jusquà le 04-10!L67</t>
        </is>
      </c>
    </row>
    <row r="280" ht="15" customHeight="1">
      <c r="A280" s="10" t="inlineStr">
        <is>
          <t>S3</t>
        </is>
      </c>
      <c r="B280" s="9" t="inlineStr">
        <is>
          <t>du 28 septembre au 4 octobre 2026</t>
        </is>
      </c>
      <c r="C280" s="10" t="inlineStr">
        <is>
          <t>A</t>
        </is>
      </c>
      <c r="D280" s="41" t="n">
        <v>46298</v>
      </c>
      <c r="E280" s="10" t="inlineStr">
        <is>
          <t>Samedi</t>
        </is>
      </c>
      <c r="F280" s="42" t="n">
        <v>0.7708333333333334</v>
      </c>
      <c r="G280" s="42" t="n">
        <v>0.8333333333333334</v>
      </c>
      <c r="H280" s="43">
        <f>IF(OR($F280="",$G280=""),"",($G280-$F280)*24)</f>
        <v/>
      </c>
      <c r="I280" s="10" t="inlineStr">
        <is>
          <t>Bac</t>
        </is>
      </c>
      <c r="J280" s="9" t="inlineStr">
        <is>
          <t>Bac Eco</t>
        </is>
      </c>
      <c r="K280" s="9" t="inlineStr">
        <is>
          <t>Histoire</t>
        </is>
      </c>
      <c r="L280" s="9" t="inlineStr">
        <is>
          <t>Histoire</t>
        </is>
      </c>
      <c r="M280" s="9" t="inlineStr">
        <is>
          <t>Abdelwaheb</t>
        </is>
      </c>
      <c r="N280" s="10" t="n"/>
      <c r="O280" s="10" t="n"/>
      <c r="P280" s="10" t="inlineStr">
        <is>
          <t>Quinzaine A</t>
        </is>
      </c>
      <c r="Q280" s="9" t="inlineStr">
        <is>
          <t>Original (septembre)</t>
        </is>
      </c>
      <c r="R280" s="9" t="inlineStr"/>
      <c r="S280" s="44">
        <f>IF($M280="","",IF(SUMPRODUCT(($D$4:$D$704=$D280)*($M$4:$M$704=$M280)*($F$4:$F$704&lt;$G280)*($G$4:$G$704&gt;$F280))&gt;1,"⚠ CONFLIT",""))</f>
        <v/>
      </c>
      <c r="T280" s="44">
        <f>IF($J280="","",IF(SUMPRODUCT(($D$4:$D$704=$D280)*($J$4:$J$704=$J280)*($F$4:$F$704&lt;$G280)*($G$4:$G$704&gt;$F280))&gt;1,"⚠ CONFLIT",""))</f>
        <v/>
      </c>
      <c r="U280" s="44">
        <f>IF(COUNTIFS($D$4:$D$704,$D280,$J$4:$J$704,$J280,$F$4:$F$704,$F280,$K$4:$K$704,$K280)&gt;1,"⚠ DOUBLON","")</f>
        <v/>
      </c>
      <c r="V280" s="44">
        <f>COUNTIFS($A$4:$A280,$A280,$J$4:$J280,$J280,$E$4:$E280,$E280)</f>
        <v/>
      </c>
      <c r="W280" s="45">
        <f>$A280&amp;"|"&amp;$J280&amp;"|"&amp;$E280&amp;"|"&amp;$V280</f>
        <v/>
      </c>
      <c r="X280" s="46">
        <f>TEXT($F280,"hh:mm")&amp;" - "&amp;TEXT($G280,"hh:mm")&amp;IF($P280="Quinzaine A","   ◆ Q-A",IF($P280="Quinzaine B","   ◆ Q-B",IF($P280="Exception","   ◆ PONCTUEL","")))&amp;CHAR(10)&amp;$K280&amp;CHAR(10)&amp;$M280&amp;IF($N280&lt;&gt;"",CHAR(10)&amp;"Salle "&amp;$N280,"")&amp;IF($O280="En ligne",CHAR(10)&amp;"◆ EN LIGNE","")&amp;IF($R280&lt;&gt;"",CHAR(10)&amp;$R280,"")</f>
        <v/>
      </c>
      <c r="Y280" s="45" t="inlineStr">
        <is>
          <t>18h30-20h Histoire (Abdelwaheb)</t>
        </is>
      </c>
      <c r="Z280" s="45" t="inlineStr">
        <is>
          <t>du 28-09 jusquà le 04-10!L69</t>
        </is>
      </c>
    </row>
    <row r="281" ht="15" customHeight="1">
      <c r="A281" s="10" t="inlineStr">
        <is>
          <t>S3</t>
        </is>
      </c>
      <c r="B281" s="9" t="inlineStr">
        <is>
          <t>du 28 septembre au 4 octobre 2026</t>
        </is>
      </c>
      <c r="C281" s="10" t="inlineStr">
        <is>
          <t>A</t>
        </is>
      </c>
      <c r="D281" s="41" t="n">
        <v>46298</v>
      </c>
      <c r="E281" s="10" t="inlineStr">
        <is>
          <t>Samedi</t>
        </is>
      </c>
      <c r="F281" s="42" t="n">
        <v>0.7916666666666666</v>
      </c>
      <c r="G281" s="42" t="n">
        <v>0.8541666666666666</v>
      </c>
      <c r="H281" s="43">
        <f>IF(OR($F281="",$G281=""),"",($G281-$F281)*24)</f>
        <v/>
      </c>
      <c r="I281" s="10" t="inlineStr">
        <is>
          <t>Bac</t>
        </is>
      </c>
      <c r="J281" s="9" t="inlineStr">
        <is>
          <t>Bac SCE</t>
        </is>
      </c>
      <c r="K281" s="9" t="inlineStr">
        <is>
          <t>SVT</t>
        </is>
      </c>
      <c r="L281" s="9" t="inlineStr">
        <is>
          <t>SVT</t>
        </is>
      </c>
      <c r="M281" s="9" t="inlineStr">
        <is>
          <t>Rym</t>
        </is>
      </c>
      <c r="N281" s="10" t="n"/>
      <c r="O281" s="10" t="n"/>
      <c r="P281" s="10" t="inlineStr">
        <is>
          <t>Hebdomadaire</t>
        </is>
      </c>
      <c r="Q281" s="9" t="inlineStr">
        <is>
          <t>Original (septembre)</t>
        </is>
      </c>
      <c r="R281" s="9" t="inlineStr"/>
      <c r="S281" s="44">
        <f>IF($M281="","",IF(SUMPRODUCT(($D$4:$D$704=$D281)*($M$4:$M$704=$M281)*($F$4:$F$704&lt;$G281)*($G$4:$G$704&gt;$F281))&gt;1,"⚠ CONFLIT",""))</f>
        <v/>
      </c>
      <c r="T281" s="44">
        <f>IF($J281="","",IF(SUMPRODUCT(($D$4:$D$704=$D281)*($J$4:$J$704=$J281)*($F$4:$F$704&lt;$G281)*($G$4:$G$704&gt;$F281))&gt;1,"⚠ CONFLIT",""))</f>
        <v/>
      </c>
      <c r="U281" s="44">
        <f>IF(COUNTIFS($D$4:$D$704,$D281,$J$4:$J$704,$J281,$F$4:$F$704,$F281,$K$4:$K$704,$K281)&gt;1,"⚠ DOUBLON","")</f>
        <v/>
      </c>
      <c r="V281" s="44">
        <f>COUNTIFS($A$4:$A281,$A281,$J$4:$J281,$J281,$E$4:$E281,$E281)</f>
        <v/>
      </c>
      <c r="W281" s="45">
        <f>$A281&amp;"|"&amp;$J281&amp;"|"&amp;$E281&amp;"|"&amp;$V281</f>
        <v/>
      </c>
      <c r="X281" s="46">
        <f>TEXT($F281,"hh:mm")&amp;" - "&amp;TEXT($G281,"hh:mm")&amp;IF($P281="Quinzaine A","   ◆ Q-A",IF($P281="Quinzaine B","   ◆ Q-B",IF($P281="Exception","   ◆ PONCTUEL","")))&amp;CHAR(10)&amp;$K281&amp;CHAR(10)&amp;$M281&amp;IF($N281&lt;&gt;"",CHAR(10)&amp;"Salle "&amp;$N281,"")&amp;IF($O281="En ligne",CHAR(10)&amp;"◆ EN LIGNE","")&amp;IF($R281&lt;&gt;"",CHAR(10)&amp;$R281,"")</f>
        <v/>
      </c>
      <c r="Y281" s="45" t="inlineStr">
        <is>
          <t>19h-20h30 SVT (Rym)</t>
        </is>
      </c>
      <c r="Z281" s="45" t="inlineStr">
        <is>
          <t>du 28-09 jusquà le 04-10!L75</t>
        </is>
      </c>
    </row>
    <row r="282" ht="15" customHeight="1">
      <c r="A282" s="10" t="inlineStr">
        <is>
          <t>S3</t>
        </is>
      </c>
      <c r="B282" s="9" t="inlineStr">
        <is>
          <t>du 28 septembre au 4 octobre 2026</t>
        </is>
      </c>
      <c r="C282" s="10" t="inlineStr">
        <is>
          <t>A</t>
        </is>
      </c>
      <c r="D282" s="41" t="n">
        <v>46298</v>
      </c>
      <c r="E282" s="10" t="inlineStr">
        <is>
          <t>Samedi</t>
        </is>
      </c>
      <c r="F282" s="42" t="n">
        <v>0.7916666666666666</v>
      </c>
      <c r="G282" s="42" t="n">
        <v>0.875</v>
      </c>
      <c r="H282" s="43">
        <f>IF(OR($F282="",$G282=""),"",($G282-$F282)*24)</f>
        <v/>
      </c>
      <c r="I282" s="10" t="inlineStr">
        <is>
          <t>Bac</t>
        </is>
      </c>
      <c r="J282" s="9" t="inlineStr">
        <is>
          <t>Bac INFO</t>
        </is>
      </c>
      <c r="K282" s="9" t="inlineStr">
        <is>
          <t>ALGO</t>
        </is>
      </c>
      <c r="L282" s="9" t="inlineStr">
        <is>
          <t>ALGO</t>
        </is>
      </c>
      <c r="M282" s="9" t="inlineStr">
        <is>
          <t>Heni</t>
        </is>
      </c>
      <c r="N282" s="10" t="n"/>
      <c r="O282" s="10" t="n"/>
      <c r="P282" s="10" t="inlineStr">
        <is>
          <t>Hebdomadaire</t>
        </is>
      </c>
      <c r="Q282" s="9" t="inlineStr">
        <is>
          <t>Original (septembre)</t>
        </is>
      </c>
      <c r="R282" s="9" t="inlineStr"/>
      <c r="S282" s="44">
        <f>IF($M282="","",IF(SUMPRODUCT(($D$4:$D$704=$D282)*($M$4:$M$704=$M282)*($F$4:$F$704&lt;$G282)*($G$4:$G$704&gt;$F282))&gt;1,"⚠ CONFLIT",""))</f>
        <v/>
      </c>
      <c r="T282" s="44">
        <f>IF($J282="","",IF(SUMPRODUCT(($D$4:$D$704=$D282)*($J$4:$J$704=$J282)*($F$4:$F$704&lt;$G282)*($G$4:$G$704&gt;$F282))&gt;1,"⚠ CONFLIT",""))</f>
        <v/>
      </c>
      <c r="U282" s="44">
        <f>IF(COUNTIFS($D$4:$D$704,$D282,$J$4:$J$704,$J282,$F$4:$F$704,$F282,$K$4:$K$704,$K282)&gt;1,"⚠ DOUBLON","")</f>
        <v/>
      </c>
      <c r="V282" s="44">
        <f>COUNTIFS($A$4:$A282,$A282,$J$4:$J282,$J282,$E$4:$E282,$E282)</f>
        <v/>
      </c>
      <c r="W282" s="45">
        <f>$A282&amp;"|"&amp;$J282&amp;"|"&amp;$E282&amp;"|"&amp;$V282</f>
        <v/>
      </c>
      <c r="X282" s="46">
        <f>TEXT($F282,"hh:mm")&amp;" - "&amp;TEXT($G282,"hh:mm")&amp;IF($P282="Quinzaine A","   ◆ Q-A",IF($P282="Quinzaine B","   ◆ Q-B",IF($P282="Exception","   ◆ PONCTUEL","")))&amp;CHAR(10)&amp;$K282&amp;CHAR(10)&amp;$M282&amp;IF($N282&lt;&gt;"",CHAR(10)&amp;"Salle "&amp;$N282,"")&amp;IF($O282="En ligne",CHAR(10)&amp;"◆ EN LIGNE","")&amp;IF($R282&lt;&gt;"",CHAR(10)&amp;$R282,"")</f>
        <v/>
      </c>
      <c r="Y282" s="45" t="inlineStr">
        <is>
          <t>19h-21h ALGO (Heni)</t>
        </is>
      </c>
      <c r="Z282" s="45" t="inlineStr">
        <is>
          <t>du 28-09 jusquà le 04-10!L79</t>
        </is>
      </c>
    </row>
    <row r="283" ht="15" customHeight="1">
      <c r="A283" s="10" t="inlineStr">
        <is>
          <t>S3</t>
        </is>
      </c>
      <c r="B283" s="9" t="inlineStr">
        <is>
          <t>du 28 septembre au 4 octobre 2026</t>
        </is>
      </c>
      <c r="C283" s="10" t="inlineStr">
        <is>
          <t>A</t>
        </is>
      </c>
      <c r="D283" s="41" t="n">
        <v>46299</v>
      </c>
      <c r="E283" s="10" t="inlineStr">
        <is>
          <t>Dimanche</t>
        </is>
      </c>
      <c r="F283" s="42" t="n">
        <v>0.4375</v>
      </c>
      <c r="G283" s="42" t="n">
        <v>0.5</v>
      </c>
      <c r="H283" s="43">
        <f>IF(OR($F283="",$G283=""),"",($G283-$F283)*24)</f>
        <v/>
      </c>
      <c r="I283" s="10" t="inlineStr">
        <is>
          <t>Primaire</t>
        </is>
      </c>
      <c r="J283" s="9" t="inlineStr">
        <is>
          <t>4éme</t>
        </is>
      </c>
      <c r="K283" s="9" t="inlineStr">
        <is>
          <t>Anglais</t>
        </is>
      </c>
      <c r="L283" s="9" t="inlineStr">
        <is>
          <t>Anglais</t>
        </is>
      </c>
      <c r="M283" s="9" t="inlineStr">
        <is>
          <t>Samar</t>
        </is>
      </c>
      <c r="N283" s="10" t="n"/>
      <c r="O283" s="10" t="n"/>
      <c r="P283" s="10" t="inlineStr">
        <is>
          <t>Quinzaine A</t>
        </is>
      </c>
      <c r="Q283" s="9" t="inlineStr">
        <is>
          <t>Original (septembre)</t>
        </is>
      </c>
      <c r="R283" s="9" t="inlineStr"/>
      <c r="S283" s="44">
        <f>IF($M283="","",IF(SUMPRODUCT(($D$4:$D$704=$D283)*($M$4:$M$704=$M283)*($F$4:$F$704&lt;$G283)*($G$4:$G$704&gt;$F283))&gt;1,"⚠ CONFLIT",""))</f>
        <v/>
      </c>
      <c r="T283" s="44">
        <f>IF($J283="","",IF(SUMPRODUCT(($D$4:$D$704=$D283)*($J$4:$J$704=$J283)*($F$4:$F$704&lt;$G283)*($G$4:$G$704&gt;$F283))&gt;1,"⚠ CONFLIT",""))</f>
        <v/>
      </c>
      <c r="U283" s="44">
        <f>IF(COUNTIFS($D$4:$D$704,$D283,$J$4:$J$704,$J283,$F$4:$F$704,$F283,$K$4:$K$704,$K283)&gt;1,"⚠ DOUBLON","")</f>
        <v/>
      </c>
      <c r="V283" s="44">
        <f>COUNTIFS($A$4:$A283,$A283,$J$4:$J283,$J283,$E$4:$E283,$E283)</f>
        <v/>
      </c>
      <c r="W283" s="45">
        <f>$A283&amp;"|"&amp;$J283&amp;"|"&amp;$E283&amp;"|"&amp;$V283</f>
        <v/>
      </c>
      <c r="X283" s="46">
        <f>TEXT($F283,"hh:mm")&amp;" - "&amp;TEXT($G283,"hh:mm")&amp;IF($P283="Quinzaine A","   ◆ Q-A",IF($P283="Quinzaine B","   ◆ Q-B",IF($P283="Exception","   ◆ PONCTUEL","")))&amp;CHAR(10)&amp;$K283&amp;CHAR(10)&amp;$M283&amp;IF($N283&lt;&gt;"",CHAR(10)&amp;"Salle "&amp;$N283,"")&amp;IF($O283="En ligne",CHAR(10)&amp;"◆ EN LIGNE","")&amp;IF($R283&lt;&gt;"",CHAR(10)&amp;$R283,"")</f>
        <v/>
      </c>
      <c r="Y283" s="45" t="inlineStr">
        <is>
          <t>10h30-12h Anglais /par quinzaine (Samar)</t>
        </is>
      </c>
      <c r="Z283" s="45" t="inlineStr">
        <is>
          <t>du 28-09 jusquà le 04-10!M3</t>
        </is>
      </c>
    </row>
    <row r="284" ht="15" customHeight="1">
      <c r="A284" s="10" t="inlineStr">
        <is>
          <t>S3</t>
        </is>
      </c>
      <c r="B284" s="9" t="inlineStr">
        <is>
          <t>du 28 septembre au 4 octobre 2026</t>
        </is>
      </c>
      <c r="C284" s="10" t="inlineStr">
        <is>
          <t>A</t>
        </is>
      </c>
      <c r="D284" s="41" t="n">
        <v>46299</v>
      </c>
      <c r="E284" s="10" t="inlineStr">
        <is>
          <t>Dimanche</t>
        </is>
      </c>
      <c r="F284" s="42" t="n">
        <v>0.5</v>
      </c>
      <c r="G284" s="42" t="n">
        <v>0.5625</v>
      </c>
      <c r="H284" s="43">
        <f>IF(OR($F284="",$G284=""),"",($G284-$F284)*24)</f>
        <v/>
      </c>
      <c r="I284" s="10" t="inlineStr">
        <is>
          <t>Primaire</t>
        </is>
      </c>
      <c r="J284" s="9" t="inlineStr">
        <is>
          <t>6éme Pilote (A)</t>
        </is>
      </c>
      <c r="K284" s="9" t="inlineStr">
        <is>
          <t>Anglais</t>
        </is>
      </c>
      <c r="L284" s="9" t="inlineStr">
        <is>
          <t>Anglais</t>
        </is>
      </c>
      <c r="M284" s="9" t="inlineStr">
        <is>
          <t>Samar</t>
        </is>
      </c>
      <c r="N284" s="10" t="n"/>
      <c r="O284" s="10" t="n"/>
      <c r="P284" s="10" t="inlineStr">
        <is>
          <t>Quinzaine A</t>
        </is>
      </c>
      <c r="Q284" s="9" t="inlineStr">
        <is>
          <t>Original (septembre)</t>
        </is>
      </c>
      <c r="R284" s="9" t="inlineStr"/>
      <c r="S284" s="44">
        <f>IF($M284="","",IF(SUMPRODUCT(($D$4:$D$704=$D284)*($M$4:$M$704=$M284)*($F$4:$F$704&lt;$G284)*($G$4:$G$704&gt;$F284))&gt;1,"⚠ CONFLIT",""))</f>
        <v/>
      </c>
      <c r="T284" s="44">
        <f>IF($J284="","",IF(SUMPRODUCT(($D$4:$D$704=$D284)*($J$4:$J$704=$J284)*($F$4:$F$704&lt;$G284)*($G$4:$G$704&gt;$F284))&gt;1,"⚠ CONFLIT",""))</f>
        <v/>
      </c>
      <c r="U284" s="44">
        <f>IF(COUNTIFS($D$4:$D$704,$D284,$J$4:$J$704,$J284,$F$4:$F$704,$F284,$K$4:$K$704,$K284)&gt;1,"⚠ DOUBLON","")</f>
        <v/>
      </c>
      <c r="V284" s="44">
        <f>COUNTIFS($A$4:$A284,$A284,$J$4:$J284,$J284,$E$4:$E284,$E284)</f>
        <v/>
      </c>
      <c r="W284" s="45">
        <f>$A284&amp;"|"&amp;$J284&amp;"|"&amp;$E284&amp;"|"&amp;$V284</f>
        <v/>
      </c>
      <c r="X284" s="46">
        <f>TEXT($F284,"hh:mm")&amp;" - "&amp;TEXT($G284,"hh:mm")&amp;IF($P284="Quinzaine A","   ◆ Q-A",IF($P284="Quinzaine B","   ◆ Q-B",IF($P284="Exception","   ◆ PONCTUEL","")))&amp;CHAR(10)&amp;$K284&amp;CHAR(10)&amp;$M284&amp;IF($N284&lt;&gt;"",CHAR(10)&amp;"Salle "&amp;$N284,"")&amp;IF($O284="En ligne",CHAR(10)&amp;"◆ EN LIGNE","")&amp;IF($R284&lt;&gt;"",CHAR(10)&amp;$R284,"")</f>
        <v/>
      </c>
      <c r="Y284" s="45" t="inlineStr">
        <is>
          <t>12h-13h30 Anglais /par quinzaine (Samar)</t>
        </is>
      </c>
      <c r="Z284" s="45" t="inlineStr">
        <is>
          <t>du 28-09 jusquà le 04-10!M12</t>
        </is>
      </c>
    </row>
    <row r="285" ht="15" customHeight="1">
      <c r="A285" s="10" t="inlineStr">
        <is>
          <t>S3</t>
        </is>
      </c>
      <c r="B285" s="9" t="inlineStr">
        <is>
          <t>du 28 septembre au 4 octobre 2026</t>
        </is>
      </c>
      <c r="C285" s="10" t="inlineStr">
        <is>
          <t>A</t>
        </is>
      </c>
      <c r="D285" s="41" t="n">
        <v>46299</v>
      </c>
      <c r="E285" s="10" t="inlineStr">
        <is>
          <t>Dimanche</t>
        </is>
      </c>
      <c r="F285" s="42" t="n">
        <v>0.5833333333333334</v>
      </c>
      <c r="G285" s="42" t="n">
        <v>0.6458333333333334</v>
      </c>
      <c r="H285" s="43">
        <f>IF(OR($F285="",$G285=""),"",($G285-$F285)*24)</f>
        <v/>
      </c>
      <c r="I285" s="10" t="inlineStr">
        <is>
          <t>Collège</t>
        </is>
      </c>
      <c r="J285" s="9" t="inlineStr">
        <is>
          <t>7éme (A)</t>
        </is>
      </c>
      <c r="K285" s="9" t="inlineStr">
        <is>
          <t>Français</t>
        </is>
      </c>
      <c r="L285" s="9" t="inlineStr">
        <is>
          <t>Français</t>
        </is>
      </c>
      <c r="M285" s="9" t="inlineStr">
        <is>
          <t>Marwa</t>
        </is>
      </c>
      <c r="N285" s="10" t="n"/>
      <c r="O285" s="10" t="n"/>
      <c r="P285" s="10" t="inlineStr">
        <is>
          <t>Hebdomadaire</t>
        </is>
      </c>
      <c r="Q285" s="9" t="inlineStr">
        <is>
          <t>Original (septembre)</t>
        </is>
      </c>
      <c r="R285" s="9" t="inlineStr"/>
      <c r="S285" s="44">
        <f>IF($M285="","",IF(SUMPRODUCT(($D$4:$D$704=$D285)*($M$4:$M$704=$M285)*($F$4:$F$704&lt;$G285)*($G$4:$G$704&gt;$F285))&gt;1,"⚠ CONFLIT",""))</f>
        <v/>
      </c>
      <c r="T285" s="44">
        <f>IF($J285="","",IF(SUMPRODUCT(($D$4:$D$704=$D285)*($J$4:$J$704=$J285)*($F$4:$F$704&lt;$G285)*($G$4:$G$704&gt;$F285))&gt;1,"⚠ CONFLIT",""))</f>
        <v/>
      </c>
      <c r="U285" s="44">
        <f>IF(COUNTIFS($D$4:$D$704,$D285,$J$4:$J$704,$J285,$F$4:$F$704,$F285,$K$4:$K$704,$K285)&gt;1,"⚠ DOUBLON","")</f>
        <v/>
      </c>
      <c r="V285" s="44">
        <f>COUNTIFS($A$4:$A285,$A285,$J$4:$J285,$J285,$E$4:$E285,$E285)</f>
        <v/>
      </c>
      <c r="W285" s="45">
        <f>$A285&amp;"|"&amp;$J285&amp;"|"&amp;$E285&amp;"|"&amp;$V285</f>
        <v/>
      </c>
      <c r="X285" s="46">
        <f>TEXT($F285,"hh:mm")&amp;" - "&amp;TEXT($G285,"hh:mm")&amp;IF($P285="Quinzaine A","   ◆ Q-A",IF($P285="Quinzaine B","   ◆ Q-B",IF($P285="Exception","   ◆ PONCTUEL","")))&amp;CHAR(10)&amp;$K285&amp;CHAR(10)&amp;$M285&amp;IF($N285&lt;&gt;"",CHAR(10)&amp;"Salle "&amp;$N285,"")&amp;IF($O285="En ligne",CHAR(10)&amp;"◆ EN LIGNE","")&amp;IF($R285&lt;&gt;"",CHAR(10)&amp;$R285,"")</f>
        <v/>
      </c>
      <c r="Y285" s="45" t="inlineStr">
        <is>
          <t>14h-15h30 Français (Marwa)</t>
        </is>
      </c>
      <c r="Z285" s="45" t="inlineStr">
        <is>
          <t>du 28-09 jusquà le 04-10!M19</t>
        </is>
      </c>
    </row>
    <row r="286" ht="15" customHeight="1">
      <c r="A286" s="10" t="inlineStr">
        <is>
          <t>S3</t>
        </is>
      </c>
      <c r="B286" s="9" t="inlineStr">
        <is>
          <t>du 28 septembre au 4 octobre 2026</t>
        </is>
      </c>
      <c r="C286" s="10" t="inlineStr">
        <is>
          <t>A</t>
        </is>
      </c>
      <c r="D286" s="41" t="n">
        <v>46299</v>
      </c>
      <c r="E286" s="10" t="inlineStr">
        <is>
          <t>Dimanche</t>
        </is>
      </c>
      <c r="F286" s="42" t="n">
        <v>0.6458333333333334</v>
      </c>
      <c r="G286" s="42" t="n">
        <v>0.7083333333333334</v>
      </c>
      <c r="H286" s="43">
        <f>IF(OR($F286="",$G286=""),"",($G286-$F286)*24)</f>
        <v/>
      </c>
      <c r="I286" s="10" t="inlineStr">
        <is>
          <t>Collège</t>
        </is>
      </c>
      <c r="J286" s="9" t="inlineStr">
        <is>
          <t>7éme (B)</t>
        </is>
      </c>
      <c r="K286" s="9" t="inlineStr">
        <is>
          <t>Français</t>
        </is>
      </c>
      <c r="L286" s="9" t="inlineStr">
        <is>
          <t>Français</t>
        </is>
      </c>
      <c r="M286" s="9" t="inlineStr">
        <is>
          <t>Marwa</t>
        </is>
      </c>
      <c r="N286" s="10" t="n"/>
      <c r="O286" s="10" t="n"/>
      <c r="P286" s="10" t="inlineStr">
        <is>
          <t>Hebdomadaire</t>
        </is>
      </c>
      <c r="Q286" s="9" t="inlineStr">
        <is>
          <t>Original (septembre)</t>
        </is>
      </c>
      <c r="R286" s="9" t="inlineStr"/>
      <c r="S286" s="44">
        <f>IF($M286="","",IF(SUMPRODUCT(($D$4:$D$704=$D286)*($M$4:$M$704=$M286)*($F$4:$F$704&lt;$G286)*($G$4:$G$704&gt;$F286))&gt;1,"⚠ CONFLIT",""))</f>
        <v/>
      </c>
      <c r="T286" s="44">
        <f>IF($J286="","",IF(SUMPRODUCT(($D$4:$D$704=$D286)*($J$4:$J$704=$J286)*($F$4:$F$704&lt;$G286)*($G$4:$G$704&gt;$F286))&gt;1,"⚠ CONFLIT",""))</f>
        <v/>
      </c>
      <c r="U286" s="44">
        <f>IF(COUNTIFS($D$4:$D$704,$D286,$J$4:$J$704,$J286,$F$4:$F$704,$F286,$K$4:$K$704,$K286)&gt;1,"⚠ DOUBLON","")</f>
        <v/>
      </c>
      <c r="V286" s="44">
        <f>COUNTIFS($A$4:$A286,$A286,$J$4:$J286,$J286,$E$4:$E286,$E286)</f>
        <v/>
      </c>
      <c r="W286" s="45">
        <f>$A286&amp;"|"&amp;$J286&amp;"|"&amp;$E286&amp;"|"&amp;$V286</f>
        <v/>
      </c>
      <c r="X286" s="46">
        <f>TEXT($F286,"hh:mm")&amp;" - "&amp;TEXT($G286,"hh:mm")&amp;IF($P286="Quinzaine A","   ◆ Q-A",IF($P286="Quinzaine B","   ◆ Q-B",IF($P286="Exception","   ◆ PONCTUEL","")))&amp;CHAR(10)&amp;$K286&amp;CHAR(10)&amp;$M286&amp;IF($N286&lt;&gt;"",CHAR(10)&amp;"Salle "&amp;$N286,"")&amp;IF($O286="En ligne",CHAR(10)&amp;"◆ EN LIGNE","")&amp;IF($R286&lt;&gt;"",CHAR(10)&amp;$R286,"")</f>
        <v/>
      </c>
      <c r="Y286" s="45" t="inlineStr">
        <is>
          <t>15h30-17h Français (Marwa)</t>
        </is>
      </c>
      <c r="Z286" s="45" t="inlineStr">
        <is>
          <t>du 28-09 jusquà le 04-10!M23</t>
        </is>
      </c>
    </row>
    <row r="287" ht="15" customHeight="1">
      <c r="A287" s="10" t="inlineStr">
        <is>
          <t>S3</t>
        </is>
      </c>
      <c r="B287" s="9" t="inlineStr">
        <is>
          <t>du 28 septembre au 4 octobre 2026</t>
        </is>
      </c>
      <c r="C287" s="10" t="inlineStr">
        <is>
          <t>A</t>
        </is>
      </c>
      <c r="D287" s="41" t="n">
        <v>46299</v>
      </c>
      <c r="E287" s="10" t="inlineStr">
        <is>
          <t>Dimanche</t>
        </is>
      </c>
      <c r="F287" s="42" t="n">
        <v>0.5729166666666666</v>
      </c>
      <c r="G287" s="42" t="n">
        <v>0.6354166666666666</v>
      </c>
      <c r="H287" s="43">
        <f>IF(OR($F287="",$G287=""),"",($G287-$F287)*24)</f>
        <v/>
      </c>
      <c r="I287" s="10" t="inlineStr">
        <is>
          <t>Collège</t>
        </is>
      </c>
      <c r="J287" s="9" t="inlineStr">
        <is>
          <t>8éme (A)</t>
        </is>
      </c>
      <c r="K287" s="9" t="inlineStr">
        <is>
          <t>Math</t>
        </is>
      </c>
      <c r="L287" s="9" t="inlineStr">
        <is>
          <t>Math</t>
        </is>
      </c>
      <c r="M287" s="9" t="inlineStr">
        <is>
          <t>Hajer</t>
        </is>
      </c>
      <c r="N287" s="10" t="n"/>
      <c r="O287" s="10" t="n"/>
      <c r="P287" s="10" t="inlineStr">
        <is>
          <t>Hebdomadaire</t>
        </is>
      </c>
      <c r="Q287" s="9" t="inlineStr">
        <is>
          <t>Original (septembre)</t>
        </is>
      </c>
      <c r="R287" s="9" t="inlineStr"/>
      <c r="S287" s="44">
        <f>IF($M287="","",IF(SUMPRODUCT(($D$4:$D$704=$D287)*($M$4:$M$704=$M287)*($F$4:$F$704&lt;$G287)*($G$4:$G$704&gt;$F287))&gt;1,"⚠ CONFLIT",""))</f>
        <v/>
      </c>
      <c r="T287" s="44">
        <f>IF($J287="","",IF(SUMPRODUCT(($D$4:$D$704=$D287)*($J$4:$J$704=$J287)*($F$4:$F$704&lt;$G287)*($G$4:$G$704&gt;$F287))&gt;1,"⚠ CONFLIT",""))</f>
        <v/>
      </c>
      <c r="U287" s="44">
        <f>IF(COUNTIFS($D$4:$D$704,$D287,$J$4:$J$704,$J287,$F$4:$F$704,$F287,$K$4:$K$704,$K287)&gt;1,"⚠ DOUBLON","")</f>
        <v/>
      </c>
      <c r="V287" s="44">
        <f>COUNTIFS($A$4:$A287,$A287,$J$4:$J287,$J287,$E$4:$E287,$E287)</f>
        <v/>
      </c>
      <c r="W287" s="45">
        <f>$A287&amp;"|"&amp;$J287&amp;"|"&amp;$E287&amp;"|"&amp;$V287</f>
        <v/>
      </c>
      <c r="X287" s="46">
        <f>TEXT($F287,"hh:mm")&amp;" - "&amp;TEXT($G287,"hh:mm")&amp;IF($P287="Quinzaine A","   ◆ Q-A",IF($P287="Quinzaine B","   ◆ Q-B",IF($P287="Exception","   ◆ PONCTUEL","")))&amp;CHAR(10)&amp;$K287&amp;CHAR(10)&amp;$M287&amp;IF($N287&lt;&gt;"",CHAR(10)&amp;"Salle "&amp;$N287,"")&amp;IF($O287="En ligne",CHAR(10)&amp;"◆ EN LIGNE","")&amp;IF($R287&lt;&gt;"",CHAR(10)&amp;$R287,"")</f>
        <v/>
      </c>
      <c r="Y287" s="45" t="inlineStr">
        <is>
          <t>13h45-15h15 Math (Hajer)</t>
        </is>
      </c>
      <c r="Z287" s="45" t="inlineStr">
        <is>
          <t>du 28-09 jusquà le 04-10!M27</t>
        </is>
      </c>
    </row>
    <row r="288" ht="15" customHeight="1">
      <c r="A288" s="10" t="inlineStr">
        <is>
          <t>S3</t>
        </is>
      </c>
      <c r="B288" s="9" t="inlineStr">
        <is>
          <t>du 28 septembre au 4 octobre 2026</t>
        </is>
      </c>
      <c r="C288" s="10" t="inlineStr">
        <is>
          <t>A</t>
        </is>
      </c>
      <c r="D288" s="41" t="n">
        <v>46299</v>
      </c>
      <c r="E288" s="10" t="inlineStr">
        <is>
          <t>Dimanche</t>
        </is>
      </c>
      <c r="F288" s="42" t="n">
        <v>0.7083333333333334</v>
      </c>
      <c r="G288" s="42" t="n">
        <v>0.7708333333333334</v>
      </c>
      <c r="H288" s="43">
        <f>IF(OR($F288="",$G288=""),"",($G288-$F288)*24)</f>
        <v/>
      </c>
      <c r="I288" s="10" t="inlineStr">
        <is>
          <t>Collège</t>
        </is>
      </c>
      <c r="J288" s="9" t="inlineStr">
        <is>
          <t>8éme (B)</t>
        </is>
      </c>
      <c r="K288" s="9" t="inlineStr">
        <is>
          <t>Français</t>
        </is>
      </c>
      <c r="L288" s="9" t="inlineStr">
        <is>
          <t>Français</t>
        </is>
      </c>
      <c r="M288" s="9" t="inlineStr">
        <is>
          <t>Marwa</t>
        </is>
      </c>
      <c r="N288" s="10" t="n"/>
      <c r="O288" s="10" t="n"/>
      <c r="P288" s="10" t="inlineStr">
        <is>
          <t>Hebdomadaire</t>
        </is>
      </c>
      <c r="Q288" s="9" t="inlineStr">
        <is>
          <t>Original (septembre)</t>
        </is>
      </c>
      <c r="R288" s="9" t="inlineStr"/>
      <c r="S288" s="44">
        <f>IF($M288="","",IF(SUMPRODUCT(($D$4:$D$704=$D288)*($M$4:$M$704=$M288)*($F$4:$F$704&lt;$G288)*($G$4:$G$704&gt;$F288))&gt;1,"⚠ CONFLIT",""))</f>
        <v/>
      </c>
      <c r="T288" s="44">
        <f>IF($J288="","",IF(SUMPRODUCT(($D$4:$D$704=$D288)*($J$4:$J$704=$J288)*($F$4:$F$704&lt;$G288)*($G$4:$G$704&gt;$F288))&gt;1,"⚠ CONFLIT",""))</f>
        <v/>
      </c>
      <c r="U288" s="44">
        <f>IF(COUNTIFS($D$4:$D$704,$D288,$J$4:$J$704,$J288,$F$4:$F$704,$F288,$K$4:$K$704,$K288)&gt;1,"⚠ DOUBLON","")</f>
        <v/>
      </c>
      <c r="V288" s="44">
        <f>COUNTIFS($A$4:$A288,$A288,$J$4:$J288,$J288,$E$4:$E288,$E288)</f>
        <v/>
      </c>
      <c r="W288" s="45">
        <f>$A288&amp;"|"&amp;$J288&amp;"|"&amp;$E288&amp;"|"&amp;$V288</f>
        <v/>
      </c>
      <c r="X288" s="46">
        <f>TEXT($F288,"hh:mm")&amp;" - "&amp;TEXT($G288,"hh:mm")&amp;IF($P288="Quinzaine A","   ◆ Q-A",IF($P288="Quinzaine B","   ◆ Q-B",IF($P288="Exception","   ◆ PONCTUEL","")))&amp;CHAR(10)&amp;$K288&amp;CHAR(10)&amp;$M288&amp;IF($N288&lt;&gt;"",CHAR(10)&amp;"Salle "&amp;$N288,"")&amp;IF($O288="En ligne",CHAR(10)&amp;"◆ EN LIGNE","")&amp;IF($R288&lt;&gt;"",CHAR(10)&amp;$R288,"")</f>
        <v/>
      </c>
      <c r="Y288" s="45" t="inlineStr">
        <is>
          <t>17h-18h30 Français (Marwa)</t>
        </is>
      </c>
      <c r="Z288" s="45" t="inlineStr">
        <is>
          <t>du 28-09 jusquà le 04-10!M31</t>
        </is>
      </c>
    </row>
    <row r="289" ht="15" customHeight="1">
      <c r="A289" s="10" t="inlineStr">
        <is>
          <t>S3</t>
        </is>
      </c>
      <c r="B289" s="9" t="inlineStr">
        <is>
          <t>du 28 septembre au 4 octobre 2026</t>
        </is>
      </c>
      <c r="C289" s="10" t="inlineStr">
        <is>
          <t>A</t>
        </is>
      </c>
      <c r="D289" s="41" t="n">
        <v>46299</v>
      </c>
      <c r="E289" s="10" t="inlineStr">
        <is>
          <t>Dimanche</t>
        </is>
      </c>
      <c r="F289" s="42" t="n">
        <v>0.4375</v>
      </c>
      <c r="G289" s="42" t="n">
        <v>0.5</v>
      </c>
      <c r="H289" s="43">
        <f>IF(OR($F289="",$G289=""),"",($G289-$F289)*24)</f>
        <v/>
      </c>
      <c r="I289" s="10" t="inlineStr">
        <is>
          <t>Collège</t>
        </is>
      </c>
      <c r="J289" s="9" t="inlineStr">
        <is>
          <t>9éme (A)</t>
        </is>
      </c>
      <c r="K289" s="9" t="inlineStr">
        <is>
          <t>Anglais</t>
        </is>
      </c>
      <c r="L289" s="9" t="inlineStr">
        <is>
          <t>Anglais</t>
        </is>
      </c>
      <c r="M289" s="9" t="inlineStr">
        <is>
          <t>Bassma</t>
        </is>
      </c>
      <c r="N289" s="10" t="n"/>
      <c r="O289" s="10" t="n"/>
      <c r="P289" s="10" t="inlineStr">
        <is>
          <t>Hebdomadaire</t>
        </is>
      </c>
      <c r="Q289" s="9" t="inlineStr">
        <is>
          <t>Original (septembre)</t>
        </is>
      </c>
      <c r="R289" s="9" t="inlineStr"/>
      <c r="S289" s="44">
        <f>IF($M289="","",IF(SUMPRODUCT(($D$4:$D$704=$D289)*($M$4:$M$704=$M289)*($F$4:$F$704&lt;$G289)*($G$4:$G$704&gt;$F289))&gt;1,"⚠ CONFLIT",""))</f>
        <v/>
      </c>
      <c r="T289" s="44">
        <f>IF($J289="","",IF(SUMPRODUCT(($D$4:$D$704=$D289)*($J$4:$J$704=$J289)*($F$4:$F$704&lt;$G289)*($G$4:$G$704&gt;$F289))&gt;1,"⚠ CONFLIT",""))</f>
        <v/>
      </c>
      <c r="U289" s="44">
        <f>IF(COUNTIFS($D$4:$D$704,$D289,$J$4:$J$704,$J289,$F$4:$F$704,$F289,$K$4:$K$704,$K289)&gt;1,"⚠ DOUBLON","")</f>
        <v/>
      </c>
      <c r="V289" s="44">
        <f>COUNTIFS($A$4:$A289,$A289,$J$4:$J289,$J289,$E$4:$E289,$E289)</f>
        <v/>
      </c>
      <c r="W289" s="45">
        <f>$A289&amp;"|"&amp;$J289&amp;"|"&amp;$E289&amp;"|"&amp;$V289</f>
        <v/>
      </c>
      <c r="X289" s="46">
        <f>TEXT($F289,"hh:mm")&amp;" - "&amp;TEXT($G289,"hh:mm")&amp;IF($P289="Quinzaine A","   ◆ Q-A",IF($P289="Quinzaine B","   ◆ Q-B",IF($P289="Exception","   ◆ PONCTUEL","")))&amp;CHAR(10)&amp;$K289&amp;CHAR(10)&amp;$M289&amp;IF($N289&lt;&gt;"",CHAR(10)&amp;"Salle "&amp;$N289,"")&amp;IF($O289="En ligne",CHAR(10)&amp;"◆ EN LIGNE","")&amp;IF($R289&lt;&gt;"",CHAR(10)&amp;$R289,"")</f>
        <v/>
      </c>
      <c r="Y289" s="45" t="inlineStr">
        <is>
          <t>10h30-12h Anglais (Bassma)</t>
        </is>
      </c>
      <c r="Z289" s="45" t="inlineStr">
        <is>
          <t>du 28-09 jusquà le 04-10!M36</t>
        </is>
      </c>
    </row>
    <row r="290" ht="15" customHeight="1">
      <c r="A290" s="10" t="inlineStr">
        <is>
          <t>S3</t>
        </is>
      </c>
      <c r="B290" s="9" t="inlineStr">
        <is>
          <t>du 28 septembre au 4 octobre 2026</t>
        </is>
      </c>
      <c r="C290" s="10" t="inlineStr">
        <is>
          <t>A</t>
        </is>
      </c>
      <c r="D290" s="41" t="n">
        <v>46299</v>
      </c>
      <c r="E290" s="10" t="inlineStr">
        <is>
          <t>Dimanche</t>
        </is>
      </c>
      <c r="F290" s="42" t="n">
        <v>0.6458333333333334</v>
      </c>
      <c r="G290" s="42" t="n">
        <v>0.7083333333333334</v>
      </c>
      <c r="H290" s="43">
        <f>IF(OR($F290="",$G290=""),"",($G290-$F290)*24)</f>
        <v/>
      </c>
      <c r="I290" s="10" t="inlineStr">
        <is>
          <t>Collège</t>
        </is>
      </c>
      <c r="J290" s="9" t="inlineStr">
        <is>
          <t>9éme (A)</t>
        </is>
      </c>
      <c r="K290" s="9" t="inlineStr">
        <is>
          <t>Français</t>
        </is>
      </c>
      <c r="L290" s="9" t="inlineStr">
        <is>
          <t>Français</t>
        </is>
      </c>
      <c r="M290" s="9" t="inlineStr">
        <is>
          <t>Nassima</t>
        </is>
      </c>
      <c r="N290" s="10" t="n"/>
      <c r="O290" s="10" t="n"/>
      <c r="P290" s="10" t="inlineStr">
        <is>
          <t>Hebdomadaire</t>
        </is>
      </c>
      <c r="Q290" s="9" t="inlineStr">
        <is>
          <t>Original (septembre)</t>
        </is>
      </c>
      <c r="R290" s="9" t="inlineStr"/>
      <c r="S290" s="44">
        <f>IF($M290="","",IF(SUMPRODUCT(($D$4:$D$704=$D290)*($M$4:$M$704=$M290)*($F$4:$F$704&lt;$G290)*($G$4:$G$704&gt;$F290))&gt;1,"⚠ CONFLIT",""))</f>
        <v/>
      </c>
      <c r="T290" s="44">
        <f>IF($J290="","",IF(SUMPRODUCT(($D$4:$D$704=$D290)*($J$4:$J$704=$J290)*($F$4:$F$704&lt;$G290)*($G$4:$G$704&gt;$F290))&gt;1,"⚠ CONFLIT",""))</f>
        <v/>
      </c>
      <c r="U290" s="44">
        <f>IF(COUNTIFS($D$4:$D$704,$D290,$J$4:$J$704,$J290,$F$4:$F$704,$F290,$K$4:$K$704,$K290)&gt;1,"⚠ DOUBLON","")</f>
        <v/>
      </c>
      <c r="V290" s="44">
        <f>COUNTIFS($A$4:$A290,$A290,$J$4:$J290,$J290,$E$4:$E290,$E290)</f>
        <v/>
      </c>
      <c r="W290" s="45">
        <f>$A290&amp;"|"&amp;$J290&amp;"|"&amp;$E290&amp;"|"&amp;$V290</f>
        <v/>
      </c>
      <c r="X290" s="46">
        <f>TEXT($F290,"hh:mm")&amp;" - "&amp;TEXT($G290,"hh:mm")&amp;IF($P290="Quinzaine A","   ◆ Q-A",IF($P290="Quinzaine B","   ◆ Q-B",IF($P290="Exception","   ◆ PONCTUEL","")))&amp;CHAR(10)&amp;$K290&amp;CHAR(10)&amp;$M290&amp;IF($N290&lt;&gt;"",CHAR(10)&amp;"Salle "&amp;$N290,"")&amp;IF($O290="En ligne",CHAR(10)&amp;"◆ EN LIGNE","")&amp;IF($R290&lt;&gt;"",CHAR(10)&amp;$R290,"")</f>
        <v/>
      </c>
      <c r="Y290" s="45" t="inlineStr">
        <is>
          <t>15h30-17h Français (Nassima)</t>
        </is>
      </c>
      <c r="Z290" s="45" t="inlineStr">
        <is>
          <t>du 28-09 jusquà le 04-10!M39</t>
        </is>
      </c>
    </row>
    <row r="291" ht="15" customHeight="1">
      <c r="A291" s="10" t="inlineStr">
        <is>
          <t>S3</t>
        </is>
      </c>
      <c r="B291" s="9" t="inlineStr">
        <is>
          <t>du 28 septembre au 4 octobre 2026</t>
        </is>
      </c>
      <c r="C291" s="10" t="inlineStr">
        <is>
          <t>A</t>
        </is>
      </c>
      <c r="D291" s="41" t="n">
        <v>46299</v>
      </c>
      <c r="E291" s="10" t="inlineStr">
        <is>
          <t>Dimanche</t>
        </is>
      </c>
      <c r="F291" s="42" t="n">
        <v>0.375</v>
      </c>
      <c r="G291" s="42" t="n">
        <v>0.4375</v>
      </c>
      <c r="H291" s="43">
        <f>IF(OR($F291="",$G291=""),"",($G291-$F291)*24)</f>
        <v/>
      </c>
      <c r="I291" s="10" t="inlineStr">
        <is>
          <t>Collège</t>
        </is>
      </c>
      <c r="J291" s="9" t="inlineStr">
        <is>
          <t>9éme (B)</t>
        </is>
      </c>
      <c r="K291" s="9" t="inlineStr">
        <is>
          <t>Anglais</t>
        </is>
      </c>
      <c r="L291" s="9" t="inlineStr">
        <is>
          <t>Anglais</t>
        </is>
      </c>
      <c r="M291" s="9" t="inlineStr">
        <is>
          <t>Bassma</t>
        </is>
      </c>
      <c r="N291" s="10" t="n"/>
      <c r="O291" s="10" t="n"/>
      <c r="P291" s="10" t="inlineStr">
        <is>
          <t>Hebdomadaire</t>
        </is>
      </c>
      <c r="Q291" s="9" t="inlineStr">
        <is>
          <t>Original (septembre)</t>
        </is>
      </c>
      <c r="R291" s="9" t="inlineStr"/>
      <c r="S291" s="44">
        <f>IF($M291="","",IF(SUMPRODUCT(($D$4:$D$704=$D291)*($M$4:$M$704=$M291)*($F$4:$F$704&lt;$G291)*($G$4:$G$704&gt;$F291))&gt;1,"⚠ CONFLIT",""))</f>
        <v/>
      </c>
      <c r="T291" s="44">
        <f>IF($J291="","",IF(SUMPRODUCT(($D$4:$D$704=$D291)*($J$4:$J$704=$J291)*($F$4:$F$704&lt;$G291)*($G$4:$G$704&gt;$F291))&gt;1,"⚠ CONFLIT",""))</f>
        <v/>
      </c>
      <c r="U291" s="44">
        <f>IF(COUNTIFS($D$4:$D$704,$D291,$J$4:$J$704,$J291,$F$4:$F$704,$F291,$K$4:$K$704,$K291)&gt;1,"⚠ DOUBLON","")</f>
        <v/>
      </c>
      <c r="V291" s="44">
        <f>COUNTIFS($A$4:$A291,$A291,$J$4:$J291,$J291,$E$4:$E291,$E291)</f>
        <v/>
      </c>
      <c r="W291" s="45">
        <f>$A291&amp;"|"&amp;$J291&amp;"|"&amp;$E291&amp;"|"&amp;$V291</f>
        <v/>
      </c>
      <c r="X291" s="46">
        <f>TEXT($F291,"hh:mm")&amp;" - "&amp;TEXT($G291,"hh:mm")&amp;IF($P291="Quinzaine A","   ◆ Q-A",IF($P291="Quinzaine B","   ◆ Q-B",IF($P291="Exception","   ◆ PONCTUEL","")))&amp;CHAR(10)&amp;$K291&amp;CHAR(10)&amp;$M291&amp;IF($N291&lt;&gt;"",CHAR(10)&amp;"Salle "&amp;$N291,"")&amp;IF($O291="En ligne",CHAR(10)&amp;"◆ EN LIGNE","")&amp;IF($R291&lt;&gt;"",CHAR(10)&amp;$R291,"")</f>
        <v/>
      </c>
      <c r="Y291" s="45" t="inlineStr">
        <is>
          <t>9h-10h30 Anglais (Bassma)</t>
        </is>
      </c>
      <c r="Z291" s="45" t="inlineStr">
        <is>
          <t>du 28-09 jusquà le 04-10!M43</t>
        </is>
      </c>
    </row>
    <row r="292" ht="15" customHeight="1">
      <c r="A292" s="10" t="inlineStr">
        <is>
          <t>S3</t>
        </is>
      </c>
      <c r="B292" s="9" t="inlineStr">
        <is>
          <t>du 28 septembre au 4 octobre 2026</t>
        </is>
      </c>
      <c r="C292" s="10" t="inlineStr">
        <is>
          <t>A</t>
        </is>
      </c>
      <c r="D292" s="41" t="n">
        <v>46299</v>
      </c>
      <c r="E292" s="10" t="inlineStr">
        <is>
          <t>Dimanche</t>
        </is>
      </c>
      <c r="F292" s="42" t="n">
        <v>0.7083333333333334</v>
      </c>
      <c r="G292" s="42" t="n">
        <v>0.7708333333333334</v>
      </c>
      <c r="H292" s="43">
        <f>IF(OR($F292="",$G292=""),"",($G292-$F292)*24)</f>
        <v/>
      </c>
      <c r="I292" s="10" t="inlineStr">
        <is>
          <t>Collège</t>
        </is>
      </c>
      <c r="J292" s="9" t="inlineStr">
        <is>
          <t>9éme (B)</t>
        </is>
      </c>
      <c r="K292" s="9" t="inlineStr">
        <is>
          <t>Français</t>
        </is>
      </c>
      <c r="L292" s="9" t="inlineStr">
        <is>
          <t>Français</t>
        </is>
      </c>
      <c r="M292" s="9" t="inlineStr">
        <is>
          <t>Nassima</t>
        </is>
      </c>
      <c r="N292" s="10" t="n"/>
      <c r="O292" s="10" t="n"/>
      <c r="P292" s="10" t="inlineStr">
        <is>
          <t>Hebdomadaire</t>
        </is>
      </c>
      <c r="Q292" s="9" t="inlineStr">
        <is>
          <t>Original (septembre)</t>
        </is>
      </c>
      <c r="R292" s="9" t="inlineStr"/>
      <c r="S292" s="44">
        <f>IF($M292="","",IF(SUMPRODUCT(($D$4:$D$704=$D292)*($M$4:$M$704=$M292)*($F$4:$F$704&lt;$G292)*($G$4:$G$704&gt;$F292))&gt;1,"⚠ CONFLIT",""))</f>
        <v/>
      </c>
      <c r="T292" s="44">
        <f>IF($J292="","",IF(SUMPRODUCT(($D$4:$D$704=$D292)*($J$4:$J$704=$J292)*($F$4:$F$704&lt;$G292)*($G$4:$G$704&gt;$F292))&gt;1,"⚠ CONFLIT",""))</f>
        <v/>
      </c>
      <c r="U292" s="44">
        <f>IF(COUNTIFS($D$4:$D$704,$D292,$J$4:$J$704,$J292,$F$4:$F$704,$F292,$K$4:$K$704,$K292)&gt;1,"⚠ DOUBLON","")</f>
        <v/>
      </c>
      <c r="V292" s="44">
        <f>COUNTIFS($A$4:$A292,$A292,$J$4:$J292,$J292,$E$4:$E292,$E292)</f>
        <v/>
      </c>
      <c r="W292" s="45">
        <f>$A292&amp;"|"&amp;$J292&amp;"|"&amp;$E292&amp;"|"&amp;$V292</f>
        <v/>
      </c>
      <c r="X292" s="46">
        <f>TEXT($F292,"hh:mm")&amp;" - "&amp;TEXT($G292,"hh:mm")&amp;IF($P292="Quinzaine A","   ◆ Q-A",IF($P292="Quinzaine B","   ◆ Q-B",IF($P292="Exception","   ◆ PONCTUEL","")))&amp;CHAR(10)&amp;$K292&amp;CHAR(10)&amp;$M292&amp;IF($N292&lt;&gt;"",CHAR(10)&amp;"Salle "&amp;$N292,"")&amp;IF($O292="En ligne",CHAR(10)&amp;"◆ EN LIGNE","")&amp;IF($R292&lt;&gt;"",CHAR(10)&amp;$R292,"")</f>
        <v/>
      </c>
      <c r="Y292" s="45" t="inlineStr">
        <is>
          <t>17h-18h30 Français (Nassima)</t>
        </is>
      </c>
      <c r="Z292" s="45" t="inlineStr">
        <is>
          <t>du 28-09 jusquà le 04-10!M45</t>
        </is>
      </c>
    </row>
    <row r="293" ht="15" customHeight="1">
      <c r="A293" s="10" t="inlineStr">
        <is>
          <t>S3</t>
        </is>
      </c>
      <c r="B293" s="9" t="inlineStr">
        <is>
          <t>du 28 septembre au 4 octobre 2026</t>
        </is>
      </c>
      <c r="C293" s="10" t="inlineStr">
        <is>
          <t>A</t>
        </is>
      </c>
      <c r="D293" s="41" t="n">
        <v>46299</v>
      </c>
      <c r="E293" s="10" t="inlineStr">
        <is>
          <t>Dimanche</t>
        </is>
      </c>
      <c r="F293" s="42" t="n">
        <v>0.375</v>
      </c>
      <c r="G293" s="42" t="n">
        <v>0.4375</v>
      </c>
      <c r="H293" s="43">
        <f>IF(OR($F293="",$G293=""),"",($G293-$F293)*24)</f>
        <v/>
      </c>
      <c r="I293" s="10" t="inlineStr">
        <is>
          <t>Secondaire</t>
        </is>
      </c>
      <c r="J293" s="9" t="inlineStr">
        <is>
          <t>1ére (A)</t>
        </is>
      </c>
      <c r="K293" s="9" t="inlineStr">
        <is>
          <t>Physique</t>
        </is>
      </c>
      <c r="L293" s="9" t="inlineStr">
        <is>
          <t>Physique</t>
        </is>
      </c>
      <c r="M293" s="9" t="inlineStr">
        <is>
          <t>Refka</t>
        </is>
      </c>
      <c r="N293" s="10" t="n"/>
      <c r="O293" s="10" t="n"/>
      <c r="P293" s="10" t="inlineStr">
        <is>
          <t>Hebdomadaire</t>
        </is>
      </c>
      <c r="Q293" s="9" t="inlineStr">
        <is>
          <t>Original (septembre)</t>
        </is>
      </c>
      <c r="R293" s="9" t="inlineStr"/>
      <c r="S293" s="44">
        <f>IF($M293="","",IF(SUMPRODUCT(($D$4:$D$704=$D293)*($M$4:$M$704=$M293)*($F$4:$F$704&lt;$G293)*($G$4:$G$704&gt;$F293))&gt;1,"⚠ CONFLIT",""))</f>
        <v/>
      </c>
      <c r="T293" s="44">
        <f>IF($J293="","",IF(SUMPRODUCT(($D$4:$D$704=$D293)*($J$4:$J$704=$J293)*($F$4:$F$704&lt;$G293)*($G$4:$G$704&gt;$F293))&gt;1,"⚠ CONFLIT",""))</f>
        <v/>
      </c>
      <c r="U293" s="44">
        <f>IF(COUNTIFS($D$4:$D$704,$D293,$J$4:$J$704,$J293,$F$4:$F$704,$F293,$K$4:$K$704,$K293)&gt;1,"⚠ DOUBLON","")</f>
        <v/>
      </c>
      <c r="V293" s="44">
        <f>COUNTIFS($A$4:$A293,$A293,$J$4:$J293,$J293,$E$4:$E293,$E293)</f>
        <v/>
      </c>
      <c r="W293" s="45">
        <f>$A293&amp;"|"&amp;$J293&amp;"|"&amp;$E293&amp;"|"&amp;$V293</f>
        <v/>
      </c>
      <c r="X293" s="46">
        <f>TEXT($F293,"hh:mm")&amp;" - "&amp;TEXT($G293,"hh:mm")&amp;IF($P293="Quinzaine A","   ◆ Q-A",IF($P293="Quinzaine B","   ◆ Q-B",IF($P293="Exception","   ◆ PONCTUEL","")))&amp;CHAR(10)&amp;$K293&amp;CHAR(10)&amp;$M293&amp;IF($N293&lt;&gt;"",CHAR(10)&amp;"Salle "&amp;$N293,"")&amp;IF($O293="En ligne",CHAR(10)&amp;"◆ EN LIGNE","")&amp;IF($R293&lt;&gt;"",CHAR(10)&amp;$R293,"")</f>
        <v/>
      </c>
      <c r="Y293" s="45" t="inlineStr">
        <is>
          <t>9h-10h30 Physique (Refka)</t>
        </is>
      </c>
      <c r="Z293" s="45" t="inlineStr">
        <is>
          <t>du 28-09 jusquà le 04-10!M48</t>
        </is>
      </c>
    </row>
    <row r="294" ht="15" customHeight="1">
      <c r="A294" s="10" t="inlineStr">
        <is>
          <t>S3</t>
        </is>
      </c>
      <c r="B294" s="9" t="inlineStr">
        <is>
          <t>du 28 septembre au 4 octobre 2026</t>
        </is>
      </c>
      <c r="C294" s="10" t="inlineStr">
        <is>
          <t>A</t>
        </is>
      </c>
      <c r="D294" s="41" t="n">
        <v>46299</v>
      </c>
      <c r="E294" s="10" t="inlineStr">
        <is>
          <t>Dimanche</t>
        </is>
      </c>
      <c r="F294" s="42" t="n">
        <v>0.5416666666666666</v>
      </c>
      <c r="G294" s="42" t="n">
        <v>0.6041666666666666</v>
      </c>
      <c r="H294" s="43">
        <f>IF(OR($F294="",$G294=""),"",($G294-$F294)*24)</f>
        <v/>
      </c>
      <c r="I294" s="10" t="inlineStr">
        <is>
          <t>Secondaire</t>
        </is>
      </c>
      <c r="J294" s="9" t="inlineStr">
        <is>
          <t>1ére (A)</t>
        </is>
      </c>
      <c r="K294" s="9" t="inlineStr">
        <is>
          <t>SVT</t>
        </is>
      </c>
      <c r="L294" s="9" t="inlineStr">
        <is>
          <t>SVT</t>
        </is>
      </c>
      <c r="M294" s="9" t="inlineStr">
        <is>
          <t>Imen Ghoumeme</t>
        </is>
      </c>
      <c r="N294" s="10" t="n"/>
      <c r="O294" s="10" t="n"/>
      <c r="P294" s="10" t="inlineStr">
        <is>
          <t>Quinzaine A</t>
        </is>
      </c>
      <c r="Q294" s="9" t="inlineStr">
        <is>
          <t>Original (septembre)</t>
        </is>
      </c>
      <c r="R294" s="9" t="inlineStr"/>
      <c r="S294" s="44">
        <f>IF($M294="","",IF(SUMPRODUCT(($D$4:$D$704=$D294)*($M$4:$M$704=$M294)*($F$4:$F$704&lt;$G294)*($G$4:$G$704&gt;$F294))&gt;1,"⚠ CONFLIT",""))</f>
        <v/>
      </c>
      <c r="T294" s="44">
        <f>IF($J294="","",IF(SUMPRODUCT(($D$4:$D$704=$D294)*($J$4:$J$704=$J294)*($F$4:$F$704&lt;$G294)*($G$4:$G$704&gt;$F294))&gt;1,"⚠ CONFLIT",""))</f>
        <v/>
      </c>
      <c r="U294" s="44">
        <f>IF(COUNTIFS($D$4:$D$704,$D294,$J$4:$J$704,$J294,$F$4:$F$704,$F294,$K$4:$K$704,$K294)&gt;1,"⚠ DOUBLON","")</f>
        <v/>
      </c>
      <c r="V294" s="44">
        <f>COUNTIFS($A$4:$A294,$A294,$J$4:$J294,$J294,$E$4:$E294,$E294)</f>
        <v/>
      </c>
      <c r="W294" s="45">
        <f>$A294&amp;"|"&amp;$J294&amp;"|"&amp;$E294&amp;"|"&amp;$V294</f>
        <v/>
      </c>
      <c r="X294" s="46">
        <f>TEXT($F294,"hh:mm")&amp;" - "&amp;TEXT($G294,"hh:mm")&amp;IF($P294="Quinzaine A","   ◆ Q-A",IF($P294="Quinzaine B","   ◆ Q-B",IF($P294="Exception","   ◆ PONCTUEL","")))&amp;CHAR(10)&amp;$K294&amp;CHAR(10)&amp;$M294&amp;IF($N294&lt;&gt;"",CHAR(10)&amp;"Salle "&amp;$N294,"")&amp;IF($O294="En ligne",CHAR(10)&amp;"◆ EN LIGNE","")&amp;IF($R294&lt;&gt;"",CHAR(10)&amp;$R294,"")</f>
        <v/>
      </c>
      <c r="Y294" s="45" t="inlineStr">
        <is>
          <t>13h-14h30 SVT (Imen Ghoumeme) /par quinzaine</t>
        </is>
      </c>
      <c r="Z294" s="45" t="inlineStr">
        <is>
          <t>du 28-09 jusquà le 04-10!M50</t>
        </is>
      </c>
    </row>
    <row r="295" ht="15" customHeight="1">
      <c r="A295" s="10" t="inlineStr">
        <is>
          <t>S3</t>
        </is>
      </c>
      <c r="B295" s="9" t="inlineStr">
        <is>
          <t>du 28 septembre au 4 octobre 2026</t>
        </is>
      </c>
      <c r="C295" s="10" t="inlineStr">
        <is>
          <t>A</t>
        </is>
      </c>
      <c r="D295" s="41" t="n">
        <v>46299</v>
      </c>
      <c r="E295" s="10" t="inlineStr">
        <is>
          <t>Dimanche</t>
        </is>
      </c>
      <c r="F295" s="42" t="n">
        <v>0.4375</v>
      </c>
      <c r="G295" s="42" t="n">
        <v>0.5</v>
      </c>
      <c r="H295" s="43">
        <f>IF(OR($F295="",$G295=""),"",($G295-$F295)*24)</f>
        <v/>
      </c>
      <c r="I295" s="10" t="inlineStr">
        <is>
          <t>Secondaire</t>
        </is>
      </c>
      <c r="J295" s="9" t="inlineStr">
        <is>
          <t>1ére (B)</t>
        </is>
      </c>
      <c r="K295" s="9" t="inlineStr">
        <is>
          <t>Physique</t>
        </is>
      </c>
      <c r="L295" s="9" t="inlineStr">
        <is>
          <t>Physique</t>
        </is>
      </c>
      <c r="M295" s="9" t="inlineStr">
        <is>
          <t>Refka</t>
        </is>
      </c>
      <c r="N295" s="10" t="n"/>
      <c r="O295" s="10" t="n"/>
      <c r="P295" s="10" t="inlineStr">
        <is>
          <t>Hebdomadaire</t>
        </is>
      </c>
      <c r="Q295" s="9" t="inlineStr">
        <is>
          <t>Original (septembre)</t>
        </is>
      </c>
      <c r="R295" s="9" t="inlineStr"/>
      <c r="S295" s="44">
        <f>IF($M295="","",IF(SUMPRODUCT(($D$4:$D$704=$D295)*($M$4:$M$704=$M295)*($F$4:$F$704&lt;$G295)*($G$4:$G$704&gt;$F295))&gt;1,"⚠ CONFLIT",""))</f>
        <v/>
      </c>
      <c r="T295" s="44">
        <f>IF($J295="","",IF(SUMPRODUCT(($D$4:$D$704=$D295)*($J$4:$J$704=$J295)*($F$4:$F$704&lt;$G295)*($G$4:$G$704&gt;$F295))&gt;1,"⚠ CONFLIT",""))</f>
        <v/>
      </c>
      <c r="U295" s="44">
        <f>IF(COUNTIFS($D$4:$D$704,$D295,$J$4:$J$704,$J295,$F$4:$F$704,$F295,$K$4:$K$704,$K295)&gt;1,"⚠ DOUBLON","")</f>
        <v/>
      </c>
      <c r="V295" s="44">
        <f>COUNTIFS($A$4:$A295,$A295,$J$4:$J295,$J295,$E$4:$E295,$E295)</f>
        <v/>
      </c>
      <c r="W295" s="45">
        <f>$A295&amp;"|"&amp;$J295&amp;"|"&amp;$E295&amp;"|"&amp;$V295</f>
        <v/>
      </c>
      <c r="X295" s="46">
        <f>TEXT($F295,"hh:mm")&amp;" - "&amp;TEXT($G295,"hh:mm")&amp;IF($P295="Quinzaine A","   ◆ Q-A",IF($P295="Quinzaine B","   ◆ Q-B",IF($P295="Exception","   ◆ PONCTUEL","")))&amp;CHAR(10)&amp;$K295&amp;CHAR(10)&amp;$M295&amp;IF($N295&lt;&gt;"",CHAR(10)&amp;"Salle "&amp;$N295,"")&amp;IF($O295="En ligne",CHAR(10)&amp;"◆ EN LIGNE","")&amp;IF($R295&lt;&gt;"",CHAR(10)&amp;$R295,"")</f>
        <v/>
      </c>
      <c r="Y295" s="45" t="inlineStr">
        <is>
          <t>10h30-12h Physique (Refka)</t>
        </is>
      </c>
      <c r="Z295" s="45" t="inlineStr">
        <is>
          <t>du 28-09 jusquà le 04-10!M52</t>
        </is>
      </c>
    </row>
    <row r="296" ht="15" customHeight="1">
      <c r="A296" s="10" t="inlineStr">
        <is>
          <t>S3</t>
        </is>
      </c>
      <c r="B296" s="9" t="inlineStr">
        <is>
          <t>du 28 septembre au 4 octobre 2026</t>
        </is>
      </c>
      <c r="C296" s="10" t="inlineStr">
        <is>
          <t>A</t>
        </is>
      </c>
      <c r="D296" s="41" t="n">
        <v>46299</v>
      </c>
      <c r="E296" s="10" t="inlineStr">
        <is>
          <t>Dimanche</t>
        </is>
      </c>
      <c r="F296" s="42" t="n">
        <v>0.375</v>
      </c>
      <c r="G296" s="42" t="n">
        <v>0.4375</v>
      </c>
      <c r="H296" s="43">
        <f>IF(OR($F296="",$G296=""),"",($G296-$F296)*24)</f>
        <v/>
      </c>
      <c r="I296" s="10" t="inlineStr">
        <is>
          <t>Secondaire</t>
        </is>
      </c>
      <c r="J296" s="9" t="inlineStr">
        <is>
          <t>2éme Eco</t>
        </is>
      </c>
      <c r="K296" s="9" t="inlineStr">
        <is>
          <t>Eco</t>
        </is>
      </c>
      <c r="L296" s="9" t="inlineStr">
        <is>
          <t>Eco</t>
        </is>
      </c>
      <c r="M296" s="9" t="inlineStr">
        <is>
          <t>Rym</t>
        </is>
      </c>
      <c r="N296" s="10" t="n"/>
      <c r="O296" s="10" t="n"/>
      <c r="P296" s="10" t="inlineStr">
        <is>
          <t>Hebdomadaire</t>
        </is>
      </c>
      <c r="Q296" s="9" t="inlineStr">
        <is>
          <t>Original (septembre)</t>
        </is>
      </c>
      <c r="R296" s="9" t="inlineStr"/>
      <c r="S296" s="44">
        <f>IF($M296="","",IF(SUMPRODUCT(($D$4:$D$704=$D296)*($M$4:$M$704=$M296)*($F$4:$F$704&lt;$G296)*($G$4:$G$704&gt;$F296))&gt;1,"⚠ CONFLIT",""))</f>
        <v/>
      </c>
      <c r="T296" s="44">
        <f>IF($J296="","",IF(SUMPRODUCT(($D$4:$D$704=$D296)*($J$4:$J$704=$J296)*($F$4:$F$704&lt;$G296)*($G$4:$G$704&gt;$F296))&gt;1,"⚠ CONFLIT",""))</f>
        <v/>
      </c>
      <c r="U296" s="44">
        <f>IF(COUNTIFS($D$4:$D$704,$D296,$J$4:$J$704,$J296,$F$4:$F$704,$F296,$K$4:$K$704,$K296)&gt;1,"⚠ DOUBLON","")</f>
        <v/>
      </c>
      <c r="V296" s="44">
        <f>COUNTIFS($A$4:$A296,$A296,$J$4:$J296,$J296,$E$4:$E296,$E296)</f>
        <v/>
      </c>
      <c r="W296" s="45">
        <f>$A296&amp;"|"&amp;$J296&amp;"|"&amp;$E296&amp;"|"&amp;$V296</f>
        <v/>
      </c>
      <c r="X296" s="46">
        <f>TEXT($F296,"hh:mm")&amp;" - "&amp;TEXT($G296,"hh:mm")&amp;IF($P296="Quinzaine A","   ◆ Q-A",IF($P296="Quinzaine B","   ◆ Q-B",IF($P296="Exception","   ◆ PONCTUEL","")))&amp;CHAR(10)&amp;$K296&amp;CHAR(10)&amp;$M296&amp;IF($N296&lt;&gt;"",CHAR(10)&amp;"Salle "&amp;$N296,"")&amp;IF($O296="En ligne",CHAR(10)&amp;"◆ EN LIGNE","")&amp;IF($R296&lt;&gt;"",CHAR(10)&amp;$R296,"")</f>
        <v/>
      </c>
      <c r="Y296" s="45" t="inlineStr">
        <is>
          <t>9h-10h30 Eco (Rym)</t>
        </is>
      </c>
      <c r="Z296" s="45" t="inlineStr">
        <is>
          <t>du 28-09 jusquà le 04-10!M56</t>
        </is>
      </c>
    </row>
    <row r="297" ht="15" customHeight="1">
      <c r="A297" s="10" t="inlineStr">
        <is>
          <t>S3</t>
        </is>
      </c>
      <c r="B297" s="9" t="inlineStr">
        <is>
          <t>du 28 septembre au 4 octobre 2026</t>
        </is>
      </c>
      <c r="C297" s="10" t="inlineStr">
        <is>
          <t>A</t>
        </is>
      </c>
      <c r="D297" s="41" t="n">
        <v>46299</v>
      </c>
      <c r="E297" s="10" t="inlineStr">
        <is>
          <t>Dimanche</t>
        </is>
      </c>
      <c r="F297" s="42" t="n">
        <v>0.5</v>
      </c>
      <c r="G297" s="42" t="n">
        <v>0.5625</v>
      </c>
      <c r="H297" s="43">
        <f>IF(OR($F297="",$G297=""),"",($G297-$F297)*24)</f>
        <v/>
      </c>
      <c r="I297" s="10" t="inlineStr">
        <is>
          <t>Secondaire</t>
        </is>
      </c>
      <c r="J297" s="9" t="inlineStr">
        <is>
          <t>2éme SCE</t>
        </is>
      </c>
      <c r="K297" s="9" t="inlineStr">
        <is>
          <t>Physique</t>
        </is>
      </c>
      <c r="L297" s="9" t="inlineStr">
        <is>
          <t>Physique</t>
        </is>
      </c>
      <c r="M297" s="9" t="inlineStr">
        <is>
          <t>Refka</t>
        </is>
      </c>
      <c r="N297" s="10" t="n"/>
      <c r="O297" s="10" t="n"/>
      <c r="P297" s="10" t="inlineStr">
        <is>
          <t>Hebdomadaire</t>
        </is>
      </c>
      <c r="Q297" s="9" t="inlineStr">
        <is>
          <t>Original (septembre)</t>
        </is>
      </c>
      <c r="R297" s="9" t="inlineStr"/>
      <c r="S297" s="44">
        <f>IF($M297="","",IF(SUMPRODUCT(($D$4:$D$704=$D297)*($M$4:$M$704=$M297)*($F$4:$F$704&lt;$G297)*($G$4:$G$704&gt;$F297))&gt;1,"⚠ CONFLIT",""))</f>
        <v/>
      </c>
      <c r="T297" s="44">
        <f>IF($J297="","",IF(SUMPRODUCT(($D$4:$D$704=$D297)*($J$4:$J$704=$J297)*($F$4:$F$704&lt;$G297)*($G$4:$G$704&gt;$F297))&gt;1,"⚠ CONFLIT",""))</f>
        <v/>
      </c>
      <c r="U297" s="44">
        <f>IF(COUNTIFS($D$4:$D$704,$D297,$J$4:$J$704,$J297,$F$4:$F$704,$F297,$K$4:$K$704,$K297)&gt;1,"⚠ DOUBLON","")</f>
        <v/>
      </c>
      <c r="V297" s="44">
        <f>COUNTIFS($A$4:$A297,$A297,$J$4:$J297,$J297,$E$4:$E297,$E297)</f>
        <v/>
      </c>
      <c r="W297" s="45">
        <f>$A297&amp;"|"&amp;$J297&amp;"|"&amp;$E297&amp;"|"&amp;$V297</f>
        <v/>
      </c>
      <c r="X297" s="46">
        <f>TEXT($F297,"hh:mm")&amp;" - "&amp;TEXT($G297,"hh:mm")&amp;IF($P297="Quinzaine A","   ◆ Q-A",IF($P297="Quinzaine B","   ◆ Q-B",IF($P297="Exception","   ◆ PONCTUEL","")))&amp;CHAR(10)&amp;$K297&amp;CHAR(10)&amp;$M297&amp;IF($N297&lt;&gt;"",CHAR(10)&amp;"Salle "&amp;$N297,"")&amp;IF($O297="En ligne",CHAR(10)&amp;"◆ EN LIGNE","")&amp;IF($R297&lt;&gt;"",CHAR(10)&amp;$R297,"")</f>
        <v/>
      </c>
      <c r="Y297" s="45" t="inlineStr">
        <is>
          <t>12h-13h30 Physique (Refka)</t>
        </is>
      </c>
      <c r="Z297" s="45" t="inlineStr">
        <is>
          <t>du 28-09 jusquà le 04-10!M58</t>
        </is>
      </c>
    </row>
    <row r="298" ht="15" customHeight="1">
      <c r="A298" s="10" t="inlineStr">
        <is>
          <t>S3</t>
        </is>
      </c>
      <c r="B298" s="9" t="inlineStr">
        <is>
          <t>du 28 septembre au 4 octobre 2026</t>
        </is>
      </c>
      <c r="C298" s="10" t="inlineStr">
        <is>
          <t>A</t>
        </is>
      </c>
      <c r="D298" s="41" t="n">
        <v>46299</v>
      </c>
      <c r="E298" s="10" t="inlineStr">
        <is>
          <t>Dimanche</t>
        </is>
      </c>
      <c r="F298" s="42" t="n">
        <v>0.4375</v>
      </c>
      <c r="G298" s="42" t="n">
        <v>0.5</v>
      </c>
      <c r="H298" s="43">
        <f>IF(OR($F298="",$G298=""),"",($G298-$F298)*24)</f>
        <v/>
      </c>
      <c r="I298" s="10" t="inlineStr">
        <is>
          <t>Secondaire</t>
        </is>
      </c>
      <c r="J298" s="9" t="inlineStr">
        <is>
          <t>3éme Eco</t>
        </is>
      </c>
      <c r="K298" s="9" t="inlineStr">
        <is>
          <t>Eco</t>
        </is>
      </c>
      <c r="L298" s="9" t="inlineStr">
        <is>
          <t>Eco</t>
        </is>
      </c>
      <c r="M298" s="9" t="inlineStr">
        <is>
          <t>Rym</t>
        </is>
      </c>
      <c r="N298" s="10" t="n"/>
      <c r="O298" s="10" t="n"/>
      <c r="P298" s="10" t="inlineStr">
        <is>
          <t>Hebdomadaire</t>
        </is>
      </c>
      <c r="Q298" s="9" t="inlineStr">
        <is>
          <t>Original (septembre)</t>
        </is>
      </c>
      <c r="R298" s="9" t="inlineStr"/>
      <c r="S298" s="44">
        <f>IF($M298="","",IF(SUMPRODUCT(($D$4:$D$704=$D298)*($M$4:$M$704=$M298)*($F$4:$F$704&lt;$G298)*($G$4:$G$704&gt;$F298))&gt;1,"⚠ CONFLIT",""))</f>
        <v/>
      </c>
      <c r="T298" s="44">
        <f>IF($J298="","",IF(SUMPRODUCT(($D$4:$D$704=$D298)*($J$4:$J$704=$J298)*($F$4:$F$704&lt;$G298)*($G$4:$G$704&gt;$F298))&gt;1,"⚠ CONFLIT",""))</f>
        <v/>
      </c>
      <c r="U298" s="44">
        <f>IF(COUNTIFS($D$4:$D$704,$D298,$J$4:$J$704,$J298,$F$4:$F$704,$F298,$K$4:$K$704,$K298)&gt;1,"⚠ DOUBLON","")</f>
        <v/>
      </c>
      <c r="V298" s="44">
        <f>COUNTIFS($A$4:$A298,$A298,$J$4:$J298,$J298,$E$4:$E298,$E298)</f>
        <v/>
      </c>
      <c r="W298" s="45">
        <f>$A298&amp;"|"&amp;$J298&amp;"|"&amp;$E298&amp;"|"&amp;$V298</f>
        <v/>
      </c>
      <c r="X298" s="46">
        <f>TEXT($F298,"hh:mm")&amp;" - "&amp;TEXT($G298,"hh:mm")&amp;IF($P298="Quinzaine A","   ◆ Q-A",IF($P298="Quinzaine B","   ◆ Q-B",IF($P298="Exception","   ◆ PONCTUEL","")))&amp;CHAR(10)&amp;$K298&amp;CHAR(10)&amp;$M298&amp;IF($N298&lt;&gt;"",CHAR(10)&amp;"Salle "&amp;$N298,"")&amp;IF($O298="En ligne",CHAR(10)&amp;"◆ EN LIGNE","")&amp;IF($R298&lt;&gt;"",CHAR(10)&amp;$R298,"")</f>
        <v/>
      </c>
      <c r="Y298" s="45" t="inlineStr">
        <is>
          <t>10h30-12h Eco (Rym)</t>
        </is>
      </c>
      <c r="Z298" s="45" t="inlineStr">
        <is>
          <t>du 28-09 jusquà le 04-10!M62</t>
        </is>
      </c>
    </row>
    <row r="299" ht="15" customHeight="1">
      <c r="A299" s="10" t="inlineStr">
        <is>
          <t>S3</t>
        </is>
      </c>
      <c r="B299" s="9" t="inlineStr">
        <is>
          <t>du 28 septembre au 4 octobre 2026</t>
        </is>
      </c>
      <c r="C299" s="10" t="inlineStr">
        <is>
          <t>A</t>
        </is>
      </c>
      <c r="D299" s="41" t="n">
        <v>46299</v>
      </c>
      <c r="E299" s="10" t="inlineStr">
        <is>
          <t>Dimanche</t>
        </is>
      </c>
      <c r="F299" s="42" t="n">
        <v>0.5833333333333334</v>
      </c>
      <c r="G299" s="42" t="n">
        <v>0.6458333333333334</v>
      </c>
      <c r="H299" s="43">
        <f>IF(OR($F299="",$G299=""),"",($G299-$F299)*24)</f>
        <v/>
      </c>
      <c r="I299" s="10" t="inlineStr">
        <is>
          <t>Secondaire</t>
        </is>
      </c>
      <c r="J299" s="9" t="inlineStr">
        <is>
          <t>3éme Eco</t>
        </is>
      </c>
      <c r="K299" s="9" t="inlineStr">
        <is>
          <t>Math</t>
        </is>
      </c>
      <c r="L299" s="9" t="inlineStr">
        <is>
          <t>Math</t>
        </is>
      </c>
      <c r="M299" s="9" t="inlineStr">
        <is>
          <t>Lotfi</t>
        </is>
      </c>
      <c r="N299" s="10" t="n"/>
      <c r="O299" s="10" t="n"/>
      <c r="P299" s="10" t="inlineStr">
        <is>
          <t>Hebdomadaire</t>
        </is>
      </c>
      <c r="Q299" s="9" t="inlineStr">
        <is>
          <t>Original (septembre)</t>
        </is>
      </c>
      <c r="R299" s="9" t="inlineStr"/>
      <c r="S299" s="44">
        <f>IF($M299="","",IF(SUMPRODUCT(($D$4:$D$704=$D299)*($M$4:$M$704=$M299)*($F$4:$F$704&lt;$G299)*($G$4:$G$704&gt;$F299))&gt;1,"⚠ CONFLIT",""))</f>
        <v/>
      </c>
      <c r="T299" s="44">
        <f>IF($J299="","",IF(SUMPRODUCT(($D$4:$D$704=$D299)*($J$4:$J$704=$J299)*($F$4:$F$704&lt;$G299)*($G$4:$G$704&gt;$F299))&gt;1,"⚠ CONFLIT",""))</f>
        <v/>
      </c>
      <c r="U299" s="44">
        <f>IF(COUNTIFS($D$4:$D$704,$D299,$J$4:$J$704,$J299,$F$4:$F$704,$F299,$K$4:$K$704,$K299)&gt;1,"⚠ DOUBLON","")</f>
        <v/>
      </c>
      <c r="V299" s="44">
        <f>COUNTIFS($A$4:$A299,$A299,$J$4:$J299,$J299,$E$4:$E299,$E299)</f>
        <v/>
      </c>
      <c r="W299" s="45">
        <f>$A299&amp;"|"&amp;$J299&amp;"|"&amp;$E299&amp;"|"&amp;$V299</f>
        <v/>
      </c>
      <c r="X299" s="46">
        <f>TEXT($F299,"hh:mm")&amp;" - "&amp;TEXT($G299,"hh:mm")&amp;IF($P299="Quinzaine A","   ◆ Q-A",IF($P299="Quinzaine B","   ◆ Q-B",IF($P299="Exception","   ◆ PONCTUEL","")))&amp;CHAR(10)&amp;$K299&amp;CHAR(10)&amp;$M299&amp;IF($N299&lt;&gt;"",CHAR(10)&amp;"Salle "&amp;$N299,"")&amp;IF($O299="En ligne",CHAR(10)&amp;"◆ EN LIGNE","")&amp;IF($R299&lt;&gt;"",CHAR(10)&amp;$R299,"")</f>
        <v/>
      </c>
      <c r="Y299" s="45" t="inlineStr">
        <is>
          <t>14h-15h30 Math (Lotfi)</t>
        </is>
      </c>
      <c r="Z299" s="45" t="inlineStr">
        <is>
          <t>du 28-09 jusquà le 04-10!M63</t>
        </is>
      </c>
    </row>
    <row r="300" ht="15" customHeight="1">
      <c r="A300" s="10" t="inlineStr">
        <is>
          <t>S3</t>
        </is>
      </c>
      <c r="B300" s="9" t="inlineStr">
        <is>
          <t>du 28 septembre au 4 octobre 2026</t>
        </is>
      </c>
      <c r="C300" s="10" t="inlineStr">
        <is>
          <t>A</t>
        </is>
      </c>
      <c r="D300" s="41" t="n">
        <v>46299</v>
      </c>
      <c r="E300" s="10" t="inlineStr">
        <is>
          <t>Dimanche</t>
        </is>
      </c>
      <c r="F300" s="42" t="n">
        <v>0.5</v>
      </c>
      <c r="G300" s="42" t="n">
        <v>0.5625</v>
      </c>
      <c r="H300" s="43">
        <f>IF(OR($F300="",$G300=""),"",($G300-$F300)*24)</f>
        <v/>
      </c>
      <c r="I300" s="10" t="inlineStr">
        <is>
          <t>Secondaire</t>
        </is>
      </c>
      <c r="J300" s="9" t="inlineStr">
        <is>
          <t>3éme INFO</t>
        </is>
      </c>
      <c r="K300" s="9" t="inlineStr">
        <is>
          <t>Math</t>
        </is>
      </c>
      <c r="L300" s="9" t="inlineStr">
        <is>
          <t>Math</t>
        </is>
      </c>
      <c r="M300" s="9" t="inlineStr">
        <is>
          <t>Lotfi</t>
        </is>
      </c>
      <c r="N300" s="10" t="n"/>
      <c r="O300" s="10" t="n"/>
      <c r="P300" s="10" t="inlineStr">
        <is>
          <t>Hebdomadaire</t>
        </is>
      </c>
      <c r="Q300" s="9" t="inlineStr">
        <is>
          <t>Original (septembre)</t>
        </is>
      </c>
      <c r="R300" s="9" t="inlineStr"/>
      <c r="S300" s="44">
        <f>IF($M300="","",IF(SUMPRODUCT(($D$4:$D$704=$D300)*($M$4:$M$704=$M300)*($F$4:$F$704&lt;$G300)*($G$4:$G$704&gt;$F300))&gt;1,"⚠ CONFLIT",""))</f>
        <v/>
      </c>
      <c r="T300" s="44">
        <f>IF($J300="","",IF(SUMPRODUCT(($D$4:$D$704=$D300)*($J$4:$J$704=$J300)*($F$4:$F$704&lt;$G300)*($G$4:$G$704&gt;$F300))&gt;1,"⚠ CONFLIT",""))</f>
        <v/>
      </c>
      <c r="U300" s="44">
        <f>IF(COUNTIFS($D$4:$D$704,$D300,$J$4:$J$704,$J300,$F$4:$F$704,$F300,$K$4:$K$704,$K300)&gt;1,"⚠ DOUBLON","")</f>
        <v/>
      </c>
      <c r="V300" s="44">
        <f>COUNTIFS($A$4:$A300,$A300,$J$4:$J300,$J300,$E$4:$E300,$E300)</f>
        <v/>
      </c>
      <c r="W300" s="45">
        <f>$A300&amp;"|"&amp;$J300&amp;"|"&amp;$E300&amp;"|"&amp;$V300</f>
        <v/>
      </c>
      <c r="X300" s="46">
        <f>TEXT($F300,"hh:mm")&amp;" - "&amp;TEXT($G300,"hh:mm")&amp;IF($P300="Quinzaine A","   ◆ Q-A",IF($P300="Quinzaine B","   ◆ Q-B",IF($P300="Exception","   ◆ PONCTUEL","")))&amp;CHAR(10)&amp;$K300&amp;CHAR(10)&amp;$M300&amp;IF($N300&lt;&gt;"",CHAR(10)&amp;"Salle "&amp;$N300,"")&amp;IF($O300="En ligne",CHAR(10)&amp;"◆ EN LIGNE","")&amp;IF($R300&lt;&gt;"",CHAR(10)&amp;$R300,"")</f>
        <v/>
      </c>
      <c r="Y300" s="45" t="inlineStr">
        <is>
          <t>12h-13h30 Math (Lotfi)</t>
        </is>
      </c>
      <c r="Z300" s="45" t="inlineStr">
        <is>
          <t>du 28-09 jusquà le 04-10!M64</t>
        </is>
      </c>
    </row>
    <row r="301" ht="15" customHeight="1">
      <c r="A301" s="10" t="inlineStr">
        <is>
          <t>S3</t>
        </is>
      </c>
      <c r="B301" s="9" t="inlineStr">
        <is>
          <t>du 28 septembre au 4 octobre 2026</t>
        </is>
      </c>
      <c r="C301" s="10" t="inlineStr">
        <is>
          <t>A</t>
        </is>
      </c>
      <c r="D301" s="41" t="n">
        <v>46299</v>
      </c>
      <c r="E301" s="10" t="inlineStr">
        <is>
          <t>Dimanche</t>
        </is>
      </c>
      <c r="F301" s="42" t="n">
        <v>0.4375</v>
      </c>
      <c r="G301" s="42" t="n">
        <v>0.5</v>
      </c>
      <c r="H301" s="43">
        <f>IF(OR($F301="",$G301=""),"",($G301-$F301)*24)</f>
        <v/>
      </c>
      <c r="I301" s="10" t="inlineStr">
        <is>
          <t>Secondaire</t>
        </is>
      </c>
      <c r="J301" s="9" t="inlineStr">
        <is>
          <t>3éme SCE</t>
        </is>
      </c>
      <c r="K301" s="9" t="inlineStr">
        <is>
          <t>Physique</t>
        </is>
      </c>
      <c r="L301" s="9" t="inlineStr">
        <is>
          <t>Physique</t>
        </is>
      </c>
      <c r="M301" s="9" t="inlineStr">
        <is>
          <t>Sondes</t>
        </is>
      </c>
      <c r="N301" s="10" t="n"/>
      <c r="O301" s="10" t="n"/>
      <c r="P301" s="10" t="inlineStr">
        <is>
          <t>Hebdomadaire</t>
        </is>
      </c>
      <c r="Q301" s="9" t="inlineStr">
        <is>
          <t>Original (septembre)</t>
        </is>
      </c>
      <c r="R301" s="9" t="inlineStr"/>
      <c r="S301" s="44">
        <f>IF($M301="","",IF(SUMPRODUCT(($D$4:$D$704=$D301)*($M$4:$M$704=$M301)*($F$4:$F$704&lt;$G301)*($G$4:$G$704&gt;$F301))&gt;1,"⚠ CONFLIT",""))</f>
        <v/>
      </c>
      <c r="T301" s="44">
        <f>IF($J301="","",IF(SUMPRODUCT(($D$4:$D$704=$D301)*($J$4:$J$704=$J301)*($F$4:$F$704&lt;$G301)*($G$4:$G$704&gt;$F301))&gt;1,"⚠ CONFLIT",""))</f>
        <v/>
      </c>
      <c r="U301" s="44">
        <f>IF(COUNTIFS($D$4:$D$704,$D301,$J$4:$J$704,$J301,$F$4:$F$704,$F301,$K$4:$K$704,$K301)&gt;1,"⚠ DOUBLON","")</f>
        <v/>
      </c>
      <c r="V301" s="44">
        <f>COUNTIFS($A$4:$A301,$A301,$J$4:$J301,$J301,$E$4:$E301,$E301)</f>
        <v/>
      </c>
      <c r="W301" s="45">
        <f>$A301&amp;"|"&amp;$J301&amp;"|"&amp;$E301&amp;"|"&amp;$V301</f>
        <v/>
      </c>
      <c r="X301" s="46">
        <f>TEXT($F301,"hh:mm")&amp;" - "&amp;TEXT($G301,"hh:mm")&amp;IF($P301="Quinzaine A","   ◆ Q-A",IF($P301="Quinzaine B","   ◆ Q-B",IF($P301="Exception","   ◆ PONCTUEL","")))&amp;CHAR(10)&amp;$K301&amp;CHAR(10)&amp;$M301&amp;IF($N301&lt;&gt;"",CHAR(10)&amp;"Salle "&amp;$N301,"")&amp;IF($O301="En ligne",CHAR(10)&amp;"◆ EN LIGNE","")&amp;IF($R301&lt;&gt;"",CHAR(10)&amp;$R301,"")</f>
        <v/>
      </c>
      <c r="Y301" s="45" t="inlineStr">
        <is>
          <t>10h30-12h Physique (Sondes)</t>
        </is>
      </c>
      <c r="Z301" s="45" t="inlineStr">
        <is>
          <t>du 28-09 jusquà le 04-10!M67</t>
        </is>
      </c>
    </row>
    <row r="302" ht="15" customHeight="1">
      <c r="A302" s="10" t="inlineStr">
        <is>
          <t>S3</t>
        </is>
      </c>
      <c r="B302" s="9" t="inlineStr">
        <is>
          <t>du 28 septembre au 4 octobre 2026</t>
        </is>
      </c>
      <c r="C302" s="10" t="inlineStr">
        <is>
          <t>A</t>
        </is>
      </c>
      <c r="D302" s="41" t="n">
        <v>46299</v>
      </c>
      <c r="E302" s="10" t="inlineStr">
        <is>
          <t>Dimanche</t>
        </is>
      </c>
      <c r="F302" s="42" t="n">
        <v>0.4375</v>
      </c>
      <c r="G302" s="42" t="n">
        <v>0.5</v>
      </c>
      <c r="H302" s="43">
        <f>IF(OR($F302="",$G302=""),"",($G302-$F302)*24)</f>
        <v/>
      </c>
      <c r="I302" s="10" t="inlineStr">
        <is>
          <t>Bac</t>
        </is>
      </c>
      <c r="J302" s="9" t="inlineStr">
        <is>
          <t>Bac Eco</t>
        </is>
      </c>
      <c r="K302" s="9" t="inlineStr">
        <is>
          <t>Math</t>
        </is>
      </c>
      <c r="L302" s="9" t="inlineStr">
        <is>
          <t>Math</t>
        </is>
      </c>
      <c r="M302" s="9" t="inlineStr">
        <is>
          <t>Lotfi</t>
        </is>
      </c>
      <c r="N302" s="10" t="n"/>
      <c r="O302" s="10" t="n"/>
      <c r="P302" s="10" t="inlineStr">
        <is>
          <t>Hebdomadaire</t>
        </is>
      </c>
      <c r="Q302" s="9" t="inlineStr">
        <is>
          <t>Original (septembre)</t>
        </is>
      </c>
      <c r="R302" s="9" t="inlineStr"/>
      <c r="S302" s="44">
        <f>IF($M302="","",IF(SUMPRODUCT(($D$4:$D$704=$D302)*($M$4:$M$704=$M302)*($F$4:$F$704&lt;$G302)*($G$4:$G$704&gt;$F302))&gt;1,"⚠ CONFLIT",""))</f>
        <v/>
      </c>
      <c r="T302" s="44">
        <f>IF($J302="","",IF(SUMPRODUCT(($D$4:$D$704=$D302)*($J$4:$J$704=$J302)*($F$4:$F$704&lt;$G302)*($G$4:$G$704&gt;$F302))&gt;1,"⚠ CONFLIT",""))</f>
        <v/>
      </c>
      <c r="U302" s="44">
        <f>IF(COUNTIFS($D$4:$D$704,$D302,$J$4:$J$704,$J302,$F$4:$F$704,$F302,$K$4:$K$704,$K302)&gt;1,"⚠ DOUBLON","")</f>
        <v/>
      </c>
      <c r="V302" s="44">
        <f>COUNTIFS($A$4:$A302,$A302,$J$4:$J302,$J302,$E$4:$E302,$E302)</f>
        <v/>
      </c>
      <c r="W302" s="45">
        <f>$A302&amp;"|"&amp;$J302&amp;"|"&amp;$E302&amp;"|"&amp;$V302</f>
        <v/>
      </c>
      <c r="X302" s="46">
        <f>TEXT($F302,"hh:mm")&amp;" - "&amp;TEXT($G302,"hh:mm")&amp;IF($P302="Quinzaine A","   ◆ Q-A",IF($P302="Quinzaine B","   ◆ Q-B",IF($P302="Exception","   ◆ PONCTUEL","")))&amp;CHAR(10)&amp;$K302&amp;CHAR(10)&amp;$M302&amp;IF($N302&lt;&gt;"",CHAR(10)&amp;"Salle "&amp;$N302,"")&amp;IF($O302="En ligne",CHAR(10)&amp;"◆ EN LIGNE","")&amp;IF($R302&lt;&gt;"",CHAR(10)&amp;$R302,"")</f>
        <v/>
      </c>
      <c r="Y302" s="45" t="inlineStr">
        <is>
          <t>10h30-12h Math (Lotfi)</t>
        </is>
      </c>
      <c r="Z302" s="45" t="inlineStr">
        <is>
          <t>du 28-09 jusquà le 04-10!M73</t>
        </is>
      </c>
    </row>
    <row r="303" ht="15" customHeight="1">
      <c r="A303" s="10" t="inlineStr">
        <is>
          <t>S3</t>
        </is>
      </c>
      <c r="B303" s="9" t="inlineStr">
        <is>
          <t>du 28 septembre au 4 octobre 2026</t>
        </is>
      </c>
      <c r="C303" s="10" t="inlineStr">
        <is>
          <t>A</t>
        </is>
      </c>
      <c r="D303" s="41" t="n">
        <v>46299</v>
      </c>
      <c r="E303" s="10" t="inlineStr">
        <is>
          <t>Dimanche</t>
        </is>
      </c>
      <c r="F303" s="42" t="n">
        <v>0.5208333333333334</v>
      </c>
      <c r="G303" s="42" t="n">
        <v>0.6041666666666666</v>
      </c>
      <c r="H303" s="43">
        <f>IF(OR($F303="",$G303=""),"",($G303-$F303)*24)</f>
        <v/>
      </c>
      <c r="I303" s="10" t="inlineStr">
        <is>
          <t>Bac</t>
        </is>
      </c>
      <c r="J303" s="9" t="inlineStr">
        <is>
          <t>Bac Eco</t>
        </is>
      </c>
      <c r="K303" s="9" t="inlineStr">
        <is>
          <t>Eco</t>
        </is>
      </c>
      <c r="L303" s="9" t="inlineStr">
        <is>
          <t>Eco</t>
        </is>
      </c>
      <c r="M303" s="9" t="inlineStr">
        <is>
          <t>Rym</t>
        </is>
      </c>
      <c r="N303" s="10" t="n"/>
      <c r="O303" s="10" t="n"/>
      <c r="P303" s="10" t="inlineStr">
        <is>
          <t>Hebdomadaire</t>
        </is>
      </c>
      <c r="Q303" s="9" t="inlineStr">
        <is>
          <t>Original (septembre)</t>
        </is>
      </c>
      <c r="R303" s="9" t="inlineStr"/>
      <c r="S303" s="44">
        <f>IF($M303="","",IF(SUMPRODUCT(($D$4:$D$704=$D303)*($M$4:$M$704=$M303)*($F$4:$F$704&lt;$G303)*($G$4:$G$704&gt;$F303))&gt;1,"⚠ CONFLIT",""))</f>
        <v/>
      </c>
      <c r="T303" s="44">
        <f>IF($J303="","",IF(SUMPRODUCT(($D$4:$D$704=$D303)*($J$4:$J$704=$J303)*($F$4:$F$704&lt;$G303)*($G$4:$G$704&gt;$F303))&gt;1,"⚠ CONFLIT",""))</f>
        <v/>
      </c>
      <c r="U303" s="44">
        <f>IF(COUNTIFS($D$4:$D$704,$D303,$J$4:$J$704,$J303,$F$4:$F$704,$F303,$K$4:$K$704,$K303)&gt;1,"⚠ DOUBLON","")</f>
        <v/>
      </c>
      <c r="V303" s="44">
        <f>COUNTIFS($A$4:$A303,$A303,$J$4:$J303,$J303,$E$4:$E303,$E303)</f>
        <v/>
      </c>
      <c r="W303" s="45">
        <f>$A303&amp;"|"&amp;$J303&amp;"|"&amp;$E303&amp;"|"&amp;$V303</f>
        <v/>
      </c>
      <c r="X303" s="46">
        <f>TEXT($F303,"hh:mm")&amp;" - "&amp;TEXT($G303,"hh:mm")&amp;IF($P303="Quinzaine A","   ◆ Q-A",IF($P303="Quinzaine B","   ◆ Q-B",IF($P303="Exception","   ◆ PONCTUEL","")))&amp;CHAR(10)&amp;$K303&amp;CHAR(10)&amp;$M303&amp;IF($N303&lt;&gt;"",CHAR(10)&amp;"Salle "&amp;$N303,"")&amp;IF($O303="En ligne",CHAR(10)&amp;"◆ EN LIGNE","")&amp;IF($R303&lt;&gt;"",CHAR(10)&amp;$R303,"")</f>
        <v/>
      </c>
      <c r="Y303" s="45" t="inlineStr">
        <is>
          <t>12h30-14h30 Eco (Rym)</t>
        </is>
      </c>
      <c r="Z303" s="45" t="inlineStr">
        <is>
          <t>du 28-09 jusquà le 04-10!M69</t>
        </is>
      </c>
    </row>
    <row r="304" ht="15" customHeight="1">
      <c r="A304" s="10" t="inlineStr">
        <is>
          <t>S3</t>
        </is>
      </c>
      <c r="B304" s="9" t="inlineStr">
        <is>
          <t>du 28 septembre au 4 octobre 2026</t>
        </is>
      </c>
      <c r="C304" s="10" t="inlineStr">
        <is>
          <t>A</t>
        </is>
      </c>
      <c r="D304" s="41" t="n">
        <v>46299</v>
      </c>
      <c r="E304" s="10" t="inlineStr">
        <is>
          <t>Dimanche</t>
        </is>
      </c>
      <c r="F304" s="42" t="n">
        <v>0.6458333333333334</v>
      </c>
      <c r="G304" s="42" t="n">
        <v>0.7083333333333334</v>
      </c>
      <c r="H304" s="43">
        <f>IF(OR($F304="",$G304=""),"",($G304-$F304)*24)</f>
        <v/>
      </c>
      <c r="I304" s="10" t="inlineStr">
        <is>
          <t>Bac</t>
        </is>
      </c>
      <c r="J304" s="9" t="inlineStr">
        <is>
          <t>Bac INFO</t>
        </is>
      </c>
      <c r="K304" s="9" t="inlineStr">
        <is>
          <t>Math</t>
        </is>
      </c>
      <c r="L304" s="9" t="inlineStr">
        <is>
          <t>Math</t>
        </is>
      </c>
      <c r="M304" s="9" t="inlineStr">
        <is>
          <t>Lotfi</t>
        </is>
      </c>
      <c r="N304" s="10" t="n"/>
      <c r="O304" s="10" t="n"/>
      <c r="P304" s="10" t="inlineStr">
        <is>
          <t>Hebdomadaire</t>
        </is>
      </c>
      <c r="Q304" s="9" t="inlineStr">
        <is>
          <t>Original (septembre)</t>
        </is>
      </c>
      <c r="R304" s="9" t="inlineStr"/>
      <c r="S304" s="44">
        <f>IF($M304="","",IF(SUMPRODUCT(($D$4:$D$704=$D304)*($M$4:$M$704=$M304)*($F$4:$F$704&lt;$G304)*($G$4:$G$704&gt;$F304))&gt;1,"⚠ CONFLIT",""))</f>
        <v/>
      </c>
      <c r="T304" s="44">
        <f>IF($J304="","",IF(SUMPRODUCT(($D$4:$D$704=$D304)*($J$4:$J$704=$J304)*($F$4:$F$704&lt;$G304)*($G$4:$G$704&gt;$F304))&gt;1,"⚠ CONFLIT",""))</f>
        <v/>
      </c>
      <c r="U304" s="44">
        <f>IF(COUNTIFS($D$4:$D$704,$D304,$J$4:$J$704,$J304,$F$4:$F$704,$F304,$K$4:$K$704,$K304)&gt;1,"⚠ DOUBLON","")</f>
        <v/>
      </c>
      <c r="V304" s="44">
        <f>COUNTIFS($A$4:$A304,$A304,$J$4:$J304,$J304,$E$4:$E304,$E304)</f>
        <v/>
      </c>
      <c r="W304" s="45">
        <f>$A304&amp;"|"&amp;$J304&amp;"|"&amp;$E304&amp;"|"&amp;$V304</f>
        <v/>
      </c>
      <c r="X304" s="46">
        <f>TEXT($F304,"hh:mm")&amp;" - "&amp;TEXT($G304,"hh:mm")&amp;IF($P304="Quinzaine A","   ◆ Q-A",IF($P304="Quinzaine B","   ◆ Q-B",IF($P304="Exception","   ◆ PONCTUEL","")))&amp;CHAR(10)&amp;$K304&amp;CHAR(10)&amp;$M304&amp;IF($N304&lt;&gt;"",CHAR(10)&amp;"Salle "&amp;$N304,"")&amp;IF($O304="En ligne",CHAR(10)&amp;"◆ EN LIGNE","")&amp;IF($R304&lt;&gt;"",CHAR(10)&amp;$R304,"")</f>
        <v/>
      </c>
      <c r="Y304" s="45" t="inlineStr">
        <is>
          <t>15h30-17h Math (Lotfi)</t>
        </is>
      </c>
      <c r="Z304" s="45" t="inlineStr">
        <is>
          <t>du 28-09 jusquà le 04-10!M79</t>
        </is>
      </c>
    </row>
    <row r="305" ht="15" customHeight="1">
      <c r="A305" s="10" t="inlineStr">
        <is>
          <t>S4</t>
        </is>
      </c>
      <c r="B305" s="9" t="inlineStr">
        <is>
          <t>du 5 au 11 octobre 2026</t>
        </is>
      </c>
      <c r="C305" s="10" t="inlineStr">
        <is>
          <t>B</t>
        </is>
      </c>
      <c r="D305" s="41" t="n">
        <v>46300</v>
      </c>
      <c r="E305" s="10" t="inlineStr">
        <is>
          <t>Lundi</t>
        </is>
      </c>
      <c r="F305" s="42" t="n">
        <v>0.7916666666666666</v>
      </c>
      <c r="G305" s="42" t="n">
        <v>0.875</v>
      </c>
      <c r="H305" s="43">
        <f>IF(OR($F305="",$G305=""),"",($G305-$F305)*24)</f>
        <v/>
      </c>
      <c r="I305" s="10" t="inlineStr">
        <is>
          <t>Primaire</t>
        </is>
      </c>
      <c r="J305" s="9" t="inlineStr">
        <is>
          <t>4éme</t>
        </is>
      </c>
      <c r="K305" s="9" t="inlineStr">
        <is>
          <t>عربية</t>
        </is>
      </c>
      <c r="L305" s="9" t="inlineStr">
        <is>
          <t>Arabe</t>
        </is>
      </c>
      <c r="M305" s="9" t="inlineStr">
        <is>
          <t>Lobna</t>
        </is>
      </c>
      <c r="N305" s="10" t="n"/>
      <c r="O305" s="10" t="n"/>
      <c r="P305" s="10" t="inlineStr">
        <is>
          <t>Hebdomadaire</t>
        </is>
      </c>
      <c r="Q305" s="9" t="inlineStr">
        <is>
          <t>Généré (octobre)</t>
        </is>
      </c>
      <c r="R305" s="9" t="inlineStr"/>
      <c r="S305" s="44">
        <f>IF($M305="","",IF(SUMPRODUCT(($D$4:$D$704=$D305)*($M$4:$M$704=$M305)*($F$4:$F$704&lt;$G305)*($G$4:$G$704&gt;$F305))&gt;1,"⚠ CONFLIT",""))</f>
        <v/>
      </c>
      <c r="T305" s="44">
        <f>IF($J305="","",IF(SUMPRODUCT(($D$4:$D$704=$D305)*($J$4:$J$704=$J305)*($F$4:$F$704&lt;$G305)*($G$4:$G$704&gt;$F305))&gt;1,"⚠ CONFLIT",""))</f>
        <v/>
      </c>
      <c r="U305" s="44">
        <f>IF(COUNTIFS($D$4:$D$704,$D305,$J$4:$J$704,$J305,$F$4:$F$704,$F305,$K$4:$K$704,$K305)&gt;1,"⚠ DOUBLON","")</f>
        <v/>
      </c>
      <c r="V305" s="44">
        <f>COUNTIFS($A$4:$A305,$A305,$J$4:$J305,$J305,$E$4:$E305,$E305)</f>
        <v/>
      </c>
      <c r="W305" s="45">
        <f>$A305&amp;"|"&amp;$J305&amp;"|"&amp;$E305&amp;"|"&amp;$V305</f>
        <v/>
      </c>
      <c r="X305" s="46">
        <f>TEXT($F305,"hh:mm")&amp;" - "&amp;TEXT($G305,"hh:mm")&amp;IF($P305="Quinzaine A","   ◆ Q-A",IF($P305="Quinzaine B","   ◆ Q-B",IF($P305="Exception","   ◆ PONCTUEL","")))&amp;CHAR(10)&amp;$K305&amp;CHAR(10)&amp;$M305&amp;IF($N305&lt;&gt;"",CHAR(10)&amp;"Salle "&amp;$N305,"")&amp;IF($O305="En ligne",CHAR(10)&amp;"◆ EN LIGNE","")&amp;IF($R305&lt;&gt;"",CHAR(10)&amp;$R305,"")</f>
        <v/>
      </c>
      <c r="Y305" s="45" t="inlineStr"/>
      <c r="Z305" s="45" t="inlineStr">
        <is>
          <t>— généré —</t>
        </is>
      </c>
    </row>
    <row r="306" ht="15" customHeight="1">
      <c r="A306" s="10" t="inlineStr">
        <is>
          <t>S4</t>
        </is>
      </c>
      <c r="B306" s="9" t="inlineStr">
        <is>
          <t>du 5 au 11 octobre 2026</t>
        </is>
      </c>
      <c r="C306" s="10" t="inlineStr">
        <is>
          <t>B</t>
        </is>
      </c>
      <c r="D306" s="41" t="n">
        <v>46300</v>
      </c>
      <c r="E306" s="10" t="inlineStr">
        <is>
          <t>Lundi</t>
        </is>
      </c>
      <c r="F306" s="42" t="n">
        <v>0.7916666666666666</v>
      </c>
      <c r="G306" s="42" t="n">
        <v>0.8541666666666666</v>
      </c>
      <c r="H306" s="43">
        <f>IF(OR($F306="",$G306=""),"",($G306-$F306)*24)</f>
        <v/>
      </c>
      <c r="I306" s="10" t="inlineStr">
        <is>
          <t>Primaire</t>
        </is>
      </c>
      <c r="J306" s="9" t="inlineStr">
        <is>
          <t>6éme Pilote (A)</t>
        </is>
      </c>
      <c r="K306" s="9" t="inlineStr">
        <is>
          <t>Français</t>
        </is>
      </c>
      <c r="L306" s="9" t="inlineStr">
        <is>
          <t>Français</t>
        </is>
      </c>
      <c r="M306" s="9" t="inlineStr">
        <is>
          <t>Hend</t>
        </is>
      </c>
      <c r="N306" s="10" t="n"/>
      <c r="O306" s="10" t="n"/>
      <c r="P306" s="10" t="inlineStr">
        <is>
          <t>Hebdomadaire</t>
        </is>
      </c>
      <c r="Q306" s="9" t="inlineStr">
        <is>
          <t>Généré (octobre)</t>
        </is>
      </c>
      <c r="R306" s="9" t="inlineStr"/>
      <c r="S306" s="44">
        <f>IF($M306="","",IF(SUMPRODUCT(($D$4:$D$704=$D306)*($M$4:$M$704=$M306)*($F$4:$F$704&lt;$G306)*($G$4:$G$704&gt;$F306))&gt;1,"⚠ CONFLIT",""))</f>
        <v/>
      </c>
      <c r="T306" s="44">
        <f>IF($J306="","",IF(SUMPRODUCT(($D$4:$D$704=$D306)*($J$4:$J$704=$J306)*($F$4:$F$704&lt;$G306)*($G$4:$G$704&gt;$F306))&gt;1,"⚠ CONFLIT",""))</f>
        <v/>
      </c>
      <c r="U306" s="44">
        <f>IF(COUNTIFS($D$4:$D$704,$D306,$J$4:$J$704,$J306,$F$4:$F$704,$F306,$K$4:$K$704,$K306)&gt;1,"⚠ DOUBLON","")</f>
        <v/>
      </c>
      <c r="V306" s="44">
        <f>COUNTIFS($A$4:$A306,$A306,$J$4:$J306,$J306,$E$4:$E306,$E306)</f>
        <v/>
      </c>
      <c r="W306" s="45">
        <f>$A306&amp;"|"&amp;$J306&amp;"|"&amp;$E306&amp;"|"&amp;$V306</f>
        <v/>
      </c>
      <c r="X306" s="46">
        <f>TEXT($F306,"hh:mm")&amp;" - "&amp;TEXT($G306,"hh:mm")&amp;IF($P306="Quinzaine A","   ◆ Q-A",IF($P306="Quinzaine B","   ◆ Q-B",IF($P306="Exception","   ◆ PONCTUEL","")))&amp;CHAR(10)&amp;$K306&amp;CHAR(10)&amp;$M306&amp;IF($N306&lt;&gt;"",CHAR(10)&amp;"Salle "&amp;$N306,"")&amp;IF($O306="En ligne",CHAR(10)&amp;"◆ EN LIGNE","")&amp;IF($R306&lt;&gt;"",CHAR(10)&amp;$R306,"")</f>
        <v/>
      </c>
      <c r="Y306" s="45" t="inlineStr"/>
      <c r="Z306" s="45" t="inlineStr">
        <is>
          <t>— généré —</t>
        </is>
      </c>
    </row>
    <row r="307" ht="15" customHeight="1">
      <c r="A307" s="10" t="inlineStr">
        <is>
          <t>S4</t>
        </is>
      </c>
      <c r="B307" s="9" t="inlineStr">
        <is>
          <t>du 5 au 11 octobre 2026</t>
        </is>
      </c>
      <c r="C307" s="10" t="inlineStr">
        <is>
          <t>B</t>
        </is>
      </c>
      <c r="D307" s="41" t="n">
        <v>46300</v>
      </c>
      <c r="E307" s="10" t="inlineStr">
        <is>
          <t>Lundi</t>
        </is>
      </c>
      <c r="F307" s="42" t="n">
        <v>0.8125</v>
      </c>
      <c r="G307" s="42" t="n">
        <v>0.875</v>
      </c>
      <c r="H307" s="43">
        <f>IF(OR($F307="",$G307=""),"",($G307-$F307)*24)</f>
        <v/>
      </c>
      <c r="I307" s="10" t="inlineStr">
        <is>
          <t>Collège</t>
        </is>
      </c>
      <c r="J307" s="9" t="inlineStr">
        <is>
          <t>7éme (B)</t>
        </is>
      </c>
      <c r="K307" s="9" t="inlineStr">
        <is>
          <t>Arabe</t>
        </is>
      </c>
      <c r="L307" s="9" t="inlineStr">
        <is>
          <t>Arabe</t>
        </is>
      </c>
      <c r="M307" s="9" t="inlineStr">
        <is>
          <t>Yahya</t>
        </is>
      </c>
      <c r="N307" s="10" t="n"/>
      <c r="O307" s="10" t="n"/>
      <c r="P307" s="10" t="inlineStr">
        <is>
          <t>Hebdomadaire</t>
        </is>
      </c>
      <c r="Q307" s="9" t="inlineStr">
        <is>
          <t>Généré (octobre)</t>
        </is>
      </c>
      <c r="R307" s="9" t="inlineStr"/>
      <c r="S307" s="44">
        <f>IF($M307="","",IF(SUMPRODUCT(($D$4:$D$704=$D307)*($M$4:$M$704=$M307)*($F$4:$F$704&lt;$G307)*($G$4:$G$704&gt;$F307))&gt;1,"⚠ CONFLIT",""))</f>
        <v/>
      </c>
      <c r="T307" s="44">
        <f>IF($J307="","",IF(SUMPRODUCT(($D$4:$D$704=$D307)*($J$4:$J$704=$J307)*($F$4:$F$704&lt;$G307)*($G$4:$G$704&gt;$F307))&gt;1,"⚠ CONFLIT",""))</f>
        <v/>
      </c>
      <c r="U307" s="44">
        <f>IF(COUNTIFS($D$4:$D$704,$D307,$J$4:$J$704,$J307,$F$4:$F$704,$F307,$K$4:$K$704,$K307)&gt;1,"⚠ DOUBLON","")</f>
        <v/>
      </c>
      <c r="V307" s="44">
        <f>COUNTIFS($A$4:$A307,$A307,$J$4:$J307,$J307,$E$4:$E307,$E307)</f>
        <v/>
      </c>
      <c r="W307" s="45">
        <f>$A307&amp;"|"&amp;$J307&amp;"|"&amp;$E307&amp;"|"&amp;$V307</f>
        <v/>
      </c>
      <c r="X307" s="46">
        <f>TEXT($F307,"hh:mm")&amp;" - "&amp;TEXT($G307,"hh:mm")&amp;IF($P307="Quinzaine A","   ◆ Q-A",IF($P307="Quinzaine B","   ◆ Q-B",IF($P307="Exception","   ◆ PONCTUEL","")))&amp;CHAR(10)&amp;$K307&amp;CHAR(10)&amp;$M307&amp;IF($N307&lt;&gt;"",CHAR(10)&amp;"Salle "&amp;$N307,"")&amp;IF($O307="En ligne",CHAR(10)&amp;"◆ EN LIGNE","")&amp;IF($R307&lt;&gt;"",CHAR(10)&amp;$R307,"")</f>
        <v/>
      </c>
      <c r="Y307" s="45" t="inlineStr"/>
      <c r="Z307" s="45" t="inlineStr">
        <is>
          <t>— généré —</t>
        </is>
      </c>
    </row>
    <row r="308" ht="15" customHeight="1">
      <c r="A308" s="10" t="inlineStr">
        <is>
          <t>S4</t>
        </is>
      </c>
      <c r="B308" s="9" t="inlineStr">
        <is>
          <t>du 5 au 11 octobre 2026</t>
        </is>
      </c>
      <c r="C308" s="10" t="inlineStr">
        <is>
          <t>B</t>
        </is>
      </c>
      <c r="D308" s="41" t="n">
        <v>46300</v>
      </c>
      <c r="E308" s="10" t="inlineStr">
        <is>
          <t>Lundi</t>
        </is>
      </c>
      <c r="F308" s="42" t="n">
        <v>0.8125</v>
      </c>
      <c r="G308" s="42" t="n">
        <v>0.875</v>
      </c>
      <c r="H308" s="43">
        <f>IF(OR($F308="",$G308=""),"",($G308-$F308)*24)</f>
        <v/>
      </c>
      <c r="I308" s="10" t="inlineStr">
        <is>
          <t>Collège</t>
        </is>
      </c>
      <c r="J308" s="9" t="inlineStr">
        <is>
          <t>9éme (A)</t>
        </is>
      </c>
      <c r="K308" s="9" t="inlineStr">
        <is>
          <t>فيزياء</t>
        </is>
      </c>
      <c r="L308" s="9" t="inlineStr">
        <is>
          <t>Physique</t>
        </is>
      </c>
      <c r="M308" s="9" t="inlineStr">
        <is>
          <t>Melek</t>
        </is>
      </c>
      <c r="N308" s="10" t="n"/>
      <c r="O308" s="10" t="n"/>
      <c r="P308" s="10" t="inlineStr">
        <is>
          <t>Hebdomadaire</t>
        </is>
      </c>
      <c r="Q308" s="9" t="inlineStr">
        <is>
          <t>Généré (octobre)</t>
        </is>
      </c>
      <c r="R308" s="9" t="inlineStr"/>
      <c r="S308" s="44">
        <f>IF($M308="","",IF(SUMPRODUCT(($D$4:$D$704=$D308)*($M$4:$M$704=$M308)*($F$4:$F$704&lt;$G308)*($G$4:$G$704&gt;$F308))&gt;1,"⚠ CONFLIT",""))</f>
        <v/>
      </c>
      <c r="T308" s="44">
        <f>IF($J308="","",IF(SUMPRODUCT(($D$4:$D$704=$D308)*($J$4:$J$704=$J308)*($F$4:$F$704&lt;$G308)*($G$4:$G$704&gt;$F308))&gt;1,"⚠ CONFLIT",""))</f>
        <v/>
      </c>
      <c r="U308" s="44">
        <f>IF(COUNTIFS($D$4:$D$704,$D308,$J$4:$J$704,$J308,$F$4:$F$704,$F308,$K$4:$K$704,$K308)&gt;1,"⚠ DOUBLON","")</f>
        <v/>
      </c>
      <c r="V308" s="44">
        <f>COUNTIFS($A$4:$A308,$A308,$J$4:$J308,$J308,$E$4:$E308,$E308)</f>
        <v/>
      </c>
      <c r="W308" s="45">
        <f>$A308&amp;"|"&amp;$J308&amp;"|"&amp;$E308&amp;"|"&amp;$V308</f>
        <v/>
      </c>
      <c r="X308" s="46">
        <f>TEXT($F308,"hh:mm")&amp;" - "&amp;TEXT($G308,"hh:mm")&amp;IF($P308="Quinzaine A","   ◆ Q-A",IF($P308="Quinzaine B","   ◆ Q-B",IF($P308="Exception","   ◆ PONCTUEL","")))&amp;CHAR(10)&amp;$K308&amp;CHAR(10)&amp;$M308&amp;IF($N308&lt;&gt;"",CHAR(10)&amp;"Salle "&amp;$N308,"")&amp;IF($O308="En ligne",CHAR(10)&amp;"◆ EN LIGNE","")&amp;IF($R308&lt;&gt;"",CHAR(10)&amp;$R308,"")</f>
        <v/>
      </c>
      <c r="Y308" s="45" t="inlineStr"/>
      <c r="Z308" s="45" t="inlineStr">
        <is>
          <t>— généré —</t>
        </is>
      </c>
    </row>
    <row r="309" ht="15" customHeight="1">
      <c r="A309" s="10" t="inlineStr">
        <is>
          <t>S4</t>
        </is>
      </c>
      <c r="B309" s="9" t="inlineStr">
        <is>
          <t>du 5 au 11 octobre 2026</t>
        </is>
      </c>
      <c r="C309" s="10" t="inlineStr">
        <is>
          <t>B</t>
        </is>
      </c>
      <c r="D309" s="41" t="n">
        <v>46300</v>
      </c>
      <c r="E309" s="10" t="inlineStr">
        <is>
          <t>Lundi</t>
        </is>
      </c>
      <c r="F309" s="42" t="n">
        <v>0.8125</v>
      </c>
      <c r="G309" s="42" t="n">
        <v>0.875</v>
      </c>
      <c r="H309" s="43">
        <f>IF(OR($F309="",$G309=""),"",($G309-$F309)*24)</f>
        <v/>
      </c>
      <c r="I309" s="10" t="inlineStr">
        <is>
          <t>Secondaire</t>
        </is>
      </c>
      <c r="J309" s="9" t="inlineStr">
        <is>
          <t>1ére (A)</t>
        </is>
      </c>
      <c r="K309" s="9" t="inlineStr">
        <is>
          <t>Math</t>
        </is>
      </c>
      <c r="L309" s="9" t="inlineStr">
        <is>
          <t>Math</t>
        </is>
      </c>
      <c r="M309" s="9" t="inlineStr">
        <is>
          <t>Haythem</t>
        </is>
      </c>
      <c r="N309" s="10" t="n"/>
      <c r="O309" s="10" t="n"/>
      <c r="P309" s="10" t="inlineStr">
        <is>
          <t>Hebdomadaire</t>
        </is>
      </c>
      <c r="Q309" s="9" t="inlineStr">
        <is>
          <t>Généré (octobre)</t>
        </is>
      </c>
      <c r="R309" s="9" t="inlineStr"/>
      <c r="S309" s="44">
        <f>IF($M309="","",IF(SUMPRODUCT(($D$4:$D$704=$D309)*($M$4:$M$704=$M309)*($F$4:$F$704&lt;$G309)*($G$4:$G$704&gt;$F309))&gt;1,"⚠ CONFLIT",""))</f>
        <v/>
      </c>
      <c r="T309" s="44">
        <f>IF($J309="","",IF(SUMPRODUCT(($D$4:$D$704=$D309)*($J$4:$J$704=$J309)*($F$4:$F$704&lt;$G309)*($G$4:$G$704&gt;$F309))&gt;1,"⚠ CONFLIT",""))</f>
        <v/>
      </c>
      <c r="U309" s="44">
        <f>IF(COUNTIFS($D$4:$D$704,$D309,$J$4:$J$704,$J309,$F$4:$F$704,$F309,$K$4:$K$704,$K309)&gt;1,"⚠ DOUBLON","")</f>
        <v/>
      </c>
      <c r="V309" s="44">
        <f>COUNTIFS($A$4:$A309,$A309,$J$4:$J309,$J309,$E$4:$E309,$E309)</f>
        <v/>
      </c>
      <c r="W309" s="45">
        <f>$A309&amp;"|"&amp;$J309&amp;"|"&amp;$E309&amp;"|"&amp;$V309</f>
        <v/>
      </c>
      <c r="X309" s="46">
        <f>TEXT($F309,"hh:mm")&amp;" - "&amp;TEXT($G309,"hh:mm")&amp;IF($P309="Quinzaine A","   ◆ Q-A",IF($P309="Quinzaine B","   ◆ Q-B",IF($P309="Exception","   ◆ PONCTUEL","")))&amp;CHAR(10)&amp;$K309&amp;CHAR(10)&amp;$M309&amp;IF($N309&lt;&gt;"",CHAR(10)&amp;"Salle "&amp;$N309,"")&amp;IF($O309="En ligne",CHAR(10)&amp;"◆ EN LIGNE","")&amp;IF($R309&lt;&gt;"",CHAR(10)&amp;$R309,"")</f>
        <v/>
      </c>
      <c r="Y309" s="45" t="inlineStr"/>
      <c r="Z309" s="45" t="inlineStr">
        <is>
          <t>— généré —</t>
        </is>
      </c>
    </row>
    <row r="310" ht="15" customHeight="1">
      <c r="A310" s="10" t="inlineStr">
        <is>
          <t>S4</t>
        </is>
      </c>
      <c r="B310" s="9" t="inlineStr">
        <is>
          <t>du 5 au 11 octobre 2026</t>
        </is>
      </c>
      <c r="C310" s="10" t="inlineStr">
        <is>
          <t>B</t>
        </is>
      </c>
      <c r="D310" s="41" t="n">
        <v>46300</v>
      </c>
      <c r="E310" s="10" t="inlineStr">
        <is>
          <t>Lundi</t>
        </is>
      </c>
      <c r="F310" s="42" t="n">
        <v>0.6458333333333334</v>
      </c>
      <c r="G310" s="42" t="n">
        <v>0.7291666666666666</v>
      </c>
      <c r="H310" s="43">
        <f>IF(OR($F310="",$G310=""),"",($G310-$F310)*24)</f>
        <v/>
      </c>
      <c r="I310" s="10" t="inlineStr">
        <is>
          <t>Secondaire</t>
        </is>
      </c>
      <c r="J310" s="9" t="inlineStr">
        <is>
          <t>3éme INFO</t>
        </is>
      </c>
      <c r="K310" s="9" t="inlineStr">
        <is>
          <t>STI</t>
        </is>
      </c>
      <c r="L310" s="9" t="inlineStr">
        <is>
          <t>STI</t>
        </is>
      </c>
      <c r="M310" s="9" t="inlineStr">
        <is>
          <t>Aymen</t>
        </is>
      </c>
      <c r="N310" s="10" t="n"/>
      <c r="O310" s="10" t="n"/>
      <c r="P310" s="10" t="inlineStr">
        <is>
          <t>Hebdomadaire</t>
        </is>
      </c>
      <c r="Q310" s="9" t="inlineStr">
        <is>
          <t>Généré (octobre)</t>
        </is>
      </c>
      <c r="R310" s="9" t="inlineStr"/>
      <c r="S310" s="44">
        <f>IF($M310="","",IF(SUMPRODUCT(($D$4:$D$704=$D310)*($M$4:$M$704=$M310)*($F$4:$F$704&lt;$G310)*($G$4:$G$704&gt;$F310))&gt;1,"⚠ CONFLIT",""))</f>
        <v/>
      </c>
      <c r="T310" s="44">
        <f>IF($J310="","",IF(SUMPRODUCT(($D$4:$D$704=$D310)*($J$4:$J$704=$J310)*($F$4:$F$704&lt;$G310)*($G$4:$G$704&gt;$F310))&gt;1,"⚠ CONFLIT",""))</f>
        <v/>
      </c>
      <c r="U310" s="44">
        <f>IF(COUNTIFS($D$4:$D$704,$D310,$J$4:$J$704,$J310,$F$4:$F$704,$F310,$K$4:$K$704,$K310)&gt;1,"⚠ DOUBLON","")</f>
        <v/>
      </c>
      <c r="V310" s="44">
        <f>COUNTIFS($A$4:$A310,$A310,$J$4:$J310,$J310,$E$4:$E310,$E310)</f>
        <v/>
      </c>
      <c r="W310" s="45">
        <f>$A310&amp;"|"&amp;$J310&amp;"|"&amp;$E310&amp;"|"&amp;$V310</f>
        <v/>
      </c>
      <c r="X310" s="46">
        <f>TEXT($F310,"hh:mm")&amp;" - "&amp;TEXT($G310,"hh:mm")&amp;IF($P310="Quinzaine A","   ◆ Q-A",IF($P310="Quinzaine B","   ◆ Q-B",IF($P310="Exception","   ◆ PONCTUEL","")))&amp;CHAR(10)&amp;$K310&amp;CHAR(10)&amp;$M310&amp;IF($N310&lt;&gt;"",CHAR(10)&amp;"Salle "&amp;$N310,"")&amp;IF($O310="En ligne",CHAR(10)&amp;"◆ EN LIGNE","")&amp;IF($R310&lt;&gt;"",CHAR(10)&amp;$R310,"")</f>
        <v/>
      </c>
      <c r="Y310" s="45" t="inlineStr"/>
      <c r="Z310" s="45" t="inlineStr">
        <is>
          <t>— généré —</t>
        </is>
      </c>
    </row>
    <row r="311" ht="15" customHeight="1">
      <c r="A311" s="10" t="inlineStr">
        <is>
          <t>S4</t>
        </is>
      </c>
      <c r="B311" s="9" t="inlineStr">
        <is>
          <t>du 5 au 11 octobre 2026</t>
        </is>
      </c>
      <c r="C311" s="10" t="inlineStr">
        <is>
          <t>B</t>
        </is>
      </c>
      <c r="D311" s="41" t="n">
        <v>46300</v>
      </c>
      <c r="E311" s="10" t="inlineStr">
        <is>
          <t>Lundi</t>
        </is>
      </c>
      <c r="F311" s="42" t="n">
        <v>0.7916666666666666</v>
      </c>
      <c r="G311" s="42" t="n">
        <v>0.8541666666666666</v>
      </c>
      <c r="H311" s="43">
        <f>IF(OR($F311="",$G311=""),"",($G311-$F311)*24)</f>
        <v/>
      </c>
      <c r="I311" s="10" t="inlineStr">
        <is>
          <t>Secondaire</t>
        </is>
      </c>
      <c r="J311" s="9" t="inlineStr">
        <is>
          <t>3éme SCE</t>
        </is>
      </c>
      <c r="K311" s="9" t="inlineStr">
        <is>
          <t>Math</t>
        </is>
      </c>
      <c r="L311" s="9" t="inlineStr">
        <is>
          <t>Math</t>
        </is>
      </c>
      <c r="M311" s="9" t="inlineStr">
        <is>
          <t>Lotfi</t>
        </is>
      </c>
      <c r="N311" s="10" t="n"/>
      <c r="O311" s="10" t="n"/>
      <c r="P311" s="10" t="inlineStr">
        <is>
          <t>Hebdomadaire</t>
        </is>
      </c>
      <c r="Q311" s="9" t="inlineStr">
        <is>
          <t>Généré (octobre)</t>
        </is>
      </c>
      <c r="R311" s="9" t="inlineStr"/>
      <c r="S311" s="44">
        <f>IF($M311="","",IF(SUMPRODUCT(($D$4:$D$704=$D311)*($M$4:$M$704=$M311)*($F$4:$F$704&lt;$G311)*($G$4:$G$704&gt;$F311))&gt;1,"⚠ CONFLIT",""))</f>
        <v/>
      </c>
      <c r="T311" s="44">
        <f>IF($J311="","",IF(SUMPRODUCT(($D$4:$D$704=$D311)*($J$4:$J$704=$J311)*($F$4:$F$704&lt;$G311)*($G$4:$G$704&gt;$F311))&gt;1,"⚠ CONFLIT",""))</f>
        <v/>
      </c>
      <c r="U311" s="44">
        <f>IF(COUNTIFS($D$4:$D$704,$D311,$J$4:$J$704,$J311,$F$4:$F$704,$F311,$K$4:$K$704,$K311)&gt;1,"⚠ DOUBLON","")</f>
        <v/>
      </c>
      <c r="V311" s="44">
        <f>COUNTIFS($A$4:$A311,$A311,$J$4:$J311,$J311,$E$4:$E311,$E311)</f>
        <v/>
      </c>
      <c r="W311" s="45">
        <f>$A311&amp;"|"&amp;$J311&amp;"|"&amp;$E311&amp;"|"&amp;$V311</f>
        <v/>
      </c>
      <c r="X311" s="46">
        <f>TEXT($F311,"hh:mm")&amp;" - "&amp;TEXT($G311,"hh:mm")&amp;IF($P311="Quinzaine A","   ◆ Q-A",IF($P311="Quinzaine B","   ◆ Q-B",IF($P311="Exception","   ◆ PONCTUEL","")))&amp;CHAR(10)&amp;$K311&amp;CHAR(10)&amp;$M311&amp;IF($N311&lt;&gt;"",CHAR(10)&amp;"Salle "&amp;$N311,"")&amp;IF($O311="En ligne",CHAR(10)&amp;"◆ EN LIGNE","")&amp;IF($R311&lt;&gt;"",CHAR(10)&amp;$R311,"")</f>
        <v/>
      </c>
      <c r="Y311" s="45" t="inlineStr"/>
      <c r="Z311" s="45" t="inlineStr">
        <is>
          <t>— généré —</t>
        </is>
      </c>
    </row>
    <row r="312" ht="15" customHeight="1">
      <c r="A312" s="10" t="inlineStr">
        <is>
          <t>S4</t>
        </is>
      </c>
      <c r="B312" s="9" t="inlineStr">
        <is>
          <t>du 5 au 11 octobre 2026</t>
        </is>
      </c>
      <c r="C312" s="10" t="inlineStr">
        <is>
          <t>B</t>
        </is>
      </c>
      <c r="D312" s="41" t="n">
        <v>46300</v>
      </c>
      <c r="E312" s="10" t="inlineStr">
        <is>
          <t>Lundi</t>
        </is>
      </c>
      <c r="F312" s="42" t="n">
        <v>0.7916666666666666</v>
      </c>
      <c r="G312" s="42" t="n">
        <v>0.875</v>
      </c>
      <c r="H312" s="43">
        <f>IF(OR($F312="",$G312=""),"",($G312-$F312)*24)</f>
        <v/>
      </c>
      <c r="I312" s="10" t="inlineStr">
        <is>
          <t>Bac</t>
        </is>
      </c>
      <c r="J312" s="9" t="inlineStr">
        <is>
          <t>Bac Eco</t>
        </is>
      </c>
      <c r="K312" s="9" t="inlineStr">
        <is>
          <t>Gestion</t>
        </is>
      </c>
      <c r="L312" s="9" t="inlineStr">
        <is>
          <t>Gestion</t>
        </is>
      </c>
      <c r="M312" s="9" t="inlineStr">
        <is>
          <t>Yassine</t>
        </is>
      </c>
      <c r="N312" s="10" t="n"/>
      <c r="O312" s="10" t="n"/>
      <c r="P312" s="10" t="inlineStr">
        <is>
          <t>Hebdomadaire</t>
        </is>
      </c>
      <c r="Q312" s="9" t="inlineStr">
        <is>
          <t>Généré (octobre)</t>
        </is>
      </c>
      <c r="R312" s="9" t="inlineStr"/>
      <c r="S312" s="44">
        <f>IF($M312="","",IF(SUMPRODUCT(($D$4:$D$704=$D312)*($M$4:$M$704=$M312)*($F$4:$F$704&lt;$G312)*($G$4:$G$704&gt;$F312))&gt;1,"⚠ CONFLIT",""))</f>
        <v/>
      </c>
      <c r="T312" s="44">
        <f>IF($J312="","",IF(SUMPRODUCT(($D$4:$D$704=$D312)*($J$4:$J$704=$J312)*($F$4:$F$704&lt;$G312)*($G$4:$G$704&gt;$F312))&gt;1,"⚠ CONFLIT",""))</f>
        <v/>
      </c>
      <c r="U312" s="44">
        <f>IF(COUNTIFS($D$4:$D$704,$D312,$J$4:$J$704,$J312,$F$4:$F$704,$F312,$K$4:$K$704,$K312)&gt;1,"⚠ DOUBLON","")</f>
        <v/>
      </c>
      <c r="V312" s="44">
        <f>COUNTIFS($A$4:$A312,$A312,$J$4:$J312,$J312,$E$4:$E312,$E312)</f>
        <v/>
      </c>
      <c r="W312" s="45">
        <f>$A312&amp;"|"&amp;$J312&amp;"|"&amp;$E312&amp;"|"&amp;$V312</f>
        <v/>
      </c>
      <c r="X312" s="46">
        <f>TEXT($F312,"hh:mm")&amp;" - "&amp;TEXT($G312,"hh:mm")&amp;IF($P312="Quinzaine A","   ◆ Q-A",IF($P312="Quinzaine B","   ◆ Q-B",IF($P312="Exception","   ◆ PONCTUEL","")))&amp;CHAR(10)&amp;$K312&amp;CHAR(10)&amp;$M312&amp;IF($N312&lt;&gt;"",CHAR(10)&amp;"Salle "&amp;$N312,"")&amp;IF($O312="En ligne",CHAR(10)&amp;"◆ EN LIGNE","")&amp;IF($R312&lt;&gt;"",CHAR(10)&amp;$R312,"")</f>
        <v/>
      </c>
      <c r="Y312" s="45" t="inlineStr"/>
      <c r="Z312" s="45" t="inlineStr">
        <is>
          <t>— généré —</t>
        </is>
      </c>
    </row>
    <row r="313" ht="15" customHeight="1">
      <c r="A313" s="10" t="inlineStr">
        <is>
          <t>S4</t>
        </is>
      </c>
      <c r="B313" s="9" t="inlineStr">
        <is>
          <t>du 5 au 11 octobre 2026</t>
        </is>
      </c>
      <c r="C313" s="10" t="inlineStr">
        <is>
          <t>B</t>
        </is>
      </c>
      <c r="D313" s="41" t="n">
        <v>46300</v>
      </c>
      <c r="E313" s="10" t="inlineStr">
        <is>
          <t>Lundi</t>
        </is>
      </c>
      <c r="F313" s="42" t="n">
        <v>0.7916666666666666</v>
      </c>
      <c r="G313" s="42" t="n">
        <v>0.875</v>
      </c>
      <c r="H313" s="43">
        <f>IF(OR($F313="",$G313=""),"",($G313-$F313)*24)</f>
        <v/>
      </c>
      <c r="I313" s="10" t="inlineStr">
        <is>
          <t>Bac</t>
        </is>
      </c>
      <c r="J313" s="9" t="inlineStr">
        <is>
          <t>Bac SCE</t>
        </is>
      </c>
      <c r="K313" s="9" t="inlineStr">
        <is>
          <t>Physique</t>
        </is>
      </c>
      <c r="L313" s="9" t="inlineStr">
        <is>
          <t>Physique</t>
        </is>
      </c>
      <c r="M313" s="9" t="inlineStr">
        <is>
          <t>Sondes</t>
        </is>
      </c>
      <c r="N313" s="10" t="n"/>
      <c r="O313" s="10" t="n"/>
      <c r="P313" s="10" t="inlineStr">
        <is>
          <t>Hebdomadaire</t>
        </is>
      </c>
      <c r="Q313" s="9" t="inlineStr">
        <is>
          <t>Généré (octobre)</t>
        </is>
      </c>
      <c r="R313" s="9" t="inlineStr"/>
      <c r="S313" s="44">
        <f>IF($M313="","",IF(SUMPRODUCT(($D$4:$D$704=$D313)*($M$4:$M$704=$M313)*($F$4:$F$704&lt;$G313)*($G$4:$G$704&gt;$F313))&gt;1,"⚠ CONFLIT",""))</f>
        <v/>
      </c>
      <c r="T313" s="44">
        <f>IF($J313="","",IF(SUMPRODUCT(($D$4:$D$704=$D313)*($J$4:$J$704=$J313)*($F$4:$F$704&lt;$G313)*($G$4:$G$704&gt;$F313))&gt;1,"⚠ CONFLIT",""))</f>
        <v/>
      </c>
      <c r="U313" s="44">
        <f>IF(COUNTIFS($D$4:$D$704,$D313,$J$4:$J$704,$J313,$F$4:$F$704,$F313,$K$4:$K$704,$K313)&gt;1,"⚠ DOUBLON","")</f>
        <v/>
      </c>
      <c r="V313" s="44">
        <f>COUNTIFS($A$4:$A313,$A313,$J$4:$J313,$J313,$E$4:$E313,$E313)</f>
        <v/>
      </c>
      <c r="W313" s="45">
        <f>$A313&amp;"|"&amp;$J313&amp;"|"&amp;$E313&amp;"|"&amp;$V313</f>
        <v/>
      </c>
      <c r="X313" s="46">
        <f>TEXT($F313,"hh:mm")&amp;" - "&amp;TEXT($G313,"hh:mm")&amp;IF($P313="Quinzaine A","   ◆ Q-A",IF($P313="Quinzaine B","   ◆ Q-B",IF($P313="Exception","   ◆ PONCTUEL","")))&amp;CHAR(10)&amp;$K313&amp;CHAR(10)&amp;$M313&amp;IF($N313&lt;&gt;"",CHAR(10)&amp;"Salle "&amp;$N313,"")&amp;IF($O313="En ligne",CHAR(10)&amp;"◆ EN LIGNE","")&amp;IF($R313&lt;&gt;"",CHAR(10)&amp;$R313,"")</f>
        <v/>
      </c>
      <c r="Y313" s="45" t="inlineStr"/>
      <c r="Z313" s="45" t="inlineStr">
        <is>
          <t>— généré —</t>
        </is>
      </c>
    </row>
    <row r="314" ht="15" customHeight="1">
      <c r="A314" s="10" t="inlineStr">
        <is>
          <t>S4</t>
        </is>
      </c>
      <c r="B314" s="9" t="inlineStr">
        <is>
          <t>du 5 au 11 octobre 2026</t>
        </is>
      </c>
      <c r="C314" s="10" t="inlineStr">
        <is>
          <t>B</t>
        </is>
      </c>
      <c r="D314" s="41" t="n">
        <v>46300</v>
      </c>
      <c r="E314" s="10" t="inlineStr">
        <is>
          <t>Lundi</t>
        </is>
      </c>
      <c r="F314" s="42" t="n">
        <v>0.8125</v>
      </c>
      <c r="G314" s="42" t="n">
        <v>0.875</v>
      </c>
      <c r="H314" s="43">
        <f>IF(OR($F314="",$G314=""),"",($G314-$F314)*24)</f>
        <v/>
      </c>
      <c r="I314" s="10" t="inlineStr">
        <is>
          <t>Bac</t>
        </is>
      </c>
      <c r="J314" s="9" t="inlineStr">
        <is>
          <t>Bac INFO</t>
        </is>
      </c>
      <c r="K314" s="9" t="inlineStr">
        <is>
          <t>Physique</t>
        </is>
      </c>
      <c r="L314" s="9" t="inlineStr">
        <is>
          <t>Physique</t>
        </is>
      </c>
      <c r="M314" s="9" t="inlineStr">
        <is>
          <t>Samia</t>
        </is>
      </c>
      <c r="N314" s="10" t="n"/>
      <c r="O314" s="10" t="n"/>
      <c r="P314" s="10" t="inlineStr">
        <is>
          <t>Hebdomadaire</t>
        </is>
      </c>
      <c r="Q314" s="9" t="inlineStr">
        <is>
          <t>Généré (octobre)</t>
        </is>
      </c>
      <c r="R314" s="9" t="inlineStr"/>
      <c r="S314" s="44">
        <f>IF($M314="","",IF(SUMPRODUCT(($D$4:$D$704=$D314)*($M$4:$M$704=$M314)*($F$4:$F$704&lt;$G314)*($G$4:$G$704&gt;$F314))&gt;1,"⚠ CONFLIT",""))</f>
        <v/>
      </c>
      <c r="T314" s="44">
        <f>IF($J314="","",IF(SUMPRODUCT(($D$4:$D$704=$D314)*($J$4:$J$704=$J314)*($F$4:$F$704&lt;$G314)*($G$4:$G$704&gt;$F314))&gt;1,"⚠ CONFLIT",""))</f>
        <v/>
      </c>
      <c r="U314" s="44">
        <f>IF(COUNTIFS($D$4:$D$704,$D314,$J$4:$J$704,$J314,$F$4:$F$704,$F314,$K$4:$K$704,$K314)&gt;1,"⚠ DOUBLON","")</f>
        <v/>
      </c>
      <c r="V314" s="44">
        <f>COUNTIFS($A$4:$A314,$A314,$J$4:$J314,$J314,$E$4:$E314,$E314)</f>
        <v/>
      </c>
      <c r="W314" s="45">
        <f>$A314&amp;"|"&amp;$J314&amp;"|"&amp;$E314&amp;"|"&amp;$V314</f>
        <v/>
      </c>
      <c r="X314" s="46">
        <f>TEXT($F314,"hh:mm")&amp;" - "&amp;TEXT($G314,"hh:mm")&amp;IF($P314="Quinzaine A","   ◆ Q-A",IF($P314="Quinzaine B","   ◆ Q-B",IF($P314="Exception","   ◆ PONCTUEL","")))&amp;CHAR(10)&amp;$K314&amp;CHAR(10)&amp;$M314&amp;IF($N314&lt;&gt;"",CHAR(10)&amp;"Salle "&amp;$N314,"")&amp;IF($O314="En ligne",CHAR(10)&amp;"◆ EN LIGNE","")&amp;IF($R314&lt;&gt;"",CHAR(10)&amp;$R314,"")</f>
        <v/>
      </c>
      <c r="Y314" s="45" t="inlineStr"/>
      <c r="Z314" s="45" t="inlineStr">
        <is>
          <t>— généré —</t>
        </is>
      </c>
    </row>
    <row r="315" ht="15" customHeight="1">
      <c r="A315" s="10" t="inlineStr">
        <is>
          <t>S4</t>
        </is>
      </c>
      <c r="B315" s="9" t="inlineStr">
        <is>
          <t>du 5 au 11 octobre 2026</t>
        </is>
      </c>
      <c r="C315" s="10" t="inlineStr">
        <is>
          <t>B</t>
        </is>
      </c>
      <c r="D315" s="41" t="n">
        <v>46301</v>
      </c>
      <c r="E315" s="10" t="inlineStr">
        <is>
          <t>Mardi</t>
        </is>
      </c>
      <c r="F315" s="42" t="n">
        <v>0.7916666666666666</v>
      </c>
      <c r="G315" s="42" t="n">
        <v>0.875</v>
      </c>
      <c r="H315" s="43">
        <f>IF(OR($F315="",$G315=""),"",($G315-$F315)*24)</f>
        <v/>
      </c>
      <c r="I315" s="10" t="inlineStr">
        <is>
          <t>Primaire</t>
        </is>
      </c>
      <c r="J315" s="9" t="inlineStr">
        <is>
          <t>5éme</t>
        </is>
      </c>
      <c r="K315" s="9" t="inlineStr">
        <is>
          <t>عربية</t>
        </is>
      </c>
      <c r="L315" s="9" t="inlineStr">
        <is>
          <t>Arabe</t>
        </is>
      </c>
      <c r="M315" s="9" t="inlineStr">
        <is>
          <t>Lobna</t>
        </is>
      </c>
      <c r="N315" s="10" t="n"/>
      <c r="O315" s="10" t="n"/>
      <c r="P315" s="10" t="inlineStr">
        <is>
          <t>Hebdomadaire</t>
        </is>
      </c>
      <c r="Q315" s="9" t="inlineStr">
        <is>
          <t>Généré (octobre)</t>
        </is>
      </c>
      <c r="R315" s="9" t="inlineStr"/>
      <c r="S315" s="44">
        <f>IF($M315="","",IF(SUMPRODUCT(($D$4:$D$704=$D315)*($M$4:$M$704=$M315)*($F$4:$F$704&lt;$G315)*($G$4:$G$704&gt;$F315))&gt;1,"⚠ CONFLIT",""))</f>
        <v/>
      </c>
      <c r="T315" s="44">
        <f>IF($J315="","",IF(SUMPRODUCT(($D$4:$D$704=$D315)*($J$4:$J$704=$J315)*($F$4:$F$704&lt;$G315)*($G$4:$G$704&gt;$F315))&gt;1,"⚠ CONFLIT",""))</f>
        <v/>
      </c>
      <c r="U315" s="44">
        <f>IF(COUNTIFS($D$4:$D$704,$D315,$J$4:$J$704,$J315,$F$4:$F$704,$F315,$K$4:$K$704,$K315)&gt;1,"⚠ DOUBLON","")</f>
        <v/>
      </c>
      <c r="V315" s="44">
        <f>COUNTIFS($A$4:$A315,$A315,$J$4:$J315,$J315,$E$4:$E315,$E315)</f>
        <v/>
      </c>
      <c r="W315" s="45">
        <f>$A315&amp;"|"&amp;$J315&amp;"|"&amp;$E315&amp;"|"&amp;$V315</f>
        <v/>
      </c>
      <c r="X315" s="46">
        <f>TEXT($F315,"hh:mm")&amp;" - "&amp;TEXT($G315,"hh:mm")&amp;IF($P315="Quinzaine A","   ◆ Q-A",IF($P315="Quinzaine B","   ◆ Q-B",IF($P315="Exception","   ◆ PONCTUEL","")))&amp;CHAR(10)&amp;$K315&amp;CHAR(10)&amp;$M315&amp;IF($N315&lt;&gt;"",CHAR(10)&amp;"Salle "&amp;$N315,"")&amp;IF($O315="En ligne",CHAR(10)&amp;"◆ EN LIGNE","")&amp;IF($R315&lt;&gt;"",CHAR(10)&amp;$R315,"")</f>
        <v/>
      </c>
      <c r="Y315" s="45" t="inlineStr"/>
      <c r="Z315" s="45" t="inlineStr">
        <is>
          <t>— généré —</t>
        </is>
      </c>
    </row>
    <row r="316" ht="15" customHeight="1">
      <c r="A316" s="10" t="inlineStr">
        <is>
          <t>S4</t>
        </is>
      </c>
      <c r="B316" s="9" t="inlineStr">
        <is>
          <t>du 5 au 11 octobre 2026</t>
        </is>
      </c>
      <c r="C316" s="10" t="inlineStr">
        <is>
          <t>B</t>
        </is>
      </c>
      <c r="D316" s="41" t="n">
        <v>46301</v>
      </c>
      <c r="E316" s="10" t="inlineStr">
        <is>
          <t>Mardi</t>
        </is>
      </c>
      <c r="F316" s="42" t="n">
        <v>0.7916666666666666</v>
      </c>
      <c r="G316" s="42" t="n">
        <v>0.8541666666666666</v>
      </c>
      <c r="H316" s="43">
        <f>IF(OR($F316="",$G316=""),"",($G316-$F316)*24)</f>
        <v/>
      </c>
      <c r="I316" s="10" t="inlineStr">
        <is>
          <t>Primaire</t>
        </is>
      </c>
      <c r="J316" s="9" t="inlineStr">
        <is>
          <t>6éme (B)</t>
        </is>
      </c>
      <c r="K316" s="9" t="inlineStr">
        <is>
          <t>Français</t>
        </is>
      </c>
      <c r="L316" s="9" t="inlineStr">
        <is>
          <t>Français</t>
        </is>
      </c>
      <c r="M316" s="9" t="inlineStr">
        <is>
          <t>Hend</t>
        </is>
      </c>
      <c r="N316" s="10" t="n"/>
      <c r="O316" s="10" t="n"/>
      <c r="P316" s="10" t="inlineStr">
        <is>
          <t>Hebdomadaire</t>
        </is>
      </c>
      <c r="Q316" s="9" t="inlineStr">
        <is>
          <t>Généré (octobre)</t>
        </is>
      </c>
      <c r="R316" s="9" t="inlineStr"/>
      <c r="S316" s="44">
        <f>IF($M316="","",IF(SUMPRODUCT(($D$4:$D$704=$D316)*($M$4:$M$704=$M316)*($F$4:$F$704&lt;$G316)*($G$4:$G$704&gt;$F316))&gt;1,"⚠ CONFLIT",""))</f>
        <v/>
      </c>
      <c r="T316" s="44">
        <f>IF($J316="","",IF(SUMPRODUCT(($D$4:$D$704=$D316)*($J$4:$J$704=$J316)*($F$4:$F$704&lt;$G316)*($G$4:$G$704&gt;$F316))&gt;1,"⚠ CONFLIT",""))</f>
        <v/>
      </c>
      <c r="U316" s="44">
        <f>IF(COUNTIFS($D$4:$D$704,$D316,$J$4:$J$704,$J316,$F$4:$F$704,$F316,$K$4:$K$704,$K316)&gt;1,"⚠ DOUBLON","")</f>
        <v/>
      </c>
      <c r="V316" s="44">
        <f>COUNTIFS($A$4:$A316,$A316,$J$4:$J316,$J316,$E$4:$E316,$E316)</f>
        <v/>
      </c>
      <c r="W316" s="45">
        <f>$A316&amp;"|"&amp;$J316&amp;"|"&amp;$E316&amp;"|"&amp;$V316</f>
        <v/>
      </c>
      <c r="X316" s="46">
        <f>TEXT($F316,"hh:mm")&amp;" - "&amp;TEXT($G316,"hh:mm")&amp;IF($P316="Quinzaine A","   ◆ Q-A",IF($P316="Quinzaine B","   ◆ Q-B",IF($P316="Exception","   ◆ PONCTUEL","")))&amp;CHAR(10)&amp;$K316&amp;CHAR(10)&amp;$M316&amp;IF($N316&lt;&gt;"",CHAR(10)&amp;"Salle "&amp;$N316,"")&amp;IF($O316="En ligne",CHAR(10)&amp;"◆ EN LIGNE","")&amp;IF($R316&lt;&gt;"",CHAR(10)&amp;$R316,"")</f>
        <v/>
      </c>
      <c r="Y316" s="45" t="inlineStr"/>
      <c r="Z316" s="45" t="inlineStr">
        <is>
          <t>— généré —</t>
        </is>
      </c>
    </row>
    <row r="317" ht="15" customHeight="1">
      <c r="A317" s="10" t="inlineStr">
        <is>
          <t>S4</t>
        </is>
      </c>
      <c r="B317" s="9" t="inlineStr">
        <is>
          <t>du 5 au 11 octobre 2026</t>
        </is>
      </c>
      <c r="C317" s="10" t="inlineStr">
        <is>
          <t>B</t>
        </is>
      </c>
      <c r="D317" s="41" t="n">
        <v>46301</v>
      </c>
      <c r="E317" s="10" t="inlineStr">
        <is>
          <t>Mardi</t>
        </is>
      </c>
      <c r="F317" s="42" t="n">
        <v>0.7916666666666666</v>
      </c>
      <c r="G317" s="42" t="n">
        <v>0.8541666666666666</v>
      </c>
      <c r="H317" s="43">
        <f>IF(OR($F317="",$G317=""),"",($G317-$F317)*24)</f>
        <v/>
      </c>
      <c r="I317" s="10" t="inlineStr">
        <is>
          <t>Collège</t>
        </is>
      </c>
      <c r="J317" s="9" t="inlineStr">
        <is>
          <t>7éme (B)</t>
        </is>
      </c>
      <c r="K317" s="9" t="inlineStr">
        <is>
          <t>Anglais</t>
        </is>
      </c>
      <c r="L317" s="9" t="inlineStr">
        <is>
          <t>Anglais</t>
        </is>
      </c>
      <c r="M317" s="9" t="inlineStr">
        <is>
          <t>Imen Ben Lazrak</t>
        </is>
      </c>
      <c r="N317" s="10" t="n"/>
      <c r="O317" s="10" t="n"/>
      <c r="P317" s="10" t="inlineStr">
        <is>
          <t>Quinzaine B</t>
        </is>
      </c>
      <c r="Q317" s="9" t="inlineStr">
        <is>
          <t>Généré (octobre)</t>
        </is>
      </c>
      <c r="R317" s="9" t="inlineStr"/>
      <c r="S317" s="44">
        <f>IF($M317="","",IF(SUMPRODUCT(($D$4:$D$704=$D317)*($M$4:$M$704=$M317)*($F$4:$F$704&lt;$G317)*($G$4:$G$704&gt;$F317))&gt;1,"⚠ CONFLIT",""))</f>
        <v/>
      </c>
      <c r="T317" s="44">
        <f>IF($J317="","",IF(SUMPRODUCT(($D$4:$D$704=$D317)*($J$4:$J$704=$J317)*($F$4:$F$704&lt;$G317)*($G$4:$G$704&gt;$F317))&gt;1,"⚠ CONFLIT",""))</f>
        <v/>
      </c>
      <c r="U317" s="44">
        <f>IF(COUNTIFS($D$4:$D$704,$D317,$J$4:$J$704,$J317,$F$4:$F$704,$F317,$K$4:$K$704,$K317)&gt;1,"⚠ DOUBLON","")</f>
        <v/>
      </c>
      <c r="V317" s="44">
        <f>COUNTIFS($A$4:$A317,$A317,$J$4:$J317,$J317,$E$4:$E317,$E317)</f>
        <v/>
      </c>
      <c r="W317" s="45">
        <f>$A317&amp;"|"&amp;$J317&amp;"|"&amp;$E317&amp;"|"&amp;$V317</f>
        <v/>
      </c>
      <c r="X317" s="46">
        <f>TEXT($F317,"hh:mm")&amp;" - "&amp;TEXT($G317,"hh:mm")&amp;IF($P317="Quinzaine A","   ◆ Q-A",IF($P317="Quinzaine B","   ◆ Q-B",IF($P317="Exception","   ◆ PONCTUEL","")))&amp;CHAR(10)&amp;$K317&amp;CHAR(10)&amp;$M317&amp;IF($N317&lt;&gt;"",CHAR(10)&amp;"Salle "&amp;$N317,"")&amp;IF($O317="En ligne",CHAR(10)&amp;"◆ EN LIGNE","")&amp;IF($R317&lt;&gt;"",CHAR(10)&amp;$R317,"")</f>
        <v/>
      </c>
      <c r="Y317" s="45" t="inlineStr"/>
      <c r="Z317" s="45" t="inlineStr">
        <is>
          <t>— généré —</t>
        </is>
      </c>
    </row>
    <row r="318" ht="15" customHeight="1">
      <c r="A318" s="10" t="inlineStr">
        <is>
          <t>S4</t>
        </is>
      </c>
      <c r="B318" s="9" t="inlineStr">
        <is>
          <t>du 5 au 11 octobre 2026</t>
        </is>
      </c>
      <c r="C318" s="10" t="inlineStr">
        <is>
          <t>B</t>
        </is>
      </c>
      <c r="D318" s="41" t="n">
        <v>46301</v>
      </c>
      <c r="E318" s="10" t="inlineStr">
        <is>
          <t>Mardi</t>
        </is>
      </c>
      <c r="F318" s="42" t="n">
        <v>0.8125</v>
      </c>
      <c r="G318" s="42" t="n">
        <v>0.875</v>
      </c>
      <c r="H318" s="43">
        <f>IF(OR($F318="",$G318=""),"",($G318-$F318)*24)</f>
        <v/>
      </c>
      <c r="I318" s="10" t="inlineStr">
        <is>
          <t>Collège</t>
        </is>
      </c>
      <c r="J318" s="9" t="inlineStr">
        <is>
          <t>8éme (B)</t>
        </is>
      </c>
      <c r="K318" s="9" t="inlineStr">
        <is>
          <t>Arabe</t>
        </is>
      </c>
      <c r="L318" s="9" t="inlineStr">
        <is>
          <t>Arabe</t>
        </is>
      </c>
      <c r="M318" s="9" t="inlineStr">
        <is>
          <t>Yahya</t>
        </is>
      </c>
      <c r="N318" s="10" t="n"/>
      <c r="O318" s="10" t="n"/>
      <c r="P318" s="10" t="inlineStr">
        <is>
          <t>Hebdomadaire</t>
        </is>
      </c>
      <c r="Q318" s="9" t="inlineStr">
        <is>
          <t>Généré (octobre)</t>
        </is>
      </c>
      <c r="R318" s="9" t="inlineStr"/>
      <c r="S318" s="44">
        <f>IF($M318="","",IF(SUMPRODUCT(($D$4:$D$704=$D318)*($M$4:$M$704=$M318)*($F$4:$F$704&lt;$G318)*($G$4:$G$704&gt;$F318))&gt;1,"⚠ CONFLIT",""))</f>
        <v/>
      </c>
      <c r="T318" s="44">
        <f>IF($J318="","",IF(SUMPRODUCT(($D$4:$D$704=$D318)*($J$4:$J$704=$J318)*($F$4:$F$704&lt;$G318)*($G$4:$G$704&gt;$F318))&gt;1,"⚠ CONFLIT",""))</f>
        <v/>
      </c>
      <c r="U318" s="44">
        <f>IF(COUNTIFS($D$4:$D$704,$D318,$J$4:$J$704,$J318,$F$4:$F$704,$F318,$K$4:$K$704,$K318)&gt;1,"⚠ DOUBLON","")</f>
        <v/>
      </c>
      <c r="V318" s="44">
        <f>COUNTIFS($A$4:$A318,$A318,$J$4:$J318,$J318,$E$4:$E318,$E318)</f>
        <v/>
      </c>
      <c r="W318" s="45">
        <f>$A318&amp;"|"&amp;$J318&amp;"|"&amp;$E318&amp;"|"&amp;$V318</f>
        <v/>
      </c>
      <c r="X318" s="46">
        <f>TEXT($F318,"hh:mm")&amp;" - "&amp;TEXT($G318,"hh:mm")&amp;IF($P318="Quinzaine A","   ◆ Q-A",IF($P318="Quinzaine B","   ◆ Q-B",IF($P318="Exception","   ◆ PONCTUEL","")))&amp;CHAR(10)&amp;$K318&amp;CHAR(10)&amp;$M318&amp;IF($N318&lt;&gt;"",CHAR(10)&amp;"Salle "&amp;$N318,"")&amp;IF($O318="En ligne",CHAR(10)&amp;"◆ EN LIGNE","")&amp;IF($R318&lt;&gt;"",CHAR(10)&amp;$R318,"")</f>
        <v/>
      </c>
      <c r="Y318" s="45" t="inlineStr"/>
      <c r="Z318" s="45" t="inlineStr">
        <is>
          <t>— généré —</t>
        </is>
      </c>
    </row>
    <row r="319" ht="15" customHeight="1">
      <c r="A319" s="10" t="inlineStr">
        <is>
          <t>S4</t>
        </is>
      </c>
      <c r="B319" s="9" t="inlineStr">
        <is>
          <t>du 5 au 11 octobre 2026</t>
        </is>
      </c>
      <c r="C319" s="10" t="inlineStr">
        <is>
          <t>B</t>
        </is>
      </c>
      <c r="D319" s="41" t="n">
        <v>46301</v>
      </c>
      <c r="E319" s="10" t="inlineStr">
        <is>
          <t>Mardi</t>
        </is>
      </c>
      <c r="F319" s="42" t="n">
        <v>0.7916666666666666</v>
      </c>
      <c r="G319" s="42" t="n">
        <v>0.8541666666666666</v>
      </c>
      <c r="H319" s="43">
        <f>IF(OR($F319="",$G319=""),"",($G319-$F319)*24)</f>
        <v/>
      </c>
      <c r="I319" s="10" t="inlineStr">
        <is>
          <t>Collège</t>
        </is>
      </c>
      <c r="J319" s="9" t="inlineStr">
        <is>
          <t>9éme (A)</t>
        </is>
      </c>
      <c r="K319" s="9" t="inlineStr">
        <is>
          <t>Math</t>
        </is>
      </c>
      <c r="L319" s="9" t="inlineStr">
        <is>
          <t>Math</t>
        </is>
      </c>
      <c r="M319" s="9" t="inlineStr">
        <is>
          <t>Faouzi</t>
        </is>
      </c>
      <c r="N319" s="10" t="n"/>
      <c r="O319" s="10" t="n"/>
      <c r="P319" s="10" t="inlineStr">
        <is>
          <t>Hebdomadaire</t>
        </is>
      </c>
      <c r="Q319" s="9" t="inlineStr">
        <is>
          <t>Généré (octobre)</t>
        </is>
      </c>
      <c r="R319" s="9" t="inlineStr"/>
      <c r="S319" s="44">
        <f>IF($M319="","",IF(SUMPRODUCT(($D$4:$D$704=$D319)*($M$4:$M$704=$M319)*($F$4:$F$704&lt;$G319)*($G$4:$G$704&gt;$F319))&gt;1,"⚠ CONFLIT",""))</f>
        <v/>
      </c>
      <c r="T319" s="44">
        <f>IF($J319="","",IF(SUMPRODUCT(($D$4:$D$704=$D319)*($J$4:$J$704=$J319)*($F$4:$F$704&lt;$G319)*($G$4:$G$704&gt;$F319))&gt;1,"⚠ CONFLIT",""))</f>
        <v/>
      </c>
      <c r="U319" s="44">
        <f>IF(COUNTIFS($D$4:$D$704,$D319,$J$4:$J$704,$J319,$F$4:$F$704,$F319,$K$4:$K$704,$K319)&gt;1,"⚠ DOUBLON","")</f>
        <v/>
      </c>
      <c r="V319" s="44">
        <f>COUNTIFS($A$4:$A319,$A319,$J$4:$J319,$J319,$E$4:$E319,$E319)</f>
        <v/>
      </c>
      <c r="W319" s="45">
        <f>$A319&amp;"|"&amp;$J319&amp;"|"&amp;$E319&amp;"|"&amp;$V319</f>
        <v/>
      </c>
      <c r="X319" s="46">
        <f>TEXT($F319,"hh:mm")&amp;" - "&amp;TEXT($G319,"hh:mm")&amp;IF($P319="Quinzaine A","   ◆ Q-A",IF($P319="Quinzaine B","   ◆ Q-B",IF($P319="Exception","   ◆ PONCTUEL","")))&amp;CHAR(10)&amp;$K319&amp;CHAR(10)&amp;$M319&amp;IF($N319&lt;&gt;"",CHAR(10)&amp;"Salle "&amp;$N319,"")&amp;IF($O319="En ligne",CHAR(10)&amp;"◆ EN LIGNE","")&amp;IF($R319&lt;&gt;"",CHAR(10)&amp;$R319,"")</f>
        <v/>
      </c>
      <c r="Y319" s="45" t="inlineStr"/>
      <c r="Z319" s="45" t="inlineStr">
        <is>
          <t>— généré —</t>
        </is>
      </c>
    </row>
    <row r="320" ht="15" customHeight="1">
      <c r="A320" s="10" t="inlineStr">
        <is>
          <t>S4</t>
        </is>
      </c>
      <c r="B320" s="9" t="inlineStr">
        <is>
          <t>du 5 au 11 octobre 2026</t>
        </is>
      </c>
      <c r="C320" s="10" t="inlineStr">
        <is>
          <t>B</t>
        </is>
      </c>
      <c r="D320" s="41" t="n">
        <v>46301</v>
      </c>
      <c r="E320" s="10" t="inlineStr">
        <is>
          <t>Mardi</t>
        </is>
      </c>
      <c r="F320" s="42" t="n">
        <v>0.8020833333333334</v>
      </c>
      <c r="G320" s="42" t="n">
        <v>0.8645833333333334</v>
      </c>
      <c r="H320" s="43">
        <f>IF(OR($F320="",$G320=""),"",($G320-$F320)*24)</f>
        <v/>
      </c>
      <c r="I320" s="10" t="inlineStr">
        <is>
          <t>Collège</t>
        </is>
      </c>
      <c r="J320" s="9" t="inlineStr">
        <is>
          <t>9éme (B)</t>
        </is>
      </c>
      <c r="K320" s="9" t="inlineStr">
        <is>
          <t>SVT</t>
        </is>
      </c>
      <c r="L320" s="9" t="inlineStr">
        <is>
          <t>SVT</t>
        </is>
      </c>
      <c r="M320" s="9" t="inlineStr">
        <is>
          <t>Imen Jribi</t>
        </is>
      </c>
      <c r="N320" s="10" t="n"/>
      <c r="O320" s="10" t="n"/>
      <c r="P320" s="10" t="inlineStr">
        <is>
          <t>Hebdomadaire</t>
        </is>
      </c>
      <c r="Q320" s="9" t="inlineStr">
        <is>
          <t>Généré (octobre)</t>
        </is>
      </c>
      <c r="R320" s="9" t="inlineStr"/>
      <c r="S320" s="44">
        <f>IF($M320="","",IF(SUMPRODUCT(($D$4:$D$704=$D320)*($M$4:$M$704=$M320)*($F$4:$F$704&lt;$G320)*($G$4:$G$704&gt;$F320))&gt;1,"⚠ CONFLIT",""))</f>
        <v/>
      </c>
      <c r="T320" s="44">
        <f>IF($J320="","",IF(SUMPRODUCT(($D$4:$D$704=$D320)*($J$4:$J$704=$J320)*($F$4:$F$704&lt;$G320)*($G$4:$G$704&gt;$F320))&gt;1,"⚠ CONFLIT",""))</f>
        <v/>
      </c>
      <c r="U320" s="44">
        <f>IF(COUNTIFS($D$4:$D$704,$D320,$J$4:$J$704,$J320,$F$4:$F$704,$F320,$K$4:$K$704,$K320)&gt;1,"⚠ DOUBLON","")</f>
        <v/>
      </c>
      <c r="V320" s="44">
        <f>COUNTIFS($A$4:$A320,$A320,$J$4:$J320,$J320,$E$4:$E320,$E320)</f>
        <v/>
      </c>
      <c r="W320" s="45">
        <f>$A320&amp;"|"&amp;$J320&amp;"|"&amp;$E320&amp;"|"&amp;$V320</f>
        <v/>
      </c>
      <c r="X320" s="46">
        <f>TEXT($F320,"hh:mm")&amp;" - "&amp;TEXT($G320,"hh:mm")&amp;IF($P320="Quinzaine A","   ◆ Q-A",IF($P320="Quinzaine B","   ◆ Q-B",IF($P320="Exception","   ◆ PONCTUEL","")))&amp;CHAR(10)&amp;$K320&amp;CHAR(10)&amp;$M320&amp;IF($N320&lt;&gt;"",CHAR(10)&amp;"Salle "&amp;$N320,"")&amp;IF($O320="En ligne",CHAR(10)&amp;"◆ EN LIGNE","")&amp;IF($R320&lt;&gt;"",CHAR(10)&amp;$R320,"")</f>
        <v/>
      </c>
      <c r="Y320" s="45" t="inlineStr"/>
      <c r="Z320" s="45" t="inlineStr">
        <is>
          <t>— généré —</t>
        </is>
      </c>
    </row>
    <row r="321" ht="15" customHeight="1">
      <c r="A321" s="10" t="inlineStr">
        <is>
          <t>S4</t>
        </is>
      </c>
      <c r="B321" s="9" t="inlineStr">
        <is>
          <t>du 5 au 11 octobre 2026</t>
        </is>
      </c>
      <c r="C321" s="10" t="inlineStr">
        <is>
          <t>B</t>
        </is>
      </c>
      <c r="D321" s="41" t="n">
        <v>46301</v>
      </c>
      <c r="E321" s="10" t="inlineStr">
        <is>
          <t>Mardi</t>
        </is>
      </c>
      <c r="F321" s="42" t="n">
        <v>0.8020833333333334</v>
      </c>
      <c r="G321" s="42" t="n">
        <v>0.8645833333333334</v>
      </c>
      <c r="H321" s="43">
        <f>IF(OR($F321="",$G321=""),"",($G321-$F321)*24)</f>
        <v/>
      </c>
      <c r="I321" s="10" t="inlineStr">
        <is>
          <t>Secondaire</t>
        </is>
      </c>
      <c r="J321" s="9" t="inlineStr">
        <is>
          <t>1ére (A)</t>
        </is>
      </c>
      <c r="K321" s="9" t="inlineStr">
        <is>
          <t>Français</t>
        </is>
      </c>
      <c r="L321" s="9" t="inlineStr">
        <is>
          <t>Français</t>
        </is>
      </c>
      <c r="M321" s="9" t="inlineStr">
        <is>
          <t>Nassima</t>
        </is>
      </c>
      <c r="N321" s="10" t="n"/>
      <c r="O321" s="10" t="n"/>
      <c r="P321" s="10" t="inlineStr">
        <is>
          <t>Hebdomadaire</t>
        </is>
      </c>
      <c r="Q321" s="9" t="inlineStr">
        <is>
          <t>Généré (octobre)</t>
        </is>
      </c>
      <c r="R321" s="9" t="inlineStr"/>
      <c r="S321" s="44">
        <f>IF($M321="","",IF(SUMPRODUCT(($D$4:$D$704=$D321)*($M$4:$M$704=$M321)*($F$4:$F$704&lt;$G321)*($G$4:$G$704&gt;$F321))&gt;1,"⚠ CONFLIT",""))</f>
        <v/>
      </c>
      <c r="T321" s="44">
        <f>IF($J321="","",IF(SUMPRODUCT(($D$4:$D$704=$D321)*($J$4:$J$704=$J321)*($F$4:$F$704&lt;$G321)*($G$4:$G$704&gt;$F321))&gt;1,"⚠ CONFLIT",""))</f>
        <v/>
      </c>
      <c r="U321" s="44">
        <f>IF(COUNTIFS($D$4:$D$704,$D321,$J$4:$J$704,$J321,$F$4:$F$704,$F321,$K$4:$K$704,$K321)&gt;1,"⚠ DOUBLON","")</f>
        <v/>
      </c>
      <c r="V321" s="44">
        <f>COUNTIFS($A$4:$A321,$A321,$J$4:$J321,$J321,$E$4:$E321,$E321)</f>
        <v/>
      </c>
      <c r="W321" s="45">
        <f>$A321&amp;"|"&amp;$J321&amp;"|"&amp;$E321&amp;"|"&amp;$V321</f>
        <v/>
      </c>
      <c r="X321" s="46">
        <f>TEXT($F321,"hh:mm")&amp;" - "&amp;TEXT($G321,"hh:mm")&amp;IF($P321="Quinzaine A","   ◆ Q-A",IF($P321="Quinzaine B","   ◆ Q-B",IF($P321="Exception","   ◆ PONCTUEL","")))&amp;CHAR(10)&amp;$K321&amp;CHAR(10)&amp;$M321&amp;IF($N321&lt;&gt;"",CHAR(10)&amp;"Salle "&amp;$N321,"")&amp;IF($O321="En ligne",CHAR(10)&amp;"◆ EN LIGNE","")&amp;IF($R321&lt;&gt;"",CHAR(10)&amp;$R321,"")</f>
        <v/>
      </c>
      <c r="Y321" s="45" t="inlineStr"/>
      <c r="Z321" s="45" t="inlineStr">
        <is>
          <t>— généré —</t>
        </is>
      </c>
    </row>
    <row r="322" ht="15" customHeight="1">
      <c r="A322" s="10" t="inlineStr">
        <is>
          <t>S4</t>
        </is>
      </c>
      <c r="B322" s="9" t="inlineStr">
        <is>
          <t>du 5 au 11 octobre 2026</t>
        </is>
      </c>
      <c r="C322" s="10" t="inlineStr">
        <is>
          <t>B</t>
        </is>
      </c>
      <c r="D322" s="41" t="n">
        <v>46301</v>
      </c>
      <c r="E322" s="10" t="inlineStr">
        <is>
          <t>Mardi</t>
        </is>
      </c>
      <c r="F322" s="42" t="n">
        <v>0.8125</v>
      </c>
      <c r="G322" s="42" t="n">
        <v>0.875</v>
      </c>
      <c r="H322" s="43">
        <f>IF(OR($F322="",$G322=""),"",($G322-$F322)*24)</f>
        <v/>
      </c>
      <c r="I322" s="10" t="inlineStr">
        <is>
          <t>Secondaire</t>
        </is>
      </c>
      <c r="J322" s="9" t="inlineStr">
        <is>
          <t>1ére (B)</t>
        </is>
      </c>
      <c r="K322" s="9" t="inlineStr">
        <is>
          <t>Math</t>
        </is>
      </c>
      <c r="L322" s="9" t="inlineStr">
        <is>
          <t>Math</t>
        </is>
      </c>
      <c r="M322" s="9" t="inlineStr">
        <is>
          <t>Haythem</t>
        </is>
      </c>
      <c r="N322" s="10" t="n"/>
      <c r="O322" s="10" t="n"/>
      <c r="P322" s="10" t="inlineStr">
        <is>
          <t>Hebdomadaire</t>
        </is>
      </c>
      <c r="Q322" s="9" t="inlineStr">
        <is>
          <t>Généré (octobre)</t>
        </is>
      </c>
      <c r="R322" s="9" t="inlineStr"/>
      <c r="S322" s="44">
        <f>IF($M322="","",IF(SUMPRODUCT(($D$4:$D$704=$D322)*($M$4:$M$704=$M322)*($F$4:$F$704&lt;$G322)*($G$4:$G$704&gt;$F322))&gt;1,"⚠ CONFLIT",""))</f>
        <v/>
      </c>
      <c r="T322" s="44">
        <f>IF($J322="","",IF(SUMPRODUCT(($D$4:$D$704=$D322)*($J$4:$J$704=$J322)*($F$4:$F$704&lt;$G322)*($G$4:$G$704&gt;$F322))&gt;1,"⚠ CONFLIT",""))</f>
        <v/>
      </c>
      <c r="U322" s="44">
        <f>IF(COUNTIFS($D$4:$D$704,$D322,$J$4:$J$704,$J322,$F$4:$F$704,$F322,$K$4:$K$704,$K322)&gt;1,"⚠ DOUBLON","")</f>
        <v/>
      </c>
      <c r="V322" s="44">
        <f>COUNTIFS($A$4:$A322,$A322,$J$4:$J322,$J322,$E$4:$E322,$E322)</f>
        <v/>
      </c>
      <c r="W322" s="45">
        <f>$A322&amp;"|"&amp;$J322&amp;"|"&amp;$E322&amp;"|"&amp;$V322</f>
        <v/>
      </c>
      <c r="X322" s="46">
        <f>TEXT($F322,"hh:mm")&amp;" - "&amp;TEXT($G322,"hh:mm")&amp;IF($P322="Quinzaine A","   ◆ Q-A",IF($P322="Quinzaine B","   ◆ Q-B",IF($P322="Exception","   ◆ PONCTUEL","")))&amp;CHAR(10)&amp;$K322&amp;CHAR(10)&amp;$M322&amp;IF($N322&lt;&gt;"",CHAR(10)&amp;"Salle "&amp;$N322,"")&amp;IF($O322="En ligne",CHAR(10)&amp;"◆ EN LIGNE","")&amp;IF($R322&lt;&gt;"",CHAR(10)&amp;$R322,"")</f>
        <v/>
      </c>
      <c r="Y322" s="45" t="inlineStr"/>
      <c r="Z322" s="45" t="inlineStr">
        <is>
          <t>— généré —</t>
        </is>
      </c>
    </row>
    <row r="323" ht="15" customHeight="1">
      <c r="A323" s="10" t="inlineStr">
        <is>
          <t>S4</t>
        </is>
      </c>
      <c r="B323" s="9" t="inlineStr">
        <is>
          <t>du 5 au 11 octobre 2026</t>
        </is>
      </c>
      <c r="C323" s="10" t="inlineStr">
        <is>
          <t>B</t>
        </is>
      </c>
      <c r="D323" s="41" t="n">
        <v>46301</v>
      </c>
      <c r="E323" s="10" t="inlineStr">
        <is>
          <t>Mardi</t>
        </is>
      </c>
      <c r="F323" s="42" t="n">
        <v>0.8125</v>
      </c>
      <c r="G323" s="42" t="n">
        <v>0.875</v>
      </c>
      <c r="H323" s="43">
        <f>IF(OR($F323="",$G323=""),"",($G323-$F323)*24)</f>
        <v/>
      </c>
      <c r="I323" s="10" t="inlineStr">
        <is>
          <t>Secondaire</t>
        </is>
      </c>
      <c r="J323" s="9" t="inlineStr">
        <is>
          <t>2éme Eco</t>
        </is>
      </c>
      <c r="K323" s="9" t="inlineStr">
        <is>
          <t>Arabe</t>
        </is>
      </c>
      <c r="L323" s="9" t="inlineStr">
        <is>
          <t>Arabe</t>
        </is>
      </c>
      <c r="M323" s="9" t="inlineStr">
        <is>
          <t>Najet</t>
        </is>
      </c>
      <c r="N323" s="10" t="n"/>
      <c r="O323" s="10" t="n"/>
      <c r="P323" s="10" t="inlineStr">
        <is>
          <t>Quinzaine B</t>
        </is>
      </c>
      <c r="Q323" s="9" t="inlineStr">
        <is>
          <t>Généré (octobre)</t>
        </is>
      </c>
      <c r="R323" s="9" t="inlineStr"/>
      <c r="S323" s="44">
        <f>IF($M323="","",IF(SUMPRODUCT(($D$4:$D$704=$D323)*($M$4:$M$704=$M323)*($F$4:$F$704&lt;$G323)*($G$4:$G$704&gt;$F323))&gt;1,"⚠ CONFLIT",""))</f>
        <v/>
      </c>
      <c r="T323" s="44">
        <f>IF($J323="","",IF(SUMPRODUCT(($D$4:$D$704=$D323)*($J$4:$J$704=$J323)*($F$4:$F$704&lt;$G323)*($G$4:$G$704&gt;$F323))&gt;1,"⚠ CONFLIT",""))</f>
        <v/>
      </c>
      <c r="U323" s="44">
        <f>IF(COUNTIFS($D$4:$D$704,$D323,$J$4:$J$704,$J323,$F$4:$F$704,$F323,$K$4:$K$704,$K323)&gt;1,"⚠ DOUBLON","")</f>
        <v/>
      </c>
      <c r="V323" s="44">
        <f>COUNTIFS($A$4:$A323,$A323,$J$4:$J323,$J323,$E$4:$E323,$E323)</f>
        <v/>
      </c>
      <c r="W323" s="45">
        <f>$A323&amp;"|"&amp;$J323&amp;"|"&amp;$E323&amp;"|"&amp;$V323</f>
        <v/>
      </c>
      <c r="X323" s="46">
        <f>TEXT($F323,"hh:mm")&amp;" - "&amp;TEXT($G323,"hh:mm")&amp;IF($P323="Quinzaine A","   ◆ Q-A",IF($P323="Quinzaine B","   ◆ Q-B",IF($P323="Exception","   ◆ PONCTUEL","")))&amp;CHAR(10)&amp;$K323&amp;CHAR(10)&amp;$M323&amp;IF($N323&lt;&gt;"",CHAR(10)&amp;"Salle "&amp;$N323,"")&amp;IF($O323="En ligne",CHAR(10)&amp;"◆ EN LIGNE","")&amp;IF($R323&lt;&gt;"",CHAR(10)&amp;$R323,"")</f>
        <v/>
      </c>
      <c r="Y323" s="45" t="inlineStr"/>
      <c r="Z323" s="45" t="inlineStr">
        <is>
          <t>— généré —</t>
        </is>
      </c>
    </row>
    <row r="324" ht="15" customHeight="1">
      <c r="A324" s="10" t="inlineStr">
        <is>
          <t>S4</t>
        </is>
      </c>
      <c r="B324" s="9" t="inlineStr">
        <is>
          <t>du 5 au 11 octobre 2026</t>
        </is>
      </c>
      <c r="C324" s="10" t="inlineStr">
        <is>
          <t>B</t>
        </is>
      </c>
      <c r="D324" s="41" t="n">
        <v>46301</v>
      </c>
      <c r="E324" s="10" t="inlineStr">
        <is>
          <t>Mardi</t>
        </is>
      </c>
      <c r="F324" s="42" t="n">
        <v>0.8020833333333334</v>
      </c>
      <c r="G324" s="42" t="n">
        <v>0.8645833333333334</v>
      </c>
      <c r="H324" s="43">
        <f>IF(OR($F324="",$G324=""),"",($G324-$F324)*24)</f>
        <v/>
      </c>
      <c r="I324" s="10" t="inlineStr">
        <is>
          <t>Secondaire</t>
        </is>
      </c>
      <c r="J324" s="9" t="inlineStr">
        <is>
          <t>3éme Eco</t>
        </is>
      </c>
      <c r="K324" s="9" t="inlineStr">
        <is>
          <t>Espagnol</t>
        </is>
      </c>
      <c r="L324" s="9" t="inlineStr">
        <is>
          <t>Espagnol</t>
        </is>
      </c>
      <c r="M324" s="9" t="inlineStr">
        <is>
          <t>Imen</t>
        </is>
      </c>
      <c r="N324" s="10" t="n"/>
      <c r="O324" s="10" t="n"/>
      <c r="P324" s="10" t="inlineStr">
        <is>
          <t>Quinzaine B</t>
        </is>
      </c>
      <c r="Q324" s="9" t="inlineStr">
        <is>
          <t>Généré (octobre)</t>
        </is>
      </c>
      <c r="R324" s="9" t="inlineStr"/>
      <c r="S324" s="44">
        <f>IF($M324="","",IF(SUMPRODUCT(($D$4:$D$704=$D324)*($M$4:$M$704=$M324)*($F$4:$F$704&lt;$G324)*($G$4:$G$704&gt;$F324))&gt;1,"⚠ CONFLIT",""))</f>
        <v/>
      </c>
      <c r="T324" s="44">
        <f>IF($J324="","",IF(SUMPRODUCT(($D$4:$D$704=$D324)*($J$4:$J$704=$J324)*($F$4:$F$704&lt;$G324)*($G$4:$G$704&gt;$F324))&gt;1,"⚠ CONFLIT",""))</f>
        <v/>
      </c>
      <c r="U324" s="44">
        <f>IF(COUNTIFS($D$4:$D$704,$D324,$J$4:$J$704,$J324,$F$4:$F$704,$F324,$K$4:$K$704,$K324)&gt;1,"⚠ DOUBLON","")</f>
        <v/>
      </c>
      <c r="V324" s="44">
        <f>COUNTIFS($A$4:$A324,$A324,$J$4:$J324,$J324,$E$4:$E324,$E324)</f>
        <v/>
      </c>
      <c r="W324" s="45">
        <f>$A324&amp;"|"&amp;$J324&amp;"|"&amp;$E324&amp;"|"&amp;$V324</f>
        <v/>
      </c>
      <c r="X324" s="46">
        <f>TEXT($F324,"hh:mm")&amp;" - "&amp;TEXT($G324,"hh:mm")&amp;IF($P324="Quinzaine A","   ◆ Q-A",IF($P324="Quinzaine B","   ◆ Q-B",IF($P324="Exception","   ◆ PONCTUEL","")))&amp;CHAR(10)&amp;$K324&amp;CHAR(10)&amp;$M324&amp;IF($N324&lt;&gt;"",CHAR(10)&amp;"Salle "&amp;$N324,"")&amp;IF($O324="En ligne",CHAR(10)&amp;"◆ EN LIGNE","")&amp;IF($R324&lt;&gt;"",CHAR(10)&amp;$R324,"")</f>
        <v/>
      </c>
      <c r="Y324" s="45" t="inlineStr"/>
      <c r="Z324" s="45" t="inlineStr">
        <is>
          <t>— généré —</t>
        </is>
      </c>
    </row>
    <row r="325" ht="15" customHeight="1">
      <c r="A325" s="10" t="inlineStr">
        <is>
          <t>S4</t>
        </is>
      </c>
      <c r="B325" s="9" t="inlineStr">
        <is>
          <t>du 5 au 11 octobre 2026</t>
        </is>
      </c>
      <c r="C325" s="10" t="inlineStr">
        <is>
          <t>B</t>
        </is>
      </c>
      <c r="D325" s="41" t="n">
        <v>46301</v>
      </c>
      <c r="E325" s="10" t="inlineStr">
        <is>
          <t>Mardi</t>
        </is>
      </c>
      <c r="F325" s="42" t="n">
        <v>0.8020833333333334</v>
      </c>
      <c r="G325" s="42" t="n">
        <v>0.8645833333333334</v>
      </c>
      <c r="H325" s="43">
        <f>IF(OR($F325="",$G325=""),"",($G325-$F325)*24)</f>
        <v/>
      </c>
      <c r="I325" s="10" t="inlineStr">
        <is>
          <t>Secondaire</t>
        </is>
      </c>
      <c r="J325" s="9" t="inlineStr">
        <is>
          <t>3éme INFO</t>
        </is>
      </c>
      <c r="K325" s="9" t="inlineStr">
        <is>
          <t>Italien</t>
        </is>
      </c>
      <c r="L325" s="9" t="inlineStr">
        <is>
          <t>Italien</t>
        </is>
      </c>
      <c r="M325" s="9" t="inlineStr">
        <is>
          <t>Amel</t>
        </is>
      </c>
      <c r="N325" s="10" t="n"/>
      <c r="O325" s="10" t="n"/>
      <c r="P325" s="10" t="inlineStr">
        <is>
          <t>Quinzaine B</t>
        </is>
      </c>
      <c r="Q325" s="9" t="inlineStr">
        <is>
          <t>Généré (octobre)</t>
        </is>
      </c>
      <c r="R325" s="9" t="inlineStr"/>
      <c r="S325" s="44">
        <f>IF($M325="","",IF(SUMPRODUCT(($D$4:$D$704=$D325)*($M$4:$M$704=$M325)*($F$4:$F$704&lt;$G325)*($G$4:$G$704&gt;$F325))&gt;1,"⚠ CONFLIT",""))</f>
        <v/>
      </c>
      <c r="T325" s="44">
        <f>IF($J325="","",IF(SUMPRODUCT(($D$4:$D$704=$D325)*($J$4:$J$704=$J325)*($F$4:$F$704&lt;$G325)*($G$4:$G$704&gt;$F325))&gt;1,"⚠ CONFLIT",""))</f>
        <v/>
      </c>
      <c r="U325" s="44">
        <f>IF(COUNTIFS($D$4:$D$704,$D325,$J$4:$J$704,$J325,$F$4:$F$704,$F325,$K$4:$K$704,$K325)&gt;1,"⚠ DOUBLON","")</f>
        <v/>
      </c>
      <c r="V325" s="44">
        <f>COUNTIFS($A$4:$A325,$A325,$J$4:$J325,$J325,$E$4:$E325,$E325)</f>
        <v/>
      </c>
      <c r="W325" s="45">
        <f>$A325&amp;"|"&amp;$J325&amp;"|"&amp;$E325&amp;"|"&amp;$V325</f>
        <v/>
      </c>
      <c r="X325" s="46">
        <f>TEXT($F325,"hh:mm")&amp;" - "&amp;TEXT($G325,"hh:mm")&amp;IF($P325="Quinzaine A","   ◆ Q-A",IF($P325="Quinzaine B","   ◆ Q-B",IF($P325="Exception","   ◆ PONCTUEL","")))&amp;CHAR(10)&amp;$K325&amp;CHAR(10)&amp;$M325&amp;IF($N325&lt;&gt;"",CHAR(10)&amp;"Salle "&amp;$N325,"")&amp;IF($O325="En ligne",CHAR(10)&amp;"◆ EN LIGNE","")&amp;IF($R325&lt;&gt;"",CHAR(10)&amp;$R325,"")</f>
        <v/>
      </c>
      <c r="Y325" s="45" t="inlineStr"/>
      <c r="Z325" s="45" t="inlineStr">
        <is>
          <t>— généré —</t>
        </is>
      </c>
    </row>
    <row r="326" ht="15" customHeight="1">
      <c r="A326" s="10" t="inlineStr">
        <is>
          <t>S4</t>
        </is>
      </c>
      <c r="B326" s="9" t="inlineStr">
        <is>
          <t>du 5 au 11 octobre 2026</t>
        </is>
      </c>
      <c r="C326" s="10" t="inlineStr">
        <is>
          <t>B</t>
        </is>
      </c>
      <c r="D326" s="41" t="n">
        <v>46302</v>
      </c>
      <c r="E326" s="10" t="inlineStr">
        <is>
          <t>Mercredi</t>
        </is>
      </c>
      <c r="F326" s="42" t="n">
        <v>0.7916666666666666</v>
      </c>
      <c r="G326" s="42" t="n">
        <v>0.875</v>
      </c>
      <c r="H326" s="43">
        <f>IF(OR($F326="",$G326=""),"",($G326-$F326)*24)</f>
        <v/>
      </c>
      <c r="I326" s="10" t="inlineStr">
        <is>
          <t>Primaire</t>
        </is>
      </c>
      <c r="J326" s="9" t="inlineStr">
        <is>
          <t>4éme</t>
        </is>
      </c>
      <c r="K326" s="9" t="inlineStr">
        <is>
          <t>رياضيات</t>
        </is>
      </c>
      <c r="L326" s="9" t="inlineStr">
        <is>
          <t>Math</t>
        </is>
      </c>
      <c r="M326" s="9" t="inlineStr">
        <is>
          <t>Bassma</t>
        </is>
      </c>
      <c r="N326" s="10" t="n"/>
      <c r="O326" s="10" t="n"/>
      <c r="P326" s="10" t="inlineStr">
        <is>
          <t>Hebdomadaire</t>
        </is>
      </c>
      <c r="Q326" s="9" t="inlineStr">
        <is>
          <t>Généré (octobre)</t>
        </is>
      </c>
      <c r="R326" s="9" t="inlineStr"/>
      <c r="S326" s="44">
        <f>IF($M326="","",IF(SUMPRODUCT(($D$4:$D$704=$D326)*($M$4:$M$704=$M326)*($F$4:$F$704&lt;$G326)*($G$4:$G$704&gt;$F326))&gt;1,"⚠ CONFLIT",""))</f>
        <v/>
      </c>
      <c r="T326" s="44">
        <f>IF($J326="","",IF(SUMPRODUCT(($D$4:$D$704=$D326)*($J$4:$J$704=$J326)*($F$4:$F$704&lt;$G326)*($G$4:$G$704&gt;$F326))&gt;1,"⚠ CONFLIT",""))</f>
        <v/>
      </c>
      <c r="U326" s="44">
        <f>IF(COUNTIFS($D$4:$D$704,$D326,$J$4:$J$704,$J326,$F$4:$F$704,$F326,$K$4:$K$704,$K326)&gt;1,"⚠ DOUBLON","")</f>
        <v/>
      </c>
      <c r="V326" s="44">
        <f>COUNTIFS($A$4:$A326,$A326,$J$4:$J326,$J326,$E$4:$E326,$E326)</f>
        <v/>
      </c>
      <c r="W326" s="45">
        <f>$A326&amp;"|"&amp;$J326&amp;"|"&amp;$E326&amp;"|"&amp;$V326</f>
        <v/>
      </c>
      <c r="X326" s="46">
        <f>TEXT($F326,"hh:mm")&amp;" - "&amp;TEXT($G326,"hh:mm")&amp;IF($P326="Quinzaine A","   ◆ Q-A",IF($P326="Quinzaine B","   ◆ Q-B",IF($P326="Exception","   ◆ PONCTUEL","")))&amp;CHAR(10)&amp;$K326&amp;CHAR(10)&amp;$M326&amp;IF($N326&lt;&gt;"",CHAR(10)&amp;"Salle "&amp;$N326,"")&amp;IF($O326="En ligne",CHAR(10)&amp;"◆ EN LIGNE","")&amp;IF($R326&lt;&gt;"",CHAR(10)&amp;$R326,"")</f>
        <v/>
      </c>
      <c r="Y326" s="45" t="inlineStr"/>
      <c r="Z326" s="45" t="inlineStr">
        <is>
          <t>— généré —</t>
        </is>
      </c>
    </row>
    <row r="327" ht="15" customHeight="1">
      <c r="A327" s="10" t="inlineStr">
        <is>
          <t>S4</t>
        </is>
      </c>
      <c r="B327" s="9" t="inlineStr">
        <is>
          <t>du 5 au 11 octobre 2026</t>
        </is>
      </c>
      <c r="C327" s="10" t="inlineStr">
        <is>
          <t>B</t>
        </is>
      </c>
      <c r="D327" s="41" t="n">
        <v>46302</v>
      </c>
      <c r="E327" s="10" t="inlineStr">
        <is>
          <t>Mercredi</t>
        </is>
      </c>
      <c r="F327" s="42" t="n">
        <v>0.7916666666666666</v>
      </c>
      <c r="G327" s="42" t="n">
        <v>0.875</v>
      </c>
      <c r="H327" s="43">
        <f>IF(OR($F327="",$G327=""),"",($G327-$F327)*24)</f>
        <v/>
      </c>
      <c r="I327" s="10" t="inlineStr">
        <is>
          <t>Primaire</t>
        </is>
      </c>
      <c r="J327" s="9" t="inlineStr">
        <is>
          <t>6éme Pilote (A)</t>
        </is>
      </c>
      <c r="K327" s="9" t="inlineStr">
        <is>
          <t>رياضيات</t>
        </is>
      </c>
      <c r="L327" s="9" t="inlineStr">
        <is>
          <t>Math</t>
        </is>
      </c>
      <c r="M327" s="9" t="inlineStr">
        <is>
          <t>Noura</t>
        </is>
      </c>
      <c r="N327" s="10" t="n"/>
      <c r="O327" s="10" t="n"/>
      <c r="P327" s="10" t="inlineStr">
        <is>
          <t>Hebdomadaire</t>
        </is>
      </c>
      <c r="Q327" s="9" t="inlineStr">
        <is>
          <t>Généré (octobre)</t>
        </is>
      </c>
      <c r="R327" s="9" t="inlineStr"/>
      <c r="S327" s="44">
        <f>IF($M327="","",IF(SUMPRODUCT(($D$4:$D$704=$D327)*($M$4:$M$704=$M327)*($F$4:$F$704&lt;$G327)*($G$4:$G$704&gt;$F327))&gt;1,"⚠ CONFLIT",""))</f>
        <v/>
      </c>
      <c r="T327" s="44">
        <f>IF($J327="","",IF(SUMPRODUCT(($D$4:$D$704=$D327)*($J$4:$J$704=$J327)*($F$4:$F$704&lt;$G327)*($G$4:$G$704&gt;$F327))&gt;1,"⚠ CONFLIT",""))</f>
        <v/>
      </c>
      <c r="U327" s="44">
        <f>IF(COUNTIFS($D$4:$D$704,$D327,$J$4:$J$704,$J327,$F$4:$F$704,$F327,$K$4:$K$704,$K327)&gt;1,"⚠ DOUBLON","")</f>
        <v/>
      </c>
      <c r="V327" s="44">
        <f>COUNTIFS($A$4:$A327,$A327,$J$4:$J327,$J327,$E$4:$E327,$E327)</f>
        <v/>
      </c>
      <c r="W327" s="45">
        <f>$A327&amp;"|"&amp;$J327&amp;"|"&amp;$E327&amp;"|"&amp;$V327</f>
        <v/>
      </c>
      <c r="X327" s="46">
        <f>TEXT($F327,"hh:mm")&amp;" - "&amp;TEXT($G327,"hh:mm")&amp;IF($P327="Quinzaine A","   ◆ Q-A",IF($P327="Quinzaine B","   ◆ Q-B",IF($P327="Exception","   ◆ PONCTUEL","")))&amp;CHAR(10)&amp;$K327&amp;CHAR(10)&amp;$M327&amp;IF($N327&lt;&gt;"",CHAR(10)&amp;"Salle "&amp;$N327,"")&amp;IF($O327="En ligne",CHAR(10)&amp;"◆ EN LIGNE","")&amp;IF($R327&lt;&gt;"",CHAR(10)&amp;$R327,"")</f>
        <v/>
      </c>
      <c r="Y327" s="45" t="inlineStr"/>
      <c r="Z327" s="45" t="inlineStr">
        <is>
          <t>— généré —</t>
        </is>
      </c>
    </row>
    <row r="328" ht="15" customHeight="1">
      <c r="A328" s="10" t="inlineStr">
        <is>
          <t>S4</t>
        </is>
      </c>
      <c r="B328" s="9" t="inlineStr">
        <is>
          <t>du 5 au 11 octobre 2026</t>
        </is>
      </c>
      <c r="C328" s="10" t="inlineStr">
        <is>
          <t>B</t>
        </is>
      </c>
      <c r="D328" s="41" t="n">
        <v>46302</v>
      </c>
      <c r="E328" s="10" t="inlineStr">
        <is>
          <t>Mercredi</t>
        </is>
      </c>
      <c r="F328" s="42" t="n">
        <v>0.8125</v>
      </c>
      <c r="G328" s="42" t="n">
        <v>0.875</v>
      </c>
      <c r="H328" s="43">
        <f>IF(OR($F328="",$G328=""),"",($G328-$F328)*24)</f>
        <v/>
      </c>
      <c r="I328" s="10" t="inlineStr">
        <is>
          <t>Collège</t>
        </is>
      </c>
      <c r="J328" s="9" t="inlineStr">
        <is>
          <t>7éme (A)</t>
        </is>
      </c>
      <c r="K328" s="9" t="inlineStr">
        <is>
          <t>فيزياء</t>
        </is>
      </c>
      <c r="L328" s="9" t="inlineStr">
        <is>
          <t>Physique</t>
        </is>
      </c>
      <c r="M328" s="9" t="inlineStr">
        <is>
          <t>Melek</t>
        </is>
      </c>
      <c r="N328" s="10" t="n"/>
      <c r="O328" s="10" t="n"/>
      <c r="P328" s="10" t="inlineStr">
        <is>
          <t>Hebdomadaire</t>
        </is>
      </c>
      <c r="Q328" s="9" t="inlineStr">
        <is>
          <t>Généré (octobre)</t>
        </is>
      </c>
      <c r="R328" s="9" t="inlineStr"/>
      <c r="S328" s="44">
        <f>IF($M328="","",IF(SUMPRODUCT(($D$4:$D$704=$D328)*($M$4:$M$704=$M328)*($F$4:$F$704&lt;$G328)*($G$4:$G$704&gt;$F328))&gt;1,"⚠ CONFLIT",""))</f>
        <v/>
      </c>
      <c r="T328" s="44">
        <f>IF($J328="","",IF(SUMPRODUCT(($D$4:$D$704=$D328)*($J$4:$J$704=$J328)*($F$4:$F$704&lt;$G328)*($G$4:$G$704&gt;$F328))&gt;1,"⚠ CONFLIT",""))</f>
        <v/>
      </c>
      <c r="U328" s="44">
        <f>IF(COUNTIFS($D$4:$D$704,$D328,$J$4:$J$704,$J328,$F$4:$F$704,$F328,$K$4:$K$704,$K328)&gt;1,"⚠ DOUBLON","")</f>
        <v/>
      </c>
      <c r="V328" s="44">
        <f>COUNTIFS($A$4:$A328,$A328,$J$4:$J328,$J328,$E$4:$E328,$E328)</f>
        <v/>
      </c>
      <c r="W328" s="45">
        <f>$A328&amp;"|"&amp;$J328&amp;"|"&amp;$E328&amp;"|"&amp;$V328</f>
        <v/>
      </c>
      <c r="X328" s="46">
        <f>TEXT($F328,"hh:mm")&amp;" - "&amp;TEXT($G328,"hh:mm")&amp;IF($P328="Quinzaine A","   ◆ Q-A",IF($P328="Quinzaine B","   ◆ Q-B",IF($P328="Exception","   ◆ PONCTUEL","")))&amp;CHAR(10)&amp;$K328&amp;CHAR(10)&amp;$M328&amp;IF($N328&lt;&gt;"",CHAR(10)&amp;"Salle "&amp;$N328,"")&amp;IF($O328="En ligne",CHAR(10)&amp;"◆ EN LIGNE","")&amp;IF($R328&lt;&gt;"",CHAR(10)&amp;$R328,"")</f>
        <v/>
      </c>
      <c r="Y328" s="45" t="inlineStr"/>
      <c r="Z328" s="45" t="inlineStr">
        <is>
          <t>— généré —</t>
        </is>
      </c>
    </row>
    <row r="329" ht="15" customHeight="1">
      <c r="A329" s="10" t="inlineStr">
        <is>
          <t>S4</t>
        </is>
      </c>
      <c r="B329" s="9" t="inlineStr">
        <is>
          <t>du 5 au 11 octobre 2026</t>
        </is>
      </c>
      <c r="C329" s="10" t="inlineStr">
        <is>
          <t>B</t>
        </is>
      </c>
      <c r="D329" s="41" t="n">
        <v>46302</v>
      </c>
      <c r="E329" s="10" t="inlineStr">
        <is>
          <t>Mercredi</t>
        </is>
      </c>
      <c r="F329" s="42" t="n">
        <v>0.7916666666666666</v>
      </c>
      <c r="G329" s="42" t="n">
        <v>0.8541666666666666</v>
      </c>
      <c r="H329" s="43">
        <f>IF(OR($F329="",$G329=""),"",($G329-$F329)*24)</f>
        <v/>
      </c>
      <c r="I329" s="10" t="inlineStr">
        <is>
          <t>Collège</t>
        </is>
      </c>
      <c r="J329" s="9" t="inlineStr">
        <is>
          <t>8éme (A)</t>
        </is>
      </c>
      <c r="K329" s="9" t="inlineStr">
        <is>
          <t>Arabe</t>
        </is>
      </c>
      <c r="L329" s="9" t="inlineStr">
        <is>
          <t>Arabe</t>
        </is>
      </c>
      <c r="M329" s="9" t="inlineStr">
        <is>
          <t>Awatef</t>
        </is>
      </c>
      <c r="N329" s="10" t="n"/>
      <c r="O329" s="10" t="n"/>
      <c r="P329" s="10" t="inlineStr">
        <is>
          <t>Hebdomadaire</t>
        </is>
      </c>
      <c r="Q329" s="9" t="inlineStr">
        <is>
          <t>Généré (octobre)</t>
        </is>
      </c>
      <c r="R329" s="9" t="inlineStr"/>
      <c r="S329" s="44">
        <f>IF($M329="","",IF(SUMPRODUCT(($D$4:$D$704=$D329)*($M$4:$M$704=$M329)*($F$4:$F$704&lt;$G329)*($G$4:$G$704&gt;$F329))&gt;1,"⚠ CONFLIT",""))</f>
        <v/>
      </c>
      <c r="T329" s="44">
        <f>IF($J329="","",IF(SUMPRODUCT(($D$4:$D$704=$D329)*($J$4:$J$704=$J329)*($F$4:$F$704&lt;$G329)*($G$4:$G$704&gt;$F329))&gt;1,"⚠ CONFLIT",""))</f>
        <v/>
      </c>
      <c r="U329" s="44">
        <f>IF(COUNTIFS($D$4:$D$704,$D329,$J$4:$J$704,$J329,$F$4:$F$704,$F329,$K$4:$K$704,$K329)&gt;1,"⚠ DOUBLON","")</f>
        <v/>
      </c>
      <c r="V329" s="44">
        <f>COUNTIFS($A$4:$A329,$A329,$J$4:$J329,$J329,$E$4:$E329,$E329)</f>
        <v/>
      </c>
      <c r="W329" s="45">
        <f>$A329&amp;"|"&amp;$J329&amp;"|"&amp;$E329&amp;"|"&amp;$V329</f>
        <v/>
      </c>
      <c r="X329" s="46">
        <f>TEXT($F329,"hh:mm")&amp;" - "&amp;TEXT($G329,"hh:mm")&amp;IF($P329="Quinzaine A","   ◆ Q-A",IF($P329="Quinzaine B","   ◆ Q-B",IF($P329="Exception","   ◆ PONCTUEL","")))&amp;CHAR(10)&amp;$K329&amp;CHAR(10)&amp;$M329&amp;IF($N329&lt;&gt;"",CHAR(10)&amp;"Salle "&amp;$N329,"")&amp;IF($O329="En ligne",CHAR(10)&amp;"◆ EN LIGNE","")&amp;IF($R329&lt;&gt;"",CHAR(10)&amp;$R329,"")</f>
        <v/>
      </c>
      <c r="Y329" s="45" t="inlineStr"/>
      <c r="Z329" s="45" t="inlineStr">
        <is>
          <t>— généré —</t>
        </is>
      </c>
    </row>
    <row r="330" ht="15" customHeight="1">
      <c r="A330" s="10" t="inlineStr">
        <is>
          <t>S4</t>
        </is>
      </c>
      <c r="B330" s="9" t="inlineStr">
        <is>
          <t>du 5 au 11 octobre 2026</t>
        </is>
      </c>
      <c r="C330" s="10" t="inlineStr">
        <is>
          <t>B</t>
        </is>
      </c>
      <c r="D330" s="41" t="n">
        <v>46302</v>
      </c>
      <c r="E330" s="10" t="inlineStr">
        <is>
          <t>Mercredi</t>
        </is>
      </c>
      <c r="F330" s="42" t="n">
        <v>0.8020833333333334</v>
      </c>
      <c r="G330" s="42" t="n">
        <v>0.8645833333333334</v>
      </c>
      <c r="H330" s="43">
        <f>IF(OR($F330="",$G330=""),"",($G330-$F330)*24)</f>
        <v/>
      </c>
      <c r="I330" s="10" t="inlineStr">
        <is>
          <t>Collège</t>
        </is>
      </c>
      <c r="J330" s="9" t="inlineStr">
        <is>
          <t>8éme (B)</t>
        </is>
      </c>
      <c r="K330" s="9" t="inlineStr">
        <is>
          <t>Math</t>
        </is>
      </c>
      <c r="L330" s="9" t="inlineStr">
        <is>
          <t>Math</t>
        </is>
      </c>
      <c r="M330" s="9" t="inlineStr">
        <is>
          <t>Khouloud</t>
        </is>
      </c>
      <c r="N330" s="10" t="n"/>
      <c r="O330" s="10" t="n"/>
      <c r="P330" s="10" t="inlineStr">
        <is>
          <t>Hebdomadaire</t>
        </is>
      </c>
      <c r="Q330" s="9" t="inlineStr">
        <is>
          <t>Généré (octobre)</t>
        </is>
      </c>
      <c r="R330" s="9" t="inlineStr"/>
      <c r="S330" s="44">
        <f>IF($M330="","",IF(SUMPRODUCT(($D$4:$D$704=$D330)*($M$4:$M$704=$M330)*($F$4:$F$704&lt;$G330)*($G$4:$G$704&gt;$F330))&gt;1,"⚠ CONFLIT",""))</f>
        <v/>
      </c>
      <c r="T330" s="44">
        <f>IF($J330="","",IF(SUMPRODUCT(($D$4:$D$704=$D330)*($J$4:$J$704=$J330)*($F$4:$F$704&lt;$G330)*($G$4:$G$704&gt;$F330))&gt;1,"⚠ CONFLIT",""))</f>
        <v/>
      </c>
      <c r="U330" s="44">
        <f>IF(COUNTIFS($D$4:$D$704,$D330,$J$4:$J$704,$J330,$F$4:$F$704,$F330,$K$4:$K$704,$K330)&gt;1,"⚠ DOUBLON","")</f>
        <v/>
      </c>
      <c r="V330" s="44">
        <f>COUNTIFS($A$4:$A330,$A330,$J$4:$J330,$J330,$E$4:$E330,$E330)</f>
        <v/>
      </c>
      <c r="W330" s="45">
        <f>$A330&amp;"|"&amp;$J330&amp;"|"&amp;$E330&amp;"|"&amp;$V330</f>
        <v/>
      </c>
      <c r="X330" s="46">
        <f>TEXT($F330,"hh:mm")&amp;" - "&amp;TEXT($G330,"hh:mm")&amp;IF($P330="Quinzaine A","   ◆ Q-A",IF($P330="Quinzaine B","   ◆ Q-B",IF($P330="Exception","   ◆ PONCTUEL","")))&amp;CHAR(10)&amp;$K330&amp;CHAR(10)&amp;$M330&amp;IF($N330&lt;&gt;"",CHAR(10)&amp;"Salle "&amp;$N330,"")&amp;IF($O330="En ligne",CHAR(10)&amp;"◆ EN LIGNE","")&amp;IF($R330&lt;&gt;"",CHAR(10)&amp;$R330,"")</f>
        <v/>
      </c>
      <c r="Y330" s="45" t="inlineStr"/>
      <c r="Z330" s="45" t="inlineStr">
        <is>
          <t>— généré —</t>
        </is>
      </c>
    </row>
    <row r="331" ht="15" customHeight="1">
      <c r="A331" s="10" t="inlineStr">
        <is>
          <t>S4</t>
        </is>
      </c>
      <c r="B331" s="9" t="inlineStr">
        <is>
          <t>du 5 au 11 octobre 2026</t>
        </is>
      </c>
      <c r="C331" s="10" t="inlineStr">
        <is>
          <t>B</t>
        </is>
      </c>
      <c r="D331" s="41" t="n">
        <v>46302</v>
      </c>
      <c r="E331" s="10" t="inlineStr">
        <is>
          <t>Mercredi</t>
        </is>
      </c>
      <c r="F331" s="42" t="n">
        <v>0.8125</v>
      </c>
      <c r="G331" s="42" t="n">
        <v>0.875</v>
      </c>
      <c r="H331" s="43">
        <f>IF(OR($F331="",$G331=""),"",($G331-$F331)*24)</f>
        <v/>
      </c>
      <c r="I331" s="10" t="inlineStr">
        <is>
          <t>Collège</t>
        </is>
      </c>
      <c r="J331" s="9" t="inlineStr">
        <is>
          <t>8éme (C)</t>
        </is>
      </c>
      <c r="K331" s="9" t="inlineStr">
        <is>
          <t>Français</t>
        </is>
      </c>
      <c r="L331" s="9" t="inlineStr">
        <is>
          <t>Français</t>
        </is>
      </c>
      <c r="M331" s="9" t="inlineStr">
        <is>
          <t>Nabil</t>
        </is>
      </c>
      <c r="N331" s="10" t="n"/>
      <c r="O331" s="10" t="n"/>
      <c r="P331" s="10" t="inlineStr">
        <is>
          <t>Hebdomadaire</t>
        </is>
      </c>
      <c r="Q331" s="9" t="inlineStr">
        <is>
          <t>Généré (octobre)</t>
        </is>
      </c>
      <c r="R331" s="9" t="inlineStr"/>
      <c r="S331" s="44">
        <f>IF($M331="","",IF(SUMPRODUCT(($D$4:$D$704=$D331)*($M$4:$M$704=$M331)*($F$4:$F$704&lt;$G331)*($G$4:$G$704&gt;$F331))&gt;1,"⚠ CONFLIT",""))</f>
        <v/>
      </c>
      <c r="T331" s="44">
        <f>IF($J331="","",IF(SUMPRODUCT(($D$4:$D$704=$D331)*($J$4:$J$704=$J331)*($F$4:$F$704&lt;$G331)*($G$4:$G$704&gt;$F331))&gt;1,"⚠ CONFLIT",""))</f>
        <v/>
      </c>
      <c r="U331" s="44">
        <f>IF(COUNTIFS($D$4:$D$704,$D331,$J$4:$J$704,$J331,$F$4:$F$704,$F331,$K$4:$K$704,$K331)&gt;1,"⚠ DOUBLON","")</f>
        <v/>
      </c>
      <c r="V331" s="44">
        <f>COUNTIFS($A$4:$A331,$A331,$J$4:$J331,$J331,$E$4:$E331,$E331)</f>
        <v/>
      </c>
      <c r="W331" s="45">
        <f>$A331&amp;"|"&amp;$J331&amp;"|"&amp;$E331&amp;"|"&amp;$V331</f>
        <v/>
      </c>
      <c r="X331" s="46">
        <f>TEXT($F331,"hh:mm")&amp;" - "&amp;TEXT($G331,"hh:mm")&amp;IF($P331="Quinzaine A","   ◆ Q-A",IF($P331="Quinzaine B","   ◆ Q-B",IF($P331="Exception","   ◆ PONCTUEL","")))&amp;CHAR(10)&amp;$K331&amp;CHAR(10)&amp;$M331&amp;IF($N331&lt;&gt;"",CHAR(10)&amp;"Salle "&amp;$N331,"")&amp;IF($O331="En ligne",CHAR(10)&amp;"◆ EN LIGNE","")&amp;IF($R331&lt;&gt;"",CHAR(10)&amp;$R331,"")</f>
        <v/>
      </c>
      <c r="Y331" s="45" t="inlineStr"/>
      <c r="Z331" s="45" t="inlineStr">
        <is>
          <t>— généré —</t>
        </is>
      </c>
    </row>
    <row r="332" ht="15" customHeight="1">
      <c r="A332" s="10" t="inlineStr">
        <is>
          <t>S4</t>
        </is>
      </c>
      <c r="B332" s="9" t="inlineStr">
        <is>
          <t>du 5 au 11 octobre 2026</t>
        </is>
      </c>
      <c r="C332" s="10" t="inlineStr">
        <is>
          <t>B</t>
        </is>
      </c>
      <c r="D332" s="41" t="n">
        <v>46302</v>
      </c>
      <c r="E332" s="10" t="inlineStr">
        <is>
          <t>Mercredi</t>
        </is>
      </c>
      <c r="F332" s="42" t="n">
        <v>0.8125</v>
      </c>
      <c r="G332" s="42" t="n">
        <v>0.875</v>
      </c>
      <c r="H332" s="43">
        <f>IF(OR($F332="",$G332=""),"",($G332-$F332)*24)</f>
        <v/>
      </c>
      <c r="I332" s="10" t="inlineStr">
        <is>
          <t>Collège</t>
        </is>
      </c>
      <c r="J332" s="9" t="inlineStr">
        <is>
          <t>9éme (B)</t>
        </is>
      </c>
      <c r="K332" s="9" t="inlineStr">
        <is>
          <t>Arabe</t>
        </is>
      </c>
      <c r="L332" s="9" t="inlineStr">
        <is>
          <t>Arabe</t>
        </is>
      </c>
      <c r="M332" s="9" t="inlineStr">
        <is>
          <t>Yahya</t>
        </is>
      </c>
      <c r="N332" s="10" t="n"/>
      <c r="O332" s="10" t="n"/>
      <c r="P332" s="10" t="inlineStr">
        <is>
          <t>Hebdomadaire</t>
        </is>
      </c>
      <c r="Q332" s="9" t="inlineStr">
        <is>
          <t>Généré (octobre)</t>
        </is>
      </c>
      <c r="R332" s="9" t="inlineStr"/>
      <c r="S332" s="44">
        <f>IF($M332="","",IF(SUMPRODUCT(($D$4:$D$704=$D332)*($M$4:$M$704=$M332)*($F$4:$F$704&lt;$G332)*($G$4:$G$704&gt;$F332))&gt;1,"⚠ CONFLIT",""))</f>
        <v/>
      </c>
      <c r="T332" s="44">
        <f>IF($J332="","",IF(SUMPRODUCT(($D$4:$D$704=$D332)*($J$4:$J$704=$J332)*($F$4:$F$704&lt;$G332)*($G$4:$G$704&gt;$F332))&gt;1,"⚠ CONFLIT",""))</f>
        <v/>
      </c>
      <c r="U332" s="44">
        <f>IF(COUNTIFS($D$4:$D$704,$D332,$J$4:$J$704,$J332,$F$4:$F$704,$F332,$K$4:$K$704,$K332)&gt;1,"⚠ DOUBLON","")</f>
        <v/>
      </c>
      <c r="V332" s="44">
        <f>COUNTIFS($A$4:$A332,$A332,$J$4:$J332,$J332,$E$4:$E332,$E332)</f>
        <v/>
      </c>
      <c r="W332" s="45">
        <f>$A332&amp;"|"&amp;$J332&amp;"|"&amp;$E332&amp;"|"&amp;$V332</f>
        <v/>
      </c>
      <c r="X332" s="46">
        <f>TEXT($F332,"hh:mm")&amp;" - "&amp;TEXT($G332,"hh:mm")&amp;IF($P332="Quinzaine A","   ◆ Q-A",IF($P332="Quinzaine B","   ◆ Q-B",IF($P332="Exception","   ◆ PONCTUEL","")))&amp;CHAR(10)&amp;$K332&amp;CHAR(10)&amp;$M332&amp;IF($N332&lt;&gt;"",CHAR(10)&amp;"Salle "&amp;$N332,"")&amp;IF($O332="En ligne",CHAR(10)&amp;"◆ EN LIGNE","")&amp;IF($R332&lt;&gt;"",CHAR(10)&amp;$R332,"")</f>
        <v/>
      </c>
      <c r="Y332" s="45" t="inlineStr"/>
      <c r="Z332" s="45" t="inlineStr">
        <is>
          <t>— généré —</t>
        </is>
      </c>
    </row>
    <row r="333" ht="15" customHeight="1">
      <c r="A333" s="10" t="inlineStr">
        <is>
          <t>S4</t>
        </is>
      </c>
      <c r="B333" s="9" t="inlineStr">
        <is>
          <t>du 5 au 11 octobre 2026</t>
        </is>
      </c>
      <c r="C333" s="10" t="inlineStr">
        <is>
          <t>B</t>
        </is>
      </c>
      <c r="D333" s="41" t="n">
        <v>46302</v>
      </c>
      <c r="E333" s="10" t="inlineStr">
        <is>
          <t>Mercredi</t>
        </is>
      </c>
      <c r="F333" s="42" t="n">
        <v>0.8020833333333334</v>
      </c>
      <c r="G333" s="42" t="n">
        <v>0.8645833333333334</v>
      </c>
      <c r="H333" s="43">
        <f>IF(OR($F333="",$G333=""),"",($G333-$F333)*24)</f>
        <v/>
      </c>
      <c r="I333" s="10" t="inlineStr">
        <is>
          <t>Collège</t>
        </is>
      </c>
      <c r="J333" s="9" t="inlineStr">
        <is>
          <t>9éme (C)</t>
        </is>
      </c>
      <c r="K333" s="9" t="inlineStr">
        <is>
          <t>SVT</t>
        </is>
      </c>
      <c r="L333" s="9" t="inlineStr">
        <is>
          <t>SVT</t>
        </is>
      </c>
      <c r="M333" s="9" t="inlineStr">
        <is>
          <t>Imen Jribi</t>
        </is>
      </c>
      <c r="N333" s="10" t="n"/>
      <c r="O333" s="10" t="n"/>
      <c r="P333" s="10" t="inlineStr">
        <is>
          <t>Hebdomadaire</t>
        </is>
      </c>
      <c r="Q333" s="9" t="inlineStr">
        <is>
          <t>Généré (octobre)</t>
        </is>
      </c>
      <c r="R333" s="9" t="inlineStr"/>
      <c r="S333" s="44">
        <f>IF($M333="","",IF(SUMPRODUCT(($D$4:$D$704=$D333)*($M$4:$M$704=$M333)*($F$4:$F$704&lt;$G333)*($G$4:$G$704&gt;$F333))&gt;1,"⚠ CONFLIT",""))</f>
        <v/>
      </c>
      <c r="T333" s="44">
        <f>IF($J333="","",IF(SUMPRODUCT(($D$4:$D$704=$D333)*($J$4:$J$704=$J333)*($F$4:$F$704&lt;$G333)*($G$4:$G$704&gt;$F333))&gt;1,"⚠ CONFLIT",""))</f>
        <v/>
      </c>
      <c r="U333" s="44">
        <f>IF(COUNTIFS($D$4:$D$704,$D333,$J$4:$J$704,$J333,$F$4:$F$704,$F333,$K$4:$K$704,$K333)&gt;1,"⚠ DOUBLON","")</f>
        <v/>
      </c>
      <c r="V333" s="44">
        <f>COUNTIFS($A$4:$A333,$A333,$J$4:$J333,$J333,$E$4:$E333,$E333)</f>
        <v/>
      </c>
      <c r="W333" s="45">
        <f>$A333&amp;"|"&amp;$J333&amp;"|"&amp;$E333&amp;"|"&amp;$V333</f>
        <v/>
      </c>
      <c r="X333" s="46">
        <f>TEXT($F333,"hh:mm")&amp;" - "&amp;TEXT($G333,"hh:mm")&amp;IF($P333="Quinzaine A","   ◆ Q-A",IF($P333="Quinzaine B","   ◆ Q-B",IF($P333="Exception","   ◆ PONCTUEL","")))&amp;CHAR(10)&amp;$K333&amp;CHAR(10)&amp;$M333&amp;IF($N333&lt;&gt;"",CHAR(10)&amp;"Salle "&amp;$N333,"")&amp;IF($O333="En ligne",CHAR(10)&amp;"◆ EN LIGNE","")&amp;IF($R333&lt;&gt;"",CHAR(10)&amp;$R333,"")</f>
        <v/>
      </c>
      <c r="Y333" s="45" t="inlineStr"/>
      <c r="Z333" s="45" t="inlineStr">
        <is>
          <t>— généré —</t>
        </is>
      </c>
    </row>
    <row r="334" ht="15" customHeight="1">
      <c r="A334" s="10" t="inlineStr">
        <is>
          <t>S4</t>
        </is>
      </c>
      <c r="B334" s="9" t="inlineStr">
        <is>
          <t>du 5 au 11 octobre 2026</t>
        </is>
      </c>
      <c r="C334" s="10" t="inlineStr">
        <is>
          <t>B</t>
        </is>
      </c>
      <c r="D334" s="41" t="n">
        <v>46302</v>
      </c>
      <c r="E334" s="10" t="inlineStr">
        <is>
          <t>Mercredi</t>
        </is>
      </c>
      <c r="F334" s="42" t="n">
        <v>0.8020833333333334</v>
      </c>
      <c r="G334" s="42" t="n">
        <v>0.8645833333333334</v>
      </c>
      <c r="H334" s="43">
        <f>IF(OR($F334="",$G334=""),"",($G334-$F334)*24)</f>
        <v/>
      </c>
      <c r="I334" s="10" t="inlineStr">
        <is>
          <t>Secondaire</t>
        </is>
      </c>
      <c r="J334" s="9" t="inlineStr">
        <is>
          <t>1ére (B)</t>
        </is>
      </c>
      <c r="K334" s="9" t="inlineStr">
        <is>
          <t>Français</t>
        </is>
      </c>
      <c r="L334" s="9" t="inlineStr">
        <is>
          <t>Français</t>
        </is>
      </c>
      <c r="M334" s="9" t="inlineStr">
        <is>
          <t>Nassima</t>
        </is>
      </c>
      <c r="N334" s="10" t="n"/>
      <c r="O334" s="10" t="n"/>
      <c r="P334" s="10" t="inlineStr">
        <is>
          <t>Hebdomadaire</t>
        </is>
      </c>
      <c r="Q334" s="9" t="inlineStr">
        <is>
          <t>Généré (octobre)</t>
        </is>
      </c>
      <c r="R334" s="9" t="inlineStr"/>
      <c r="S334" s="44">
        <f>IF($M334="","",IF(SUMPRODUCT(($D$4:$D$704=$D334)*($M$4:$M$704=$M334)*($F$4:$F$704&lt;$G334)*($G$4:$G$704&gt;$F334))&gt;1,"⚠ CONFLIT",""))</f>
        <v/>
      </c>
      <c r="T334" s="44">
        <f>IF($J334="","",IF(SUMPRODUCT(($D$4:$D$704=$D334)*($J$4:$J$704=$J334)*($F$4:$F$704&lt;$G334)*($G$4:$G$704&gt;$F334))&gt;1,"⚠ CONFLIT",""))</f>
        <v/>
      </c>
      <c r="U334" s="44">
        <f>IF(COUNTIFS($D$4:$D$704,$D334,$J$4:$J$704,$J334,$F$4:$F$704,$F334,$K$4:$K$704,$K334)&gt;1,"⚠ DOUBLON","")</f>
        <v/>
      </c>
      <c r="V334" s="44">
        <f>COUNTIFS($A$4:$A334,$A334,$J$4:$J334,$J334,$E$4:$E334,$E334)</f>
        <v/>
      </c>
      <c r="W334" s="45">
        <f>$A334&amp;"|"&amp;$J334&amp;"|"&amp;$E334&amp;"|"&amp;$V334</f>
        <v/>
      </c>
      <c r="X334" s="46">
        <f>TEXT($F334,"hh:mm")&amp;" - "&amp;TEXT($G334,"hh:mm")&amp;IF($P334="Quinzaine A","   ◆ Q-A",IF($P334="Quinzaine B","   ◆ Q-B",IF($P334="Exception","   ◆ PONCTUEL","")))&amp;CHAR(10)&amp;$K334&amp;CHAR(10)&amp;$M334&amp;IF($N334&lt;&gt;"",CHAR(10)&amp;"Salle "&amp;$N334,"")&amp;IF($O334="En ligne",CHAR(10)&amp;"◆ EN LIGNE","")&amp;IF($R334&lt;&gt;"",CHAR(10)&amp;$R334,"")</f>
        <v/>
      </c>
      <c r="Y334" s="45" t="inlineStr"/>
      <c r="Z334" s="45" t="inlineStr">
        <is>
          <t>— généré —</t>
        </is>
      </c>
    </row>
    <row r="335" ht="15" customHeight="1">
      <c r="A335" s="10" t="inlineStr">
        <is>
          <t>S4</t>
        </is>
      </c>
      <c r="B335" s="9" t="inlineStr">
        <is>
          <t>du 5 au 11 octobre 2026</t>
        </is>
      </c>
      <c r="C335" s="10" t="inlineStr">
        <is>
          <t>B</t>
        </is>
      </c>
      <c r="D335" s="41" t="n">
        <v>46302</v>
      </c>
      <c r="E335" s="10" t="inlineStr">
        <is>
          <t>Mercredi</t>
        </is>
      </c>
      <c r="F335" s="42" t="n">
        <v>0.8125</v>
      </c>
      <c r="G335" s="42" t="n">
        <v>0.875</v>
      </c>
      <c r="H335" s="43">
        <f>IF(OR($F335="",$G335=""),"",($G335-$F335)*24)</f>
        <v/>
      </c>
      <c r="I335" s="10" t="inlineStr">
        <is>
          <t>Secondaire</t>
        </is>
      </c>
      <c r="J335" s="9" t="inlineStr">
        <is>
          <t>2éme Eco</t>
        </is>
      </c>
      <c r="K335" s="9" t="inlineStr">
        <is>
          <t>Math</t>
        </is>
      </c>
      <c r="L335" s="9" t="inlineStr">
        <is>
          <t>Math</t>
        </is>
      </c>
      <c r="M335" s="9" t="inlineStr">
        <is>
          <t>Haythem</t>
        </is>
      </c>
      <c r="N335" s="10" t="n"/>
      <c r="O335" s="10" t="n"/>
      <c r="P335" s="10" t="inlineStr">
        <is>
          <t>Hebdomadaire</t>
        </is>
      </c>
      <c r="Q335" s="9" t="inlineStr">
        <is>
          <t>Généré (octobre)</t>
        </is>
      </c>
      <c r="R335" s="9" t="inlineStr"/>
      <c r="S335" s="44">
        <f>IF($M335="","",IF(SUMPRODUCT(($D$4:$D$704=$D335)*($M$4:$M$704=$M335)*($F$4:$F$704&lt;$G335)*($G$4:$G$704&gt;$F335))&gt;1,"⚠ CONFLIT",""))</f>
        <v/>
      </c>
      <c r="T335" s="44">
        <f>IF($J335="","",IF(SUMPRODUCT(($D$4:$D$704=$D335)*($J$4:$J$704=$J335)*($F$4:$F$704&lt;$G335)*($G$4:$G$704&gt;$F335))&gt;1,"⚠ CONFLIT",""))</f>
        <v/>
      </c>
      <c r="U335" s="44">
        <f>IF(COUNTIFS($D$4:$D$704,$D335,$J$4:$J$704,$J335,$F$4:$F$704,$F335,$K$4:$K$704,$K335)&gt;1,"⚠ DOUBLON","")</f>
        <v/>
      </c>
      <c r="V335" s="44">
        <f>COUNTIFS($A$4:$A335,$A335,$J$4:$J335,$J335,$E$4:$E335,$E335)</f>
        <v/>
      </c>
      <c r="W335" s="45">
        <f>$A335&amp;"|"&amp;$J335&amp;"|"&amp;$E335&amp;"|"&amp;$V335</f>
        <v/>
      </c>
      <c r="X335" s="46">
        <f>TEXT($F335,"hh:mm")&amp;" - "&amp;TEXT($G335,"hh:mm")&amp;IF($P335="Quinzaine A","   ◆ Q-A",IF($P335="Quinzaine B","   ◆ Q-B",IF($P335="Exception","   ◆ PONCTUEL","")))&amp;CHAR(10)&amp;$K335&amp;CHAR(10)&amp;$M335&amp;IF($N335&lt;&gt;"",CHAR(10)&amp;"Salle "&amp;$N335,"")&amp;IF($O335="En ligne",CHAR(10)&amp;"◆ EN LIGNE","")&amp;IF($R335&lt;&gt;"",CHAR(10)&amp;$R335,"")</f>
        <v/>
      </c>
      <c r="Y335" s="45" t="inlineStr"/>
      <c r="Z335" s="45" t="inlineStr">
        <is>
          <t>— généré —</t>
        </is>
      </c>
    </row>
    <row r="336" ht="15" customHeight="1">
      <c r="A336" s="10" t="inlineStr">
        <is>
          <t>S4</t>
        </is>
      </c>
      <c r="B336" s="9" t="inlineStr">
        <is>
          <t>du 5 au 11 octobre 2026</t>
        </is>
      </c>
      <c r="C336" s="10" t="inlineStr">
        <is>
          <t>B</t>
        </is>
      </c>
      <c r="D336" s="41" t="n">
        <v>46302</v>
      </c>
      <c r="E336" s="10" t="inlineStr">
        <is>
          <t>Mercredi</t>
        </is>
      </c>
      <c r="F336" s="42" t="n">
        <v>0.7916666666666666</v>
      </c>
      <c r="G336" s="42" t="n">
        <v>0.8541666666666666</v>
      </c>
      <c r="H336" s="43">
        <f>IF(OR($F336="",$G336=""),"",($G336-$F336)*24)</f>
        <v/>
      </c>
      <c r="I336" s="10" t="inlineStr">
        <is>
          <t>Secondaire</t>
        </is>
      </c>
      <c r="J336" s="9" t="inlineStr">
        <is>
          <t>3éme Eco</t>
        </is>
      </c>
      <c r="K336" s="9" t="inlineStr">
        <is>
          <t>Gestion</t>
        </is>
      </c>
      <c r="L336" s="9" t="inlineStr">
        <is>
          <t>Gestion</t>
        </is>
      </c>
      <c r="M336" s="9" t="inlineStr">
        <is>
          <t>Yassine</t>
        </is>
      </c>
      <c r="N336" s="10" t="n"/>
      <c r="O336" s="10" t="n"/>
      <c r="P336" s="10" t="inlineStr">
        <is>
          <t>Hebdomadaire</t>
        </is>
      </c>
      <c r="Q336" s="9" t="inlineStr">
        <is>
          <t>Généré (octobre)</t>
        </is>
      </c>
      <c r="R336" s="9" t="inlineStr"/>
      <c r="S336" s="44">
        <f>IF($M336="","",IF(SUMPRODUCT(($D$4:$D$704=$D336)*($M$4:$M$704=$M336)*($F$4:$F$704&lt;$G336)*($G$4:$G$704&gt;$F336))&gt;1,"⚠ CONFLIT",""))</f>
        <v/>
      </c>
      <c r="T336" s="44">
        <f>IF($J336="","",IF(SUMPRODUCT(($D$4:$D$704=$D336)*($J$4:$J$704=$J336)*($F$4:$F$704&lt;$G336)*($G$4:$G$704&gt;$F336))&gt;1,"⚠ CONFLIT",""))</f>
        <v/>
      </c>
      <c r="U336" s="44">
        <f>IF(COUNTIFS($D$4:$D$704,$D336,$J$4:$J$704,$J336,$F$4:$F$704,$F336,$K$4:$K$704,$K336)&gt;1,"⚠ DOUBLON","")</f>
        <v/>
      </c>
      <c r="V336" s="44">
        <f>COUNTIFS($A$4:$A336,$A336,$J$4:$J336,$J336,$E$4:$E336,$E336)</f>
        <v/>
      </c>
      <c r="W336" s="45">
        <f>$A336&amp;"|"&amp;$J336&amp;"|"&amp;$E336&amp;"|"&amp;$V336</f>
        <v/>
      </c>
      <c r="X336" s="46">
        <f>TEXT($F336,"hh:mm")&amp;" - "&amp;TEXT($G336,"hh:mm")&amp;IF($P336="Quinzaine A","   ◆ Q-A",IF($P336="Quinzaine B","   ◆ Q-B",IF($P336="Exception","   ◆ PONCTUEL","")))&amp;CHAR(10)&amp;$K336&amp;CHAR(10)&amp;$M336&amp;IF($N336&lt;&gt;"",CHAR(10)&amp;"Salle "&amp;$N336,"")&amp;IF($O336="En ligne",CHAR(10)&amp;"◆ EN LIGNE","")&amp;IF($R336&lt;&gt;"",CHAR(10)&amp;$R336,"")</f>
        <v/>
      </c>
      <c r="Y336" s="45" t="inlineStr"/>
      <c r="Z336" s="45" t="inlineStr">
        <is>
          <t>— généré —</t>
        </is>
      </c>
    </row>
    <row r="337" ht="15" customHeight="1">
      <c r="A337" s="10" t="inlineStr">
        <is>
          <t>S4</t>
        </is>
      </c>
      <c r="B337" s="9" t="inlineStr">
        <is>
          <t>du 5 au 11 octobre 2026</t>
        </is>
      </c>
      <c r="C337" s="10" t="inlineStr">
        <is>
          <t>B</t>
        </is>
      </c>
      <c r="D337" s="41" t="n">
        <v>46302</v>
      </c>
      <c r="E337" s="10" t="inlineStr">
        <is>
          <t>Mercredi</t>
        </is>
      </c>
      <c r="F337" s="42" t="n">
        <v>0.8125</v>
      </c>
      <c r="G337" s="42" t="n">
        <v>0.875</v>
      </c>
      <c r="H337" s="43">
        <f>IF(OR($F337="",$G337=""),"",($G337-$F337)*24)</f>
        <v/>
      </c>
      <c r="I337" s="10" t="inlineStr">
        <is>
          <t>Secondaire</t>
        </is>
      </c>
      <c r="J337" s="9" t="inlineStr">
        <is>
          <t>3éme INFO</t>
        </is>
      </c>
      <c r="K337" s="9" t="inlineStr">
        <is>
          <t>Physique</t>
        </is>
      </c>
      <c r="L337" s="9" t="inlineStr">
        <is>
          <t>Physique</t>
        </is>
      </c>
      <c r="M337" s="9" t="inlineStr">
        <is>
          <t>Samia</t>
        </is>
      </c>
      <c r="N337" s="10" t="n"/>
      <c r="O337" s="10" t="n"/>
      <c r="P337" s="10" t="inlineStr">
        <is>
          <t>Hebdomadaire</t>
        </is>
      </c>
      <c r="Q337" s="9" t="inlineStr">
        <is>
          <t>Généré (octobre)</t>
        </is>
      </c>
      <c r="R337" s="9" t="inlineStr"/>
      <c r="S337" s="44">
        <f>IF($M337="","",IF(SUMPRODUCT(($D$4:$D$704=$D337)*($M$4:$M$704=$M337)*($F$4:$F$704&lt;$G337)*($G$4:$G$704&gt;$F337))&gt;1,"⚠ CONFLIT",""))</f>
        <v/>
      </c>
      <c r="T337" s="44">
        <f>IF($J337="","",IF(SUMPRODUCT(($D$4:$D$704=$D337)*($J$4:$J$704=$J337)*($F$4:$F$704&lt;$G337)*($G$4:$G$704&gt;$F337))&gt;1,"⚠ CONFLIT",""))</f>
        <v/>
      </c>
      <c r="U337" s="44">
        <f>IF(COUNTIFS($D$4:$D$704,$D337,$J$4:$J$704,$J337,$F$4:$F$704,$F337,$K$4:$K$704,$K337)&gt;1,"⚠ DOUBLON","")</f>
        <v/>
      </c>
      <c r="V337" s="44">
        <f>COUNTIFS($A$4:$A337,$A337,$J$4:$J337,$J337,$E$4:$E337,$E337)</f>
        <v/>
      </c>
      <c r="W337" s="45">
        <f>$A337&amp;"|"&amp;$J337&amp;"|"&amp;$E337&amp;"|"&amp;$V337</f>
        <v/>
      </c>
      <c r="X337" s="46">
        <f>TEXT($F337,"hh:mm")&amp;" - "&amp;TEXT($G337,"hh:mm")&amp;IF($P337="Quinzaine A","   ◆ Q-A",IF($P337="Quinzaine B","   ◆ Q-B",IF($P337="Exception","   ◆ PONCTUEL","")))&amp;CHAR(10)&amp;$K337&amp;CHAR(10)&amp;$M337&amp;IF($N337&lt;&gt;"",CHAR(10)&amp;"Salle "&amp;$N337,"")&amp;IF($O337="En ligne",CHAR(10)&amp;"◆ EN LIGNE","")&amp;IF($R337&lt;&gt;"",CHAR(10)&amp;$R337,"")</f>
        <v/>
      </c>
      <c r="Y337" s="45" t="inlineStr"/>
      <c r="Z337" s="45" t="inlineStr">
        <is>
          <t>— généré —</t>
        </is>
      </c>
    </row>
    <row r="338" ht="15" customHeight="1">
      <c r="A338" s="10" t="inlineStr">
        <is>
          <t>S4</t>
        </is>
      </c>
      <c r="B338" s="9" t="inlineStr">
        <is>
          <t>du 5 au 11 octobre 2026</t>
        </is>
      </c>
      <c r="C338" s="10" t="inlineStr">
        <is>
          <t>B</t>
        </is>
      </c>
      <c r="D338" s="41" t="n">
        <v>46302</v>
      </c>
      <c r="E338" s="10" t="inlineStr">
        <is>
          <t>Mercredi</t>
        </is>
      </c>
      <c r="F338" s="42" t="n">
        <v>0.7916666666666666</v>
      </c>
      <c r="G338" s="42" t="n">
        <v>0.875</v>
      </c>
      <c r="H338" s="43">
        <f>IF(OR($F338="",$G338=""),"",($G338-$F338)*24)</f>
        <v/>
      </c>
      <c r="I338" s="10" t="inlineStr">
        <is>
          <t>Bac</t>
        </is>
      </c>
      <c r="J338" s="9" t="inlineStr">
        <is>
          <t>Bac SCE</t>
        </is>
      </c>
      <c r="K338" s="9" t="inlineStr">
        <is>
          <t>Math</t>
        </is>
      </c>
      <c r="L338" s="9" t="inlineStr">
        <is>
          <t>Math</t>
        </is>
      </c>
      <c r="M338" s="9" t="inlineStr">
        <is>
          <t>Ahmed</t>
        </is>
      </c>
      <c r="N338" s="10" t="n"/>
      <c r="O338" s="10" t="n"/>
      <c r="P338" s="10" t="inlineStr">
        <is>
          <t>Hebdomadaire</t>
        </is>
      </c>
      <c r="Q338" s="9" t="inlineStr">
        <is>
          <t>Généré (octobre)</t>
        </is>
      </c>
      <c r="R338" s="9" t="inlineStr"/>
      <c r="S338" s="44">
        <f>IF($M338="","",IF(SUMPRODUCT(($D$4:$D$704=$D338)*($M$4:$M$704=$M338)*($F$4:$F$704&lt;$G338)*($G$4:$G$704&gt;$F338))&gt;1,"⚠ CONFLIT",""))</f>
        <v/>
      </c>
      <c r="T338" s="44">
        <f>IF($J338="","",IF(SUMPRODUCT(($D$4:$D$704=$D338)*($J$4:$J$704=$J338)*($F$4:$F$704&lt;$G338)*($G$4:$G$704&gt;$F338))&gt;1,"⚠ CONFLIT",""))</f>
        <v/>
      </c>
      <c r="U338" s="44">
        <f>IF(COUNTIFS($D$4:$D$704,$D338,$J$4:$J$704,$J338,$F$4:$F$704,$F338,$K$4:$K$704,$K338)&gt;1,"⚠ DOUBLON","")</f>
        <v/>
      </c>
      <c r="V338" s="44">
        <f>COUNTIFS($A$4:$A338,$A338,$J$4:$J338,$J338,$E$4:$E338,$E338)</f>
        <v/>
      </c>
      <c r="W338" s="45">
        <f>$A338&amp;"|"&amp;$J338&amp;"|"&amp;$E338&amp;"|"&amp;$V338</f>
        <v/>
      </c>
      <c r="X338" s="46">
        <f>TEXT($F338,"hh:mm")&amp;" - "&amp;TEXT($G338,"hh:mm")&amp;IF($P338="Quinzaine A","   ◆ Q-A",IF($P338="Quinzaine B","   ◆ Q-B",IF($P338="Exception","   ◆ PONCTUEL","")))&amp;CHAR(10)&amp;$K338&amp;CHAR(10)&amp;$M338&amp;IF($N338&lt;&gt;"",CHAR(10)&amp;"Salle "&amp;$N338,"")&amp;IF($O338="En ligne",CHAR(10)&amp;"◆ EN LIGNE","")&amp;IF($R338&lt;&gt;"",CHAR(10)&amp;$R338,"")</f>
        <v/>
      </c>
      <c r="Y338" s="45" t="inlineStr"/>
      <c r="Z338" s="45" t="inlineStr">
        <is>
          <t>— généré —</t>
        </is>
      </c>
    </row>
    <row r="339" ht="15" customHeight="1">
      <c r="A339" s="10" t="inlineStr">
        <is>
          <t>S4</t>
        </is>
      </c>
      <c r="B339" s="9" t="inlineStr">
        <is>
          <t>du 5 au 11 octobre 2026</t>
        </is>
      </c>
      <c r="C339" s="10" t="inlineStr">
        <is>
          <t>B</t>
        </is>
      </c>
      <c r="D339" s="41" t="n">
        <v>46302</v>
      </c>
      <c r="E339" s="10" t="inlineStr">
        <is>
          <t>Mercredi</t>
        </is>
      </c>
      <c r="F339" s="42" t="n">
        <v>0.7916666666666666</v>
      </c>
      <c r="G339" s="42" t="n">
        <v>0.875</v>
      </c>
      <c r="H339" s="43">
        <f>IF(OR($F339="",$G339=""),"",($G339-$F339)*24)</f>
        <v/>
      </c>
      <c r="I339" s="10" t="inlineStr">
        <is>
          <t>Bac</t>
        </is>
      </c>
      <c r="J339" s="9" t="inlineStr">
        <is>
          <t>Bac INFO</t>
        </is>
      </c>
      <c r="K339" s="9" t="inlineStr">
        <is>
          <t>STI</t>
        </is>
      </c>
      <c r="L339" s="9" t="inlineStr">
        <is>
          <t>STI</t>
        </is>
      </c>
      <c r="M339" s="9" t="inlineStr">
        <is>
          <t>Aymen</t>
        </is>
      </c>
      <c r="N339" s="10" t="n"/>
      <c r="O339" s="10" t="n"/>
      <c r="P339" s="10" t="inlineStr">
        <is>
          <t>Hebdomadaire</t>
        </is>
      </c>
      <c r="Q339" s="9" t="inlineStr">
        <is>
          <t>Généré (octobre)</t>
        </is>
      </c>
      <c r="R339" s="9" t="inlineStr"/>
      <c r="S339" s="44">
        <f>IF($M339="","",IF(SUMPRODUCT(($D$4:$D$704=$D339)*($M$4:$M$704=$M339)*($F$4:$F$704&lt;$G339)*($G$4:$G$704&gt;$F339))&gt;1,"⚠ CONFLIT",""))</f>
        <v/>
      </c>
      <c r="T339" s="44">
        <f>IF($J339="","",IF(SUMPRODUCT(($D$4:$D$704=$D339)*($J$4:$J$704=$J339)*($F$4:$F$704&lt;$G339)*($G$4:$G$704&gt;$F339))&gt;1,"⚠ CONFLIT",""))</f>
        <v/>
      </c>
      <c r="U339" s="44">
        <f>IF(COUNTIFS($D$4:$D$704,$D339,$J$4:$J$704,$J339,$F$4:$F$704,$F339,$K$4:$K$704,$K339)&gt;1,"⚠ DOUBLON","")</f>
        <v/>
      </c>
      <c r="V339" s="44">
        <f>COUNTIFS($A$4:$A339,$A339,$J$4:$J339,$J339,$E$4:$E339,$E339)</f>
        <v/>
      </c>
      <c r="W339" s="45">
        <f>$A339&amp;"|"&amp;$J339&amp;"|"&amp;$E339&amp;"|"&amp;$V339</f>
        <v/>
      </c>
      <c r="X339" s="46">
        <f>TEXT($F339,"hh:mm")&amp;" - "&amp;TEXT($G339,"hh:mm")&amp;IF($P339="Quinzaine A","   ◆ Q-A",IF($P339="Quinzaine B","   ◆ Q-B",IF($P339="Exception","   ◆ PONCTUEL","")))&amp;CHAR(10)&amp;$K339&amp;CHAR(10)&amp;$M339&amp;IF($N339&lt;&gt;"",CHAR(10)&amp;"Salle "&amp;$N339,"")&amp;IF($O339="En ligne",CHAR(10)&amp;"◆ EN LIGNE","")&amp;IF($R339&lt;&gt;"",CHAR(10)&amp;$R339,"")</f>
        <v/>
      </c>
      <c r="Y339" s="45" t="inlineStr"/>
      <c r="Z339" s="45" t="inlineStr">
        <is>
          <t>— généré —</t>
        </is>
      </c>
    </row>
    <row r="340" ht="15" customHeight="1">
      <c r="A340" s="10" t="inlineStr">
        <is>
          <t>S4</t>
        </is>
      </c>
      <c r="B340" s="9" t="inlineStr">
        <is>
          <t>du 5 au 11 octobre 2026</t>
        </is>
      </c>
      <c r="C340" s="10" t="inlineStr">
        <is>
          <t>B</t>
        </is>
      </c>
      <c r="D340" s="41" t="n">
        <v>46303</v>
      </c>
      <c r="E340" s="10" t="inlineStr">
        <is>
          <t>Jeudi</t>
        </is>
      </c>
      <c r="F340" s="42" t="n">
        <v>0.7916666666666666</v>
      </c>
      <c r="G340" s="42" t="n">
        <v>0.875</v>
      </c>
      <c r="H340" s="43">
        <f>IF(OR($F340="",$G340=""),"",($G340-$F340)*24)</f>
        <v/>
      </c>
      <c r="I340" s="10" t="inlineStr">
        <is>
          <t>Primaire</t>
        </is>
      </c>
      <c r="J340" s="9" t="inlineStr">
        <is>
          <t>5éme</t>
        </is>
      </c>
      <c r="K340" s="9" t="inlineStr">
        <is>
          <t>رياضيات</t>
        </is>
      </c>
      <c r="L340" s="9" t="inlineStr">
        <is>
          <t>Math</t>
        </is>
      </c>
      <c r="M340" s="9" t="inlineStr">
        <is>
          <t>Bassma</t>
        </is>
      </c>
      <c r="N340" s="10" t="n"/>
      <c r="O340" s="10" t="n"/>
      <c r="P340" s="10" t="inlineStr">
        <is>
          <t>Hebdomadaire</t>
        </is>
      </c>
      <c r="Q340" s="9" t="inlineStr">
        <is>
          <t>Généré (octobre)</t>
        </is>
      </c>
      <c r="R340" s="9" t="inlineStr"/>
      <c r="S340" s="44">
        <f>IF($M340="","",IF(SUMPRODUCT(($D$4:$D$704=$D340)*($M$4:$M$704=$M340)*($F$4:$F$704&lt;$G340)*($G$4:$G$704&gt;$F340))&gt;1,"⚠ CONFLIT",""))</f>
        <v/>
      </c>
      <c r="T340" s="44">
        <f>IF($J340="","",IF(SUMPRODUCT(($D$4:$D$704=$D340)*($J$4:$J$704=$J340)*($F$4:$F$704&lt;$G340)*($G$4:$G$704&gt;$F340))&gt;1,"⚠ CONFLIT",""))</f>
        <v/>
      </c>
      <c r="U340" s="44">
        <f>IF(COUNTIFS($D$4:$D$704,$D340,$J$4:$J$704,$J340,$F$4:$F$704,$F340,$K$4:$K$704,$K340)&gt;1,"⚠ DOUBLON","")</f>
        <v/>
      </c>
      <c r="V340" s="44">
        <f>COUNTIFS($A$4:$A340,$A340,$J$4:$J340,$J340,$E$4:$E340,$E340)</f>
        <v/>
      </c>
      <c r="W340" s="45">
        <f>$A340&amp;"|"&amp;$J340&amp;"|"&amp;$E340&amp;"|"&amp;$V340</f>
        <v/>
      </c>
      <c r="X340" s="46">
        <f>TEXT($F340,"hh:mm")&amp;" - "&amp;TEXT($G340,"hh:mm")&amp;IF($P340="Quinzaine A","   ◆ Q-A",IF($P340="Quinzaine B","   ◆ Q-B",IF($P340="Exception","   ◆ PONCTUEL","")))&amp;CHAR(10)&amp;$K340&amp;CHAR(10)&amp;$M340&amp;IF($N340&lt;&gt;"",CHAR(10)&amp;"Salle "&amp;$N340,"")&amp;IF($O340="En ligne",CHAR(10)&amp;"◆ EN LIGNE","")&amp;IF($R340&lt;&gt;"",CHAR(10)&amp;$R340,"")</f>
        <v/>
      </c>
      <c r="Y340" s="45" t="inlineStr"/>
      <c r="Z340" s="45" t="inlineStr">
        <is>
          <t>— généré —</t>
        </is>
      </c>
    </row>
    <row r="341" ht="15" customHeight="1">
      <c r="A341" s="10" t="inlineStr">
        <is>
          <t>S4</t>
        </is>
      </c>
      <c r="B341" s="9" t="inlineStr">
        <is>
          <t>du 5 au 11 octobre 2026</t>
        </is>
      </c>
      <c r="C341" s="10" t="inlineStr">
        <is>
          <t>B</t>
        </is>
      </c>
      <c r="D341" s="41" t="n">
        <v>46303</v>
      </c>
      <c r="E341" s="10" t="inlineStr">
        <is>
          <t>Jeudi</t>
        </is>
      </c>
      <c r="F341" s="42" t="n">
        <v>0.7916666666666666</v>
      </c>
      <c r="G341" s="42" t="n">
        <v>0.875</v>
      </c>
      <c r="H341" s="43">
        <f>IF(OR($F341="",$G341=""),"",($G341-$F341)*24)</f>
        <v/>
      </c>
      <c r="I341" s="10" t="inlineStr">
        <is>
          <t>Primaire</t>
        </is>
      </c>
      <c r="J341" s="9" t="inlineStr">
        <is>
          <t>6éme (B)</t>
        </is>
      </c>
      <c r="K341" s="9" t="inlineStr">
        <is>
          <t>رياضيات</t>
        </is>
      </c>
      <c r="L341" s="9" t="inlineStr">
        <is>
          <t>Math</t>
        </is>
      </c>
      <c r="M341" s="9" t="inlineStr">
        <is>
          <t>Noura</t>
        </is>
      </c>
      <c r="N341" s="10" t="n"/>
      <c r="O341" s="10" t="n"/>
      <c r="P341" s="10" t="inlineStr">
        <is>
          <t>Hebdomadaire</t>
        </is>
      </c>
      <c r="Q341" s="9" t="inlineStr">
        <is>
          <t>Généré (octobre)</t>
        </is>
      </c>
      <c r="R341" s="9" t="inlineStr"/>
      <c r="S341" s="44">
        <f>IF($M341="","",IF(SUMPRODUCT(($D$4:$D$704=$D341)*($M$4:$M$704=$M341)*($F$4:$F$704&lt;$G341)*($G$4:$G$704&gt;$F341))&gt;1,"⚠ CONFLIT",""))</f>
        <v/>
      </c>
      <c r="T341" s="44">
        <f>IF($J341="","",IF(SUMPRODUCT(($D$4:$D$704=$D341)*($J$4:$J$704=$J341)*($F$4:$F$704&lt;$G341)*($G$4:$G$704&gt;$F341))&gt;1,"⚠ CONFLIT",""))</f>
        <v/>
      </c>
      <c r="U341" s="44">
        <f>IF(COUNTIFS($D$4:$D$704,$D341,$J$4:$J$704,$J341,$F$4:$F$704,$F341,$K$4:$K$704,$K341)&gt;1,"⚠ DOUBLON","")</f>
        <v/>
      </c>
      <c r="V341" s="44">
        <f>COUNTIFS($A$4:$A341,$A341,$J$4:$J341,$J341,$E$4:$E341,$E341)</f>
        <v/>
      </c>
      <c r="W341" s="45">
        <f>$A341&amp;"|"&amp;$J341&amp;"|"&amp;$E341&amp;"|"&amp;$V341</f>
        <v/>
      </c>
      <c r="X341" s="46">
        <f>TEXT($F341,"hh:mm")&amp;" - "&amp;TEXT($G341,"hh:mm")&amp;IF($P341="Quinzaine A","   ◆ Q-A",IF($P341="Quinzaine B","   ◆ Q-B",IF($P341="Exception","   ◆ PONCTUEL","")))&amp;CHAR(10)&amp;$K341&amp;CHAR(10)&amp;$M341&amp;IF($N341&lt;&gt;"",CHAR(10)&amp;"Salle "&amp;$N341,"")&amp;IF($O341="En ligne",CHAR(10)&amp;"◆ EN LIGNE","")&amp;IF($R341&lt;&gt;"",CHAR(10)&amp;$R341,"")</f>
        <v/>
      </c>
      <c r="Y341" s="45" t="inlineStr"/>
      <c r="Z341" s="45" t="inlineStr">
        <is>
          <t>— généré —</t>
        </is>
      </c>
    </row>
    <row r="342" ht="15" customHeight="1">
      <c r="A342" s="10" t="inlineStr">
        <is>
          <t>S4</t>
        </is>
      </c>
      <c r="B342" s="9" t="inlineStr">
        <is>
          <t>du 5 au 11 octobre 2026</t>
        </is>
      </c>
      <c r="C342" s="10" t="inlineStr">
        <is>
          <t>B</t>
        </is>
      </c>
      <c r="D342" s="41" t="n">
        <v>46303</v>
      </c>
      <c r="E342" s="10" t="inlineStr">
        <is>
          <t>Jeudi</t>
        </is>
      </c>
      <c r="F342" s="42" t="n">
        <v>0.8020833333333334</v>
      </c>
      <c r="G342" s="42" t="n">
        <v>0.8645833333333334</v>
      </c>
      <c r="H342" s="43">
        <f>IF(OR($F342="",$G342=""),"",($G342-$F342)*24)</f>
        <v/>
      </c>
      <c r="I342" s="10" t="inlineStr">
        <is>
          <t>Collège</t>
        </is>
      </c>
      <c r="J342" s="9" t="inlineStr">
        <is>
          <t>8éme (A)</t>
        </is>
      </c>
      <c r="K342" s="9" t="inlineStr">
        <is>
          <t>Français</t>
        </is>
      </c>
      <c r="L342" s="9" t="inlineStr">
        <is>
          <t>Français</t>
        </is>
      </c>
      <c r="M342" s="9" t="inlineStr">
        <is>
          <t>Nassima</t>
        </is>
      </c>
      <c r="N342" s="10" t="n"/>
      <c r="O342" s="10" t="n"/>
      <c r="P342" s="10" t="inlineStr">
        <is>
          <t>Hebdomadaire</t>
        </is>
      </c>
      <c r="Q342" s="9" t="inlineStr">
        <is>
          <t>Généré (octobre)</t>
        </is>
      </c>
      <c r="R342" s="9" t="inlineStr"/>
      <c r="S342" s="44">
        <f>IF($M342="","",IF(SUMPRODUCT(($D$4:$D$704=$D342)*($M$4:$M$704=$M342)*($F$4:$F$704&lt;$G342)*($G$4:$G$704&gt;$F342))&gt;1,"⚠ CONFLIT",""))</f>
        <v/>
      </c>
      <c r="T342" s="44">
        <f>IF($J342="","",IF(SUMPRODUCT(($D$4:$D$704=$D342)*($J$4:$J$704=$J342)*($F$4:$F$704&lt;$G342)*($G$4:$G$704&gt;$F342))&gt;1,"⚠ CONFLIT",""))</f>
        <v/>
      </c>
      <c r="U342" s="44">
        <f>IF(COUNTIFS($D$4:$D$704,$D342,$J$4:$J$704,$J342,$F$4:$F$704,$F342,$K$4:$K$704,$K342)&gt;1,"⚠ DOUBLON","")</f>
        <v/>
      </c>
      <c r="V342" s="44">
        <f>COUNTIFS($A$4:$A342,$A342,$J$4:$J342,$J342,$E$4:$E342,$E342)</f>
        <v/>
      </c>
      <c r="W342" s="45">
        <f>$A342&amp;"|"&amp;$J342&amp;"|"&amp;$E342&amp;"|"&amp;$V342</f>
        <v/>
      </c>
      <c r="X342" s="46">
        <f>TEXT($F342,"hh:mm")&amp;" - "&amp;TEXT($G342,"hh:mm")&amp;IF($P342="Quinzaine A","   ◆ Q-A",IF($P342="Quinzaine B","   ◆ Q-B",IF($P342="Exception","   ◆ PONCTUEL","")))&amp;CHAR(10)&amp;$K342&amp;CHAR(10)&amp;$M342&amp;IF($N342&lt;&gt;"",CHAR(10)&amp;"Salle "&amp;$N342,"")&amp;IF($O342="En ligne",CHAR(10)&amp;"◆ EN LIGNE","")&amp;IF($R342&lt;&gt;"",CHAR(10)&amp;$R342,"")</f>
        <v/>
      </c>
      <c r="Y342" s="45" t="inlineStr"/>
      <c r="Z342" s="45" t="inlineStr">
        <is>
          <t>— généré —</t>
        </is>
      </c>
    </row>
    <row r="343" ht="15" customHeight="1">
      <c r="A343" s="10" t="inlineStr">
        <is>
          <t>S4</t>
        </is>
      </c>
      <c r="B343" s="9" t="inlineStr">
        <is>
          <t>du 5 au 11 octobre 2026</t>
        </is>
      </c>
      <c r="C343" s="10" t="inlineStr">
        <is>
          <t>B</t>
        </is>
      </c>
      <c r="D343" s="41" t="n">
        <v>46303</v>
      </c>
      <c r="E343" s="10" t="inlineStr">
        <is>
          <t>Jeudi</t>
        </is>
      </c>
      <c r="F343" s="42" t="n">
        <v>0.8020833333333334</v>
      </c>
      <c r="G343" s="42" t="n">
        <v>0.8645833333333334</v>
      </c>
      <c r="H343" s="43">
        <f>IF(OR($F343="",$G343=""),"",($G343-$F343)*24)</f>
        <v/>
      </c>
      <c r="I343" s="10" t="inlineStr">
        <is>
          <t>Collège</t>
        </is>
      </c>
      <c r="J343" s="9" t="inlineStr">
        <is>
          <t>8éme (C)</t>
        </is>
      </c>
      <c r="K343" s="9" t="inlineStr">
        <is>
          <t>Math</t>
        </is>
      </c>
      <c r="L343" s="9" t="inlineStr">
        <is>
          <t>Math</t>
        </is>
      </c>
      <c r="M343" s="9" t="inlineStr">
        <is>
          <t>Khouloud</t>
        </is>
      </c>
      <c r="N343" s="10" t="n"/>
      <c r="O343" s="10" t="n"/>
      <c r="P343" s="10" t="inlineStr">
        <is>
          <t>Hebdomadaire</t>
        </is>
      </c>
      <c r="Q343" s="9" t="inlineStr">
        <is>
          <t>Généré (octobre)</t>
        </is>
      </c>
      <c r="R343" s="9" t="inlineStr"/>
      <c r="S343" s="44">
        <f>IF($M343="","",IF(SUMPRODUCT(($D$4:$D$704=$D343)*($M$4:$M$704=$M343)*($F$4:$F$704&lt;$G343)*($G$4:$G$704&gt;$F343))&gt;1,"⚠ CONFLIT",""))</f>
        <v/>
      </c>
      <c r="T343" s="44">
        <f>IF($J343="","",IF(SUMPRODUCT(($D$4:$D$704=$D343)*($J$4:$J$704=$J343)*($F$4:$F$704&lt;$G343)*($G$4:$G$704&gt;$F343))&gt;1,"⚠ CONFLIT",""))</f>
        <v/>
      </c>
      <c r="U343" s="44">
        <f>IF(COUNTIFS($D$4:$D$704,$D343,$J$4:$J$704,$J343,$F$4:$F$704,$F343,$K$4:$K$704,$K343)&gt;1,"⚠ DOUBLON","")</f>
        <v/>
      </c>
      <c r="V343" s="44">
        <f>COUNTIFS($A$4:$A343,$A343,$J$4:$J343,$J343,$E$4:$E343,$E343)</f>
        <v/>
      </c>
      <c r="W343" s="45">
        <f>$A343&amp;"|"&amp;$J343&amp;"|"&amp;$E343&amp;"|"&amp;$V343</f>
        <v/>
      </c>
      <c r="X343" s="46">
        <f>TEXT($F343,"hh:mm")&amp;" - "&amp;TEXT($G343,"hh:mm")&amp;IF($P343="Quinzaine A","   ◆ Q-A",IF($P343="Quinzaine B","   ◆ Q-B",IF($P343="Exception","   ◆ PONCTUEL","")))&amp;CHAR(10)&amp;$K343&amp;CHAR(10)&amp;$M343&amp;IF($N343&lt;&gt;"",CHAR(10)&amp;"Salle "&amp;$N343,"")&amp;IF($O343="En ligne",CHAR(10)&amp;"◆ EN LIGNE","")&amp;IF($R343&lt;&gt;"",CHAR(10)&amp;$R343,"")</f>
        <v/>
      </c>
      <c r="Y343" s="45" t="inlineStr"/>
      <c r="Z343" s="45" t="inlineStr">
        <is>
          <t>— généré —</t>
        </is>
      </c>
    </row>
    <row r="344" ht="15" customHeight="1">
      <c r="A344" s="10" t="inlineStr">
        <is>
          <t>S4</t>
        </is>
      </c>
      <c r="B344" s="9" t="inlineStr">
        <is>
          <t>du 5 au 11 octobre 2026</t>
        </is>
      </c>
      <c r="C344" s="10" t="inlineStr">
        <is>
          <t>B</t>
        </is>
      </c>
      <c r="D344" s="41" t="n">
        <v>46303</v>
      </c>
      <c r="E344" s="10" t="inlineStr">
        <is>
          <t>Jeudi</t>
        </is>
      </c>
      <c r="F344" s="42" t="n">
        <v>0.8020833333333334</v>
      </c>
      <c r="G344" s="42" t="n">
        <v>0.8645833333333334</v>
      </c>
      <c r="H344" s="43">
        <f>IF(OR($F344="",$G344=""),"",($G344-$F344)*24)</f>
        <v/>
      </c>
      <c r="I344" s="10" t="inlineStr">
        <is>
          <t>Collège</t>
        </is>
      </c>
      <c r="J344" s="9" t="inlineStr">
        <is>
          <t>9éme (A)</t>
        </is>
      </c>
      <c r="K344" s="9" t="inlineStr">
        <is>
          <t>SVT</t>
        </is>
      </c>
      <c r="L344" s="9" t="inlineStr">
        <is>
          <t>SVT</t>
        </is>
      </c>
      <c r="M344" s="9" t="inlineStr">
        <is>
          <t>Imen Jribi</t>
        </is>
      </c>
      <c r="N344" s="10" t="n"/>
      <c r="O344" s="10" t="n"/>
      <c r="P344" s="10" t="inlineStr">
        <is>
          <t>Hebdomadaire</t>
        </is>
      </c>
      <c r="Q344" s="9" t="inlineStr">
        <is>
          <t>Généré (octobre)</t>
        </is>
      </c>
      <c r="R344" s="9" t="inlineStr"/>
      <c r="S344" s="44">
        <f>IF($M344="","",IF(SUMPRODUCT(($D$4:$D$704=$D344)*($M$4:$M$704=$M344)*($F$4:$F$704&lt;$G344)*($G$4:$G$704&gt;$F344))&gt;1,"⚠ CONFLIT",""))</f>
        <v/>
      </c>
      <c r="T344" s="44">
        <f>IF($J344="","",IF(SUMPRODUCT(($D$4:$D$704=$D344)*($J$4:$J$704=$J344)*($F$4:$F$704&lt;$G344)*($G$4:$G$704&gt;$F344))&gt;1,"⚠ CONFLIT",""))</f>
        <v/>
      </c>
      <c r="U344" s="44">
        <f>IF(COUNTIFS($D$4:$D$704,$D344,$J$4:$J$704,$J344,$F$4:$F$704,$F344,$K$4:$K$704,$K344)&gt;1,"⚠ DOUBLON","")</f>
        <v/>
      </c>
      <c r="V344" s="44">
        <f>COUNTIFS($A$4:$A344,$A344,$J$4:$J344,$J344,$E$4:$E344,$E344)</f>
        <v/>
      </c>
      <c r="W344" s="45">
        <f>$A344&amp;"|"&amp;$J344&amp;"|"&amp;$E344&amp;"|"&amp;$V344</f>
        <v/>
      </c>
      <c r="X344" s="46">
        <f>TEXT($F344,"hh:mm")&amp;" - "&amp;TEXT($G344,"hh:mm")&amp;IF($P344="Quinzaine A","   ◆ Q-A",IF($P344="Quinzaine B","   ◆ Q-B",IF($P344="Exception","   ◆ PONCTUEL","")))&amp;CHAR(10)&amp;$K344&amp;CHAR(10)&amp;$M344&amp;IF($N344&lt;&gt;"",CHAR(10)&amp;"Salle "&amp;$N344,"")&amp;IF($O344="En ligne",CHAR(10)&amp;"◆ EN LIGNE","")&amp;IF($R344&lt;&gt;"",CHAR(10)&amp;$R344,"")</f>
        <v/>
      </c>
      <c r="Y344" s="45" t="inlineStr"/>
      <c r="Z344" s="45" t="inlineStr">
        <is>
          <t>— généré —</t>
        </is>
      </c>
    </row>
    <row r="345" ht="15" customHeight="1">
      <c r="A345" s="10" t="inlineStr">
        <is>
          <t>S4</t>
        </is>
      </c>
      <c r="B345" s="9" t="inlineStr">
        <is>
          <t>du 5 au 11 octobre 2026</t>
        </is>
      </c>
      <c r="C345" s="10" t="inlineStr">
        <is>
          <t>B</t>
        </is>
      </c>
      <c r="D345" s="41" t="n">
        <v>46303</v>
      </c>
      <c r="E345" s="10" t="inlineStr">
        <is>
          <t>Jeudi</t>
        </is>
      </c>
      <c r="F345" s="42" t="n">
        <v>0.8125</v>
      </c>
      <c r="G345" s="42" t="n">
        <v>0.875</v>
      </c>
      <c r="H345" s="43">
        <f>IF(OR($F345="",$G345=""),"",($G345-$F345)*24)</f>
        <v/>
      </c>
      <c r="I345" s="10" t="inlineStr">
        <is>
          <t>Collège</t>
        </is>
      </c>
      <c r="J345" s="9" t="inlineStr">
        <is>
          <t>9éme (C)</t>
        </is>
      </c>
      <c r="K345" s="9" t="inlineStr">
        <is>
          <t>Anglais</t>
        </is>
      </c>
      <c r="L345" s="9" t="inlineStr">
        <is>
          <t>Anglais</t>
        </is>
      </c>
      <c r="M345" s="9" t="inlineStr">
        <is>
          <t>Saber</t>
        </is>
      </c>
      <c r="N345" s="10" t="n"/>
      <c r="O345" s="10" t="n"/>
      <c r="P345" s="10" t="inlineStr">
        <is>
          <t>Hebdomadaire</t>
        </is>
      </c>
      <c r="Q345" s="9" t="inlineStr">
        <is>
          <t>Généré (octobre)</t>
        </is>
      </c>
      <c r="R345" s="9" t="inlineStr"/>
      <c r="S345" s="44">
        <f>IF($M345="","",IF(SUMPRODUCT(($D$4:$D$704=$D345)*($M$4:$M$704=$M345)*($F$4:$F$704&lt;$G345)*($G$4:$G$704&gt;$F345))&gt;1,"⚠ CONFLIT",""))</f>
        <v/>
      </c>
      <c r="T345" s="44">
        <f>IF($J345="","",IF(SUMPRODUCT(($D$4:$D$704=$D345)*($J$4:$J$704=$J345)*($F$4:$F$704&lt;$G345)*($G$4:$G$704&gt;$F345))&gt;1,"⚠ CONFLIT",""))</f>
        <v/>
      </c>
      <c r="U345" s="44">
        <f>IF(COUNTIFS($D$4:$D$704,$D345,$J$4:$J$704,$J345,$F$4:$F$704,$F345,$K$4:$K$704,$K345)&gt;1,"⚠ DOUBLON","")</f>
        <v/>
      </c>
      <c r="V345" s="44">
        <f>COUNTIFS($A$4:$A345,$A345,$J$4:$J345,$J345,$E$4:$E345,$E345)</f>
        <v/>
      </c>
      <c r="W345" s="45">
        <f>$A345&amp;"|"&amp;$J345&amp;"|"&amp;$E345&amp;"|"&amp;$V345</f>
        <v/>
      </c>
      <c r="X345" s="46">
        <f>TEXT($F345,"hh:mm")&amp;" - "&amp;TEXT($G345,"hh:mm")&amp;IF($P345="Quinzaine A","   ◆ Q-A",IF($P345="Quinzaine B","   ◆ Q-B",IF($P345="Exception","   ◆ PONCTUEL","")))&amp;CHAR(10)&amp;$K345&amp;CHAR(10)&amp;$M345&amp;IF($N345&lt;&gt;"",CHAR(10)&amp;"Salle "&amp;$N345,"")&amp;IF($O345="En ligne",CHAR(10)&amp;"◆ EN LIGNE","")&amp;IF($R345&lt;&gt;"",CHAR(10)&amp;$R345,"")</f>
        <v/>
      </c>
      <c r="Y345" s="45" t="inlineStr"/>
      <c r="Z345" s="45" t="inlineStr">
        <is>
          <t>— généré —</t>
        </is>
      </c>
    </row>
    <row r="346" ht="15" customHeight="1">
      <c r="A346" s="10" t="inlineStr">
        <is>
          <t>S4</t>
        </is>
      </c>
      <c r="B346" s="9" t="inlineStr">
        <is>
          <t>du 5 au 11 octobre 2026</t>
        </is>
      </c>
      <c r="C346" s="10" t="inlineStr">
        <is>
          <t>B</t>
        </is>
      </c>
      <c r="D346" s="41" t="n">
        <v>46303</v>
      </c>
      <c r="E346" s="10" t="inlineStr">
        <is>
          <t>Jeudi</t>
        </is>
      </c>
      <c r="F346" s="42" t="n">
        <v>0.8020833333333334</v>
      </c>
      <c r="G346" s="42" t="n">
        <v>0.8645833333333334</v>
      </c>
      <c r="H346" s="43">
        <f>IF(OR($F346="",$G346=""),"",($G346-$F346)*24)</f>
        <v/>
      </c>
      <c r="I346" s="10" t="inlineStr">
        <is>
          <t>Secondaire</t>
        </is>
      </c>
      <c r="J346" s="9" t="inlineStr">
        <is>
          <t>1ére (B)</t>
        </is>
      </c>
      <c r="K346" s="9" t="inlineStr">
        <is>
          <t>Anglais</t>
        </is>
      </c>
      <c r="L346" s="9" t="inlineStr">
        <is>
          <t>Anglais</t>
        </is>
      </c>
      <c r="M346" s="9" t="inlineStr">
        <is>
          <t>Imen Bennour</t>
        </is>
      </c>
      <c r="N346" s="10" t="n"/>
      <c r="O346" s="10" t="n"/>
      <c r="P346" s="10" t="inlineStr">
        <is>
          <t>Quinzaine B</t>
        </is>
      </c>
      <c r="Q346" s="9" t="inlineStr">
        <is>
          <t>Généré (octobre)</t>
        </is>
      </c>
      <c r="R346" s="9" t="inlineStr"/>
      <c r="S346" s="44">
        <f>IF($M346="","",IF(SUMPRODUCT(($D$4:$D$704=$D346)*($M$4:$M$704=$M346)*($F$4:$F$704&lt;$G346)*($G$4:$G$704&gt;$F346))&gt;1,"⚠ CONFLIT",""))</f>
        <v/>
      </c>
      <c r="T346" s="44">
        <f>IF($J346="","",IF(SUMPRODUCT(($D$4:$D$704=$D346)*($J$4:$J$704=$J346)*($F$4:$F$704&lt;$G346)*($G$4:$G$704&gt;$F346))&gt;1,"⚠ CONFLIT",""))</f>
        <v/>
      </c>
      <c r="U346" s="44">
        <f>IF(COUNTIFS($D$4:$D$704,$D346,$J$4:$J$704,$J346,$F$4:$F$704,$F346,$K$4:$K$704,$K346)&gt;1,"⚠ DOUBLON","")</f>
        <v/>
      </c>
      <c r="V346" s="44">
        <f>COUNTIFS($A$4:$A346,$A346,$J$4:$J346,$J346,$E$4:$E346,$E346)</f>
        <v/>
      </c>
      <c r="W346" s="45">
        <f>$A346&amp;"|"&amp;$J346&amp;"|"&amp;$E346&amp;"|"&amp;$V346</f>
        <v/>
      </c>
      <c r="X346" s="46">
        <f>TEXT($F346,"hh:mm")&amp;" - "&amp;TEXT($G346,"hh:mm")&amp;IF($P346="Quinzaine A","   ◆ Q-A",IF($P346="Quinzaine B","   ◆ Q-B",IF($P346="Exception","   ◆ PONCTUEL","")))&amp;CHAR(10)&amp;$K346&amp;CHAR(10)&amp;$M346&amp;IF($N346&lt;&gt;"",CHAR(10)&amp;"Salle "&amp;$N346,"")&amp;IF($O346="En ligne",CHAR(10)&amp;"◆ EN LIGNE","")&amp;IF($R346&lt;&gt;"",CHAR(10)&amp;$R346,"")</f>
        <v/>
      </c>
      <c r="Y346" s="45" t="inlineStr"/>
      <c r="Z346" s="45" t="inlineStr">
        <is>
          <t>— généré —</t>
        </is>
      </c>
    </row>
    <row r="347" ht="15" customHeight="1">
      <c r="A347" s="10" t="inlineStr">
        <is>
          <t>S4</t>
        </is>
      </c>
      <c r="B347" s="9" t="inlineStr">
        <is>
          <t>du 5 au 11 octobre 2026</t>
        </is>
      </c>
      <c r="C347" s="10" t="inlineStr">
        <is>
          <t>B</t>
        </is>
      </c>
      <c r="D347" s="41" t="n">
        <v>46303</v>
      </c>
      <c r="E347" s="10" t="inlineStr">
        <is>
          <t>Jeudi</t>
        </is>
      </c>
      <c r="F347" s="42" t="n">
        <v>0.7916666666666666</v>
      </c>
      <c r="G347" s="42" t="n">
        <v>0.8541666666666666</v>
      </c>
      <c r="H347" s="43">
        <f>IF(OR($F347="",$G347=""),"",($G347-$F347)*24)</f>
        <v/>
      </c>
      <c r="I347" s="10" t="inlineStr">
        <is>
          <t>Secondaire</t>
        </is>
      </c>
      <c r="J347" s="9" t="inlineStr">
        <is>
          <t>2éme Eco</t>
        </is>
      </c>
      <c r="K347" s="9" t="inlineStr">
        <is>
          <t>Gestion</t>
        </is>
      </c>
      <c r="L347" s="9" t="inlineStr">
        <is>
          <t>Gestion</t>
        </is>
      </c>
      <c r="M347" s="9" t="inlineStr">
        <is>
          <t>Yassine</t>
        </is>
      </c>
      <c r="N347" s="10" t="n"/>
      <c r="O347" s="10" t="n"/>
      <c r="P347" s="10" t="inlineStr">
        <is>
          <t>Hebdomadaire</t>
        </is>
      </c>
      <c r="Q347" s="9" t="inlineStr">
        <is>
          <t>Généré (octobre)</t>
        </is>
      </c>
      <c r="R347" s="9" t="inlineStr"/>
      <c r="S347" s="44">
        <f>IF($M347="","",IF(SUMPRODUCT(($D$4:$D$704=$D347)*($M$4:$M$704=$M347)*($F$4:$F$704&lt;$G347)*($G$4:$G$704&gt;$F347))&gt;1,"⚠ CONFLIT",""))</f>
        <v/>
      </c>
      <c r="T347" s="44">
        <f>IF($J347="","",IF(SUMPRODUCT(($D$4:$D$704=$D347)*($J$4:$J$704=$J347)*($F$4:$F$704&lt;$G347)*($G$4:$G$704&gt;$F347))&gt;1,"⚠ CONFLIT",""))</f>
        <v/>
      </c>
      <c r="U347" s="44">
        <f>IF(COUNTIFS($D$4:$D$704,$D347,$J$4:$J$704,$J347,$F$4:$F$704,$F347,$K$4:$K$704,$K347)&gt;1,"⚠ DOUBLON","")</f>
        <v/>
      </c>
      <c r="V347" s="44">
        <f>COUNTIFS($A$4:$A347,$A347,$J$4:$J347,$J347,$E$4:$E347,$E347)</f>
        <v/>
      </c>
      <c r="W347" s="45">
        <f>$A347&amp;"|"&amp;$J347&amp;"|"&amp;$E347&amp;"|"&amp;$V347</f>
        <v/>
      </c>
      <c r="X347" s="46">
        <f>TEXT($F347,"hh:mm")&amp;" - "&amp;TEXT($G347,"hh:mm")&amp;IF($P347="Quinzaine A","   ◆ Q-A",IF($P347="Quinzaine B","   ◆ Q-B",IF($P347="Exception","   ◆ PONCTUEL","")))&amp;CHAR(10)&amp;$K347&amp;CHAR(10)&amp;$M347&amp;IF($N347&lt;&gt;"",CHAR(10)&amp;"Salle "&amp;$N347,"")&amp;IF($O347="En ligne",CHAR(10)&amp;"◆ EN LIGNE","")&amp;IF($R347&lt;&gt;"",CHAR(10)&amp;$R347,"")</f>
        <v/>
      </c>
      <c r="Y347" s="45" t="inlineStr"/>
      <c r="Z347" s="45" t="inlineStr">
        <is>
          <t>— généré —</t>
        </is>
      </c>
    </row>
    <row r="348" ht="15" customHeight="1">
      <c r="A348" s="10" t="inlineStr">
        <is>
          <t>S4</t>
        </is>
      </c>
      <c r="B348" s="9" t="inlineStr">
        <is>
          <t>du 5 au 11 octobre 2026</t>
        </is>
      </c>
      <c r="C348" s="10" t="inlineStr">
        <is>
          <t>B</t>
        </is>
      </c>
      <c r="D348" s="41" t="n">
        <v>46303</v>
      </c>
      <c r="E348" s="10" t="inlineStr">
        <is>
          <t>Jeudi</t>
        </is>
      </c>
      <c r="F348" s="42" t="n">
        <v>0.8125</v>
      </c>
      <c r="G348" s="42" t="n">
        <v>0.875</v>
      </c>
      <c r="H348" s="43">
        <f>IF(OR($F348="",$G348=""),"",($G348-$F348)*24)</f>
        <v/>
      </c>
      <c r="I348" s="10" t="inlineStr">
        <is>
          <t>Secondaire</t>
        </is>
      </c>
      <c r="J348" s="9" t="inlineStr">
        <is>
          <t>2éme SCE</t>
        </is>
      </c>
      <c r="K348" s="9" t="inlineStr">
        <is>
          <t>Math</t>
        </is>
      </c>
      <c r="L348" s="9" t="inlineStr">
        <is>
          <t>Math</t>
        </is>
      </c>
      <c r="M348" s="9" t="inlineStr">
        <is>
          <t>Haythem</t>
        </is>
      </c>
      <c r="N348" s="10" t="n"/>
      <c r="O348" s="10" t="n"/>
      <c r="P348" s="10" t="inlineStr">
        <is>
          <t>Hebdomadaire</t>
        </is>
      </c>
      <c r="Q348" s="9" t="inlineStr">
        <is>
          <t>Généré (octobre)</t>
        </is>
      </c>
      <c r="R348" s="9" t="inlineStr"/>
      <c r="S348" s="44">
        <f>IF($M348="","",IF(SUMPRODUCT(($D$4:$D$704=$D348)*($M$4:$M$704=$M348)*($F$4:$F$704&lt;$G348)*($G$4:$G$704&gt;$F348))&gt;1,"⚠ CONFLIT",""))</f>
        <v/>
      </c>
      <c r="T348" s="44">
        <f>IF($J348="","",IF(SUMPRODUCT(($D$4:$D$704=$D348)*($J$4:$J$704=$J348)*($F$4:$F$704&lt;$G348)*($G$4:$G$704&gt;$F348))&gt;1,"⚠ CONFLIT",""))</f>
        <v/>
      </c>
      <c r="U348" s="44">
        <f>IF(COUNTIFS($D$4:$D$704,$D348,$J$4:$J$704,$J348,$F$4:$F$704,$F348,$K$4:$K$704,$K348)&gt;1,"⚠ DOUBLON","")</f>
        <v/>
      </c>
      <c r="V348" s="44">
        <f>COUNTIFS($A$4:$A348,$A348,$J$4:$J348,$J348,$E$4:$E348,$E348)</f>
        <v/>
      </c>
      <c r="W348" s="45">
        <f>$A348&amp;"|"&amp;$J348&amp;"|"&amp;$E348&amp;"|"&amp;$V348</f>
        <v/>
      </c>
      <c r="X348" s="46">
        <f>TEXT($F348,"hh:mm")&amp;" - "&amp;TEXT($G348,"hh:mm")&amp;IF($P348="Quinzaine A","   ◆ Q-A",IF($P348="Quinzaine B","   ◆ Q-B",IF($P348="Exception","   ◆ PONCTUEL","")))&amp;CHAR(10)&amp;$K348&amp;CHAR(10)&amp;$M348&amp;IF($N348&lt;&gt;"",CHAR(10)&amp;"Salle "&amp;$N348,"")&amp;IF($O348="En ligne",CHAR(10)&amp;"◆ EN LIGNE","")&amp;IF($R348&lt;&gt;"",CHAR(10)&amp;$R348,"")</f>
        <v/>
      </c>
      <c r="Y348" s="45" t="inlineStr"/>
      <c r="Z348" s="45" t="inlineStr">
        <is>
          <t>— généré —</t>
        </is>
      </c>
    </row>
    <row r="349" ht="15" customHeight="1">
      <c r="A349" s="10" t="inlineStr">
        <is>
          <t>S4</t>
        </is>
      </c>
      <c r="B349" s="9" t="inlineStr">
        <is>
          <t>du 5 au 11 octobre 2026</t>
        </is>
      </c>
      <c r="C349" s="10" t="inlineStr">
        <is>
          <t>B</t>
        </is>
      </c>
      <c r="D349" s="41" t="n">
        <v>46303</v>
      </c>
      <c r="E349" s="10" t="inlineStr">
        <is>
          <t>Jeudi</t>
        </is>
      </c>
      <c r="F349" s="42" t="n">
        <v>0.8125</v>
      </c>
      <c r="G349" s="42" t="n">
        <v>0.875</v>
      </c>
      <c r="H349" s="43">
        <f>IF(OR($F349="",$G349=""),"",($G349-$F349)*24)</f>
        <v/>
      </c>
      <c r="I349" s="10" t="inlineStr">
        <is>
          <t>Secondaire</t>
        </is>
      </c>
      <c r="J349" s="9" t="inlineStr">
        <is>
          <t>2éme INFO</t>
        </is>
      </c>
      <c r="K349" s="9" t="inlineStr">
        <is>
          <t>Physique</t>
        </is>
      </c>
      <c r="L349" s="9" t="inlineStr">
        <is>
          <t>Physique</t>
        </is>
      </c>
      <c r="M349" s="9" t="inlineStr">
        <is>
          <t>Samia</t>
        </is>
      </c>
      <c r="N349" s="10" t="n"/>
      <c r="O349" s="10" t="n"/>
      <c r="P349" s="10" t="inlineStr">
        <is>
          <t>Hebdomadaire</t>
        </is>
      </c>
      <c r="Q349" s="9" t="inlineStr">
        <is>
          <t>Généré (octobre)</t>
        </is>
      </c>
      <c r="R349" s="9" t="inlineStr"/>
      <c r="S349" s="44">
        <f>IF($M349="","",IF(SUMPRODUCT(($D$4:$D$704=$D349)*($M$4:$M$704=$M349)*($F$4:$F$704&lt;$G349)*($G$4:$G$704&gt;$F349))&gt;1,"⚠ CONFLIT",""))</f>
        <v/>
      </c>
      <c r="T349" s="44">
        <f>IF($J349="","",IF(SUMPRODUCT(($D$4:$D$704=$D349)*($J$4:$J$704=$J349)*($F$4:$F$704&lt;$G349)*($G$4:$G$704&gt;$F349))&gt;1,"⚠ CONFLIT",""))</f>
        <v/>
      </c>
      <c r="U349" s="44">
        <f>IF(COUNTIFS($D$4:$D$704,$D349,$J$4:$J$704,$J349,$F$4:$F$704,$F349,$K$4:$K$704,$K349)&gt;1,"⚠ DOUBLON","")</f>
        <v/>
      </c>
      <c r="V349" s="44">
        <f>COUNTIFS($A$4:$A349,$A349,$J$4:$J349,$J349,$E$4:$E349,$E349)</f>
        <v/>
      </c>
      <c r="W349" s="45">
        <f>$A349&amp;"|"&amp;$J349&amp;"|"&amp;$E349&amp;"|"&amp;$V349</f>
        <v/>
      </c>
      <c r="X349" s="46">
        <f>TEXT($F349,"hh:mm")&amp;" - "&amp;TEXT($G349,"hh:mm")&amp;IF($P349="Quinzaine A","   ◆ Q-A",IF($P349="Quinzaine B","   ◆ Q-B",IF($P349="Exception","   ◆ PONCTUEL","")))&amp;CHAR(10)&amp;$K349&amp;CHAR(10)&amp;$M349&amp;IF($N349&lt;&gt;"",CHAR(10)&amp;"Salle "&amp;$N349,"")&amp;IF($O349="En ligne",CHAR(10)&amp;"◆ EN LIGNE","")&amp;IF($R349&lt;&gt;"",CHAR(10)&amp;$R349,"")</f>
        <v/>
      </c>
      <c r="Y349" s="45" t="inlineStr"/>
      <c r="Z349" s="45" t="inlineStr">
        <is>
          <t>— généré —</t>
        </is>
      </c>
    </row>
    <row r="350" ht="15" customHeight="1">
      <c r="A350" s="10" t="inlineStr">
        <is>
          <t>S4</t>
        </is>
      </c>
      <c r="B350" s="9" t="inlineStr">
        <is>
          <t>du 5 au 11 octobre 2026</t>
        </is>
      </c>
      <c r="C350" s="10" t="inlineStr">
        <is>
          <t>B</t>
        </is>
      </c>
      <c r="D350" s="41" t="n">
        <v>46303</v>
      </c>
      <c r="E350" s="10" t="inlineStr">
        <is>
          <t>Jeudi</t>
        </is>
      </c>
      <c r="F350" s="42" t="n">
        <v>0.7916666666666666</v>
      </c>
      <c r="G350" s="42" t="n">
        <v>0.8541666666666666</v>
      </c>
      <c r="H350" s="43">
        <f>IF(OR($F350="",$G350=""),"",($G350-$F350)*24)</f>
        <v/>
      </c>
      <c r="I350" s="10" t="inlineStr">
        <is>
          <t>Secondaire</t>
        </is>
      </c>
      <c r="J350" s="9" t="inlineStr">
        <is>
          <t>3éme Eco</t>
        </is>
      </c>
      <c r="K350" s="9" t="inlineStr">
        <is>
          <t>Philo</t>
        </is>
      </c>
      <c r="L350" s="9" t="inlineStr">
        <is>
          <t>Philo</t>
        </is>
      </c>
      <c r="M350" s="9" t="inlineStr">
        <is>
          <t>Fayssel</t>
        </is>
      </c>
      <c r="N350" s="10" t="n"/>
      <c r="O350" s="10" t="n"/>
      <c r="P350" s="10" t="inlineStr">
        <is>
          <t>Quinzaine B</t>
        </is>
      </c>
      <c r="Q350" s="9" t="inlineStr">
        <is>
          <t>Généré (octobre)</t>
        </is>
      </c>
      <c r="R350" s="9" t="inlineStr"/>
      <c r="S350" s="44">
        <f>IF($M350="","",IF(SUMPRODUCT(($D$4:$D$704=$D350)*($M$4:$M$704=$M350)*($F$4:$F$704&lt;$G350)*($G$4:$G$704&gt;$F350))&gt;1,"⚠ CONFLIT",""))</f>
        <v/>
      </c>
      <c r="T350" s="44">
        <f>IF($J350="","",IF(SUMPRODUCT(($D$4:$D$704=$D350)*($J$4:$J$704=$J350)*($F$4:$F$704&lt;$G350)*($G$4:$G$704&gt;$F350))&gt;1,"⚠ CONFLIT",""))</f>
        <v/>
      </c>
      <c r="U350" s="44">
        <f>IF(COUNTIFS($D$4:$D$704,$D350,$J$4:$J$704,$J350,$F$4:$F$704,$F350,$K$4:$K$704,$K350)&gt;1,"⚠ DOUBLON","")</f>
        <v/>
      </c>
      <c r="V350" s="44">
        <f>COUNTIFS($A$4:$A350,$A350,$J$4:$J350,$J350,$E$4:$E350,$E350)</f>
        <v/>
      </c>
      <c r="W350" s="45">
        <f>$A350&amp;"|"&amp;$J350&amp;"|"&amp;$E350&amp;"|"&amp;$V350</f>
        <v/>
      </c>
      <c r="X350" s="46">
        <f>TEXT($F350,"hh:mm")&amp;" - "&amp;TEXT($G350,"hh:mm")&amp;IF($P350="Quinzaine A","   ◆ Q-A",IF($P350="Quinzaine B","   ◆ Q-B",IF($P350="Exception","   ◆ PONCTUEL","")))&amp;CHAR(10)&amp;$K350&amp;CHAR(10)&amp;$M350&amp;IF($N350&lt;&gt;"",CHAR(10)&amp;"Salle "&amp;$N350,"")&amp;IF($O350="En ligne",CHAR(10)&amp;"◆ EN LIGNE","")&amp;IF($R350&lt;&gt;"",CHAR(10)&amp;$R350,"")</f>
        <v/>
      </c>
      <c r="Y350" s="45" t="inlineStr"/>
      <c r="Z350" s="45" t="inlineStr">
        <is>
          <t>— généré —</t>
        </is>
      </c>
    </row>
    <row r="351" ht="15" customHeight="1">
      <c r="A351" s="10" t="inlineStr">
        <is>
          <t>S4</t>
        </is>
      </c>
      <c r="B351" s="9" t="inlineStr">
        <is>
          <t>du 5 au 11 octobre 2026</t>
        </is>
      </c>
      <c r="C351" s="10" t="inlineStr">
        <is>
          <t>B</t>
        </is>
      </c>
      <c r="D351" s="41" t="n">
        <v>46303</v>
      </c>
      <c r="E351" s="10" t="inlineStr">
        <is>
          <t>Jeudi</t>
        </is>
      </c>
      <c r="F351" s="42" t="n">
        <v>0.8125</v>
      </c>
      <c r="G351" s="42" t="n">
        <v>0.875</v>
      </c>
      <c r="H351" s="43">
        <f>IF(OR($F351="",$G351=""),"",($G351-$F351)*24)</f>
        <v/>
      </c>
      <c r="I351" s="10" t="inlineStr">
        <is>
          <t>Bac</t>
        </is>
      </c>
      <c r="J351" s="9" t="inlineStr">
        <is>
          <t>Bac Eco</t>
        </is>
      </c>
      <c r="K351" s="9" t="inlineStr">
        <is>
          <t>Arabe</t>
        </is>
      </c>
      <c r="L351" s="9" t="inlineStr">
        <is>
          <t>Arabe</t>
        </is>
      </c>
      <c r="M351" s="9" t="inlineStr">
        <is>
          <t>Najet</t>
        </is>
      </c>
      <c r="N351" s="10" t="n"/>
      <c r="O351" s="10" t="n"/>
      <c r="P351" s="10" t="inlineStr">
        <is>
          <t>Quinzaine B</t>
        </is>
      </c>
      <c r="Q351" s="9" t="inlineStr">
        <is>
          <t>Généré (octobre)</t>
        </is>
      </c>
      <c r="R351" s="9" t="inlineStr"/>
      <c r="S351" s="44">
        <f>IF($M351="","",IF(SUMPRODUCT(($D$4:$D$704=$D351)*($M$4:$M$704=$M351)*($F$4:$F$704&lt;$G351)*($G$4:$G$704&gt;$F351))&gt;1,"⚠ CONFLIT",""))</f>
        <v/>
      </c>
      <c r="T351" s="44">
        <f>IF($J351="","",IF(SUMPRODUCT(($D$4:$D$704=$D351)*($J$4:$J$704=$J351)*($F$4:$F$704&lt;$G351)*($G$4:$G$704&gt;$F351))&gt;1,"⚠ CONFLIT",""))</f>
        <v/>
      </c>
      <c r="U351" s="44">
        <f>IF(COUNTIFS($D$4:$D$704,$D351,$J$4:$J$704,$J351,$F$4:$F$704,$F351,$K$4:$K$704,$K351)&gt;1,"⚠ DOUBLON","")</f>
        <v/>
      </c>
      <c r="V351" s="44">
        <f>COUNTIFS($A$4:$A351,$A351,$J$4:$J351,$J351,$E$4:$E351,$E351)</f>
        <v/>
      </c>
      <c r="W351" s="45">
        <f>$A351&amp;"|"&amp;$J351&amp;"|"&amp;$E351&amp;"|"&amp;$V351</f>
        <v/>
      </c>
      <c r="X351" s="46">
        <f>TEXT($F351,"hh:mm")&amp;" - "&amp;TEXT($G351,"hh:mm")&amp;IF($P351="Quinzaine A","   ◆ Q-A",IF($P351="Quinzaine B","   ◆ Q-B",IF($P351="Exception","   ◆ PONCTUEL","")))&amp;CHAR(10)&amp;$K351&amp;CHAR(10)&amp;$M351&amp;IF($N351&lt;&gt;"",CHAR(10)&amp;"Salle "&amp;$N351,"")&amp;IF($O351="En ligne",CHAR(10)&amp;"◆ EN LIGNE","")&amp;IF($R351&lt;&gt;"",CHAR(10)&amp;$R351,"")</f>
        <v/>
      </c>
      <c r="Y351" s="45" t="inlineStr"/>
      <c r="Z351" s="45" t="inlineStr">
        <is>
          <t>— généré —</t>
        </is>
      </c>
    </row>
    <row r="352" ht="15" customHeight="1">
      <c r="A352" s="10" t="inlineStr">
        <is>
          <t>S4</t>
        </is>
      </c>
      <c r="B352" s="9" t="inlineStr">
        <is>
          <t>du 5 au 11 octobre 2026</t>
        </is>
      </c>
      <c r="C352" s="10" t="inlineStr">
        <is>
          <t>B</t>
        </is>
      </c>
      <c r="D352" s="41" t="n">
        <v>46304</v>
      </c>
      <c r="E352" s="10" t="inlineStr">
        <is>
          <t>Vendredi</t>
        </is>
      </c>
      <c r="F352" s="42" t="n">
        <v>0.7916666666666666</v>
      </c>
      <c r="G352" s="42" t="n">
        <v>0.8541666666666666</v>
      </c>
      <c r="H352" s="43">
        <f>IF(OR($F352="",$G352=""),"",($G352-$F352)*24)</f>
        <v/>
      </c>
      <c r="I352" s="10" t="inlineStr">
        <is>
          <t>Primaire</t>
        </is>
      </c>
      <c r="J352" s="9" t="inlineStr">
        <is>
          <t>5éme</t>
        </is>
      </c>
      <c r="K352" s="9" t="inlineStr">
        <is>
          <t>إيقاظ علمي</t>
        </is>
      </c>
      <c r="L352" s="9" t="inlineStr">
        <is>
          <t>Éveil scientifique</t>
        </is>
      </c>
      <c r="M352" s="9" t="inlineStr">
        <is>
          <t>Bassma</t>
        </is>
      </c>
      <c r="N352" s="10" t="n"/>
      <c r="O352" s="10" t="n"/>
      <c r="P352" s="10" t="inlineStr">
        <is>
          <t>Quinzaine B</t>
        </is>
      </c>
      <c r="Q352" s="9" t="inlineStr">
        <is>
          <t>Généré (octobre)</t>
        </is>
      </c>
      <c r="R352" s="9" t="inlineStr"/>
      <c r="S352" s="44">
        <f>IF($M352="","",IF(SUMPRODUCT(($D$4:$D$704=$D352)*($M$4:$M$704=$M352)*($F$4:$F$704&lt;$G352)*($G$4:$G$704&gt;$F352))&gt;1,"⚠ CONFLIT",""))</f>
        <v/>
      </c>
      <c r="T352" s="44">
        <f>IF($J352="","",IF(SUMPRODUCT(($D$4:$D$704=$D352)*($J$4:$J$704=$J352)*($F$4:$F$704&lt;$G352)*($G$4:$G$704&gt;$F352))&gt;1,"⚠ CONFLIT",""))</f>
        <v/>
      </c>
      <c r="U352" s="44">
        <f>IF(COUNTIFS($D$4:$D$704,$D352,$J$4:$J$704,$J352,$F$4:$F$704,$F352,$K$4:$K$704,$K352)&gt;1,"⚠ DOUBLON","")</f>
        <v/>
      </c>
      <c r="V352" s="44">
        <f>COUNTIFS($A$4:$A352,$A352,$J$4:$J352,$J352,$E$4:$E352,$E352)</f>
        <v/>
      </c>
      <c r="W352" s="45">
        <f>$A352&amp;"|"&amp;$J352&amp;"|"&amp;$E352&amp;"|"&amp;$V352</f>
        <v/>
      </c>
      <c r="X352" s="46">
        <f>TEXT($F352,"hh:mm")&amp;" - "&amp;TEXT($G352,"hh:mm")&amp;IF($P352="Quinzaine A","   ◆ Q-A",IF($P352="Quinzaine B","   ◆ Q-B",IF($P352="Exception","   ◆ PONCTUEL","")))&amp;CHAR(10)&amp;$K352&amp;CHAR(10)&amp;$M352&amp;IF($N352&lt;&gt;"",CHAR(10)&amp;"Salle "&amp;$N352,"")&amp;IF($O352="En ligne",CHAR(10)&amp;"◆ EN LIGNE","")&amp;IF($R352&lt;&gt;"",CHAR(10)&amp;$R352,"")</f>
        <v/>
      </c>
      <c r="Y352" s="45" t="inlineStr"/>
      <c r="Z352" s="45" t="inlineStr">
        <is>
          <t>— généré —</t>
        </is>
      </c>
    </row>
    <row r="353" ht="15" customHeight="1">
      <c r="A353" s="10" t="inlineStr">
        <is>
          <t>S4</t>
        </is>
      </c>
      <c r="B353" s="9" t="inlineStr">
        <is>
          <t>du 5 au 11 octobre 2026</t>
        </is>
      </c>
      <c r="C353" s="10" t="inlineStr">
        <is>
          <t>B</t>
        </is>
      </c>
      <c r="D353" s="41" t="n">
        <v>46304</v>
      </c>
      <c r="E353" s="10" t="inlineStr">
        <is>
          <t>Vendredi</t>
        </is>
      </c>
      <c r="F353" s="42" t="n">
        <v>0.8125</v>
      </c>
      <c r="G353" s="42" t="n">
        <v>0.875</v>
      </c>
      <c r="H353" s="43">
        <f>IF(OR($F353="",$G353=""),"",($G353-$F353)*24)</f>
        <v/>
      </c>
      <c r="I353" s="10" t="inlineStr">
        <is>
          <t>Primaire</t>
        </is>
      </c>
      <c r="J353" s="9" t="inlineStr">
        <is>
          <t>6éme Pilote (A)</t>
        </is>
      </c>
      <c r="K353" s="9" t="inlineStr">
        <is>
          <t>إيقاظ علمي</t>
        </is>
      </c>
      <c r="L353" s="9" t="inlineStr">
        <is>
          <t>Éveil scientifique</t>
        </is>
      </c>
      <c r="M353" s="9" t="inlineStr">
        <is>
          <t>Noura</t>
        </is>
      </c>
      <c r="N353" s="10" t="n"/>
      <c r="O353" s="10" t="n"/>
      <c r="P353" s="10" t="inlineStr">
        <is>
          <t>Hebdomadaire</t>
        </is>
      </c>
      <c r="Q353" s="9" t="inlineStr">
        <is>
          <t>Généré (octobre)</t>
        </is>
      </c>
      <c r="R353" s="9" t="inlineStr"/>
      <c r="S353" s="44">
        <f>IF($M353="","",IF(SUMPRODUCT(($D$4:$D$704=$D353)*($M$4:$M$704=$M353)*($F$4:$F$704&lt;$G353)*($G$4:$G$704&gt;$F353))&gt;1,"⚠ CONFLIT",""))</f>
        <v/>
      </c>
      <c r="T353" s="44">
        <f>IF($J353="","",IF(SUMPRODUCT(($D$4:$D$704=$D353)*($J$4:$J$704=$J353)*($F$4:$F$704&lt;$G353)*($G$4:$G$704&gt;$F353))&gt;1,"⚠ CONFLIT",""))</f>
        <v/>
      </c>
      <c r="U353" s="44">
        <f>IF(COUNTIFS($D$4:$D$704,$D353,$J$4:$J$704,$J353,$F$4:$F$704,$F353,$K$4:$K$704,$K353)&gt;1,"⚠ DOUBLON","")</f>
        <v/>
      </c>
      <c r="V353" s="44">
        <f>COUNTIFS($A$4:$A353,$A353,$J$4:$J353,$J353,$E$4:$E353,$E353)</f>
        <v/>
      </c>
      <c r="W353" s="45">
        <f>$A353&amp;"|"&amp;$J353&amp;"|"&amp;$E353&amp;"|"&amp;$V353</f>
        <v/>
      </c>
      <c r="X353" s="46">
        <f>TEXT($F353,"hh:mm")&amp;" - "&amp;TEXT($G353,"hh:mm")&amp;IF($P353="Quinzaine A","   ◆ Q-A",IF($P353="Quinzaine B","   ◆ Q-B",IF($P353="Exception","   ◆ PONCTUEL","")))&amp;CHAR(10)&amp;$K353&amp;CHAR(10)&amp;$M353&amp;IF($N353&lt;&gt;"",CHAR(10)&amp;"Salle "&amp;$N353,"")&amp;IF($O353="En ligne",CHAR(10)&amp;"◆ EN LIGNE","")&amp;IF($R353&lt;&gt;"",CHAR(10)&amp;$R353,"")</f>
        <v/>
      </c>
      <c r="Y353" s="45" t="inlineStr"/>
      <c r="Z353" s="45" t="inlineStr">
        <is>
          <t>— généré —</t>
        </is>
      </c>
    </row>
    <row r="354" ht="15" customHeight="1">
      <c r="A354" s="10" t="inlineStr">
        <is>
          <t>S4</t>
        </is>
      </c>
      <c r="B354" s="9" t="inlineStr">
        <is>
          <t>du 5 au 11 octobre 2026</t>
        </is>
      </c>
      <c r="C354" s="10" t="inlineStr">
        <is>
          <t>B</t>
        </is>
      </c>
      <c r="D354" s="41" t="n">
        <v>46304</v>
      </c>
      <c r="E354" s="10" t="inlineStr">
        <is>
          <t>Vendredi</t>
        </is>
      </c>
      <c r="F354" s="42" t="n">
        <v>0.75</v>
      </c>
      <c r="G354" s="42" t="n">
        <v>0.8125</v>
      </c>
      <c r="H354" s="43">
        <f>IF(OR($F354="",$G354=""),"",($G354-$F354)*24)</f>
        <v/>
      </c>
      <c r="I354" s="10" t="inlineStr">
        <is>
          <t>Collège</t>
        </is>
      </c>
      <c r="J354" s="9" t="inlineStr">
        <is>
          <t>7éme (A)</t>
        </is>
      </c>
      <c r="K354" s="9" t="inlineStr">
        <is>
          <t>Math</t>
        </is>
      </c>
      <c r="L354" s="9" t="inlineStr">
        <is>
          <t>Math</t>
        </is>
      </c>
      <c r="M354" s="9" t="inlineStr">
        <is>
          <t>Khouloud</t>
        </is>
      </c>
      <c r="N354" s="10" t="n"/>
      <c r="O354" s="10" t="n"/>
      <c r="P354" s="10" t="inlineStr">
        <is>
          <t>Hebdomadaire</t>
        </is>
      </c>
      <c r="Q354" s="9" t="inlineStr">
        <is>
          <t>Généré (octobre)</t>
        </is>
      </c>
      <c r="R354" s="9" t="inlineStr"/>
      <c r="S354" s="44">
        <f>IF($M354="","",IF(SUMPRODUCT(($D$4:$D$704=$D354)*($M$4:$M$704=$M354)*($F$4:$F$704&lt;$G354)*($G$4:$G$704&gt;$F354))&gt;1,"⚠ CONFLIT",""))</f>
        <v/>
      </c>
      <c r="T354" s="44">
        <f>IF($J354="","",IF(SUMPRODUCT(($D$4:$D$704=$D354)*($J$4:$J$704=$J354)*($F$4:$F$704&lt;$G354)*($G$4:$G$704&gt;$F354))&gt;1,"⚠ CONFLIT",""))</f>
        <v/>
      </c>
      <c r="U354" s="44">
        <f>IF(COUNTIFS($D$4:$D$704,$D354,$J$4:$J$704,$J354,$F$4:$F$704,$F354,$K$4:$K$704,$K354)&gt;1,"⚠ DOUBLON","")</f>
        <v/>
      </c>
      <c r="V354" s="44">
        <f>COUNTIFS($A$4:$A354,$A354,$J$4:$J354,$J354,$E$4:$E354,$E354)</f>
        <v/>
      </c>
      <c r="W354" s="45">
        <f>$A354&amp;"|"&amp;$J354&amp;"|"&amp;$E354&amp;"|"&amp;$V354</f>
        <v/>
      </c>
      <c r="X354" s="46">
        <f>TEXT($F354,"hh:mm")&amp;" - "&amp;TEXT($G354,"hh:mm")&amp;IF($P354="Quinzaine A","   ◆ Q-A",IF($P354="Quinzaine B","   ◆ Q-B",IF($P354="Exception","   ◆ PONCTUEL","")))&amp;CHAR(10)&amp;$K354&amp;CHAR(10)&amp;$M354&amp;IF($N354&lt;&gt;"",CHAR(10)&amp;"Salle "&amp;$N354,"")&amp;IF($O354="En ligne",CHAR(10)&amp;"◆ EN LIGNE","")&amp;IF($R354&lt;&gt;"",CHAR(10)&amp;$R354,"")</f>
        <v/>
      </c>
      <c r="Y354" s="45" t="inlineStr"/>
      <c r="Z354" s="45" t="inlineStr">
        <is>
          <t>— généré —</t>
        </is>
      </c>
    </row>
    <row r="355" ht="15" customHeight="1">
      <c r="A355" s="10" t="inlineStr">
        <is>
          <t>S4</t>
        </is>
      </c>
      <c r="B355" s="9" t="inlineStr">
        <is>
          <t>du 5 au 11 octobre 2026</t>
        </is>
      </c>
      <c r="C355" s="10" t="inlineStr">
        <is>
          <t>B</t>
        </is>
      </c>
      <c r="D355" s="41" t="n">
        <v>46304</v>
      </c>
      <c r="E355" s="10" t="inlineStr">
        <is>
          <t>Vendredi</t>
        </is>
      </c>
      <c r="F355" s="42" t="n">
        <v>0.8125</v>
      </c>
      <c r="G355" s="42" t="n">
        <v>0.875</v>
      </c>
      <c r="H355" s="43">
        <f>IF(OR($F355="",$G355=""),"",($G355-$F355)*24)</f>
        <v/>
      </c>
      <c r="I355" s="10" t="inlineStr">
        <is>
          <t>Collège</t>
        </is>
      </c>
      <c r="J355" s="9" t="inlineStr">
        <is>
          <t>7éme (B)</t>
        </is>
      </c>
      <c r="K355" s="9" t="inlineStr">
        <is>
          <t>Math</t>
        </is>
      </c>
      <c r="L355" s="9" t="inlineStr">
        <is>
          <t>Math</t>
        </is>
      </c>
      <c r="M355" s="9" t="inlineStr">
        <is>
          <t>Khouloud</t>
        </is>
      </c>
      <c r="N355" s="10" t="n"/>
      <c r="O355" s="10" t="n"/>
      <c r="P355" s="10" t="inlineStr">
        <is>
          <t>Hebdomadaire</t>
        </is>
      </c>
      <c r="Q355" s="9" t="inlineStr">
        <is>
          <t>Généré (octobre)</t>
        </is>
      </c>
      <c r="R355" s="9" t="inlineStr"/>
      <c r="S355" s="44">
        <f>IF($M355="","",IF(SUMPRODUCT(($D$4:$D$704=$D355)*($M$4:$M$704=$M355)*($F$4:$F$704&lt;$G355)*($G$4:$G$704&gt;$F355))&gt;1,"⚠ CONFLIT",""))</f>
        <v/>
      </c>
      <c r="T355" s="44">
        <f>IF($J355="","",IF(SUMPRODUCT(($D$4:$D$704=$D355)*($J$4:$J$704=$J355)*($F$4:$F$704&lt;$G355)*($G$4:$G$704&gt;$F355))&gt;1,"⚠ CONFLIT",""))</f>
        <v/>
      </c>
      <c r="U355" s="44">
        <f>IF(COUNTIFS($D$4:$D$704,$D355,$J$4:$J$704,$J355,$F$4:$F$704,$F355,$K$4:$K$704,$K355)&gt;1,"⚠ DOUBLON","")</f>
        <v/>
      </c>
      <c r="V355" s="44">
        <f>COUNTIFS($A$4:$A355,$A355,$J$4:$J355,$J355,$E$4:$E355,$E355)</f>
        <v/>
      </c>
      <c r="W355" s="45">
        <f>$A355&amp;"|"&amp;$J355&amp;"|"&amp;$E355&amp;"|"&amp;$V355</f>
        <v/>
      </c>
      <c r="X355" s="46">
        <f>TEXT($F355,"hh:mm")&amp;" - "&amp;TEXT($G355,"hh:mm")&amp;IF($P355="Quinzaine A","   ◆ Q-A",IF($P355="Quinzaine B","   ◆ Q-B",IF($P355="Exception","   ◆ PONCTUEL","")))&amp;CHAR(10)&amp;$K355&amp;CHAR(10)&amp;$M355&amp;IF($N355&lt;&gt;"",CHAR(10)&amp;"Salle "&amp;$N355,"")&amp;IF($O355="En ligne",CHAR(10)&amp;"◆ EN LIGNE","")&amp;IF($R355&lt;&gt;"",CHAR(10)&amp;$R355,"")</f>
        <v/>
      </c>
      <c r="Y355" s="45" t="inlineStr"/>
      <c r="Z355" s="45" t="inlineStr">
        <is>
          <t>— généré —</t>
        </is>
      </c>
    </row>
    <row r="356" ht="15" customHeight="1">
      <c r="A356" s="10" t="inlineStr">
        <is>
          <t>S4</t>
        </is>
      </c>
      <c r="B356" s="9" t="inlineStr">
        <is>
          <t>du 5 au 11 octobre 2026</t>
        </is>
      </c>
      <c r="C356" s="10" t="inlineStr">
        <is>
          <t>B</t>
        </is>
      </c>
      <c r="D356" s="41" t="n">
        <v>46304</v>
      </c>
      <c r="E356" s="10" t="inlineStr">
        <is>
          <t>Vendredi</t>
        </is>
      </c>
      <c r="F356" s="42" t="n">
        <v>0.8125</v>
      </c>
      <c r="G356" s="42" t="n">
        <v>0.875</v>
      </c>
      <c r="H356" s="43">
        <f>IF(OR($F356="",$G356=""),"",($G356-$F356)*24)</f>
        <v/>
      </c>
      <c r="I356" s="10" t="inlineStr">
        <is>
          <t>Collège</t>
        </is>
      </c>
      <c r="J356" s="9" t="inlineStr">
        <is>
          <t>8éme (A)</t>
        </is>
      </c>
      <c r="K356" s="9" t="inlineStr">
        <is>
          <t>فيزياء</t>
        </is>
      </c>
      <c r="L356" s="9" t="inlineStr">
        <is>
          <t>Physique</t>
        </is>
      </c>
      <c r="M356" s="9" t="inlineStr">
        <is>
          <t>Melek</t>
        </is>
      </c>
      <c r="N356" s="10" t="n"/>
      <c r="O356" s="10" t="n"/>
      <c r="P356" s="10" t="inlineStr">
        <is>
          <t>Hebdomadaire</t>
        </is>
      </c>
      <c r="Q356" s="9" t="inlineStr">
        <is>
          <t>Généré (octobre)</t>
        </is>
      </c>
      <c r="R356" s="9" t="inlineStr"/>
      <c r="S356" s="44">
        <f>IF($M356="","",IF(SUMPRODUCT(($D$4:$D$704=$D356)*($M$4:$M$704=$M356)*($F$4:$F$704&lt;$G356)*($G$4:$G$704&gt;$F356))&gt;1,"⚠ CONFLIT",""))</f>
        <v/>
      </c>
      <c r="T356" s="44">
        <f>IF($J356="","",IF(SUMPRODUCT(($D$4:$D$704=$D356)*($J$4:$J$704=$J356)*($F$4:$F$704&lt;$G356)*($G$4:$G$704&gt;$F356))&gt;1,"⚠ CONFLIT",""))</f>
        <v/>
      </c>
      <c r="U356" s="44">
        <f>IF(COUNTIFS($D$4:$D$704,$D356,$J$4:$J$704,$J356,$F$4:$F$704,$F356,$K$4:$K$704,$K356)&gt;1,"⚠ DOUBLON","")</f>
        <v/>
      </c>
      <c r="V356" s="44">
        <f>COUNTIFS($A$4:$A356,$A356,$J$4:$J356,$J356,$E$4:$E356,$E356)</f>
        <v/>
      </c>
      <c r="W356" s="45">
        <f>$A356&amp;"|"&amp;$J356&amp;"|"&amp;$E356&amp;"|"&amp;$V356</f>
        <v/>
      </c>
      <c r="X356" s="46">
        <f>TEXT($F356,"hh:mm")&amp;" - "&amp;TEXT($G356,"hh:mm")&amp;IF($P356="Quinzaine A","   ◆ Q-A",IF($P356="Quinzaine B","   ◆ Q-B",IF($P356="Exception","   ◆ PONCTUEL","")))&amp;CHAR(10)&amp;$K356&amp;CHAR(10)&amp;$M356&amp;IF($N356&lt;&gt;"",CHAR(10)&amp;"Salle "&amp;$N356,"")&amp;IF($O356="En ligne",CHAR(10)&amp;"◆ EN LIGNE","")&amp;IF($R356&lt;&gt;"",CHAR(10)&amp;$R356,"")</f>
        <v/>
      </c>
      <c r="Y356" s="45" t="inlineStr"/>
      <c r="Z356" s="45" t="inlineStr">
        <is>
          <t>— généré —</t>
        </is>
      </c>
    </row>
    <row r="357" ht="15" customHeight="1">
      <c r="A357" s="10" t="inlineStr">
        <is>
          <t>S4</t>
        </is>
      </c>
      <c r="B357" s="9" t="inlineStr">
        <is>
          <t>du 5 au 11 octobre 2026</t>
        </is>
      </c>
      <c r="C357" s="10" t="inlineStr">
        <is>
          <t>B</t>
        </is>
      </c>
      <c r="D357" s="41" t="n">
        <v>46304</v>
      </c>
      <c r="E357" s="10" t="inlineStr">
        <is>
          <t>Vendredi</t>
        </is>
      </c>
      <c r="F357" s="42" t="n">
        <v>0.8125</v>
      </c>
      <c r="G357" s="42" t="n">
        <v>0.875</v>
      </c>
      <c r="H357" s="43">
        <f>IF(OR($F357="",$G357=""),"",($G357-$F357)*24)</f>
        <v/>
      </c>
      <c r="I357" s="10" t="inlineStr">
        <is>
          <t>Collège</t>
        </is>
      </c>
      <c r="J357" s="9" t="inlineStr">
        <is>
          <t>9éme (C)</t>
        </is>
      </c>
      <c r="K357" s="9" t="inlineStr">
        <is>
          <t>Arabe</t>
        </is>
      </c>
      <c r="L357" s="9" t="inlineStr">
        <is>
          <t>Arabe</t>
        </is>
      </c>
      <c r="M357" s="9" t="inlineStr">
        <is>
          <t>Yahya</t>
        </is>
      </c>
      <c r="N357" s="10" t="n"/>
      <c r="O357" s="10" t="n"/>
      <c r="P357" s="10" t="inlineStr">
        <is>
          <t>Hebdomadaire</t>
        </is>
      </c>
      <c r="Q357" s="9" t="inlineStr">
        <is>
          <t>Généré (octobre)</t>
        </is>
      </c>
      <c r="R357" s="9" t="inlineStr"/>
      <c r="S357" s="44">
        <f>IF($M357="","",IF(SUMPRODUCT(($D$4:$D$704=$D357)*($M$4:$M$704=$M357)*($F$4:$F$704&lt;$G357)*($G$4:$G$704&gt;$F357))&gt;1,"⚠ CONFLIT",""))</f>
        <v/>
      </c>
      <c r="T357" s="44">
        <f>IF($J357="","",IF(SUMPRODUCT(($D$4:$D$704=$D357)*($J$4:$J$704=$J357)*($F$4:$F$704&lt;$G357)*($G$4:$G$704&gt;$F357))&gt;1,"⚠ CONFLIT",""))</f>
        <v/>
      </c>
      <c r="U357" s="44">
        <f>IF(COUNTIFS($D$4:$D$704,$D357,$J$4:$J$704,$J357,$F$4:$F$704,$F357,$K$4:$K$704,$K357)&gt;1,"⚠ DOUBLON","")</f>
        <v/>
      </c>
      <c r="V357" s="44">
        <f>COUNTIFS($A$4:$A357,$A357,$J$4:$J357,$J357,$E$4:$E357,$E357)</f>
        <v/>
      </c>
      <c r="W357" s="45">
        <f>$A357&amp;"|"&amp;$J357&amp;"|"&amp;$E357&amp;"|"&amp;$V357</f>
        <v/>
      </c>
      <c r="X357" s="46">
        <f>TEXT($F357,"hh:mm")&amp;" - "&amp;TEXT($G357,"hh:mm")&amp;IF($P357="Quinzaine A","   ◆ Q-A",IF($P357="Quinzaine B","   ◆ Q-B",IF($P357="Exception","   ◆ PONCTUEL","")))&amp;CHAR(10)&amp;$K357&amp;CHAR(10)&amp;$M357&amp;IF($N357&lt;&gt;"",CHAR(10)&amp;"Salle "&amp;$N357,"")&amp;IF($O357="En ligne",CHAR(10)&amp;"◆ EN LIGNE","")&amp;IF($R357&lt;&gt;"",CHAR(10)&amp;$R357,"")</f>
        <v/>
      </c>
      <c r="Y357" s="45" t="inlineStr"/>
      <c r="Z357" s="45" t="inlineStr">
        <is>
          <t>— généré —</t>
        </is>
      </c>
    </row>
    <row r="358" ht="15" customHeight="1">
      <c r="A358" s="10" t="inlineStr">
        <is>
          <t>S4</t>
        </is>
      </c>
      <c r="B358" s="9" t="inlineStr">
        <is>
          <t>du 5 au 11 octobre 2026</t>
        </is>
      </c>
      <c r="C358" s="10" t="inlineStr">
        <is>
          <t>B</t>
        </is>
      </c>
      <c r="D358" s="41" t="n">
        <v>46304</v>
      </c>
      <c r="E358" s="10" t="inlineStr">
        <is>
          <t>Vendredi</t>
        </is>
      </c>
      <c r="F358" s="42" t="n">
        <v>0.7291666666666666</v>
      </c>
      <c r="G358" s="42" t="n">
        <v>0.7916666666666666</v>
      </c>
      <c r="H358" s="43">
        <f>IF(OR($F358="",$G358=""),"",($G358-$F358)*24)</f>
        <v/>
      </c>
      <c r="I358" s="10" t="inlineStr">
        <is>
          <t>Secondaire</t>
        </is>
      </c>
      <c r="J358" s="9" t="inlineStr">
        <is>
          <t>1ére (A)</t>
        </is>
      </c>
      <c r="K358" s="9" t="inlineStr">
        <is>
          <t>Arabe</t>
        </is>
      </c>
      <c r="L358" s="9" t="inlineStr">
        <is>
          <t>Arabe</t>
        </is>
      </c>
      <c r="M358" s="9" t="inlineStr">
        <is>
          <t>Najet</t>
        </is>
      </c>
      <c r="N358" s="10" t="n"/>
      <c r="O358" s="10" t="n"/>
      <c r="P358" s="10" t="inlineStr">
        <is>
          <t>Hebdomadaire</t>
        </is>
      </c>
      <c r="Q358" s="9" t="inlineStr">
        <is>
          <t>Généré (octobre)</t>
        </is>
      </c>
      <c r="R358" s="9" t="inlineStr"/>
      <c r="S358" s="44">
        <f>IF($M358="","",IF(SUMPRODUCT(($D$4:$D$704=$D358)*($M$4:$M$704=$M358)*($F$4:$F$704&lt;$G358)*($G$4:$G$704&gt;$F358))&gt;1,"⚠ CONFLIT",""))</f>
        <v/>
      </c>
      <c r="T358" s="44">
        <f>IF($J358="","",IF(SUMPRODUCT(($D$4:$D$704=$D358)*($J$4:$J$704=$J358)*($F$4:$F$704&lt;$G358)*($G$4:$G$704&gt;$F358))&gt;1,"⚠ CONFLIT",""))</f>
        <v/>
      </c>
      <c r="U358" s="44">
        <f>IF(COUNTIFS($D$4:$D$704,$D358,$J$4:$J$704,$J358,$F$4:$F$704,$F358,$K$4:$K$704,$K358)&gt;1,"⚠ DOUBLON","")</f>
        <v/>
      </c>
      <c r="V358" s="44">
        <f>COUNTIFS($A$4:$A358,$A358,$J$4:$J358,$J358,$E$4:$E358,$E358)</f>
        <v/>
      </c>
      <c r="W358" s="45">
        <f>$A358&amp;"|"&amp;$J358&amp;"|"&amp;$E358&amp;"|"&amp;$V358</f>
        <v/>
      </c>
      <c r="X358" s="46">
        <f>TEXT($F358,"hh:mm")&amp;" - "&amp;TEXT($G358,"hh:mm")&amp;IF($P358="Quinzaine A","   ◆ Q-A",IF($P358="Quinzaine B","   ◆ Q-B",IF($P358="Exception","   ◆ PONCTUEL","")))&amp;CHAR(10)&amp;$K358&amp;CHAR(10)&amp;$M358&amp;IF($N358&lt;&gt;"",CHAR(10)&amp;"Salle "&amp;$N358,"")&amp;IF($O358="En ligne",CHAR(10)&amp;"◆ EN LIGNE","")&amp;IF($R358&lt;&gt;"",CHAR(10)&amp;$R358,"")</f>
        <v/>
      </c>
      <c r="Y358" s="45" t="inlineStr"/>
      <c r="Z358" s="45" t="inlineStr">
        <is>
          <t>— généré —</t>
        </is>
      </c>
    </row>
    <row r="359" ht="15" customHeight="1">
      <c r="A359" s="10" t="inlineStr">
        <is>
          <t>S4</t>
        </is>
      </c>
      <c r="B359" s="9" t="inlineStr">
        <is>
          <t>du 5 au 11 octobre 2026</t>
        </is>
      </c>
      <c r="C359" s="10" t="inlineStr">
        <is>
          <t>B</t>
        </is>
      </c>
      <c r="D359" s="41" t="n">
        <v>46304</v>
      </c>
      <c r="E359" s="10" t="inlineStr">
        <is>
          <t>Vendredi</t>
        </is>
      </c>
      <c r="F359" s="42" t="n">
        <v>0.7916666666666666</v>
      </c>
      <c r="G359" s="42" t="n">
        <v>0.8541666666666666</v>
      </c>
      <c r="H359" s="43">
        <f>IF(OR($F359="",$G359=""),"",($G359-$F359)*24)</f>
        <v/>
      </c>
      <c r="I359" s="10" t="inlineStr">
        <is>
          <t>Secondaire</t>
        </is>
      </c>
      <c r="J359" s="9" t="inlineStr">
        <is>
          <t>1ére (B)</t>
        </is>
      </c>
      <c r="K359" s="9" t="inlineStr">
        <is>
          <t>Arabe</t>
        </is>
      </c>
      <c r="L359" s="9" t="inlineStr">
        <is>
          <t>Arabe</t>
        </is>
      </c>
      <c r="M359" s="9" t="inlineStr">
        <is>
          <t>Najet</t>
        </is>
      </c>
      <c r="N359" s="10" t="n"/>
      <c r="O359" s="10" t="n"/>
      <c r="P359" s="10" t="inlineStr">
        <is>
          <t>Hebdomadaire</t>
        </is>
      </c>
      <c r="Q359" s="9" t="inlineStr">
        <is>
          <t>Généré (octobre)</t>
        </is>
      </c>
      <c r="R359" s="9" t="inlineStr"/>
      <c r="S359" s="44">
        <f>IF($M359="","",IF(SUMPRODUCT(($D$4:$D$704=$D359)*($M$4:$M$704=$M359)*($F$4:$F$704&lt;$G359)*($G$4:$G$704&gt;$F359))&gt;1,"⚠ CONFLIT",""))</f>
        <v/>
      </c>
      <c r="T359" s="44">
        <f>IF($J359="","",IF(SUMPRODUCT(($D$4:$D$704=$D359)*($J$4:$J$704=$J359)*($F$4:$F$704&lt;$G359)*($G$4:$G$704&gt;$F359))&gt;1,"⚠ CONFLIT",""))</f>
        <v/>
      </c>
      <c r="U359" s="44">
        <f>IF(COUNTIFS($D$4:$D$704,$D359,$J$4:$J$704,$J359,$F$4:$F$704,$F359,$K$4:$K$704,$K359)&gt;1,"⚠ DOUBLON","")</f>
        <v/>
      </c>
      <c r="V359" s="44">
        <f>COUNTIFS($A$4:$A359,$A359,$J$4:$J359,$J359,$E$4:$E359,$E359)</f>
        <v/>
      </c>
      <c r="W359" s="45">
        <f>$A359&amp;"|"&amp;$J359&amp;"|"&amp;$E359&amp;"|"&amp;$V359</f>
        <v/>
      </c>
      <c r="X359" s="46">
        <f>TEXT($F359,"hh:mm")&amp;" - "&amp;TEXT($G359,"hh:mm")&amp;IF($P359="Quinzaine A","   ◆ Q-A",IF($P359="Quinzaine B","   ◆ Q-B",IF($P359="Exception","   ◆ PONCTUEL","")))&amp;CHAR(10)&amp;$K359&amp;CHAR(10)&amp;$M359&amp;IF($N359&lt;&gt;"",CHAR(10)&amp;"Salle "&amp;$N359,"")&amp;IF($O359="En ligne",CHAR(10)&amp;"◆ EN LIGNE","")&amp;IF($R359&lt;&gt;"",CHAR(10)&amp;$R359,"")</f>
        <v/>
      </c>
      <c r="Y359" s="45" t="inlineStr"/>
      <c r="Z359" s="45" t="inlineStr">
        <is>
          <t>— généré —</t>
        </is>
      </c>
    </row>
    <row r="360" ht="15" customHeight="1">
      <c r="A360" s="10" t="inlineStr">
        <is>
          <t>S4</t>
        </is>
      </c>
      <c r="B360" s="9" t="inlineStr">
        <is>
          <t>du 5 au 11 octobre 2026</t>
        </is>
      </c>
      <c r="C360" s="10" t="inlineStr">
        <is>
          <t>B</t>
        </is>
      </c>
      <c r="D360" s="41" t="n">
        <v>46304</v>
      </c>
      <c r="E360" s="10" t="inlineStr">
        <is>
          <t>Vendredi</t>
        </is>
      </c>
      <c r="F360" s="42" t="n">
        <v>0.8125</v>
      </c>
      <c r="G360" s="42" t="n">
        <v>0.875</v>
      </c>
      <c r="H360" s="43">
        <f>IF(OR($F360="",$G360=""),"",($G360-$F360)*24)</f>
        <v/>
      </c>
      <c r="I360" s="10" t="inlineStr">
        <is>
          <t>Secondaire</t>
        </is>
      </c>
      <c r="J360" s="9" t="inlineStr">
        <is>
          <t>2éme INFO</t>
        </is>
      </c>
      <c r="K360" s="9" t="inlineStr">
        <is>
          <t>Math</t>
        </is>
      </c>
      <c r="L360" s="9" t="inlineStr">
        <is>
          <t>Math</t>
        </is>
      </c>
      <c r="M360" s="9" t="inlineStr">
        <is>
          <t>Haythem</t>
        </is>
      </c>
      <c r="N360" s="10" t="n"/>
      <c r="O360" s="10" t="n"/>
      <c r="P360" s="10" t="inlineStr">
        <is>
          <t>Hebdomadaire</t>
        </is>
      </c>
      <c r="Q360" s="9" t="inlineStr">
        <is>
          <t>Généré (octobre)</t>
        </is>
      </c>
      <c r="R360" s="9" t="inlineStr"/>
      <c r="S360" s="44">
        <f>IF($M360="","",IF(SUMPRODUCT(($D$4:$D$704=$D360)*($M$4:$M$704=$M360)*($F$4:$F$704&lt;$G360)*($G$4:$G$704&gt;$F360))&gt;1,"⚠ CONFLIT",""))</f>
        <v/>
      </c>
      <c r="T360" s="44">
        <f>IF($J360="","",IF(SUMPRODUCT(($D$4:$D$704=$D360)*($J$4:$J$704=$J360)*($F$4:$F$704&lt;$G360)*($G$4:$G$704&gt;$F360))&gt;1,"⚠ CONFLIT",""))</f>
        <v/>
      </c>
      <c r="U360" s="44">
        <f>IF(COUNTIFS($D$4:$D$704,$D360,$J$4:$J$704,$J360,$F$4:$F$704,$F360,$K$4:$K$704,$K360)&gt;1,"⚠ DOUBLON","")</f>
        <v/>
      </c>
      <c r="V360" s="44">
        <f>COUNTIFS($A$4:$A360,$A360,$J$4:$J360,$J360,$E$4:$E360,$E360)</f>
        <v/>
      </c>
      <c r="W360" s="45">
        <f>$A360&amp;"|"&amp;$J360&amp;"|"&amp;$E360&amp;"|"&amp;$V360</f>
        <v/>
      </c>
      <c r="X360" s="46">
        <f>TEXT($F360,"hh:mm")&amp;" - "&amp;TEXT($G360,"hh:mm")&amp;IF($P360="Quinzaine A","   ◆ Q-A",IF($P360="Quinzaine B","   ◆ Q-B",IF($P360="Exception","   ◆ PONCTUEL","")))&amp;CHAR(10)&amp;$K360&amp;CHAR(10)&amp;$M360&amp;IF($N360&lt;&gt;"",CHAR(10)&amp;"Salle "&amp;$N360,"")&amp;IF($O360="En ligne",CHAR(10)&amp;"◆ EN LIGNE","")&amp;IF($R360&lt;&gt;"",CHAR(10)&amp;$R360,"")</f>
        <v/>
      </c>
      <c r="Y360" s="45" t="inlineStr"/>
      <c r="Z360" s="45" t="inlineStr">
        <is>
          <t>— généré —</t>
        </is>
      </c>
    </row>
    <row r="361" ht="15" customHeight="1">
      <c r="A361" s="10" t="inlineStr">
        <is>
          <t>S4</t>
        </is>
      </c>
      <c r="B361" s="9" t="inlineStr">
        <is>
          <t>du 5 au 11 octobre 2026</t>
        </is>
      </c>
      <c r="C361" s="10" t="inlineStr">
        <is>
          <t>B</t>
        </is>
      </c>
      <c r="D361" s="41" t="n">
        <v>46304</v>
      </c>
      <c r="E361" s="10" t="inlineStr">
        <is>
          <t>Vendredi</t>
        </is>
      </c>
      <c r="F361" s="42" t="n">
        <v>0.7291666666666666</v>
      </c>
      <c r="G361" s="42" t="n">
        <v>0.7916666666666666</v>
      </c>
      <c r="H361" s="43">
        <f>IF(OR($F361="",$G361=""),"",($G361-$F361)*24)</f>
        <v/>
      </c>
      <c r="I361" s="10" t="inlineStr">
        <is>
          <t>Secondaire</t>
        </is>
      </c>
      <c r="J361" s="9" t="inlineStr">
        <is>
          <t>3éme Eco</t>
        </is>
      </c>
      <c r="K361" s="9" t="inlineStr">
        <is>
          <t>Anglais</t>
        </is>
      </c>
      <c r="L361" s="9" t="inlineStr">
        <is>
          <t>Anglais</t>
        </is>
      </c>
      <c r="M361" s="9" t="inlineStr">
        <is>
          <t>Khaled</t>
        </is>
      </c>
      <c r="N361" s="10" t="n"/>
      <c r="O361" s="10" t="n"/>
      <c r="P361" s="10" t="inlineStr">
        <is>
          <t>Quinzaine B</t>
        </is>
      </c>
      <c r="Q361" s="9" t="inlineStr">
        <is>
          <t>Généré (octobre)</t>
        </is>
      </c>
      <c r="R361" s="9" t="inlineStr"/>
      <c r="S361" s="44">
        <f>IF($M361="","",IF(SUMPRODUCT(($D$4:$D$704=$D361)*($M$4:$M$704=$M361)*($F$4:$F$704&lt;$G361)*($G$4:$G$704&gt;$F361))&gt;1,"⚠ CONFLIT",""))</f>
        <v/>
      </c>
      <c r="T361" s="44">
        <f>IF($J361="","",IF(SUMPRODUCT(($D$4:$D$704=$D361)*($J$4:$J$704=$J361)*($F$4:$F$704&lt;$G361)*($G$4:$G$704&gt;$F361))&gt;1,"⚠ CONFLIT",""))</f>
        <v/>
      </c>
      <c r="U361" s="44">
        <f>IF(COUNTIFS($D$4:$D$704,$D361,$J$4:$J$704,$J361,$F$4:$F$704,$F361,$K$4:$K$704,$K361)&gt;1,"⚠ DOUBLON","")</f>
        <v/>
      </c>
      <c r="V361" s="44">
        <f>COUNTIFS($A$4:$A361,$A361,$J$4:$J361,$J361,$E$4:$E361,$E361)</f>
        <v/>
      </c>
      <c r="W361" s="45">
        <f>$A361&amp;"|"&amp;$J361&amp;"|"&amp;$E361&amp;"|"&amp;$V361</f>
        <v/>
      </c>
      <c r="X361" s="46">
        <f>TEXT($F361,"hh:mm")&amp;" - "&amp;TEXT($G361,"hh:mm")&amp;IF($P361="Quinzaine A","   ◆ Q-A",IF($P361="Quinzaine B","   ◆ Q-B",IF($P361="Exception","   ◆ PONCTUEL","")))&amp;CHAR(10)&amp;$K361&amp;CHAR(10)&amp;$M361&amp;IF($N361&lt;&gt;"",CHAR(10)&amp;"Salle "&amp;$N361,"")&amp;IF($O361="En ligne",CHAR(10)&amp;"◆ EN LIGNE","")&amp;IF($R361&lt;&gt;"",CHAR(10)&amp;$R361,"")</f>
        <v/>
      </c>
      <c r="Y361" s="45" t="inlineStr"/>
      <c r="Z361" s="45" t="inlineStr">
        <is>
          <t>— généré —</t>
        </is>
      </c>
    </row>
    <row r="362" ht="15" customHeight="1">
      <c r="A362" s="10" t="inlineStr">
        <is>
          <t>S4</t>
        </is>
      </c>
      <c r="B362" s="9" t="inlineStr">
        <is>
          <t>du 5 au 11 octobre 2026</t>
        </is>
      </c>
      <c r="C362" s="10" t="inlineStr">
        <is>
          <t>B</t>
        </is>
      </c>
      <c r="D362" s="41" t="n">
        <v>46304</v>
      </c>
      <c r="E362" s="10" t="inlineStr">
        <is>
          <t>Vendredi</t>
        </is>
      </c>
      <c r="F362" s="42" t="n">
        <v>0.7291666666666666</v>
      </c>
      <c r="G362" s="42" t="n">
        <v>0.7916666666666666</v>
      </c>
      <c r="H362" s="43">
        <f>IF(OR($F362="",$G362=""),"",($G362-$F362)*24)</f>
        <v/>
      </c>
      <c r="I362" s="10" t="inlineStr">
        <is>
          <t>Bac</t>
        </is>
      </c>
      <c r="J362" s="9" t="inlineStr">
        <is>
          <t>Bac Eco</t>
        </is>
      </c>
      <c r="K362" s="9" t="inlineStr">
        <is>
          <t>Français</t>
        </is>
      </c>
      <c r="L362" s="9" t="inlineStr">
        <is>
          <t>Français</t>
        </is>
      </c>
      <c r="M362" s="9" t="inlineStr">
        <is>
          <t>Nabil</t>
        </is>
      </c>
      <c r="N362" s="10" t="n"/>
      <c r="O362" s="10" t="n"/>
      <c r="P362" s="10" t="inlineStr">
        <is>
          <t>Quinzaine B</t>
        </is>
      </c>
      <c r="Q362" s="9" t="inlineStr">
        <is>
          <t>Généré (octobre)</t>
        </is>
      </c>
      <c r="R362" s="9" t="inlineStr"/>
      <c r="S362" s="44">
        <f>IF($M362="","",IF(SUMPRODUCT(($D$4:$D$704=$D362)*($M$4:$M$704=$M362)*($F$4:$F$704&lt;$G362)*($G$4:$G$704&gt;$F362))&gt;1,"⚠ CONFLIT",""))</f>
        <v/>
      </c>
      <c r="T362" s="44">
        <f>IF($J362="","",IF(SUMPRODUCT(($D$4:$D$704=$D362)*($J$4:$J$704=$J362)*($F$4:$F$704&lt;$G362)*($G$4:$G$704&gt;$F362))&gt;1,"⚠ CONFLIT",""))</f>
        <v/>
      </c>
      <c r="U362" s="44">
        <f>IF(COUNTIFS($D$4:$D$704,$D362,$J$4:$J$704,$J362,$F$4:$F$704,$F362,$K$4:$K$704,$K362)&gt;1,"⚠ DOUBLON","")</f>
        <v/>
      </c>
      <c r="V362" s="44">
        <f>COUNTIFS($A$4:$A362,$A362,$J$4:$J362,$J362,$E$4:$E362,$E362)</f>
        <v/>
      </c>
      <c r="W362" s="45">
        <f>$A362&amp;"|"&amp;$J362&amp;"|"&amp;$E362&amp;"|"&amp;$V362</f>
        <v/>
      </c>
      <c r="X362" s="46">
        <f>TEXT($F362,"hh:mm")&amp;" - "&amp;TEXT($G362,"hh:mm")&amp;IF($P362="Quinzaine A","   ◆ Q-A",IF($P362="Quinzaine B","   ◆ Q-B",IF($P362="Exception","   ◆ PONCTUEL","")))&amp;CHAR(10)&amp;$K362&amp;CHAR(10)&amp;$M362&amp;IF($N362&lt;&gt;"",CHAR(10)&amp;"Salle "&amp;$N362,"")&amp;IF($O362="En ligne",CHAR(10)&amp;"◆ EN LIGNE","")&amp;IF($R362&lt;&gt;"",CHAR(10)&amp;$R362,"")</f>
        <v/>
      </c>
      <c r="Y362" s="45" t="inlineStr"/>
      <c r="Z362" s="45" t="inlineStr">
        <is>
          <t>— généré —</t>
        </is>
      </c>
    </row>
    <row r="363" ht="15" customHeight="1">
      <c r="A363" s="10" t="inlineStr">
        <is>
          <t>S4</t>
        </is>
      </c>
      <c r="B363" s="9" t="inlineStr">
        <is>
          <t>du 5 au 11 octobre 2026</t>
        </is>
      </c>
      <c r="C363" s="10" t="inlineStr">
        <is>
          <t>B</t>
        </is>
      </c>
      <c r="D363" s="41" t="n">
        <v>46305</v>
      </c>
      <c r="E363" s="10" t="inlineStr">
        <is>
          <t>Samedi</t>
        </is>
      </c>
      <c r="F363" s="42" t="n">
        <v>0.6666666666666666</v>
      </c>
      <c r="G363" s="42" t="n">
        <v>0.7291666666666666</v>
      </c>
      <c r="H363" s="43">
        <f>IF(OR($F363="",$G363=""),"",($G363-$F363)*24)</f>
        <v/>
      </c>
      <c r="I363" s="10" t="inlineStr">
        <is>
          <t>Primaire</t>
        </is>
      </c>
      <c r="J363" s="9" t="inlineStr">
        <is>
          <t>4éme</t>
        </is>
      </c>
      <c r="K363" s="9" t="inlineStr">
        <is>
          <t>Français</t>
        </is>
      </c>
      <c r="L363" s="9" t="inlineStr">
        <is>
          <t>Français</t>
        </is>
      </c>
      <c r="M363" s="9" t="inlineStr">
        <is>
          <t>Hend</t>
        </is>
      </c>
      <c r="N363" s="10" t="n"/>
      <c r="O363" s="10" t="n"/>
      <c r="P363" s="10" t="inlineStr">
        <is>
          <t>Hebdomadaire</t>
        </is>
      </c>
      <c r="Q363" s="9" t="inlineStr">
        <is>
          <t>Généré (octobre)</t>
        </is>
      </c>
      <c r="R363" s="9" t="inlineStr"/>
      <c r="S363" s="44">
        <f>IF($M363="","",IF(SUMPRODUCT(($D$4:$D$704=$D363)*($M$4:$M$704=$M363)*($F$4:$F$704&lt;$G363)*($G$4:$G$704&gt;$F363))&gt;1,"⚠ CONFLIT",""))</f>
        <v/>
      </c>
      <c r="T363" s="44">
        <f>IF($J363="","",IF(SUMPRODUCT(($D$4:$D$704=$D363)*($J$4:$J$704=$J363)*($F$4:$F$704&lt;$G363)*($G$4:$G$704&gt;$F363))&gt;1,"⚠ CONFLIT",""))</f>
        <v/>
      </c>
      <c r="U363" s="44">
        <f>IF(COUNTIFS($D$4:$D$704,$D363,$J$4:$J$704,$J363,$F$4:$F$704,$F363,$K$4:$K$704,$K363)&gt;1,"⚠ DOUBLON","")</f>
        <v/>
      </c>
      <c r="V363" s="44">
        <f>COUNTIFS($A$4:$A363,$A363,$J$4:$J363,$J363,$E$4:$E363,$E363)</f>
        <v/>
      </c>
      <c r="W363" s="45">
        <f>$A363&amp;"|"&amp;$J363&amp;"|"&amp;$E363&amp;"|"&amp;$V363</f>
        <v/>
      </c>
      <c r="X363" s="46">
        <f>TEXT($F363,"hh:mm")&amp;" - "&amp;TEXT($G363,"hh:mm")&amp;IF($P363="Quinzaine A","   ◆ Q-A",IF($P363="Quinzaine B","   ◆ Q-B",IF($P363="Exception","   ◆ PONCTUEL","")))&amp;CHAR(10)&amp;$K363&amp;CHAR(10)&amp;$M363&amp;IF($N363&lt;&gt;"",CHAR(10)&amp;"Salle "&amp;$N363,"")&amp;IF($O363="En ligne",CHAR(10)&amp;"◆ EN LIGNE","")&amp;IF($R363&lt;&gt;"",CHAR(10)&amp;$R363,"")</f>
        <v/>
      </c>
      <c r="Y363" s="45" t="inlineStr"/>
      <c r="Z363" s="45" t="inlineStr">
        <is>
          <t>— généré —</t>
        </is>
      </c>
    </row>
    <row r="364" ht="15" customHeight="1">
      <c r="A364" s="10" t="inlineStr">
        <is>
          <t>S4</t>
        </is>
      </c>
      <c r="B364" s="9" t="inlineStr">
        <is>
          <t>du 5 au 11 octobre 2026</t>
        </is>
      </c>
      <c r="C364" s="10" t="inlineStr">
        <is>
          <t>B</t>
        </is>
      </c>
      <c r="D364" s="41" t="n">
        <v>46305</v>
      </c>
      <c r="E364" s="10" t="inlineStr">
        <is>
          <t>Samedi</t>
        </is>
      </c>
      <c r="F364" s="42" t="n">
        <v>0.75</v>
      </c>
      <c r="G364" s="42" t="n">
        <v>0.8125</v>
      </c>
      <c r="H364" s="43">
        <f>IF(OR($F364="",$G364=""),"",($G364-$F364)*24)</f>
        <v/>
      </c>
      <c r="I364" s="10" t="inlineStr">
        <is>
          <t>Primaire</t>
        </is>
      </c>
      <c r="J364" s="9" t="inlineStr">
        <is>
          <t>5éme</t>
        </is>
      </c>
      <c r="K364" s="9" t="inlineStr">
        <is>
          <t>Français</t>
        </is>
      </c>
      <c r="L364" s="9" t="inlineStr">
        <is>
          <t>Français</t>
        </is>
      </c>
      <c r="M364" s="9" t="inlineStr">
        <is>
          <t>Hend</t>
        </is>
      </c>
      <c r="N364" s="10" t="n"/>
      <c r="O364" s="10" t="n"/>
      <c r="P364" s="10" t="inlineStr">
        <is>
          <t>Hebdomadaire</t>
        </is>
      </c>
      <c r="Q364" s="9" t="inlineStr">
        <is>
          <t>Généré (octobre)</t>
        </is>
      </c>
      <c r="R364" s="9" t="inlineStr"/>
      <c r="S364" s="44">
        <f>IF($M364="","",IF(SUMPRODUCT(($D$4:$D$704=$D364)*($M$4:$M$704=$M364)*($F$4:$F$704&lt;$G364)*($G$4:$G$704&gt;$F364))&gt;1,"⚠ CONFLIT",""))</f>
        <v/>
      </c>
      <c r="T364" s="44">
        <f>IF($J364="","",IF(SUMPRODUCT(($D$4:$D$704=$D364)*($J$4:$J$704=$J364)*($F$4:$F$704&lt;$G364)*($G$4:$G$704&gt;$F364))&gt;1,"⚠ CONFLIT",""))</f>
        <v/>
      </c>
      <c r="U364" s="44">
        <f>IF(COUNTIFS($D$4:$D$704,$D364,$J$4:$J$704,$J364,$F$4:$F$704,$F364,$K$4:$K$704,$K364)&gt;1,"⚠ DOUBLON","")</f>
        <v/>
      </c>
      <c r="V364" s="44">
        <f>COUNTIFS($A$4:$A364,$A364,$J$4:$J364,$J364,$E$4:$E364,$E364)</f>
        <v/>
      </c>
      <c r="W364" s="45">
        <f>$A364&amp;"|"&amp;$J364&amp;"|"&amp;$E364&amp;"|"&amp;$V364</f>
        <v/>
      </c>
      <c r="X364" s="46">
        <f>TEXT($F364,"hh:mm")&amp;" - "&amp;TEXT($G364,"hh:mm")&amp;IF($P364="Quinzaine A","   ◆ Q-A",IF($P364="Quinzaine B","   ◆ Q-B",IF($P364="Exception","   ◆ PONCTUEL","")))&amp;CHAR(10)&amp;$K364&amp;CHAR(10)&amp;$M364&amp;IF($N364&lt;&gt;"",CHAR(10)&amp;"Salle "&amp;$N364,"")&amp;IF($O364="En ligne",CHAR(10)&amp;"◆ EN LIGNE","")&amp;IF($R364&lt;&gt;"",CHAR(10)&amp;$R364,"")</f>
        <v/>
      </c>
      <c r="Y364" s="45" t="inlineStr"/>
      <c r="Z364" s="45" t="inlineStr">
        <is>
          <t>— généré —</t>
        </is>
      </c>
    </row>
    <row r="365" ht="15" customHeight="1">
      <c r="A365" s="10" t="inlineStr">
        <is>
          <t>S4</t>
        </is>
      </c>
      <c r="B365" s="9" t="inlineStr">
        <is>
          <t>du 5 au 11 octobre 2026</t>
        </is>
      </c>
      <c r="C365" s="10" t="inlineStr">
        <is>
          <t>B</t>
        </is>
      </c>
      <c r="D365" s="41" t="n">
        <v>46305</v>
      </c>
      <c r="E365" s="10" t="inlineStr">
        <is>
          <t>Samedi</t>
        </is>
      </c>
      <c r="F365" s="42" t="n">
        <v>0.7916666666666666</v>
      </c>
      <c r="G365" s="42" t="n">
        <v>0.875</v>
      </c>
      <c r="H365" s="43">
        <f>IF(OR($F365="",$G365=""),"",($G365-$F365)*24)</f>
        <v/>
      </c>
      <c r="I365" s="10" t="inlineStr">
        <is>
          <t>Primaire</t>
        </is>
      </c>
      <c r="J365" s="9" t="inlineStr">
        <is>
          <t>6éme Pilote (A)</t>
        </is>
      </c>
      <c r="K365" s="9" t="inlineStr">
        <is>
          <t>عربية</t>
        </is>
      </c>
      <c r="L365" s="9" t="inlineStr">
        <is>
          <t>Arabe</t>
        </is>
      </c>
      <c r="M365" s="9" t="inlineStr">
        <is>
          <t>Lobna</t>
        </is>
      </c>
      <c r="N365" s="10" t="n"/>
      <c r="O365" s="10" t="n"/>
      <c r="P365" s="10" t="inlineStr">
        <is>
          <t>Hebdomadaire</t>
        </is>
      </c>
      <c r="Q365" s="9" t="inlineStr">
        <is>
          <t>Généré (octobre)</t>
        </is>
      </c>
      <c r="R365" s="9" t="inlineStr"/>
      <c r="S365" s="44">
        <f>IF($M365="","",IF(SUMPRODUCT(($D$4:$D$704=$D365)*($M$4:$M$704=$M365)*($F$4:$F$704&lt;$G365)*($G$4:$G$704&gt;$F365))&gt;1,"⚠ CONFLIT",""))</f>
        <v/>
      </c>
      <c r="T365" s="44">
        <f>IF($J365="","",IF(SUMPRODUCT(($D$4:$D$704=$D365)*($J$4:$J$704=$J365)*($F$4:$F$704&lt;$G365)*($G$4:$G$704&gt;$F365))&gt;1,"⚠ CONFLIT",""))</f>
        <v/>
      </c>
      <c r="U365" s="44">
        <f>IF(COUNTIFS($D$4:$D$704,$D365,$J$4:$J$704,$J365,$F$4:$F$704,$F365,$K$4:$K$704,$K365)&gt;1,"⚠ DOUBLON","")</f>
        <v/>
      </c>
      <c r="V365" s="44">
        <f>COUNTIFS($A$4:$A365,$A365,$J$4:$J365,$J365,$E$4:$E365,$E365)</f>
        <v/>
      </c>
      <c r="W365" s="45">
        <f>$A365&amp;"|"&amp;$J365&amp;"|"&amp;$E365&amp;"|"&amp;$V365</f>
        <v/>
      </c>
      <c r="X365" s="46">
        <f>TEXT($F365,"hh:mm")&amp;" - "&amp;TEXT($G365,"hh:mm")&amp;IF($P365="Quinzaine A","   ◆ Q-A",IF($P365="Quinzaine B","   ◆ Q-B",IF($P365="Exception","   ◆ PONCTUEL","")))&amp;CHAR(10)&amp;$K365&amp;CHAR(10)&amp;$M365&amp;IF($N365&lt;&gt;"",CHAR(10)&amp;"Salle "&amp;$N365,"")&amp;IF($O365="En ligne",CHAR(10)&amp;"◆ EN LIGNE","")&amp;IF($R365&lt;&gt;"",CHAR(10)&amp;$R365,"")</f>
        <v/>
      </c>
      <c r="Y365" s="45" t="inlineStr"/>
      <c r="Z365" s="45" t="inlineStr">
        <is>
          <t>— généré —</t>
        </is>
      </c>
    </row>
    <row r="366" ht="15" customHeight="1">
      <c r="A366" s="10" t="inlineStr">
        <is>
          <t>S4</t>
        </is>
      </c>
      <c r="B366" s="9" t="inlineStr">
        <is>
          <t>du 5 au 11 octobre 2026</t>
        </is>
      </c>
      <c r="C366" s="10" t="inlineStr">
        <is>
          <t>B</t>
        </is>
      </c>
      <c r="D366" s="41" t="n">
        <v>46305</v>
      </c>
      <c r="E366" s="10" t="inlineStr">
        <is>
          <t>Samedi</t>
        </is>
      </c>
      <c r="F366" s="42" t="n">
        <v>0.7083333333333334</v>
      </c>
      <c r="G366" s="42" t="n">
        <v>0.7916666666666666</v>
      </c>
      <c r="H366" s="43">
        <f>IF(OR($F366="",$G366=""),"",($G366-$F366)*24)</f>
        <v/>
      </c>
      <c r="I366" s="10" t="inlineStr">
        <is>
          <t>Primaire</t>
        </is>
      </c>
      <c r="J366" s="9" t="inlineStr">
        <is>
          <t>6éme (B)</t>
        </is>
      </c>
      <c r="K366" s="9" t="inlineStr">
        <is>
          <t>عربية</t>
        </is>
      </c>
      <c r="L366" s="9" t="inlineStr">
        <is>
          <t>Arabe</t>
        </is>
      </c>
      <c r="M366" s="9" t="inlineStr">
        <is>
          <t>Lobna</t>
        </is>
      </c>
      <c r="N366" s="10" t="n"/>
      <c r="O366" s="10" t="n"/>
      <c r="P366" s="10" t="inlineStr">
        <is>
          <t>Hebdomadaire</t>
        </is>
      </c>
      <c r="Q366" s="9" t="inlineStr">
        <is>
          <t>Généré (octobre)</t>
        </is>
      </c>
      <c r="R366" s="9" t="inlineStr"/>
      <c r="S366" s="44">
        <f>IF($M366="","",IF(SUMPRODUCT(($D$4:$D$704=$D366)*($M$4:$M$704=$M366)*($F$4:$F$704&lt;$G366)*($G$4:$G$704&gt;$F366))&gt;1,"⚠ CONFLIT",""))</f>
        <v/>
      </c>
      <c r="T366" s="44">
        <f>IF($J366="","",IF(SUMPRODUCT(($D$4:$D$704=$D366)*($J$4:$J$704=$J366)*($F$4:$F$704&lt;$G366)*($G$4:$G$704&gt;$F366))&gt;1,"⚠ CONFLIT",""))</f>
        <v/>
      </c>
      <c r="U366" s="44">
        <f>IF(COUNTIFS($D$4:$D$704,$D366,$J$4:$J$704,$J366,$F$4:$F$704,$F366,$K$4:$K$704,$K366)&gt;1,"⚠ DOUBLON","")</f>
        <v/>
      </c>
      <c r="V366" s="44">
        <f>COUNTIFS($A$4:$A366,$A366,$J$4:$J366,$J366,$E$4:$E366,$E366)</f>
        <v/>
      </c>
      <c r="W366" s="45">
        <f>$A366&amp;"|"&amp;$J366&amp;"|"&amp;$E366&amp;"|"&amp;$V366</f>
        <v/>
      </c>
      <c r="X366" s="46">
        <f>TEXT($F366,"hh:mm")&amp;" - "&amp;TEXT($G366,"hh:mm")&amp;IF($P366="Quinzaine A","   ◆ Q-A",IF($P366="Quinzaine B","   ◆ Q-B",IF($P366="Exception","   ◆ PONCTUEL","")))&amp;CHAR(10)&amp;$K366&amp;CHAR(10)&amp;$M366&amp;IF($N366&lt;&gt;"",CHAR(10)&amp;"Salle "&amp;$N366,"")&amp;IF($O366="En ligne",CHAR(10)&amp;"◆ EN LIGNE","")&amp;IF($R366&lt;&gt;"",CHAR(10)&amp;$R366,"")</f>
        <v/>
      </c>
      <c r="Y366" s="45" t="inlineStr"/>
      <c r="Z366" s="45" t="inlineStr">
        <is>
          <t>— généré —</t>
        </is>
      </c>
    </row>
    <row r="367" ht="15" customHeight="1">
      <c r="A367" s="10" t="inlineStr">
        <is>
          <t>S4</t>
        </is>
      </c>
      <c r="B367" s="9" t="inlineStr">
        <is>
          <t>du 5 au 11 octobre 2026</t>
        </is>
      </c>
      <c r="C367" s="10" t="inlineStr">
        <is>
          <t>B</t>
        </is>
      </c>
      <c r="D367" s="41" t="n">
        <v>46305</v>
      </c>
      <c r="E367" s="10" t="inlineStr">
        <is>
          <t>Samedi</t>
        </is>
      </c>
      <c r="F367" s="42" t="n">
        <v>0.75</v>
      </c>
      <c r="G367" s="42" t="n">
        <v>0.8125</v>
      </c>
      <c r="H367" s="43">
        <f>IF(OR($F367="",$G367=""),"",($G367-$F367)*24)</f>
        <v/>
      </c>
      <c r="I367" s="10" t="inlineStr">
        <is>
          <t>Collège</t>
        </is>
      </c>
      <c r="J367" s="9" t="inlineStr">
        <is>
          <t>7éme (A)</t>
        </is>
      </c>
      <c r="K367" s="9" t="inlineStr">
        <is>
          <t>Arabe</t>
        </is>
      </c>
      <c r="L367" s="9" t="inlineStr">
        <is>
          <t>Arabe</t>
        </is>
      </c>
      <c r="M367" s="9" t="inlineStr">
        <is>
          <t>Awatef</t>
        </is>
      </c>
      <c r="N367" s="10" t="n"/>
      <c r="O367" s="10" t="n"/>
      <c r="P367" s="10" t="inlineStr">
        <is>
          <t>Hebdomadaire</t>
        </is>
      </c>
      <c r="Q367" s="9" t="inlineStr">
        <is>
          <t>Généré (octobre)</t>
        </is>
      </c>
      <c r="R367" s="9" t="inlineStr"/>
      <c r="S367" s="44">
        <f>IF($M367="","",IF(SUMPRODUCT(($D$4:$D$704=$D367)*($M$4:$M$704=$M367)*($F$4:$F$704&lt;$G367)*($G$4:$G$704&gt;$F367))&gt;1,"⚠ CONFLIT",""))</f>
        <v/>
      </c>
      <c r="T367" s="44">
        <f>IF($J367="","",IF(SUMPRODUCT(($D$4:$D$704=$D367)*($J$4:$J$704=$J367)*($F$4:$F$704&lt;$G367)*($G$4:$G$704&gt;$F367))&gt;1,"⚠ CONFLIT",""))</f>
        <v/>
      </c>
      <c r="U367" s="44">
        <f>IF(COUNTIFS($D$4:$D$704,$D367,$J$4:$J$704,$J367,$F$4:$F$704,$F367,$K$4:$K$704,$K367)&gt;1,"⚠ DOUBLON","")</f>
        <v/>
      </c>
      <c r="V367" s="44">
        <f>COUNTIFS($A$4:$A367,$A367,$J$4:$J367,$J367,$E$4:$E367,$E367)</f>
        <v/>
      </c>
      <c r="W367" s="45">
        <f>$A367&amp;"|"&amp;$J367&amp;"|"&amp;$E367&amp;"|"&amp;$V367</f>
        <v/>
      </c>
      <c r="X367" s="46">
        <f>TEXT($F367,"hh:mm")&amp;" - "&amp;TEXT($G367,"hh:mm")&amp;IF($P367="Quinzaine A","   ◆ Q-A",IF($P367="Quinzaine B","   ◆ Q-B",IF($P367="Exception","   ◆ PONCTUEL","")))&amp;CHAR(10)&amp;$K367&amp;CHAR(10)&amp;$M367&amp;IF($N367&lt;&gt;"",CHAR(10)&amp;"Salle "&amp;$N367,"")&amp;IF($O367="En ligne",CHAR(10)&amp;"◆ EN LIGNE","")&amp;IF($R367&lt;&gt;"",CHAR(10)&amp;$R367,"")</f>
        <v/>
      </c>
      <c r="Y367" s="45" t="inlineStr"/>
      <c r="Z367" s="45" t="inlineStr">
        <is>
          <t>— généré —</t>
        </is>
      </c>
    </row>
    <row r="368" ht="15" customHeight="1">
      <c r="A368" s="10" t="inlineStr">
        <is>
          <t>S4</t>
        </is>
      </c>
      <c r="B368" s="9" t="inlineStr">
        <is>
          <t>du 5 au 11 octobre 2026</t>
        </is>
      </c>
      <c r="C368" s="10" t="inlineStr">
        <is>
          <t>B</t>
        </is>
      </c>
      <c r="D368" s="41" t="n">
        <v>46305</v>
      </c>
      <c r="E368" s="10" t="inlineStr">
        <is>
          <t>Samedi</t>
        </is>
      </c>
      <c r="F368" s="42" t="n">
        <v>0.6666666666666666</v>
      </c>
      <c r="G368" s="42" t="n">
        <v>0.7291666666666666</v>
      </c>
      <c r="H368" s="43">
        <f>IF(OR($F368="",$G368=""),"",($G368-$F368)*24)</f>
        <v/>
      </c>
      <c r="I368" s="10" t="inlineStr">
        <is>
          <t>Collège</t>
        </is>
      </c>
      <c r="J368" s="9" t="inlineStr">
        <is>
          <t>7éme (B)</t>
        </is>
      </c>
      <c r="K368" s="9" t="inlineStr">
        <is>
          <t>SVT</t>
        </is>
      </c>
      <c r="L368" s="9" t="inlineStr">
        <is>
          <t>SVT</t>
        </is>
      </c>
      <c r="M368" s="9" t="inlineStr">
        <is>
          <t>Sabrine</t>
        </is>
      </c>
      <c r="N368" s="10" t="n"/>
      <c r="O368" s="10" t="n"/>
      <c r="P368" s="10" t="inlineStr">
        <is>
          <t>Quinzaine B</t>
        </is>
      </c>
      <c r="Q368" s="9" t="inlineStr">
        <is>
          <t>Généré (octobre)</t>
        </is>
      </c>
      <c r="R368" s="9" t="inlineStr"/>
      <c r="S368" s="44">
        <f>IF($M368="","",IF(SUMPRODUCT(($D$4:$D$704=$D368)*($M$4:$M$704=$M368)*($F$4:$F$704&lt;$G368)*($G$4:$G$704&gt;$F368))&gt;1,"⚠ CONFLIT",""))</f>
        <v/>
      </c>
      <c r="T368" s="44">
        <f>IF($J368="","",IF(SUMPRODUCT(($D$4:$D$704=$D368)*($J$4:$J$704=$J368)*($F$4:$F$704&lt;$G368)*($G$4:$G$704&gt;$F368))&gt;1,"⚠ CONFLIT",""))</f>
        <v/>
      </c>
      <c r="U368" s="44">
        <f>IF(COUNTIFS($D$4:$D$704,$D368,$J$4:$J$704,$J368,$F$4:$F$704,$F368,$K$4:$K$704,$K368)&gt;1,"⚠ DOUBLON","")</f>
        <v/>
      </c>
      <c r="V368" s="44">
        <f>COUNTIFS($A$4:$A368,$A368,$J$4:$J368,$J368,$E$4:$E368,$E368)</f>
        <v/>
      </c>
      <c r="W368" s="45">
        <f>$A368&amp;"|"&amp;$J368&amp;"|"&amp;$E368&amp;"|"&amp;$V368</f>
        <v/>
      </c>
      <c r="X368" s="46">
        <f>TEXT($F368,"hh:mm")&amp;" - "&amp;TEXT($G368,"hh:mm")&amp;IF($P368="Quinzaine A","   ◆ Q-A",IF($P368="Quinzaine B","   ◆ Q-B",IF($P368="Exception","   ◆ PONCTUEL","")))&amp;CHAR(10)&amp;$K368&amp;CHAR(10)&amp;$M368&amp;IF($N368&lt;&gt;"",CHAR(10)&amp;"Salle "&amp;$N368,"")&amp;IF($O368="En ligne",CHAR(10)&amp;"◆ EN LIGNE","")&amp;IF($R368&lt;&gt;"",CHAR(10)&amp;$R368,"")</f>
        <v/>
      </c>
      <c r="Y368" s="45" t="inlineStr"/>
      <c r="Z368" s="45" t="inlineStr">
        <is>
          <t>— généré —</t>
        </is>
      </c>
    </row>
    <row r="369" ht="15" customHeight="1">
      <c r="A369" s="10" t="inlineStr">
        <is>
          <t>S4</t>
        </is>
      </c>
      <c r="B369" s="9" t="inlineStr">
        <is>
          <t>du 5 au 11 octobre 2026</t>
        </is>
      </c>
      <c r="C369" s="10" t="inlineStr">
        <is>
          <t>B</t>
        </is>
      </c>
      <c r="D369" s="41" t="n">
        <v>46305</v>
      </c>
      <c r="E369" s="10" t="inlineStr">
        <is>
          <t>Samedi</t>
        </is>
      </c>
      <c r="F369" s="42" t="n">
        <v>0.7291666666666666</v>
      </c>
      <c r="G369" s="42" t="n">
        <v>0.7916666666666666</v>
      </c>
      <c r="H369" s="43">
        <f>IF(OR($F369="",$G369=""),"",($G369-$F369)*24)</f>
        <v/>
      </c>
      <c r="I369" s="10" t="inlineStr">
        <is>
          <t>Collège</t>
        </is>
      </c>
      <c r="J369" s="9" t="inlineStr">
        <is>
          <t>8éme (A)</t>
        </is>
      </c>
      <c r="K369" s="9" t="inlineStr">
        <is>
          <t>Anglais</t>
        </is>
      </c>
      <c r="L369" s="9" t="inlineStr">
        <is>
          <t>Anglais</t>
        </is>
      </c>
      <c r="M369" s="9" t="inlineStr">
        <is>
          <t>Imen Ben Lazrak</t>
        </is>
      </c>
      <c r="N369" s="10" t="n"/>
      <c r="O369" s="10" t="n"/>
      <c r="P369" s="10" t="inlineStr">
        <is>
          <t>Quinzaine B</t>
        </is>
      </c>
      <c r="Q369" s="9" t="inlineStr">
        <is>
          <t>Généré (octobre)</t>
        </is>
      </c>
      <c r="R369" s="9" t="inlineStr"/>
      <c r="S369" s="44">
        <f>IF($M369="","",IF(SUMPRODUCT(($D$4:$D$704=$D369)*($M$4:$M$704=$M369)*($F$4:$F$704&lt;$G369)*($G$4:$G$704&gt;$F369))&gt;1,"⚠ CONFLIT",""))</f>
        <v/>
      </c>
      <c r="T369" s="44">
        <f>IF($J369="","",IF(SUMPRODUCT(($D$4:$D$704=$D369)*($J$4:$J$704=$J369)*($F$4:$F$704&lt;$G369)*($G$4:$G$704&gt;$F369))&gt;1,"⚠ CONFLIT",""))</f>
        <v/>
      </c>
      <c r="U369" s="44">
        <f>IF(COUNTIFS($D$4:$D$704,$D369,$J$4:$J$704,$J369,$F$4:$F$704,$F369,$K$4:$K$704,$K369)&gt;1,"⚠ DOUBLON","")</f>
        <v/>
      </c>
      <c r="V369" s="44">
        <f>COUNTIFS($A$4:$A369,$A369,$J$4:$J369,$J369,$E$4:$E369,$E369)</f>
        <v/>
      </c>
      <c r="W369" s="45">
        <f>$A369&amp;"|"&amp;$J369&amp;"|"&amp;$E369&amp;"|"&amp;$V369</f>
        <v/>
      </c>
      <c r="X369" s="46">
        <f>TEXT($F369,"hh:mm")&amp;" - "&amp;TEXT($G369,"hh:mm")&amp;IF($P369="Quinzaine A","   ◆ Q-A",IF($P369="Quinzaine B","   ◆ Q-B",IF($P369="Exception","   ◆ PONCTUEL","")))&amp;CHAR(10)&amp;$K369&amp;CHAR(10)&amp;$M369&amp;IF($N369&lt;&gt;"",CHAR(10)&amp;"Salle "&amp;$N369,"")&amp;IF($O369="En ligne",CHAR(10)&amp;"◆ EN LIGNE","")&amp;IF($R369&lt;&gt;"",CHAR(10)&amp;$R369,"")</f>
        <v/>
      </c>
      <c r="Y369" s="45" t="inlineStr"/>
      <c r="Z369" s="45" t="inlineStr">
        <is>
          <t>— généré —</t>
        </is>
      </c>
    </row>
    <row r="370" ht="15" customHeight="1">
      <c r="A370" s="10" t="inlineStr">
        <is>
          <t>S4</t>
        </is>
      </c>
      <c r="B370" s="9" t="inlineStr">
        <is>
          <t>du 5 au 11 octobre 2026</t>
        </is>
      </c>
      <c r="C370" s="10" t="inlineStr">
        <is>
          <t>B</t>
        </is>
      </c>
      <c r="D370" s="41" t="n">
        <v>46305</v>
      </c>
      <c r="E370" s="10" t="inlineStr">
        <is>
          <t>Samedi</t>
        </is>
      </c>
      <c r="F370" s="42" t="n">
        <v>0.7291666666666666</v>
      </c>
      <c r="G370" s="42" t="n">
        <v>0.7916666666666666</v>
      </c>
      <c r="H370" s="43">
        <f>IF(OR($F370="",$G370=""),"",($G370-$F370)*24)</f>
        <v/>
      </c>
      <c r="I370" s="10" t="inlineStr">
        <is>
          <t>Collège</t>
        </is>
      </c>
      <c r="J370" s="9" t="inlineStr">
        <is>
          <t>8éme (B)</t>
        </is>
      </c>
      <c r="K370" s="9" t="inlineStr">
        <is>
          <t>SVT</t>
        </is>
      </c>
      <c r="L370" s="9" t="inlineStr">
        <is>
          <t>SVT</t>
        </is>
      </c>
      <c r="M370" s="9" t="inlineStr">
        <is>
          <t>Sabrine</t>
        </is>
      </c>
      <c r="N370" s="10" t="n"/>
      <c r="O370" s="10" t="n"/>
      <c r="P370" s="10" t="inlineStr">
        <is>
          <t>Quinzaine B</t>
        </is>
      </c>
      <c r="Q370" s="9" t="inlineStr">
        <is>
          <t>Généré (octobre)</t>
        </is>
      </c>
      <c r="R370" s="9" t="inlineStr"/>
      <c r="S370" s="44">
        <f>IF($M370="","",IF(SUMPRODUCT(($D$4:$D$704=$D370)*($M$4:$M$704=$M370)*($F$4:$F$704&lt;$G370)*($G$4:$G$704&gt;$F370))&gt;1,"⚠ CONFLIT",""))</f>
        <v/>
      </c>
      <c r="T370" s="44">
        <f>IF($J370="","",IF(SUMPRODUCT(($D$4:$D$704=$D370)*($J$4:$J$704=$J370)*($F$4:$F$704&lt;$G370)*($G$4:$G$704&gt;$F370))&gt;1,"⚠ CONFLIT",""))</f>
        <v/>
      </c>
      <c r="U370" s="44">
        <f>IF(COUNTIFS($D$4:$D$704,$D370,$J$4:$J$704,$J370,$F$4:$F$704,$F370,$K$4:$K$704,$K370)&gt;1,"⚠ DOUBLON","")</f>
        <v/>
      </c>
      <c r="V370" s="44">
        <f>COUNTIFS($A$4:$A370,$A370,$J$4:$J370,$J370,$E$4:$E370,$E370)</f>
        <v/>
      </c>
      <c r="W370" s="45">
        <f>$A370&amp;"|"&amp;$J370&amp;"|"&amp;$E370&amp;"|"&amp;$V370</f>
        <v/>
      </c>
      <c r="X370" s="46">
        <f>TEXT($F370,"hh:mm")&amp;" - "&amp;TEXT($G370,"hh:mm")&amp;IF($P370="Quinzaine A","   ◆ Q-A",IF($P370="Quinzaine B","   ◆ Q-B",IF($P370="Exception","   ◆ PONCTUEL","")))&amp;CHAR(10)&amp;$K370&amp;CHAR(10)&amp;$M370&amp;IF($N370&lt;&gt;"",CHAR(10)&amp;"Salle "&amp;$N370,"")&amp;IF($O370="En ligne",CHAR(10)&amp;"◆ EN LIGNE","")&amp;IF($R370&lt;&gt;"",CHAR(10)&amp;$R370,"")</f>
        <v/>
      </c>
      <c r="Y370" s="45" t="inlineStr"/>
      <c r="Z370" s="45" t="inlineStr">
        <is>
          <t>— généré —</t>
        </is>
      </c>
    </row>
    <row r="371" ht="15" customHeight="1">
      <c r="A371" s="10" t="inlineStr">
        <is>
          <t>S4</t>
        </is>
      </c>
      <c r="B371" s="9" t="inlineStr">
        <is>
          <t>du 5 au 11 octobre 2026</t>
        </is>
      </c>
      <c r="C371" s="10" t="inlineStr">
        <is>
          <t>B</t>
        </is>
      </c>
      <c r="D371" s="41" t="n">
        <v>46305</v>
      </c>
      <c r="E371" s="10" t="inlineStr">
        <is>
          <t>Samedi</t>
        </is>
      </c>
      <c r="F371" s="42" t="n">
        <v>0.6875</v>
      </c>
      <c r="G371" s="42" t="n">
        <v>0.75</v>
      </c>
      <c r="H371" s="43">
        <f>IF(OR($F371="",$G371=""),"",($G371-$F371)*24)</f>
        <v/>
      </c>
      <c r="I371" s="10" t="inlineStr">
        <is>
          <t>Collège</t>
        </is>
      </c>
      <c r="J371" s="9" t="inlineStr">
        <is>
          <t>9éme (A)</t>
        </is>
      </c>
      <c r="K371" s="9" t="inlineStr">
        <is>
          <t>Arabe</t>
        </is>
      </c>
      <c r="L371" s="9" t="inlineStr">
        <is>
          <t>Arabe</t>
        </is>
      </c>
      <c r="M371" s="9" t="inlineStr">
        <is>
          <t>Awatef</t>
        </is>
      </c>
      <c r="N371" s="10" t="n"/>
      <c r="O371" s="10" t="n"/>
      <c r="P371" s="10" t="inlineStr">
        <is>
          <t>Hebdomadaire</t>
        </is>
      </c>
      <c r="Q371" s="9" t="inlineStr">
        <is>
          <t>Généré (octobre)</t>
        </is>
      </c>
      <c r="R371" s="9" t="inlineStr"/>
      <c r="S371" s="44">
        <f>IF($M371="","",IF(SUMPRODUCT(($D$4:$D$704=$D371)*($M$4:$M$704=$M371)*($F$4:$F$704&lt;$G371)*($G$4:$G$704&gt;$F371))&gt;1,"⚠ CONFLIT",""))</f>
        <v/>
      </c>
      <c r="T371" s="44">
        <f>IF($J371="","",IF(SUMPRODUCT(($D$4:$D$704=$D371)*($J$4:$J$704=$J371)*($F$4:$F$704&lt;$G371)*($G$4:$G$704&gt;$F371))&gt;1,"⚠ CONFLIT",""))</f>
        <v/>
      </c>
      <c r="U371" s="44">
        <f>IF(COUNTIFS($D$4:$D$704,$D371,$J$4:$J$704,$J371,$F$4:$F$704,$F371,$K$4:$K$704,$K371)&gt;1,"⚠ DOUBLON","")</f>
        <v/>
      </c>
      <c r="V371" s="44">
        <f>COUNTIFS($A$4:$A371,$A371,$J$4:$J371,$J371,$E$4:$E371,$E371)</f>
        <v/>
      </c>
      <c r="W371" s="45">
        <f>$A371&amp;"|"&amp;$J371&amp;"|"&amp;$E371&amp;"|"&amp;$V371</f>
        <v/>
      </c>
      <c r="X371" s="46">
        <f>TEXT($F371,"hh:mm")&amp;" - "&amp;TEXT($G371,"hh:mm")&amp;IF($P371="Quinzaine A","   ◆ Q-A",IF($P371="Quinzaine B","   ◆ Q-B",IF($P371="Exception","   ◆ PONCTUEL","")))&amp;CHAR(10)&amp;$K371&amp;CHAR(10)&amp;$M371&amp;IF($N371&lt;&gt;"",CHAR(10)&amp;"Salle "&amp;$N371,"")&amp;IF($O371="En ligne",CHAR(10)&amp;"◆ EN LIGNE","")&amp;IF($R371&lt;&gt;"",CHAR(10)&amp;$R371,"")</f>
        <v/>
      </c>
      <c r="Y371" s="45" t="inlineStr"/>
      <c r="Z371" s="45" t="inlineStr">
        <is>
          <t>— généré —</t>
        </is>
      </c>
    </row>
    <row r="372" ht="15" customHeight="1">
      <c r="A372" s="10" t="inlineStr">
        <is>
          <t>S4</t>
        </is>
      </c>
      <c r="B372" s="9" t="inlineStr">
        <is>
          <t>du 5 au 11 octobre 2026</t>
        </is>
      </c>
      <c r="C372" s="10" t="inlineStr">
        <is>
          <t>B</t>
        </is>
      </c>
      <c r="D372" s="41" t="n">
        <v>46305</v>
      </c>
      <c r="E372" s="10" t="inlineStr">
        <is>
          <t>Samedi</t>
        </is>
      </c>
      <c r="F372" s="42" t="n">
        <v>0.7291666666666666</v>
      </c>
      <c r="G372" s="42" t="n">
        <v>0.7916666666666666</v>
      </c>
      <c r="H372" s="43">
        <f>IF(OR($F372="",$G372=""),"",($G372-$F372)*24)</f>
        <v/>
      </c>
      <c r="I372" s="10" t="inlineStr">
        <is>
          <t>Collège</t>
        </is>
      </c>
      <c r="J372" s="9" t="inlineStr">
        <is>
          <t>9éme (B)</t>
        </is>
      </c>
      <c r="K372" s="9" t="inlineStr">
        <is>
          <t>Math</t>
        </is>
      </c>
      <c r="L372" s="9" t="inlineStr">
        <is>
          <t>Math</t>
        </is>
      </c>
      <c r="M372" s="9" t="inlineStr">
        <is>
          <t>Hajer</t>
        </is>
      </c>
      <c r="N372" s="10" t="n"/>
      <c r="O372" s="10" t="n"/>
      <c r="P372" s="10" t="inlineStr">
        <is>
          <t>Hebdomadaire</t>
        </is>
      </c>
      <c r="Q372" s="9" t="inlineStr">
        <is>
          <t>Généré (octobre)</t>
        </is>
      </c>
      <c r="R372" s="9" t="inlineStr"/>
      <c r="S372" s="44">
        <f>IF($M372="","",IF(SUMPRODUCT(($D$4:$D$704=$D372)*($M$4:$M$704=$M372)*($F$4:$F$704&lt;$G372)*($G$4:$G$704&gt;$F372))&gt;1,"⚠ CONFLIT",""))</f>
        <v/>
      </c>
      <c r="T372" s="44">
        <f>IF($J372="","",IF(SUMPRODUCT(($D$4:$D$704=$D372)*($J$4:$J$704=$J372)*($F$4:$F$704&lt;$G372)*($G$4:$G$704&gt;$F372))&gt;1,"⚠ CONFLIT",""))</f>
        <v/>
      </c>
      <c r="U372" s="44">
        <f>IF(COUNTIFS($D$4:$D$704,$D372,$J$4:$J$704,$J372,$F$4:$F$704,$F372,$K$4:$K$704,$K372)&gt;1,"⚠ DOUBLON","")</f>
        <v/>
      </c>
      <c r="V372" s="44">
        <f>COUNTIFS($A$4:$A372,$A372,$J$4:$J372,$J372,$E$4:$E372,$E372)</f>
        <v/>
      </c>
      <c r="W372" s="45">
        <f>$A372&amp;"|"&amp;$J372&amp;"|"&amp;$E372&amp;"|"&amp;$V372</f>
        <v/>
      </c>
      <c r="X372" s="46">
        <f>TEXT($F372,"hh:mm")&amp;" - "&amp;TEXT($G372,"hh:mm")&amp;IF($P372="Quinzaine A","   ◆ Q-A",IF($P372="Quinzaine B","   ◆ Q-B",IF($P372="Exception","   ◆ PONCTUEL","")))&amp;CHAR(10)&amp;$K372&amp;CHAR(10)&amp;$M372&amp;IF($N372&lt;&gt;"",CHAR(10)&amp;"Salle "&amp;$N372,"")&amp;IF($O372="En ligne",CHAR(10)&amp;"◆ EN LIGNE","")&amp;IF($R372&lt;&gt;"",CHAR(10)&amp;$R372,"")</f>
        <v/>
      </c>
      <c r="Y372" s="45" t="inlineStr"/>
      <c r="Z372" s="45" t="inlineStr">
        <is>
          <t>— généré —</t>
        </is>
      </c>
    </row>
    <row r="373" ht="15" customHeight="1">
      <c r="A373" s="10" t="inlineStr">
        <is>
          <t>S4</t>
        </is>
      </c>
      <c r="B373" s="9" t="inlineStr">
        <is>
          <t>du 5 au 11 octobre 2026</t>
        </is>
      </c>
      <c r="C373" s="10" t="inlineStr">
        <is>
          <t>B</t>
        </is>
      </c>
      <c r="D373" s="41" t="n">
        <v>46305</v>
      </c>
      <c r="E373" s="10" t="inlineStr">
        <is>
          <t>Samedi</t>
        </is>
      </c>
      <c r="F373" s="42" t="n">
        <v>0.7916666666666666</v>
      </c>
      <c r="G373" s="42" t="n">
        <v>0.8541666666666666</v>
      </c>
      <c r="H373" s="43">
        <f>IF(OR($F373="",$G373=""),"",($G373-$F373)*24)</f>
        <v/>
      </c>
      <c r="I373" s="10" t="inlineStr">
        <is>
          <t>Collège</t>
        </is>
      </c>
      <c r="J373" s="9" t="inlineStr">
        <is>
          <t>9éme (C)</t>
        </is>
      </c>
      <c r="K373" s="9" t="inlineStr">
        <is>
          <t>Math</t>
        </is>
      </c>
      <c r="L373" s="9" t="inlineStr">
        <is>
          <t>Math</t>
        </is>
      </c>
      <c r="M373" s="9" t="inlineStr">
        <is>
          <t>Hajer</t>
        </is>
      </c>
      <c r="N373" s="10" t="n"/>
      <c r="O373" s="10" t="n"/>
      <c r="P373" s="10" t="inlineStr">
        <is>
          <t>Hebdomadaire</t>
        </is>
      </c>
      <c r="Q373" s="9" t="inlineStr">
        <is>
          <t>Généré (octobre)</t>
        </is>
      </c>
      <c r="R373" s="9" t="inlineStr"/>
      <c r="S373" s="44">
        <f>IF($M373="","",IF(SUMPRODUCT(($D$4:$D$704=$D373)*($M$4:$M$704=$M373)*($F$4:$F$704&lt;$G373)*($G$4:$G$704&gt;$F373))&gt;1,"⚠ CONFLIT",""))</f>
        <v/>
      </c>
      <c r="T373" s="44">
        <f>IF($J373="","",IF(SUMPRODUCT(($D$4:$D$704=$D373)*($J$4:$J$704=$J373)*($F$4:$F$704&lt;$G373)*($G$4:$G$704&gt;$F373))&gt;1,"⚠ CONFLIT",""))</f>
        <v/>
      </c>
      <c r="U373" s="44">
        <f>IF(COUNTIFS($D$4:$D$704,$D373,$J$4:$J$704,$J373,$F$4:$F$704,$F373,$K$4:$K$704,$K373)&gt;1,"⚠ DOUBLON","")</f>
        <v/>
      </c>
      <c r="V373" s="44">
        <f>COUNTIFS($A$4:$A373,$A373,$J$4:$J373,$J373,$E$4:$E373,$E373)</f>
        <v/>
      </c>
      <c r="W373" s="45">
        <f>$A373&amp;"|"&amp;$J373&amp;"|"&amp;$E373&amp;"|"&amp;$V373</f>
        <v/>
      </c>
      <c r="X373" s="46">
        <f>TEXT($F373,"hh:mm")&amp;" - "&amp;TEXT($G373,"hh:mm")&amp;IF($P373="Quinzaine A","   ◆ Q-A",IF($P373="Quinzaine B","   ◆ Q-B",IF($P373="Exception","   ◆ PONCTUEL","")))&amp;CHAR(10)&amp;$K373&amp;CHAR(10)&amp;$M373&amp;IF($N373&lt;&gt;"",CHAR(10)&amp;"Salle "&amp;$N373,"")&amp;IF($O373="En ligne",CHAR(10)&amp;"◆ EN LIGNE","")&amp;IF($R373&lt;&gt;"",CHAR(10)&amp;$R373,"")</f>
        <v/>
      </c>
      <c r="Y373" s="45" t="inlineStr"/>
      <c r="Z373" s="45" t="inlineStr">
        <is>
          <t>— généré —</t>
        </is>
      </c>
    </row>
    <row r="374" ht="15" customHeight="1">
      <c r="A374" s="10" t="inlineStr">
        <is>
          <t>S4</t>
        </is>
      </c>
      <c r="B374" s="9" t="inlineStr">
        <is>
          <t>du 5 au 11 octobre 2026</t>
        </is>
      </c>
      <c r="C374" s="10" t="inlineStr">
        <is>
          <t>B</t>
        </is>
      </c>
      <c r="D374" s="41" t="n">
        <v>46305</v>
      </c>
      <c r="E374" s="10" t="inlineStr">
        <is>
          <t>Samedi</t>
        </is>
      </c>
      <c r="F374" s="42" t="n">
        <v>0.6458333333333334</v>
      </c>
      <c r="G374" s="42" t="n">
        <v>0.7083333333333334</v>
      </c>
      <c r="H374" s="43">
        <f>IF(OR($F374="",$G374=""),"",($G374-$F374)*24)</f>
        <v/>
      </c>
      <c r="I374" s="10" t="inlineStr">
        <is>
          <t>Secondaire</t>
        </is>
      </c>
      <c r="J374" s="9" t="inlineStr">
        <is>
          <t>2éme Eco</t>
        </is>
      </c>
      <c r="K374" s="9" t="inlineStr">
        <is>
          <t>Géographie</t>
        </is>
      </c>
      <c r="L374" s="9" t="inlineStr">
        <is>
          <t>Géographie</t>
        </is>
      </c>
      <c r="M374" s="9" t="inlineStr">
        <is>
          <t>Abdelwaheb</t>
        </is>
      </c>
      <c r="N374" s="10" t="n"/>
      <c r="O374" s="10" t="n"/>
      <c r="P374" s="10" t="inlineStr">
        <is>
          <t>Quinzaine B</t>
        </is>
      </c>
      <c r="Q374" s="9" t="inlineStr">
        <is>
          <t>Généré (octobre)</t>
        </is>
      </c>
      <c r="R374" s="9" t="inlineStr"/>
      <c r="S374" s="44">
        <f>IF($M374="","",IF(SUMPRODUCT(($D$4:$D$704=$D374)*($M$4:$M$704=$M374)*($F$4:$F$704&lt;$G374)*($G$4:$G$704&gt;$F374))&gt;1,"⚠ CONFLIT",""))</f>
        <v/>
      </c>
      <c r="T374" s="44">
        <f>IF($J374="","",IF(SUMPRODUCT(($D$4:$D$704=$D374)*($J$4:$J$704=$J374)*($F$4:$F$704&lt;$G374)*($G$4:$G$704&gt;$F374))&gt;1,"⚠ CONFLIT",""))</f>
        <v/>
      </c>
      <c r="U374" s="44">
        <f>IF(COUNTIFS($D$4:$D$704,$D374,$J$4:$J$704,$J374,$F$4:$F$704,$F374,$K$4:$K$704,$K374)&gt;1,"⚠ DOUBLON","")</f>
        <v/>
      </c>
      <c r="V374" s="44">
        <f>COUNTIFS($A$4:$A374,$A374,$J$4:$J374,$J374,$E$4:$E374,$E374)</f>
        <v/>
      </c>
      <c r="W374" s="45">
        <f>$A374&amp;"|"&amp;$J374&amp;"|"&amp;$E374&amp;"|"&amp;$V374</f>
        <v/>
      </c>
      <c r="X374" s="46">
        <f>TEXT($F374,"hh:mm")&amp;" - "&amp;TEXT($G374,"hh:mm")&amp;IF($P374="Quinzaine A","   ◆ Q-A",IF($P374="Quinzaine B","   ◆ Q-B",IF($P374="Exception","   ◆ PONCTUEL","")))&amp;CHAR(10)&amp;$K374&amp;CHAR(10)&amp;$M374&amp;IF($N374&lt;&gt;"",CHAR(10)&amp;"Salle "&amp;$N374,"")&amp;IF($O374="En ligne",CHAR(10)&amp;"◆ EN LIGNE","")&amp;IF($R374&lt;&gt;"",CHAR(10)&amp;$R374,"")</f>
        <v/>
      </c>
      <c r="Y374" s="45" t="inlineStr"/>
      <c r="Z374" s="45" t="inlineStr">
        <is>
          <t>— généré —</t>
        </is>
      </c>
    </row>
    <row r="375" ht="15" customHeight="1">
      <c r="A375" s="10" t="inlineStr">
        <is>
          <t>S4</t>
        </is>
      </c>
      <c r="B375" s="9" t="inlineStr">
        <is>
          <t>du 5 au 11 octobre 2026</t>
        </is>
      </c>
      <c r="C375" s="10" t="inlineStr">
        <is>
          <t>B</t>
        </is>
      </c>
      <c r="D375" s="41" t="n">
        <v>46305</v>
      </c>
      <c r="E375" s="10" t="inlineStr">
        <is>
          <t>Samedi</t>
        </is>
      </c>
      <c r="F375" s="42" t="n">
        <v>0.6666666666666666</v>
      </c>
      <c r="G375" s="42" t="n">
        <v>0.7291666666666666</v>
      </c>
      <c r="H375" s="43">
        <f>IF(OR($F375="",$G375=""),"",($G375-$F375)*24)</f>
        <v/>
      </c>
      <c r="I375" s="10" t="inlineStr">
        <is>
          <t>Secondaire</t>
        </is>
      </c>
      <c r="J375" s="9" t="inlineStr">
        <is>
          <t>2éme SCE</t>
        </is>
      </c>
      <c r="K375" s="9" t="inlineStr">
        <is>
          <t>SVT</t>
        </is>
      </c>
      <c r="L375" s="9" t="inlineStr">
        <is>
          <t>SVT</t>
        </is>
      </c>
      <c r="M375" s="9" t="inlineStr">
        <is>
          <t>Rym</t>
        </is>
      </c>
      <c r="N375" s="10" t="n"/>
      <c r="O375" s="10" t="n"/>
      <c r="P375" s="10" t="inlineStr">
        <is>
          <t>Hebdomadaire</t>
        </is>
      </c>
      <c r="Q375" s="9" t="inlineStr">
        <is>
          <t>Généré (octobre)</t>
        </is>
      </c>
      <c r="R375" s="9" t="inlineStr"/>
      <c r="S375" s="44">
        <f>IF($M375="","",IF(SUMPRODUCT(($D$4:$D$704=$D375)*($M$4:$M$704=$M375)*($F$4:$F$704&lt;$G375)*($G$4:$G$704&gt;$F375))&gt;1,"⚠ CONFLIT",""))</f>
        <v/>
      </c>
      <c r="T375" s="44">
        <f>IF($J375="","",IF(SUMPRODUCT(($D$4:$D$704=$D375)*($J$4:$J$704=$J375)*($F$4:$F$704&lt;$G375)*($G$4:$G$704&gt;$F375))&gt;1,"⚠ CONFLIT",""))</f>
        <v/>
      </c>
      <c r="U375" s="44">
        <f>IF(COUNTIFS($D$4:$D$704,$D375,$J$4:$J$704,$J375,$F$4:$F$704,$F375,$K$4:$K$704,$K375)&gt;1,"⚠ DOUBLON","")</f>
        <v/>
      </c>
      <c r="V375" s="44">
        <f>COUNTIFS($A$4:$A375,$A375,$J$4:$J375,$J375,$E$4:$E375,$E375)</f>
        <v/>
      </c>
      <c r="W375" s="45">
        <f>$A375&amp;"|"&amp;$J375&amp;"|"&amp;$E375&amp;"|"&amp;$V375</f>
        <v/>
      </c>
      <c r="X375" s="46">
        <f>TEXT($F375,"hh:mm")&amp;" - "&amp;TEXT($G375,"hh:mm")&amp;IF($P375="Quinzaine A","   ◆ Q-A",IF($P375="Quinzaine B","   ◆ Q-B",IF($P375="Exception","   ◆ PONCTUEL","")))&amp;CHAR(10)&amp;$K375&amp;CHAR(10)&amp;$M375&amp;IF($N375&lt;&gt;"",CHAR(10)&amp;"Salle "&amp;$N375,"")&amp;IF($O375="En ligne",CHAR(10)&amp;"◆ EN LIGNE","")&amp;IF($R375&lt;&gt;"",CHAR(10)&amp;$R375,"")</f>
        <v/>
      </c>
      <c r="Y375" s="45" t="inlineStr"/>
      <c r="Z375" s="45" t="inlineStr">
        <is>
          <t>— généré —</t>
        </is>
      </c>
    </row>
    <row r="376" ht="15" customHeight="1">
      <c r="A376" s="10" t="inlineStr">
        <is>
          <t>S4</t>
        </is>
      </c>
      <c r="B376" s="9" t="inlineStr">
        <is>
          <t>du 5 au 11 octobre 2026</t>
        </is>
      </c>
      <c r="C376" s="10" t="inlineStr">
        <is>
          <t>B</t>
        </is>
      </c>
      <c r="D376" s="41" t="n">
        <v>46305</v>
      </c>
      <c r="E376" s="10" t="inlineStr">
        <is>
          <t>Samedi</t>
        </is>
      </c>
      <c r="F376" s="42" t="n">
        <v>0.7083333333333334</v>
      </c>
      <c r="G376" s="42" t="n">
        <v>0.7916666666666666</v>
      </c>
      <c r="H376" s="43">
        <f>IF(OR($F376="",$G376=""),"",($G376-$F376)*24)</f>
        <v/>
      </c>
      <c r="I376" s="10" t="inlineStr">
        <is>
          <t>Secondaire</t>
        </is>
      </c>
      <c r="J376" s="9" t="inlineStr">
        <is>
          <t>2éme INFO</t>
        </is>
      </c>
      <c r="K376" s="9" t="inlineStr">
        <is>
          <t>Informatique</t>
        </is>
      </c>
      <c r="L376" s="9" t="inlineStr">
        <is>
          <t>Informatique</t>
        </is>
      </c>
      <c r="M376" s="9" t="inlineStr">
        <is>
          <t>Aymen</t>
        </is>
      </c>
      <c r="N376" s="10" t="n"/>
      <c r="O376" s="10" t="n"/>
      <c r="P376" s="10" t="inlineStr">
        <is>
          <t>Hebdomadaire</t>
        </is>
      </c>
      <c r="Q376" s="9" t="inlineStr">
        <is>
          <t>Généré (octobre)</t>
        </is>
      </c>
      <c r="R376" s="9" t="inlineStr"/>
      <c r="S376" s="44">
        <f>IF($M376="","",IF(SUMPRODUCT(($D$4:$D$704=$D376)*($M$4:$M$704=$M376)*($F$4:$F$704&lt;$G376)*($G$4:$G$704&gt;$F376))&gt;1,"⚠ CONFLIT",""))</f>
        <v/>
      </c>
      <c r="T376" s="44">
        <f>IF($J376="","",IF(SUMPRODUCT(($D$4:$D$704=$D376)*($J$4:$J$704=$J376)*($F$4:$F$704&lt;$G376)*($G$4:$G$704&gt;$F376))&gt;1,"⚠ CONFLIT",""))</f>
        <v/>
      </c>
      <c r="U376" s="44">
        <f>IF(COUNTIFS($D$4:$D$704,$D376,$J$4:$J$704,$J376,$F$4:$F$704,$F376,$K$4:$K$704,$K376)&gt;1,"⚠ DOUBLON","")</f>
        <v/>
      </c>
      <c r="V376" s="44">
        <f>COUNTIFS($A$4:$A376,$A376,$J$4:$J376,$J376,$E$4:$E376,$E376)</f>
        <v/>
      </c>
      <c r="W376" s="45">
        <f>$A376&amp;"|"&amp;$J376&amp;"|"&amp;$E376&amp;"|"&amp;$V376</f>
        <v/>
      </c>
      <c r="X376" s="46">
        <f>TEXT($F376,"hh:mm")&amp;" - "&amp;TEXT($G376,"hh:mm")&amp;IF($P376="Quinzaine A","   ◆ Q-A",IF($P376="Quinzaine B","   ◆ Q-B",IF($P376="Exception","   ◆ PONCTUEL","")))&amp;CHAR(10)&amp;$K376&amp;CHAR(10)&amp;$M376&amp;IF($N376&lt;&gt;"",CHAR(10)&amp;"Salle "&amp;$N376,"")&amp;IF($O376="En ligne",CHAR(10)&amp;"◆ EN LIGNE","")&amp;IF($R376&lt;&gt;"",CHAR(10)&amp;$R376,"")</f>
        <v/>
      </c>
      <c r="Y376" s="45" t="inlineStr"/>
      <c r="Z376" s="45" t="inlineStr">
        <is>
          <t>— généré —</t>
        </is>
      </c>
    </row>
    <row r="377" ht="15" customHeight="1">
      <c r="A377" s="10" t="inlineStr">
        <is>
          <t>S4</t>
        </is>
      </c>
      <c r="B377" s="9" t="inlineStr">
        <is>
          <t>du 5 au 11 octobre 2026</t>
        </is>
      </c>
      <c r="C377" s="10" t="inlineStr">
        <is>
          <t>B</t>
        </is>
      </c>
      <c r="D377" s="41" t="n">
        <v>46305</v>
      </c>
      <c r="E377" s="10" t="inlineStr">
        <is>
          <t>Samedi</t>
        </is>
      </c>
      <c r="F377" s="42" t="n">
        <v>0.7083333333333334</v>
      </c>
      <c r="G377" s="42" t="n">
        <v>0.7708333333333334</v>
      </c>
      <c r="H377" s="43">
        <f>IF(OR($F377="",$G377=""),"",($G377-$F377)*24)</f>
        <v/>
      </c>
      <c r="I377" s="10" t="inlineStr">
        <is>
          <t>Secondaire</t>
        </is>
      </c>
      <c r="J377" s="9" t="inlineStr">
        <is>
          <t>3éme Eco</t>
        </is>
      </c>
      <c r="K377" s="9" t="inlineStr">
        <is>
          <t>Géographie</t>
        </is>
      </c>
      <c r="L377" s="9" t="inlineStr">
        <is>
          <t>Géographie</t>
        </is>
      </c>
      <c r="M377" s="9" t="inlineStr">
        <is>
          <t>Abdelwaheb</t>
        </is>
      </c>
      <c r="N377" s="10" t="n"/>
      <c r="O377" s="10" t="n"/>
      <c r="P377" s="10" t="inlineStr">
        <is>
          <t>Quinzaine B</t>
        </is>
      </c>
      <c r="Q377" s="9" t="inlineStr">
        <is>
          <t>Généré (octobre)</t>
        </is>
      </c>
      <c r="R377" s="9" t="inlineStr"/>
      <c r="S377" s="44">
        <f>IF($M377="","",IF(SUMPRODUCT(($D$4:$D$704=$D377)*($M$4:$M$704=$M377)*($F$4:$F$704&lt;$G377)*($G$4:$G$704&gt;$F377))&gt;1,"⚠ CONFLIT",""))</f>
        <v/>
      </c>
      <c r="T377" s="44">
        <f>IF($J377="","",IF(SUMPRODUCT(($D$4:$D$704=$D377)*($J$4:$J$704=$J377)*($F$4:$F$704&lt;$G377)*($G$4:$G$704&gt;$F377))&gt;1,"⚠ CONFLIT",""))</f>
        <v/>
      </c>
      <c r="U377" s="44">
        <f>IF(COUNTIFS($D$4:$D$704,$D377,$J$4:$J$704,$J377,$F$4:$F$704,$F377,$K$4:$K$704,$K377)&gt;1,"⚠ DOUBLON","")</f>
        <v/>
      </c>
      <c r="V377" s="44">
        <f>COUNTIFS($A$4:$A377,$A377,$J$4:$J377,$J377,$E$4:$E377,$E377)</f>
        <v/>
      </c>
      <c r="W377" s="45">
        <f>$A377&amp;"|"&amp;$J377&amp;"|"&amp;$E377&amp;"|"&amp;$V377</f>
        <v/>
      </c>
      <c r="X377" s="46">
        <f>TEXT($F377,"hh:mm")&amp;" - "&amp;TEXT($G377,"hh:mm")&amp;IF($P377="Quinzaine A","   ◆ Q-A",IF($P377="Quinzaine B","   ◆ Q-B",IF($P377="Exception","   ◆ PONCTUEL","")))&amp;CHAR(10)&amp;$K377&amp;CHAR(10)&amp;$M377&amp;IF($N377&lt;&gt;"",CHAR(10)&amp;"Salle "&amp;$N377,"")&amp;IF($O377="En ligne",CHAR(10)&amp;"◆ EN LIGNE","")&amp;IF($R377&lt;&gt;"",CHAR(10)&amp;$R377,"")</f>
        <v/>
      </c>
      <c r="Y377" s="45" t="inlineStr"/>
      <c r="Z377" s="45" t="inlineStr">
        <is>
          <t>— généré —</t>
        </is>
      </c>
    </row>
    <row r="378" ht="15" customHeight="1">
      <c r="A378" s="10" t="inlineStr">
        <is>
          <t>S4</t>
        </is>
      </c>
      <c r="B378" s="9" t="inlineStr">
        <is>
          <t>du 5 au 11 octobre 2026</t>
        </is>
      </c>
      <c r="C378" s="10" t="inlineStr">
        <is>
          <t>B</t>
        </is>
      </c>
      <c r="D378" s="41" t="n">
        <v>46305</v>
      </c>
      <c r="E378" s="10" t="inlineStr">
        <is>
          <t>Samedi</t>
        </is>
      </c>
      <c r="F378" s="42" t="n">
        <v>0.625</v>
      </c>
      <c r="G378" s="42" t="n">
        <v>0.7083333333333334</v>
      </c>
      <c r="H378" s="43">
        <f>IF(OR($F378="",$G378=""),"",($G378-$F378)*24)</f>
        <v/>
      </c>
      <c r="I378" s="10" t="inlineStr">
        <is>
          <t>Secondaire</t>
        </is>
      </c>
      <c r="J378" s="9" t="inlineStr">
        <is>
          <t>3éme INFO</t>
        </is>
      </c>
      <c r="K378" s="9" t="inlineStr">
        <is>
          <t>ALGO</t>
        </is>
      </c>
      <c r="L378" s="9" t="inlineStr">
        <is>
          <t>ALGO</t>
        </is>
      </c>
      <c r="M378" s="9" t="inlineStr">
        <is>
          <t>Aymen</t>
        </is>
      </c>
      <c r="N378" s="10" t="n"/>
      <c r="O378" s="10" t="n"/>
      <c r="P378" s="10" t="inlineStr">
        <is>
          <t>Hebdomadaire</t>
        </is>
      </c>
      <c r="Q378" s="9" t="inlineStr">
        <is>
          <t>Généré (octobre)</t>
        </is>
      </c>
      <c r="R378" s="9" t="inlineStr"/>
      <c r="S378" s="44">
        <f>IF($M378="","",IF(SUMPRODUCT(($D$4:$D$704=$D378)*($M$4:$M$704=$M378)*($F$4:$F$704&lt;$G378)*($G$4:$G$704&gt;$F378))&gt;1,"⚠ CONFLIT",""))</f>
        <v/>
      </c>
      <c r="T378" s="44">
        <f>IF($J378="","",IF(SUMPRODUCT(($D$4:$D$704=$D378)*($J$4:$J$704=$J378)*($F$4:$F$704&lt;$G378)*($G$4:$G$704&gt;$F378))&gt;1,"⚠ CONFLIT",""))</f>
        <v/>
      </c>
      <c r="U378" s="44">
        <f>IF(COUNTIFS($D$4:$D$704,$D378,$J$4:$J$704,$J378,$F$4:$F$704,$F378,$K$4:$K$704,$K378)&gt;1,"⚠ DOUBLON","")</f>
        <v/>
      </c>
      <c r="V378" s="44">
        <f>COUNTIFS($A$4:$A378,$A378,$J$4:$J378,$J378,$E$4:$E378,$E378)</f>
        <v/>
      </c>
      <c r="W378" s="45">
        <f>$A378&amp;"|"&amp;$J378&amp;"|"&amp;$E378&amp;"|"&amp;$V378</f>
        <v/>
      </c>
      <c r="X378" s="46">
        <f>TEXT($F378,"hh:mm")&amp;" - "&amp;TEXT($G378,"hh:mm")&amp;IF($P378="Quinzaine A","   ◆ Q-A",IF($P378="Quinzaine B","   ◆ Q-B",IF($P378="Exception","   ◆ PONCTUEL","")))&amp;CHAR(10)&amp;$K378&amp;CHAR(10)&amp;$M378&amp;IF($N378&lt;&gt;"",CHAR(10)&amp;"Salle "&amp;$N378,"")&amp;IF($O378="En ligne",CHAR(10)&amp;"◆ EN LIGNE","")&amp;IF($R378&lt;&gt;"",CHAR(10)&amp;$R378,"")</f>
        <v/>
      </c>
      <c r="Y378" s="45" t="inlineStr"/>
      <c r="Z378" s="45" t="inlineStr">
        <is>
          <t>— généré —</t>
        </is>
      </c>
    </row>
    <row r="379" ht="15" customHeight="1">
      <c r="A379" s="10" t="inlineStr">
        <is>
          <t>S4</t>
        </is>
      </c>
      <c r="B379" s="9" t="inlineStr">
        <is>
          <t>du 5 au 11 octobre 2026</t>
        </is>
      </c>
      <c r="C379" s="10" t="inlineStr">
        <is>
          <t>B</t>
        </is>
      </c>
      <c r="D379" s="41" t="n">
        <v>46305</v>
      </c>
      <c r="E379" s="10" t="inlineStr">
        <is>
          <t>Samedi</t>
        </is>
      </c>
      <c r="F379" s="42" t="n">
        <v>0.7291666666666666</v>
      </c>
      <c r="G379" s="42" t="n">
        <v>0.7916666666666666</v>
      </c>
      <c r="H379" s="43">
        <f>IF(OR($F379="",$G379=""),"",($G379-$F379)*24)</f>
        <v/>
      </c>
      <c r="I379" s="10" t="inlineStr">
        <is>
          <t>Secondaire</t>
        </is>
      </c>
      <c r="J379" s="9" t="inlineStr">
        <is>
          <t>3éme SCE</t>
        </is>
      </c>
      <c r="K379" s="9" t="inlineStr">
        <is>
          <t>SVT</t>
        </is>
      </c>
      <c r="L379" s="9" t="inlineStr">
        <is>
          <t>SVT</t>
        </is>
      </c>
      <c r="M379" s="9" t="inlineStr">
        <is>
          <t>Rym</t>
        </is>
      </c>
      <c r="N379" s="10" t="n"/>
      <c r="O379" s="10" t="n"/>
      <c r="P379" s="10" t="inlineStr">
        <is>
          <t>Hebdomadaire</t>
        </is>
      </c>
      <c r="Q379" s="9" t="inlineStr">
        <is>
          <t>Généré (octobre)</t>
        </is>
      </c>
      <c r="R379" s="9" t="inlineStr"/>
      <c r="S379" s="44">
        <f>IF($M379="","",IF(SUMPRODUCT(($D$4:$D$704=$D379)*($M$4:$M$704=$M379)*($F$4:$F$704&lt;$G379)*($G$4:$G$704&gt;$F379))&gt;1,"⚠ CONFLIT",""))</f>
        <v/>
      </c>
      <c r="T379" s="44">
        <f>IF($J379="","",IF(SUMPRODUCT(($D$4:$D$704=$D379)*($J$4:$J$704=$J379)*($F$4:$F$704&lt;$G379)*($G$4:$G$704&gt;$F379))&gt;1,"⚠ CONFLIT",""))</f>
        <v/>
      </c>
      <c r="U379" s="44">
        <f>IF(COUNTIFS($D$4:$D$704,$D379,$J$4:$J$704,$J379,$F$4:$F$704,$F379,$K$4:$K$704,$K379)&gt;1,"⚠ DOUBLON","")</f>
        <v/>
      </c>
      <c r="V379" s="44">
        <f>COUNTIFS($A$4:$A379,$A379,$J$4:$J379,$J379,$E$4:$E379,$E379)</f>
        <v/>
      </c>
      <c r="W379" s="45">
        <f>$A379&amp;"|"&amp;$J379&amp;"|"&amp;$E379&amp;"|"&amp;$V379</f>
        <v/>
      </c>
      <c r="X379" s="46">
        <f>TEXT($F379,"hh:mm")&amp;" - "&amp;TEXT($G379,"hh:mm")&amp;IF($P379="Quinzaine A","   ◆ Q-A",IF($P379="Quinzaine B","   ◆ Q-B",IF($P379="Exception","   ◆ PONCTUEL","")))&amp;CHAR(10)&amp;$K379&amp;CHAR(10)&amp;$M379&amp;IF($N379&lt;&gt;"",CHAR(10)&amp;"Salle "&amp;$N379,"")&amp;IF($O379="En ligne",CHAR(10)&amp;"◆ EN LIGNE","")&amp;IF($R379&lt;&gt;"",CHAR(10)&amp;$R379,"")</f>
        <v/>
      </c>
      <c r="Y379" s="45" t="inlineStr"/>
      <c r="Z379" s="45" t="inlineStr">
        <is>
          <t>— généré —</t>
        </is>
      </c>
    </row>
    <row r="380" ht="15" customHeight="1">
      <c r="A380" s="10" t="inlineStr">
        <is>
          <t>S4</t>
        </is>
      </c>
      <c r="B380" s="9" t="inlineStr">
        <is>
          <t>du 5 au 11 octobre 2026</t>
        </is>
      </c>
      <c r="C380" s="10" t="inlineStr">
        <is>
          <t>B</t>
        </is>
      </c>
      <c r="D380" s="41" t="n">
        <v>46305</v>
      </c>
      <c r="E380" s="10" t="inlineStr">
        <is>
          <t>Samedi</t>
        </is>
      </c>
      <c r="F380" s="42" t="n">
        <v>0.7708333333333334</v>
      </c>
      <c r="G380" s="42" t="n">
        <v>0.8333333333333334</v>
      </c>
      <c r="H380" s="43">
        <f>IF(OR($F380="",$G380=""),"",($G380-$F380)*24)</f>
        <v/>
      </c>
      <c r="I380" s="10" t="inlineStr">
        <is>
          <t>Bac</t>
        </is>
      </c>
      <c r="J380" s="9" t="inlineStr">
        <is>
          <t>Bac Eco</t>
        </is>
      </c>
      <c r="K380" s="9" t="inlineStr">
        <is>
          <t>Géographie</t>
        </is>
      </c>
      <c r="L380" s="9" t="inlineStr">
        <is>
          <t>Géographie</t>
        </is>
      </c>
      <c r="M380" s="9" t="inlineStr">
        <is>
          <t>Abdelwaheb</t>
        </is>
      </c>
      <c r="N380" s="10" t="n"/>
      <c r="O380" s="10" t="n"/>
      <c r="P380" s="10" t="inlineStr">
        <is>
          <t>Quinzaine B</t>
        </is>
      </c>
      <c r="Q380" s="9" t="inlineStr">
        <is>
          <t>Généré (octobre)</t>
        </is>
      </c>
      <c r="R380" s="9" t="inlineStr"/>
      <c r="S380" s="44">
        <f>IF($M380="","",IF(SUMPRODUCT(($D$4:$D$704=$D380)*($M$4:$M$704=$M380)*($F$4:$F$704&lt;$G380)*($G$4:$G$704&gt;$F380))&gt;1,"⚠ CONFLIT",""))</f>
        <v/>
      </c>
      <c r="T380" s="44">
        <f>IF($J380="","",IF(SUMPRODUCT(($D$4:$D$704=$D380)*($J$4:$J$704=$J380)*($F$4:$F$704&lt;$G380)*($G$4:$G$704&gt;$F380))&gt;1,"⚠ CONFLIT",""))</f>
        <v/>
      </c>
      <c r="U380" s="44">
        <f>IF(COUNTIFS($D$4:$D$704,$D380,$J$4:$J$704,$J380,$F$4:$F$704,$F380,$K$4:$K$704,$K380)&gt;1,"⚠ DOUBLON","")</f>
        <v/>
      </c>
      <c r="V380" s="44">
        <f>COUNTIFS($A$4:$A380,$A380,$J$4:$J380,$J380,$E$4:$E380,$E380)</f>
        <v/>
      </c>
      <c r="W380" s="45">
        <f>$A380&amp;"|"&amp;$J380&amp;"|"&amp;$E380&amp;"|"&amp;$V380</f>
        <v/>
      </c>
      <c r="X380" s="46">
        <f>TEXT($F380,"hh:mm")&amp;" - "&amp;TEXT($G380,"hh:mm")&amp;IF($P380="Quinzaine A","   ◆ Q-A",IF($P380="Quinzaine B","   ◆ Q-B",IF($P380="Exception","   ◆ PONCTUEL","")))&amp;CHAR(10)&amp;$K380&amp;CHAR(10)&amp;$M380&amp;IF($N380&lt;&gt;"",CHAR(10)&amp;"Salle "&amp;$N380,"")&amp;IF($O380="En ligne",CHAR(10)&amp;"◆ EN LIGNE","")&amp;IF($R380&lt;&gt;"",CHAR(10)&amp;$R380,"")</f>
        <v/>
      </c>
      <c r="Y380" s="45" t="inlineStr"/>
      <c r="Z380" s="45" t="inlineStr">
        <is>
          <t>— généré —</t>
        </is>
      </c>
    </row>
    <row r="381" ht="15" customHeight="1">
      <c r="A381" s="10" t="inlineStr">
        <is>
          <t>S4</t>
        </is>
      </c>
      <c r="B381" s="9" t="inlineStr">
        <is>
          <t>du 5 au 11 octobre 2026</t>
        </is>
      </c>
      <c r="C381" s="10" t="inlineStr">
        <is>
          <t>B</t>
        </is>
      </c>
      <c r="D381" s="41" t="n">
        <v>46305</v>
      </c>
      <c r="E381" s="10" t="inlineStr">
        <is>
          <t>Samedi</t>
        </is>
      </c>
      <c r="F381" s="42" t="n">
        <v>0.7916666666666666</v>
      </c>
      <c r="G381" s="42" t="n">
        <v>0.8541666666666666</v>
      </c>
      <c r="H381" s="43">
        <f>IF(OR($F381="",$G381=""),"",($G381-$F381)*24)</f>
        <v/>
      </c>
      <c r="I381" s="10" t="inlineStr">
        <is>
          <t>Bac</t>
        </is>
      </c>
      <c r="J381" s="9" t="inlineStr">
        <is>
          <t>Bac SCE</t>
        </is>
      </c>
      <c r="K381" s="9" t="inlineStr">
        <is>
          <t>SVT</t>
        </is>
      </c>
      <c r="L381" s="9" t="inlineStr">
        <is>
          <t>SVT</t>
        </is>
      </c>
      <c r="M381" s="9" t="inlineStr">
        <is>
          <t>Rym</t>
        </is>
      </c>
      <c r="N381" s="10" t="n"/>
      <c r="O381" s="10" t="n"/>
      <c r="P381" s="10" t="inlineStr">
        <is>
          <t>Hebdomadaire</t>
        </is>
      </c>
      <c r="Q381" s="9" t="inlineStr">
        <is>
          <t>Généré (octobre)</t>
        </is>
      </c>
      <c r="R381" s="9" t="inlineStr"/>
      <c r="S381" s="44">
        <f>IF($M381="","",IF(SUMPRODUCT(($D$4:$D$704=$D381)*($M$4:$M$704=$M381)*($F$4:$F$704&lt;$G381)*($G$4:$G$704&gt;$F381))&gt;1,"⚠ CONFLIT",""))</f>
        <v/>
      </c>
      <c r="T381" s="44">
        <f>IF($J381="","",IF(SUMPRODUCT(($D$4:$D$704=$D381)*($J$4:$J$704=$J381)*($F$4:$F$704&lt;$G381)*($G$4:$G$704&gt;$F381))&gt;1,"⚠ CONFLIT",""))</f>
        <v/>
      </c>
      <c r="U381" s="44">
        <f>IF(COUNTIFS($D$4:$D$704,$D381,$J$4:$J$704,$J381,$F$4:$F$704,$F381,$K$4:$K$704,$K381)&gt;1,"⚠ DOUBLON","")</f>
        <v/>
      </c>
      <c r="V381" s="44">
        <f>COUNTIFS($A$4:$A381,$A381,$J$4:$J381,$J381,$E$4:$E381,$E381)</f>
        <v/>
      </c>
      <c r="W381" s="45">
        <f>$A381&amp;"|"&amp;$J381&amp;"|"&amp;$E381&amp;"|"&amp;$V381</f>
        <v/>
      </c>
      <c r="X381" s="46">
        <f>TEXT($F381,"hh:mm")&amp;" - "&amp;TEXT($G381,"hh:mm")&amp;IF($P381="Quinzaine A","   ◆ Q-A",IF($P381="Quinzaine B","   ◆ Q-B",IF($P381="Exception","   ◆ PONCTUEL","")))&amp;CHAR(10)&amp;$K381&amp;CHAR(10)&amp;$M381&amp;IF($N381&lt;&gt;"",CHAR(10)&amp;"Salle "&amp;$N381,"")&amp;IF($O381="En ligne",CHAR(10)&amp;"◆ EN LIGNE","")&amp;IF($R381&lt;&gt;"",CHAR(10)&amp;$R381,"")</f>
        <v/>
      </c>
      <c r="Y381" s="45" t="inlineStr"/>
      <c r="Z381" s="45" t="inlineStr">
        <is>
          <t>— généré —</t>
        </is>
      </c>
    </row>
    <row r="382" ht="15" customHeight="1">
      <c r="A382" s="10" t="inlineStr">
        <is>
          <t>S4</t>
        </is>
      </c>
      <c r="B382" s="9" t="inlineStr">
        <is>
          <t>du 5 au 11 octobre 2026</t>
        </is>
      </c>
      <c r="C382" s="10" t="inlineStr">
        <is>
          <t>B</t>
        </is>
      </c>
      <c r="D382" s="41" t="n">
        <v>46305</v>
      </c>
      <c r="E382" s="10" t="inlineStr">
        <is>
          <t>Samedi</t>
        </is>
      </c>
      <c r="F382" s="42" t="n">
        <v>0.7916666666666666</v>
      </c>
      <c r="G382" s="42" t="n">
        <v>0.875</v>
      </c>
      <c r="H382" s="43">
        <f>IF(OR($F382="",$G382=""),"",($G382-$F382)*24)</f>
        <v/>
      </c>
      <c r="I382" s="10" t="inlineStr">
        <is>
          <t>Bac</t>
        </is>
      </c>
      <c r="J382" s="9" t="inlineStr">
        <is>
          <t>Bac INFO</t>
        </is>
      </c>
      <c r="K382" s="9" t="inlineStr">
        <is>
          <t>ALGO</t>
        </is>
      </c>
      <c r="L382" s="9" t="inlineStr">
        <is>
          <t>ALGO</t>
        </is>
      </c>
      <c r="M382" s="9" t="inlineStr">
        <is>
          <t>Heni</t>
        </is>
      </c>
      <c r="N382" s="10" t="n"/>
      <c r="O382" s="10" t="n"/>
      <c r="P382" s="10" t="inlineStr">
        <is>
          <t>Hebdomadaire</t>
        </is>
      </c>
      <c r="Q382" s="9" t="inlineStr">
        <is>
          <t>Généré (octobre)</t>
        </is>
      </c>
      <c r="R382" s="9" t="inlineStr"/>
      <c r="S382" s="44">
        <f>IF($M382="","",IF(SUMPRODUCT(($D$4:$D$704=$D382)*($M$4:$M$704=$M382)*($F$4:$F$704&lt;$G382)*($G$4:$G$704&gt;$F382))&gt;1,"⚠ CONFLIT",""))</f>
        <v/>
      </c>
      <c r="T382" s="44">
        <f>IF($J382="","",IF(SUMPRODUCT(($D$4:$D$704=$D382)*($J$4:$J$704=$J382)*($F$4:$F$704&lt;$G382)*($G$4:$G$704&gt;$F382))&gt;1,"⚠ CONFLIT",""))</f>
        <v/>
      </c>
      <c r="U382" s="44">
        <f>IF(COUNTIFS($D$4:$D$704,$D382,$J$4:$J$704,$J382,$F$4:$F$704,$F382,$K$4:$K$704,$K382)&gt;1,"⚠ DOUBLON","")</f>
        <v/>
      </c>
      <c r="V382" s="44">
        <f>COUNTIFS($A$4:$A382,$A382,$J$4:$J382,$J382,$E$4:$E382,$E382)</f>
        <v/>
      </c>
      <c r="W382" s="45">
        <f>$A382&amp;"|"&amp;$J382&amp;"|"&amp;$E382&amp;"|"&amp;$V382</f>
        <v/>
      </c>
      <c r="X382" s="46">
        <f>TEXT($F382,"hh:mm")&amp;" - "&amp;TEXT($G382,"hh:mm")&amp;IF($P382="Quinzaine A","   ◆ Q-A",IF($P382="Quinzaine B","   ◆ Q-B",IF($P382="Exception","   ◆ PONCTUEL","")))&amp;CHAR(10)&amp;$K382&amp;CHAR(10)&amp;$M382&amp;IF($N382&lt;&gt;"",CHAR(10)&amp;"Salle "&amp;$N382,"")&amp;IF($O382="En ligne",CHAR(10)&amp;"◆ EN LIGNE","")&amp;IF($R382&lt;&gt;"",CHAR(10)&amp;$R382,"")</f>
        <v/>
      </c>
      <c r="Y382" s="45" t="inlineStr"/>
      <c r="Z382" s="45" t="inlineStr">
        <is>
          <t>— généré —</t>
        </is>
      </c>
    </row>
    <row r="383" ht="15" customHeight="1">
      <c r="A383" s="10" t="inlineStr">
        <is>
          <t>S4</t>
        </is>
      </c>
      <c r="B383" s="9" t="inlineStr">
        <is>
          <t>du 5 au 11 octobre 2026</t>
        </is>
      </c>
      <c r="C383" s="10" t="inlineStr">
        <is>
          <t>B</t>
        </is>
      </c>
      <c r="D383" s="41" t="n">
        <v>46306</v>
      </c>
      <c r="E383" s="10" t="inlineStr">
        <is>
          <t>Dimanche</t>
        </is>
      </c>
      <c r="F383" s="42" t="n">
        <v>0.4375</v>
      </c>
      <c r="G383" s="42" t="n">
        <v>0.5</v>
      </c>
      <c r="H383" s="43">
        <f>IF(OR($F383="",$G383=""),"",($G383-$F383)*24)</f>
        <v/>
      </c>
      <c r="I383" s="10" t="inlineStr">
        <is>
          <t>Primaire</t>
        </is>
      </c>
      <c r="J383" s="9" t="inlineStr">
        <is>
          <t>5éme</t>
        </is>
      </c>
      <c r="K383" s="9" t="inlineStr">
        <is>
          <t>Anglais</t>
        </is>
      </c>
      <c r="L383" s="9" t="inlineStr">
        <is>
          <t>Anglais</t>
        </is>
      </c>
      <c r="M383" s="9" t="inlineStr">
        <is>
          <t>Samar</t>
        </is>
      </c>
      <c r="N383" s="10" t="n"/>
      <c r="O383" s="10" t="n"/>
      <c r="P383" s="10" t="inlineStr">
        <is>
          <t>Quinzaine B</t>
        </is>
      </c>
      <c r="Q383" s="9" t="inlineStr">
        <is>
          <t>Généré (octobre)</t>
        </is>
      </c>
      <c r="R383" s="9" t="inlineStr"/>
      <c r="S383" s="44">
        <f>IF($M383="","",IF(SUMPRODUCT(($D$4:$D$704=$D383)*($M$4:$M$704=$M383)*($F$4:$F$704&lt;$G383)*($G$4:$G$704&gt;$F383))&gt;1,"⚠ CONFLIT",""))</f>
        <v/>
      </c>
      <c r="T383" s="44">
        <f>IF($J383="","",IF(SUMPRODUCT(($D$4:$D$704=$D383)*($J$4:$J$704=$J383)*($F$4:$F$704&lt;$G383)*($G$4:$G$704&gt;$F383))&gt;1,"⚠ CONFLIT",""))</f>
        <v/>
      </c>
      <c r="U383" s="44">
        <f>IF(COUNTIFS($D$4:$D$704,$D383,$J$4:$J$704,$J383,$F$4:$F$704,$F383,$K$4:$K$704,$K383)&gt;1,"⚠ DOUBLON","")</f>
        <v/>
      </c>
      <c r="V383" s="44">
        <f>COUNTIFS($A$4:$A383,$A383,$J$4:$J383,$J383,$E$4:$E383,$E383)</f>
        <v/>
      </c>
      <c r="W383" s="45">
        <f>$A383&amp;"|"&amp;$J383&amp;"|"&amp;$E383&amp;"|"&amp;$V383</f>
        <v/>
      </c>
      <c r="X383" s="46">
        <f>TEXT($F383,"hh:mm")&amp;" - "&amp;TEXT($G383,"hh:mm")&amp;IF($P383="Quinzaine A","   ◆ Q-A",IF($P383="Quinzaine B","   ◆ Q-B",IF($P383="Exception","   ◆ PONCTUEL","")))&amp;CHAR(10)&amp;$K383&amp;CHAR(10)&amp;$M383&amp;IF($N383&lt;&gt;"",CHAR(10)&amp;"Salle "&amp;$N383,"")&amp;IF($O383="En ligne",CHAR(10)&amp;"◆ EN LIGNE","")&amp;IF($R383&lt;&gt;"",CHAR(10)&amp;$R383,"")</f>
        <v/>
      </c>
      <c r="Y383" s="45" t="inlineStr"/>
      <c r="Z383" s="45" t="inlineStr">
        <is>
          <t>— généré —</t>
        </is>
      </c>
    </row>
    <row r="384" ht="15" customHeight="1">
      <c r="A384" s="10" t="inlineStr">
        <is>
          <t>S4</t>
        </is>
      </c>
      <c r="B384" s="9" t="inlineStr">
        <is>
          <t>du 5 au 11 octobre 2026</t>
        </is>
      </c>
      <c r="C384" s="10" t="inlineStr">
        <is>
          <t>B</t>
        </is>
      </c>
      <c r="D384" s="41" t="n">
        <v>46306</v>
      </c>
      <c r="E384" s="10" t="inlineStr">
        <is>
          <t>Dimanche</t>
        </is>
      </c>
      <c r="F384" s="42" t="n">
        <v>0.5833333333333334</v>
      </c>
      <c r="G384" s="42" t="n">
        <v>0.6458333333333334</v>
      </c>
      <c r="H384" s="43">
        <f>IF(OR($F384="",$G384=""),"",($G384-$F384)*24)</f>
        <v/>
      </c>
      <c r="I384" s="10" t="inlineStr">
        <is>
          <t>Collège</t>
        </is>
      </c>
      <c r="J384" s="9" t="inlineStr">
        <is>
          <t>7éme (A)</t>
        </is>
      </c>
      <c r="K384" s="9" t="inlineStr">
        <is>
          <t>Français</t>
        </is>
      </c>
      <c r="L384" s="9" t="inlineStr">
        <is>
          <t>Français</t>
        </is>
      </c>
      <c r="M384" s="9" t="inlineStr">
        <is>
          <t>Marwa</t>
        </is>
      </c>
      <c r="N384" s="10" t="n"/>
      <c r="O384" s="10" t="n"/>
      <c r="P384" s="10" t="inlineStr">
        <is>
          <t>Hebdomadaire</t>
        </is>
      </c>
      <c r="Q384" s="9" t="inlineStr">
        <is>
          <t>Généré (octobre)</t>
        </is>
      </c>
      <c r="R384" s="9" t="inlineStr"/>
      <c r="S384" s="44">
        <f>IF($M384="","",IF(SUMPRODUCT(($D$4:$D$704=$D384)*($M$4:$M$704=$M384)*($F$4:$F$704&lt;$G384)*($G$4:$G$704&gt;$F384))&gt;1,"⚠ CONFLIT",""))</f>
        <v/>
      </c>
      <c r="T384" s="44">
        <f>IF($J384="","",IF(SUMPRODUCT(($D$4:$D$704=$D384)*($J$4:$J$704=$J384)*($F$4:$F$704&lt;$G384)*($G$4:$G$704&gt;$F384))&gt;1,"⚠ CONFLIT",""))</f>
        <v/>
      </c>
      <c r="U384" s="44">
        <f>IF(COUNTIFS($D$4:$D$704,$D384,$J$4:$J$704,$J384,$F$4:$F$704,$F384,$K$4:$K$704,$K384)&gt;1,"⚠ DOUBLON","")</f>
        <v/>
      </c>
      <c r="V384" s="44">
        <f>COUNTIFS($A$4:$A384,$A384,$J$4:$J384,$J384,$E$4:$E384,$E384)</f>
        <v/>
      </c>
      <c r="W384" s="45">
        <f>$A384&amp;"|"&amp;$J384&amp;"|"&amp;$E384&amp;"|"&amp;$V384</f>
        <v/>
      </c>
      <c r="X384" s="46">
        <f>TEXT($F384,"hh:mm")&amp;" - "&amp;TEXT($G384,"hh:mm")&amp;IF($P384="Quinzaine A","   ◆ Q-A",IF($P384="Quinzaine B","   ◆ Q-B",IF($P384="Exception","   ◆ PONCTUEL","")))&amp;CHAR(10)&amp;$K384&amp;CHAR(10)&amp;$M384&amp;IF($N384&lt;&gt;"",CHAR(10)&amp;"Salle "&amp;$N384,"")&amp;IF($O384="En ligne",CHAR(10)&amp;"◆ EN LIGNE","")&amp;IF($R384&lt;&gt;"",CHAR(10)&amp;$R384,"")</f>
        <v/>
      </c>
      <c r="Y384" s="45" t="inlineStr"/>
      <c r="Z384" s="45" t="inlineStr">
        <is>
          <t>— généré —</t>
        </is>
      </c>
    </row>
    <row r="385" ht="15" customHeight="1">
      <c r="A385" s="10" t="inlineStr">
        <is>
          <t>S4</t>
        </is>
      </c>
      <c r="B385" s="9" t="inlineStr">
        <is>
          <t>du 5 au 11 octobre 2026</t>
        </is>
      </c>
      <c r="C385" s="10" t="inlineStr">
        <is>
          <t>B</t>
        </is>
      </c>
      <c r="D385" s="41" t="n">
        <v>46306</v>
      </c>
      <c r="E385" s="10" t="inlineStr">
        <is>
          <t>Dimanche</t>
        </is>
      </c>
      <c r="F385" s="42" t="n">
        <v>0.6458333333333334</v>
      </c>
      <c r="G385" s="42" t="n">
        <v>0.7083333333333334</v>
      </c>
      <c r="H385" s="43">
        <f>IF(OR($F385="",$G385=""),"",($G385-$F385)*24)</f>
        <v/>
      </c>
      <c r="I385" s="10" t="inlineStr">
        <is>
          <t>Collège</t>
        </is>
      </c>
      <c r="J385" s="9" t="inlineStr">
        <is>
          <t>7éme (B)</t>
        </is>
      </c>
      <c r="K385" s="9" t="inlineStr">
        <is>
          <t>Français</t>
        </is>
      </c>
      <c r="L385" s="9" t="inlineStr">
        <is>
          <t>Français</t>
        </is>
      </c>
      <c r="M385" s="9" t="inlineStr">
        <is>
          <t>Marwa</t>
        </is>
      </c>
      <c r="N385" s="10" t="n"/>
      <c r="O385" s="10" t="n"/>
      <c r="P385" s="10" t="inlineStr">
        <is>
          <t>Hebdomadaire</t>
        </is>
      </c>
      <c r="Q385" s="9" t="inlineStr">
        <is>
          <t>Généré (octobre)</t>
        </is>
      </c>
      <c r="R385" s="9" t="inlineStr"/>
      <c r="S385" s="44">
        <f>IF($M385="","",IF(SUMPRODUCT(($D$4:$D$704=$D385)*($M$4:$M$704=$M385)*($F$4:$F$704&lt;$G385)*($G$4:$G$704&gt;$F385))&gt;1,"⚠ CONFLIT",""))</f>
        <v/>
      </c>
      <c r="T385" s="44">
        <f>IF($J385="","",IF(SUMPRODUCT(($D$4:$D$704=$D385)*($J$4:$J$704=$J385)*($F$4:$F$704&lt;$G385)*($G$4:$G$704&gt;$F385))&gt;1,"⚠ CONFLIT",""))</f>
        <v/>
      </c>
      <c r="U385" s="44">
        <f>IF(COUNTIFS($D$4:$D$704,$D385,$J$4:$J$704,$J385,$F$4:$F$704,$F385,$K$4:$K$704,$K385)&gt;1,"⚠ DOUBLON","")</f>
        <v/>
      </c>
      <c r="V385" s="44">
        <f>COUNTIFS($A$4:$A385,$A385,$J$4:$J385,$J385,$E$4:$E385,$E385)</f>
        <v/>
      </c>
      <c r="W385" s="45">
        <f>$A385&amp;"|"&amp;$J385&amp;"|"&amp;$E385&amp;"|"&amp;$V385</f>
        <v/>
      </c>
      <c r="X385" s="46">
        <f>TEXT($F385,"hh:mm")&amp;" - "&amp;TEXT($G385,"hh:mm")&amp;IF($P385="Quinzaine A","   ◆ Q-A",IF($P385="Quinzaine B","   ◆ Q-B",IF($P385="Exception","   ◆ PONCTUEL","")))&amp;CHAR(10)&amp;$K385&amp;CHAR(10)&amp;$M385&amp;IF($N385&lt;&gt;"",CHAR(10)&amp;"Salle "&amp;$N385,"")&amp;IF($O385="En ligne",CHAR(10)&amp;"◆ EN LIGNE","")&amp;IF($R385&lt;&gt;"",CHAR(10)&amp;$R385,"")</f>
        <v/>
      </c>
      <c r="Y385" s="45" t="inlineStr"/>
      <c r="Z385" s="45" t="inlineStr">
        <is>
          <t>— généré —</t>
        </is>
      </c>
    </row>
    <row r="386" ht="15" customHeight="1">
      <c r="A386" s="10" t="inlineStr">
        <is>
          <t>S4</t>
        </is>
      </c>
      <c r="B386" s="9" t="inlineStr">
        <is>
          <t>du 5 au 11 octobre 2026</t>
        </is>
      </c>
      <c r="C386" s="10" t="inlineStr">
        <is>
          <t>B</t>
        </is>
      </c>
      <c r="D386" s="41" t="n">
        <v>46306</v>
      </c>
      <c r="E386" s="10" t="inlineStr">
        <is>
          <t>Dimanche</t>
        </is>
      </c>
      <c r="F386" s="42" t="n">
        <v>0.5729166666666666</v>
      </c>
      <c r="G386" s="42" t="n">
        <v>0.6354166666666666</v>
      </c>
      <c r="H386" s="43">
        <f>IF(OR($F386="",$G386=""),"",($G386-$F386)*24)</f>
        <v/>
      </c>
      <c r="I386" s="10" t="inlineStr">
        <is>
          <t>Collège</t>
        </is>
      </c>
      <c r="J386" s="9" t="inlineStr">
        <is>
          <t>8éme (A)</t>
        </is>
      </c>
      <c r="K386" s="9" t="inlineStr">
        <is>
          <t>Math</t>
        </is>
      </c>
      <c r="L386" s="9" t="inlineStr">
        <is>
          <t>Math</t>
        </is>
      </c>
      <c r="M386" s="9" t="inlineStr">
        <is>
          <t>Hajer</t>
        </is>
      </c>
      <c r="N386" s="10" t="n"/>
      <c r="O386" s="10" t="n"/>
      <c r="P386" s="10" t="inlineStr">
        <is>
          <t>Hebdomadaire</t>
        </is>
      </c>
      <c r="Q386" s="9" t="inlineStr">
        <is>
          <t>Généré (octobre)</t>
        </is>
      </c>
      <c r="R386" s="9" t="inlineStr"/>
      <c r="S386" s="44">
        <f>IF($M386="","",IF(SUMPRODUCT(($D$4:$D$704=$D386)*($M$4:$M$704=$M386)*($F$4:$F$704&lt;$G386)*($G$4:$G$704&gt;$F386))&gt;1,"⚠ CONFLIT",""))</f>
        <v/>
      </c>
      <c r="T386" s="44">
        <f>IF($J386="","",IF(SUMPRODUCT(($D$4:$D$704=$D386)*($J$4:$J$704=$J386)*($F$4:$F$704&lt;$G386)*($G$4:$G$704&gt;$F386))&gt;1,"⚠ CONFLIT",""))</f>
        <v/>
      </c>
      <c r="U386" s="44">
        <f>IF(COUNTIFS($D$4:$D$704,$D386,$J$4:$J$704,$J386,$F$4:$F$704,$F386,$K$4:$K$704,$K386)&gt;1,"⚠ DOUBLON","")</f>
        <v/>
      </c>
      <c r="V386" s="44">
        <f>COUNTIFS($A$4:$A386,$A386,$J$4:$J386,$J386,$E$4:$E386,$E386)</f>
        <v/>
      </c>
      <c r="W386" s="45">
        <f>$A386&amp;"|"&amp;$J386&amp;"|"&amp;$E386&amp;"|"&amp;$V386</f>
        <v/>
      </c>
      <c r="X386" s="46">
        <f>TEXT($F386,"hh:mm")&amp;" - "&amp;TEXT($G386,"hh:mm")&amp;IF($P386="Quinzaine A","   ◆ Q-A",IF($P386="Quinzaine B","   ◆ Q-B",IF($P386="Exception","   ◆ PONCTUEL","")))&amp;CHAR(10)&amp;$K386&amp;CHAR(10)&amp;$M386&amp;IF($N386&lt;&gt;"",CHAR(10)&amp;"Salle "&amp;$N386,"")&amp;IF($O386="En ligne",CHAR(10)&amp;"◆ EN LIGNE","")&amp;IF($R386&lt;&gt;"",CHAR(10)&amp;$R386,"")</f>
        <v/>
      </c>
      <c r="Y386" s="45" t="inlineStr"/>
      <c r="Z386" s="45" t="inlineStr">
        <is>
          <t>— généré —</t>
        </is>
      </c>
    </row>
    <row r="387" ht="15" customHeight="1">
      <c r="A387" s="10" t="inlineStr">
        <is>
          <t>S4</t>
        </is>
      </c>
      <c r="B387" s="9" t="inlineStr">
        <is>
          <t>du 5 au 11 octobre 2026</t>
        </is>
      </c>
      <c r="C387" s="10" t="inlineStr">
        <is>
          <t>B</t>
        </is>
      </c>
      <c r="D387" s="41" t="n">
        <v>46306</v>
      </c>
      <c r="E387" s="10" t="inlineStr">
        <is>
          <t>Dimanche</t>
        </is>
      </c>
      <c r="F387" s="42" t="n">
        <v>0.7083333333333334</v>
      </c>
      <c r="G387" s="42" t="n">
        <v>0.7708333333333334</v>
      </c>
      <c r="H387" s="43">
        <f>IF(OR($F387="",$G387=""),"",($G387-$F387)*24)</f>
        <v/>
      </c>
      <c r="I387" s="10" t="inlineStr">
        <is>
          <t>Collège</t>
        </is>
      </c>
      <c r="J387" s="9" t="inlineStr">
        <is>
          <t>8éme (B)</t>
        </is>
      </c>
      <c r="K387" s="9" t="inlineStr">
        <is>
          <t>Français</t>
        </is>
      </c>
      <c r="L387" s="9" t="inlineStr">
        <is>
          <t>Français</t>
        </is>
      </c>
      <c r="M387" s="9" t="inlineStr">
        <is>
          <t>Marwa</t>
        </is>
      </c>
      <c r="N387" s="10" t="n"/>
      <c r="O387" s="10" t="n"/>
      <c r="P387" s="10" t="inlineStr">
        <is>
          <t>Hebdomadaire</t>
        </is>
      </c>
      <c r="Q387" s="9" t="inlineStr">
        <is>
          <t>Généré (octobre)</t>
        </is>
      </c>
      <c r="R387" s="9" t="inlineStr"/>
      <c r="S387" s="44">
        <f>IF($M387="","",IF(SUMPRODUCT(($D$4:$D$704=$D387)*($M$4:$M$704=$M387)*($F$4:$F$704&lt;$G387)*($G$4:$G$704&gt;$F387))&gt;1,"⚠ CONFLIT",""))</f>
        <v/>
      </c>
      <c r="T387" s="44">
        <f>IF($J387="","",IF(SUMPRODUCT(($D$4:$D$704=$D387)*($J$4:$J$704=$J387)*($F$4:$F$704&lt;$G387)*($G$4:$G$704&gt;$F387))&gt;1,"⚠ CONFLIT",""))</f>
        <v/>
      </c>
      <c r="U387" s="44">
        <f>IF(COUNTIFS($D$4:$D$704,$D387,$J$4:$J$704,$J387,$F$4:$F$704,$F387,$K$4:$K$704,$K387)&gt;1,"⚠ DOUBLON","")</f>
        <v/>
      </c>
      <c r="V387" s="44">
        <f>COUNTIFS($A$4:$A387,$A387,$J$4:$J387,$J387,$E$4:$E387,$E387)</f>
        <v/>
      </c>
      <c r="W387" s="45">
        <f>$A387&amp;"|"&amp;$J387&amp;"|"&amp;$E387&amp;"|"&amp;$V387</f>
        <v/>
      </c>
      <c r="X387" s="46">
        <f>TEXT($F387,"hh:mm")&amp;" - "&amp;TEXT($G387,"hh:mm")&amp;IF($P387="Quinzaine A","   ◆ Q-A",IF($P387="Quinzaine B","   ◆ Q-B",IF($P387="Exception","   ◆ PONCTUEL","")))&amp;CHAR(10)&amp;$K387&amp;CHAR(10)&amp;$M387&amp;IF($N387&lt;&gt;"",CHAR(10)&amp;"Salle "&amp;$N387,"")&amp;IF($O387="En ligne",CHAR(10)&amp;"◆ EN LIGNE","")&amp;IF($R387&lt;&gt;"",CHAR(10)&amp;$R387,"")</f>
        <v/>
      </c>
      <c r="Y387" s="45" t="inlineStr"/>
      <c r="Z387" s="45" t="inlineStr">
        <is>
          <t>— généré —</t>
        </is>
      </c>
    </row>
    <row r="388" ht="15" customHeight="1">
      <c r="A388" s="10" t="inlineStr">
        <is>
          <t>S4</t>
        </is>
      </c>
      <c r="B388" s="9" t="inlineStr">
        <is>
          <t>du 5 au 11 octobre 2026</t>
        </is>
      </c>
      <c r="C388" s="10" t="inlineStr">
        <is>
          <t>B</t>
        </is>
      </c>
      <c r="D388" s="41" t="n">
        <v>46306</v>
      </c>
      <c r="E388" s="10" t="inlineStr">
        <is>
          <t>Dimanche</t>
        </is>
      </c>
      <c r="F388" s="42" t="n">
        <v>0.4375</v>
      </c>
      <c r="G388" s="42" t="n">
        <v>0.5</v>
      </c>
      <c r="H388" s="43">
        <f>IF(OR($F388="",$G388=""),"",($G388-$F388)*24)</f>
        <v/>
      </c>
      <c r="I388" s="10" t="inlineStr">
        <is>
          <t>Collège</t>
        </is>
      </c>
      <c r="J388" s="9" t="inlineStr">
        <is>
          <t>9éme (A)</t>
        </is>
      </c>
      <c r="K388" s="9" t="inlineStr">
        <is>
          <t>Anglais</t>
        </is>
      </c>
      <c r="L388" s="9" t="inlineStr">
        <is>
          <t>Anglais</t>
        </is>
      </c>
      <c r="M388" s="9" t="inlineStr">
        <is>
          <t>Bassma</t>
        </is>
      </c>
      <c r="N388" s="10" t="n"/>
      <c r="O388" s="10" t="n"/>
      <c r="P388" s="10" t="inlineStr">
        <is>
          <t>Hebdomadaire</t>
        </is>
      </c>
      <c r="Q388" s="9" t="inlineStr">
        <is>
          <t>Généré (octobre)</t>
        </is>
      </c>
      <c r="R388" s="9" t="inlineStr"/>
      <c r="S388" s="44">
        <f>IF($M388="","",IF(SUMPRODUCT(($D$4:$D$704=$D388)*($M$4:$M$704=$M388)*($F$4:$F$704&lt;$G388)*($G$4:$G$704&gt;$F388))&gt;1,"⚠ CONFLIT",""))</f>
        <v/>
      </c>
      <c r="T388" s="44">
        <f>IF($J388="","",IF(SUMPRODUCT(($D$4:$D$704=$D388)*($J$4:$J$704=$J388)*($F$4:$F$704&lt;$G388)*($G$4:$G$704&gt;$F388))&gt;1,"⚠ CONFLIT",""))</f>
        <v/>
      </c>
      <c r="U388" s="44">
        <f>IF(COUNTIFS($D$4:$D$704,$D388,$J$4:$J$704,$J388,$F$4:$F$704,$F388,$K$4:$K$704,$K388)&gt;1,"⚠ DOUBLON","")</f>
        <v/>
      </c>
      <c r="V388" s="44">
        <f>COUNTIFS($A$4:$A388,$A388,$J$4:$J388,$J388,$E$4:$E388,$E388)</f>
        <v/>
      </c>
      <c r="W388" s="45">
        <f>$A388&amp;"|"&amp;$J388&amp;"|"&amp;$E388&amp;"|"&amp;$V388</f>
        <v/>
      </c>
      <c r="X388" s="46">
        <f>TEXT($F388,"hh:mm")&amp;" - "&amp;TEXT($G388,"hh:mm")&amp;IF($P388="Quinzaine A","   ◆ Q-A",IF($P388="Quinzaine B","   ◆ Q-B",IF($P388="Exception","   ◆ PONCTUEL","")))&amp;CHAR(10)&amp;$K388&amp;CHAR(10)&amp;$M388&amp;IF($N388&lt;&gt;"",CHAR(10)&amp;"Salle "&amp;$N388,"")&amp;IF($O388="En ligne",CHAR(10)&amp;"◆ EN LIGNE","")&amp;IF($R388&lt;&gt;"",CHAR(10)&amp;$R388,"")</f>
        <v/>
      </c>
      <c r="Y388" s="45" t="inlineStr"/>
      <c r="Z388" s="45" t="inlineStr">
        <is>
          <t>— généré —</t>
        </is>
      </c>
    </row>
    <row r="389" ht="15" customHeight="1">
      <c r="A389" s="10" t="inlineStr">
        <is>
          <t>S4</t>
        </is>
      </c>
      <c r="B389" s="9" t="inlineStr">
        <is>
          <t>du 5 au 11 octobre 2026</t>
        </is>
      </c>
      <c r="C389" s="10" t="inlineStr">
        <is>
          <t>B</t>
        </is>
      </c>
      <c r="D389" s="41" t="n">
        <v>46306</v>
      </c>
      <c r="E389" s="10" t="inlineStr">
        <is>
          <t>Dimanche</t>
        </is>
      </c>
      <c r="F389" s="42" t="n">
        <v>0.6458333333333334</v>
      </c>
      <c r="G389" s="42" t="n">
        <v>0.7083333333333334</v>
      </c>
      <c r="H389" s="43">
        <f>IF(OR($F389="",$G389=""),"",($G389-$F389)*24)</f>
        <v/>
      </c>
      <c r="I389" s="10" t="inlineStr">
        <is>
          <t>Collège</t>
        </is>
      </c>
      <c r="J389" s="9" t="inlineStr">
        <is>
          <t>9éme (A)</t>
        </is>
      </c>
      <c r="K389" s="9" t="inlineStr">
        <is>
          <t>Français</t>
        </is>
      </c>
      <c r="L389" s="9" t="inlineStr">
        <is>
          <t>Français</t>
        </is>
      </c>
      <c r="M389" s="9" t="inlineStr">
        <is>
          <t>Nassima</t>
        </is>
      </c>
      <c r="N389" s="10" t="n"/>
      <c r="O389" s="10" t="n"/>
      <c r="P389" s="10" t="inlineStr">
        <is>
          <t>Hebdomadaire</t>
        </is>
      </c>
      <c r="Q389" s="9" t="inlineStr">
        <is>
          <t>Généré (octobre)</t>
        </is>
      </c>
      <c r="R389" s="9" t="inlineStr"/>
      <c r="S389" s="44">
        <f>IF($M389="","",IF(SUMPRODUCT(($D$4:$D$704=$D389)*($M$4:$M$704=$M389)*($F$4:$F$704&lt;$G389)*($G$4:$G$704&gt;$F389))&gt;1,"⚠ CONFLIT",""))</f>
        <v/>
      </c>
      <c r="T389" s="44">
        <f>IF($J389="","",IF(SUMPRODUCT(($D$4:$D$704=$D389)*($J$4:$J$704=$J389)*($F$4:$F$704&lt;$G389)*($G$4:$G$704&gt;$F389))&gt;1,"⚠ CONFLIT",""))</f>
        <v/>
      </c>
      <c r="U389" s="44">
        <f>IF(COUNTIFS($D$4:$D$704,$D389,$J$4:$J$704,$J389,$F$4:$F$704,$F389,$K$4:$K$704,$K389)&gt;1,"⚠ DOUBLON","")</f>
        <v/>
      </c>
      <c r="V389" s="44">
        <f>COUNTIFS($A$4:$A389,$A389,$J$4:$J389,$J389,$E$4:$E389,$E389)</f>
        <v/>
      </c>
      <c r="W389" s="45">
        <f>$A389&amp;"|"&amp;$J389&amp;"|"&amp;$E389&amp;"|"&amp;$V389</f>
        <v/>
      </c>
      <c r="X389" s="46">
        <f>TEXT($F389,"hh:mm")&amp;" - "&amp;TEXT($G389,"hh:mm")&amp;IF($P389="Quinzaine A","   ◆ Q-A",IF($P389="Quinzaine B","   ◆ Q-B",IF($P389="Exception","   ◆ PONCTUEL","")))&amp;CHAR(10)&amp;$K389&amp;CHAR(10)&amp;$M389&amp;IF($N389&lt;&gt;"",CHAR(10)&amp;"Salle "&amp;$N389,"")&amp;IF($O389="En ligne",CHAR(10)&amp;"◆ EN LIGNE","")&amp;IF($R389&lt;&gt;"",CHAR(10)&amp;$R389,"")</f>
        <v/>
      </c>
      <c r="Y389" s="45" t="inlineStr"/>
      <c r="Z389" s="45" t="inlineStr">
        <is>
          <t>— généré —</t>
        </is>
      </c>
    </row>
    <row r="390" ht="15" customHeight="1">
      <c r="A390" s="10" t="inlineStr">
        <is>
          <t>S4</t>
        </is>
      </c>
      <c r="B390" s="9" t="inlineStr">
        <is>
          <t>du 5 au 11 octobre 2026</t>
        </is>
      </c>
      <c r="C390" s="10" t="inlineStr">
        <is>
          <t>B</t>
        </is>
      </c>
      <c r="D390" s="41" t="n">
        <v>46306</v>
      </c>
      <c r="E390" s="10" t="inlineStr">
        <is>
          <t>Dimanche</t>
        </is>
      </c>
      <c r="F390" s="42" t="n">
        <v>0.375</v>
      </c>
      <c r="G390" s="42" t="n">
        <v>0.4375</v>
      </c>
      <c r="H390" s="43">
        <f>IF(OR($F390="",$G390=""),"",($G390-$F390)*24)</f>
        <v/>
      </c>
      <c r="I390" s="10" t="inlineStr">
        <is>
          <t>Collège</t>
        </is>
      </c>
      <c r="J390" s="9" t="inlineStr">
        <is>
          <t>9éme (B)</t>
        </is>
      </c>
      <c r="K390" s="9" t="inlineStr">
        <is>
          <t>Anglais</t>
        </is>
      </c>
      <c r="L390" s="9" t="inlineStr">
        <is>
          <t>Anglais</t>
        </is>
      </c>
      <c r="M390" s="9" t="inlineStr">
        <is>
          <t>Bassma</t>
        </is>
      </c>
      <c r="N390" s="10" t="n"/>
      <c r="O390" s="10" t="n"/>
      <c r="P390" s="10" t="inlineStr">
        <is>
          <t>Hebdomadaire</t>
        </is>
      </c>
      <c r="Q390" s="9" t="inlineStr">
        <is>
          <t>Généré (octobre)</t>
        </is>
      </c>
      <c r="R390" s="9" t="inlineStr"/>
      <c r="S390" s="44">
        <f>IF($M390="","",IF(SUMPRODUCT(($D$4:$D$704=$D390)*($M$4:$M$704=$M390)*($F$4:$F$704&lt;$G390)*($G$4:$G$704&gt;$F390))&gt;1,"⚠ CONFLIT",""))</f>
        <v/>
      </c>
      <c r="T390" s="44">
        <f>IF($J390="","",IF(SUMPRODUCT(($D$4:$D$704=$D390)*($J$4:$J$704=$J390)*($F$4:$F$704&lt;$G390)*($G$4:$G$704&gt;$F390))&gt;1,"⚠ CONFLIT",""))</f>
        <v/>
      </c>
      <c r="U390" s="44">
        <f>IF(COUNTIFS($D$4:$D$704,$D390,$J$4:$J$704,$J390,$F$4:$F$704,$F390,$K$4:$K$704,$K390)&gt;1,"⚠ DOUBLON","")</f>
        <v/>
      </c>
      <c r="V390" s="44">
        <f>COUNTIFS($A$4:$A390,$A390,$J$4:$J390,$J390,$E$4:$E390,$E390)</f>
        <v/>
      </c>
      <c r="W390" s="45">
        <f>$A390&amp;"|"&amp;$J390&amp;"|"&amp;$E390&amp;"|"&amp;$V390</f>
        <v/>
      </c>
      <c r="X390" s="46">
        <f>TEXT($F390,"hh:mm")&amp;" - "&amp;TEXT($G390,"hh:mm")&amp;IF($P390="Quinzaine A","   ◆ Q-A",IF($P390="Quinzaine B","   ◆ Q-B",IF($P390="Exception","   ◆ PONCTUEL","")))&amp;CHAR(10)&amp;$K390&amp;CHAR(10)&amp;$M390&amp;IF($N390&lt;&gt;"",CHAR(10)&amp;"Salle "&amp;$N390,"")&amp;IF($O390="En ligne",CHAR(10)&amp;"◆ EN LIGNE","")&amp;IF($R390&lt;&gt;"",CHAR(10)&amp;$R390,"")</f>
        <v/>
      </c>
      <c r="Y390" s="45" t="inlineStr"/>
      <c r="Z390" s="45" t="inlineStr">
        <is>
          <t>— généré —</t>
        </is>
      </c>
    </row>
    <row r="391" ht="15" customHeight="1">
      <c r="A391" s="10" t="inlineStr">
        <is>
          <t>S4</t>
        </is>
      </c>
      <c r="B391" s="9" t="inlineStr">
        <is>
          <t>du 5 au 11 octobre 2026</t>
        </is>
      </c>
      <c r="C391" s="10" t="inlineStr">
        <is>
          <t>B</t>
        </is>
      </c>
      <c r="D391" s="41" t="n">
        <v>46306</v>
      </c>
      <c r="E391" s="10" t="inlineStr">
        <is>
          <t>Dimanche</t>
        </is>
      </c>
      <c r="F391" s="42" t="n">
        <v>0.7083333333333334</v>
      </c>
      <c r="G391" s="42" t="n">
        <v>0.7708333333333334</v>
      </c>
      <c r="H391" s="43">
        <f>IF(OR($F391="",$G391=""),"",($G391-$F391)*24)</f>
        <v/>
      </c>
      <c r="I391" s="10" t="inlineStr">
        <is>
          <t>Collège</t>
        </is>
      </c>
      <c r="J391" s="9" t="inlineStr">
        <is>
          <t>9éme (B)</t>
        </is>
      </c>
      <c r="K391" s="9" t="inlineStr">
        <is>
          <t>Français</t>
        </is>
      </c>
      <c r="L391" s="9" t="inlineStr">
        <is>
          <t>Français</t>
        </is>
      </c>
      <c r="M391" s="9" t="inlineStr">
        <is>
          <t>Nassima</t>
        </is>
      </c>
      <c r="N391" s="10" t="n"/>
      <c r="O391" s="10" t="n"/>
      <c r="P391" s="10" t="inlineStr">
        <is>
          <t>Hebdomadaire</t>
        </is>
      </c>
      <c r="Q391" s="9" t="inlineStr">
        <is>
          <t>Généré (octobre)</t>
        </is>
      </c>
      <c r="R391" s="9" t="inlineStr"/>
      <c r="S391" s="44">
        <f>IF($M391="","",IF(SUMPRODUCT(($D$4:$D$704=$D391)*($M$4:$M$704=$M391)*($F$4:$F$704&lt;$G391)*($G$4:$G$704&gt;$F391))&gt;1,"⚠ CONFLIT",""))</f>
        <v/>
      </c>
      <c r="T391" s="44">
        <f>IF($J391="","",IF(SUMPRODUCT(($D$4:$D$704=$D391)*($J$4:$J$704=$J391)*($F$4:$F$704&lt;$G391)*($G$4:$G$704&gt;$F391))&gt;1,"⚠ CONFLIT",""))</f>
        <v/>
      </c>
      <c r="U391" s="44">
        <f>IF(COUNTIFS($D$4:$D$704,$D391,$J$4:$J$704,$J391,$F$4:$F$704,$F391,$K$4:$K$704,$K391)&gt;1,"⚠ DOUBLON","")</f>
        <v/>
      </c>
      <c r="V391" s="44">
        <f>COUNTIFS($A$4:$A391,$A391,$J$4:$J391,$J391,$E$4:$E391,$E391)</f>
        <v/>
      </c>
      <c r="W391" s="45">
        <f>$A391&amp;"|"&amp;$J391&amp;"|"&amp;$E391&amp;"|"&amp;$V391</f>
        <v/>
      </c>
      <c r="X391" s="46">
        <f>TEXT($F391,"hh:mm")&amp;" - "&amp;TEXT($G391,"hh:mm")&amp;IF($P391="Quinzaine A","   ◆ Q-A",IF($P391="Quinzaine B","   ◆ Q-B",IF($P391="Exception","   ◆ PONCTUEL","")))&amp;CHAR(10)&amp;$K391&amp;CHAR(10)&amp;$M391&amp;IF($N391&lt;&gt;"",CHAR(10)&amp;"Salle "&amp;$N391,"")&amp;IF($O391="En ligne",CHAR(10)&amp;"◆ EN LIGNE","")&amp;IF($R391&lt;&gt;"",CHAR(10)&amp;$R391,"")</f>
        <v/>
      </c>
      <c r="Y391" s="45" t="inlineStr"/>
      <c r="Z391" s="45" t="inlineStr">
        <is>
          <t>— généré —</t>
        </is>
      </c>
    </row>
    <row r="392" ht="15" customHeight="1">
      <c r="A392" s="10" t="inlineStr">
        <is>
          <t>S4</t>
        </is>
      </c>
      <c r="B392" s="9" t="inlineStr">
        <is>
          <t>du 5 au 11 octobre 2026</t>
        </is>
      </c>
      <c r="C392" s="10" t="inlineStr">
        <is>
          <t>B</t>
        </is>
      </c>
      <c r="D392" s="41" t="n">
        <v>46306</v>
      </c>
      <c r="E392" s="10" t="inlineStr">
        <is>
          <t>Dimanche</t>
        </is>
      </c>
      <c r="F392" s="42" t="n">
        <v>0.375</v>
      </c>
      <c r="G392" s="42" t="n">
        <v>0.4375</v>
      </c>
      <c r="H392" s="43">
        <f>IF(OR($F392="",$G392=""),"",($G392-$F392)*24)</f>
        <v/>
      </c>
      <c r="I392" s="10" t="inlineStr">
        <is>
          <t>Secondaire</t>
        </is>
      </c>
      <c r="J392" s="9" t="inlineStr">
        <is>
          <t>1ére (A)</t>
        </is>
      </c>
      <c r="K392" s="9" t="inlineStr">
        <is>
          <t>Physique</t>
        </is>
      </c>
      <c r="L392" s="9" t="inlineStr">
        <is>
          <t>Physique</t>
        </is>
      </c>
      <c r="M392" s="9" t="inlineStr">
        <is>
          <t>Refka</t>
        </is>
      </c>
      <c r="N392" s="10" t="n"/>
      <c r="O392" s="10" t="n"/>
      <c r="P392" s="10" t="inlineStr">
        <is>
          <t>Hebdomadaire</t>
        </is>
      </c>
      <c r="Q392" s="9" t="inlineStr">
        <is>
          <t>Généré (octobre)</t>
        </is>
      </c>
      <c r="R392" s="9" t="inlineStr"/>
      <c r="S392" s="44">
        <f>IF($M392="","",IF(SUMPRODUCT(($D$4:$D$704=$D392)*($M$4:$M$704=$M392)*($F$4:$F$704&lt;$G392)*($G$4:$G$704&gt;$F392))&gt;1,"⚠ CONFLIT",""))</f>
        <v/>
      </c>
      <c r="T392" s="44">
        <f>IF($J392="","",IF(SUMPRODUCT(($D$4:$D$704=$D392)*($J$4:$J$704=$J392)*($F$4:$F$704&lt;$G392)*($G$4:$G$704&gt;$F392))&gt;1,"⚠ CONFLIT",""))</f>
        <v/>
      </c>
      <c r="U392" s="44">
        <f>IF(COUNTIFS($D$4:$D$704,$D392,$J$4:$J$704,$J392,$F$4:$F$704,$F392,$K$4:$K$704,$K392)&gt;1,"⚠ DOUBLON","")</f>
        <v/>
      </c>
      <c r="V392" s="44">
        <f>COUNTIFS($A$4:$A392,$A392,$J$4:$J392,$J392,$E$4:$E392,$E392)</f>
        <v/>
      </c>
      <c r="W392" s="45">
        <f>$A392&amp;"|"&amp;$J392&amp;"|"&amp;$E392&amp;"|"&amp;$V392</f>
        <v/>
      </c>
      <c r="X392" s="46">
        <f>TEXT($F392,"hh:mm")&amp;" - "&amp;TEXT($G392,"hh:mm")&amp;IF($P392="Quinzaine A","   ◆ Q-A",IF($P392="Quinzaine B","   ◆ Q-B",IF($P392="Exception","   ◆ PONCTUEL","")))&amp;CHAR(10)&amp;$K392&amp;CHAR(10)&amp;$M392&amp;IF($N392&lt;&gt;"",CHAR(10)&amp;"Salle "&amp;$N392,"")&amp;IF($O392="En ligne",CHAR(10)&amp;"◆ EN LIGNE","")&amp;IF($R392&lt;&gt;"",CHAR(10)&amp;$R392,"")</f>
        <v/>
      </c>
      <c r="Y392" s="45" t="inlineStr"/>
      <c r="Z392" s="45" t="inlineStr">
        <is>
          <t>— généré —</t>
        </is>
      </c>
    </row>
    <row r="393" ht="15" customHeight="1">
      <c r="A393" s="10" t="inlineStr">
        <is>
          <t>S4</t>
        </is>
      </c>
      <c r="B393" s="9" t="inlineStr">
        <is>
          <t>du 5 au 11 octobre 2026</t>
        </is>
      </c>
      <c r="C393" s="10" t="inlineStr">
        <is>
          <t>B</t>
        </is>
      </c>
      <c r="D393" s="41" t="n">
        <v>46306</v>
      </c>
      <c r="E393" s="10" t="inlineStr">
        <is>
          <t>Dimanche</t>
        </is>
      </c>
      <c r="F393" s="42" t="n">
        <v>0.4375</v>
      </c>
      <c r="G393" s="42" t="n">
        <v>0.5</v>
      </c>
      <c r="H393" s="43">
        <f>IF(OR($F393="",$G393=""),"",($G393-$F393)*24)</f>
        <v/>
      </c>
      <c r="I393" s="10" t="inlineStr">
        <is>
          <t>Secondaire</t>
        </is>
      </c>
      <c r="J393" s="9" t="inlineStr">
        <is>
          <t>1ére (B)</t>
        </is>
      </c>
      <c r="K393" s="9" t="inlineStr">
        <is>
          <t>Physique</t>
        </is>
      </c>
      <c r="L393" s="9" t="inlineStr">
        <is>
          <t>Physique</t>
        </is>
      </c>
      <c r="M393" s="9" t="inlineStr">
        <is>
          <t>Refka</t>
        </is>
      </c>
      <c r="N393" s="10" t="n"/>
      <c r="O393" s="10" t="n"/>
      <c r="P393" s="10" t="inlineStr">
        <is>
          <t>Hebdomadaire</t>
        </is>
      </c>
      <c r="Q393" s="9" t="inlineStr">
        <is>
          <t>Généré (octobre)</t>
        </is>
      </c>
      <c r="R393" s="9" t="inlineStr"/>
      <c r="S393" s="44">
        <f>IF($M393="","",IF(SUMPRODUCT(($D$4:$D$704=$D393)*($M$4:$M$704=$M393)*($F$4:$F$704&lt;$G393)*($G$4:$G$704&gt;$F393))&gt;1,"⚠ CONFLIT",""))</f>
        <v/>
      </c>
      <c r="T393" s="44">
        <f>IF($J393="","",IF(SUMPRODUCT(($D$4:$D$704=$D393)*($J$4:$J$704=$J393)*($F$4:$F$704&lt;$G393)*($G$4:$G$704&gt;$F393))&gt;1,"⚠ CONFLIT",""))</f>
        <v/>
      </c>
      <c r="U393" s="44">
        <f>IF(COUNTIFS($D$4:$D$704,$D393,$J$4:$J$704,$J393,$F$4:$F$704,$F393,$K$4:$K$704,$K393)&gt;1,"⚠ DOUBLON","")</f>
        <v/>
      </c>
      <c r="V393" s="44">
        <f>COUNTIFS($A$4:$A393,$A393,$J$4:$J393,$J393,$E$4:$E393,$E393)</f>
        <v/>
      </c>
      <c r="W393" s="45">
        <f>$A393&amp;"|"&amp;$J393&amp;"|"&amp;$E393&amp;"|"&amp;$V393</f>
        <v/>
      </c>
      <c r="X393" s="46">
        <f>TEXT($F393,"hh:mm")&amp;" - "&amp;TEXT($G393,"hh:mm")&amp;IF($P393="Quinzaine A","   ◆ Q-A",IF($P393="Quinzaine B","   ◆ Q-B",IF($P393="Exception","   ◆ PONCTUEL","")))&amp;CHAR(10)&amp;$K393&amp;CHAR(10)&amp;$M393&amp;IF($N393&lt;&gt;"",CHAR(10)&amp;"Salle "&amp;$N393,"")&amp;IF($O393="En ligne",CHAR(10)&amp;"◆ EN LIGNE","")&amp;IF($R393&lt;&gt;"",CHAR(10)&amp;$R393,"")</f>
        <v/>
      </c>
      <c r="Y393" s="45" t="inlineStr"/>
      <c r="Z393" s="45" t="inlineStr">
        <is>
          <t>— généré —</t>
        </is>
      </c>
    </row>
    <row r="394" ht="15" customHeight="1">
      <c r="A394" s="10" t="inlineStr">
        <is>
          <t>S4</t>
        </is>
      </c>
      <c r="B394" s="9" t="inlineStr">
        <is>
          <t>du 5 au 11 octobre 2026</t>
        </is>
      </c>
      <c r="C394" s="10" t="inlineStr">
        <is>
          <t>B</t>
        </is>
      </c>
      <c r="D394" s="41" t="n">
        <v>46306</v>
      </c>
      <c r="E394" s="10" t="inlineStr">
        <is>
          <t>Dimanche</t>
        </is>
      </c>
      <c r="F394" s="42" t="n">
        <v>0.5416666666666666</v>
      </c>
      <c r="G394" s="42" t="n">
        <v>0.6041666666666666</v>
      </c>
      <c r="H394" s="43">
        <f>IF(OR($F394="",$G394=""),"",($G394-$F394)*24)</f>
        <v/>
      </c>
      <c r="I394" s="10" t="inlineStr">
        <is>
          <t>Secondaire</t>
        </is>
      </c>
      <c r="J394" s="9" t="inlineStr">
        <is>
          <t>1ére (B)</t>
        </is>
      </c>
      <c r="K394" s="9" t="inlineStr">
        <is>
          <t>SVT</t>
        </is>
      </c>
      <c r="L394" s="9" t="inlineStr">
        <is>
          <t>SVT</t>
        </is>
      </c>
      <c r="M394" s="9" t="inlineStr">
        <is>
          <t>Imen Ghoumeme</t>
        </is>
      </c>
      <c r="N394" s="10" t="n"/>
      <c r="O394" s="10" t="n"/>
      <c r="P394" s="10" t="inlineStr">
        <is>
          <t>Quinzaine B</t>
        </is>
      </c>
      <c r="Q394" s="9" t="inlineStr">
        <is>
          <t>Généré (octobre)</t>
        </is>
      </c>
      <c r="R394" s="9" t="inlineStr"/>
      <c r="S394" s="44">
        <f>IF($M394="","",IF(SUMPRODUCT(($D$4:$D$704=$D394)*($M$4:$M$704=$M394)*($F$4:$F$704&lt;$G394)*($G$4:$G$704&gt;$F394))&gt;1,"⚠ CONFLIT",""))</f>
        <v/>
      </c>
      <c r="T394" s="44">
        <f>IF($J394="","",IF(SUMPRODUCT(($D$4:$D$704=$D394)*($J$4:$J$704=$J394)*($F$4:$F$704&lt;$G394)*($G$4:$G$704&gt;$F394))&gt;1,"⚠ CONFLIT",""))</f>
        <v/>
      </c>
      <c r="U394" s="44">
        <f>IF(COUNTIFS($D$4:$D$704,$D394,$J$4:$J$704,$J394,$F$4:$F$704,$F394,$K$4:$K$704,$K394)&gt;1,"⚠ DOUBLON","")</f>
        <v/>
      </c>
      <c r="V394" s="44">
        <f>COUNTIFS($A$4:$A394,$A394,$J$4:$J394,$J394,$E$4:$E394,$E394)</f>
        <v/>
      </c>
      <c r="W394" s="45">
        <f>$A394&amp;"|"&amp;$J394&amp;"|"&amp;$E394&amp;"|"&amp;$V394</f>
        <v/>
      </c>
      <c r="X394" s="46">
        <f>TEXT($F394,"hh:mm")&amp;" - "&amp;TEXT($G394,"hh:mm")&amp;IF($P394="Quinzaine A","   ◆ Q-A",IF($P394="Quinzaine B","   ◆ Q-B",IF($P394="Exception","   ◆ PONCTUEL","")))&amp;CHAR(10)&amp;$K394&amp;CHAR(10)&amp;$M394&amp;IF($N394&lt;&gt;"",CHAR(10)&amp;"Salle "&amp;$N394,"")&amp;IF($O394="En ligne",CHAR(10)&amp;"◆ EN LIGNE","")&amp;IF($R394&lt;&gt;"",CHAR(10)&amp;$R394,"")</f>
        <v/>
      </c>
      <c r="Y394" s="45" t="inlineStr"/>
      <c r="Z394" s="45" t="inlineStr">
        <is>
          <t>— généré —</t>
        </is>
      </c>
    </row>
    <row r="395" ht="15" customHeight="1">
      <c r="A395" s="10" t="inlineStr">
        <is>
          <t>S4</t>
        </is>
      </c>
      <c r="B395" s="9" t="inlineStr">
        <is>
          <t>du 5 au 11 octobre 2026</t>
        </is>
      </c>
      <c r="C395" s="10" t="inlineStr">
        <is>
          <t>B</t>
        </is>
      </c>
      <c r="D395" s="41" t="n">
        <v>46306</v>
      </c>
      <c r="E395" s="10" t="inlineStr">
        <is>
          <t>Dimanche</t>
        </is>
      </c>
      <c r="F395" s="42" t="n">
        <v>0.375</v>
      </c>
      <c r="G395" s="42" t="n">
        <v>0.4375</v>
      </c>
      <c r="H395" s="43">
        <f>IF(OR($F395="",$G395=""),"",($G395-$F395)*24)</f>
        <v/>
      </c>
      <c r="I395" s="10" t="inlineStr">
        <is>
          <t>Secondaire</t>
        </is>
      </c>
      <c r="J395" s="9" t="inlineStr">
        <is>
          <t>2éme Eco</t>
        </is>
      </c>
      <c r="K395" s="9" t="inlineStr">
        <is>
          <t>Eco</t>
        </is>
      </c>
      <c r="L395" s="9" t="inlineStr">
        <is>
          <t>Eco</t>
        </is>
      </c>
      <c r="M395" s="9" t="inlineStr">
        <is>
          <t>Rym</t>
        </is>
      </c>
      <c r="N395" s="10" t="n"/>
      <c r="O395" s="10" t="n"/>
      <c r="P395" s="10" t="inlineStr">
        <is>
          <t>Hebdomadaire</t>
        </is>
      </c>
      <c r="Q395" s="9" t="inlineStr">
        <is>
          <t>Généré (octobre)</t>
        </is>
      </c>
      <c r="R395" s="9" t="inlineStr"/>
      <c r="S395" s="44">
        <f>IF($M395="","",IF(SUMPRODUCT(($D$4:$D$704=$D395)*($M$4:$M$704=$M395)*($F$4:$F$704&lt;$G395)*($G$4:$G$704&gt;$F395))&gt;1,"⚠ CONFLIT",""))</f>
        <v/>
      </c>
      <c r="T395" s="44">
        <f>IF($J395="","",IF(SUMPRODUCT(($D$4:$D$704=$D395)*($J$4:$J$704=$J395)*($F$4:$F$704&lt;$G395)*($G$4:$G$704&gt;$F395))&gt;1,"⚠ CONFLIT",""))</f>
        <v/>
      </c>
      <c r="U395" s="44">
        <f>IF(COUNTIFS($D$4:$D$704,$D395,$J$4:$J$704,$J395,$F$4:$F$704,$F395,$K$4:$K$704,$K395)&gt;1,"⚠ DOUBLON","")</f>
        <v/>
      </c>
      <c r="V395" s="44">
        <f>COUNTIFS($A$4:$A395,$A395,$J$4:$J395,$J395,$E$4:$E395,$E395)</f>
        <v/>
      </c>
      <c r="W395" s="45">
        <f>$A395&amp;"|"&amp;$J395&amp;"|"&amp;$E395&amp;"|"&amp;$V395</f>
        <v/>
      </c>
      <c r="X395" s="46">
        <f>TEXT($F395,"hh:mm")&amp;" - "&amp;TEXT($G395,"hh:mm")&amp;IF($P395="Quinzaine A","   ◆ Q-A",IF($P395="Quinzaine B","   ◆ Q-B",IF($P395="Exception","   ◆ PONCTUEL","")))&amp;CHAR(10)&amp;$K395&amp;CHAR(10)&amp;$M395&amp;IF($N395&lt;&gt;"",CHAR(10)&amp;"Salle "&amp;$N395,"")&amp;IF($O395="En ligne",CHAR(10)&amp;"◆ EN LIGNE","")&amp;IF($R395&lt;&gt;"",CHAR(10)&amp;$R395,"")</f>
        <v/>
      </c>
      <c r="Y395" s="45" t="inlineStr"/>
      <c r="Z395" s="45" t="inlineStr">
        <is>
          <t>— généré —</t>
        </is>
      </c>
    </row>
    <row r="396" ht="15" customHeight="1">
      <c r="A396" s="10" t="inlineStr">
        <is>
          <t>S4</t>
        </is>
      </c>
      <c r="B396" s="9" t="inlineStr">
        <is>
          <t>du 5 au 11 octobre 2026</t>
        </is>
      </c>
      <c r="C396" s="10" t="inlineStr">
        <is>
          <t>B</t>
        </is>
      </c>
      <c r="D396" s="41" t="n">
        <v>46306</v>
      </c>
      <c r="E396" s="10" t="inlineStr">
        <is>
          <t>Dimanche</t>
        </is>
      </c>
      <c r="F396" s="42" t="n">
        <v>0.5</v>
      </c>
      <c r="G396" s="42" t="n">
        <v>0.5625</v>
      </c>
      <c r="H396" s="43">
        <f>IF(OR($F396="",$G396=""),"",($G396-$F396)*24)</f>
        <v/>
      </c>
      <c r="I396" s="10" t="inlineStr">
        <is>
          <t>Secondaire</t>
        </is>
      </c>
      <c r="J396" s="9" t="inlineStr">
        <is>
          <t>2éme SCE</t>
        </is>
      </c>
      <c r="K396" s="9" t="inlineStr">
        <is>
          <t>Physique</t>
        </is>
      </c>
      <c r="L396" s="9" t="inlineStr">
        <is>
          <t>Physique</t>
        </is>
      </c>
      <c r="M396" s="9" t="inlineStr">
        <is>
          <t>Refka</t>
        </is>
      </c>
      <c r="N396" s="10" t="n"/>
      <c r="O396" s="10" t="n"/>
      <c r="P396" s="10" t="inlineStr">
        <is>
          <t>Hebdomadaire</t>
        </is>
      </c>
      <c r="Q396" s="9" t="inlineStr">
        <is>
          <t>Généré (octobre)</t>
        </is>
      </c>
      <c r="R396" s="9" t="inlineStr"/>
      <c r="S396" s="44">
        <f>IF($M396="","",IF(SUMPRODUCT(($D$4:$D$704=$D396)*($M$4:$M$704=$M396)*($F$4:$F$704&lt;$G396)*($G$4:$G$704&gt;$F396))&gt;1,"⚠ CONFLIT",""))</f>
        <v/>
      </c>
      <c r="T396" s="44">
        <f>IF($J396="","",IF(SUMPRODUCT(($D$4:$D$704=$D396)*($J$4:$J$704=$J396)*($F$4:$F$704&lt;$G396)*($G$4:$G$704&gt;$F396))&gt;1,"⚠ CONFLIT",""))</f>
        <v/>
      </c>
      <c r="U396" s="44">
        <f>IF(COUNTIFS($D$4:$D$704,$D396,$J$4:$J$704,$J396,$F$4:$F$704,$F396,$K$4:$K$704,$K396)&gt;1,"⚠ DOUBLON","")</f>
        <v/>
      </c>
      <c r="V396" s="44">
        <f>COUNTIFS($A$4:$A396,$A396,$J$4:$J396,$J396,$E$4:$E396,$E396)</f>
        <v/>
      </c>
      <c r="W396" s="45">
        <f>$A396&amp;"|"&amp;$J396&amp;"|"&amp;$E396&amp;"|"&amp;$V396</f>
        <v/>
      </c>
      <c r="X396" s="46">
        <f>TEXT($F396,"hh:mm")&amp;" - "&amp;TEXT($G396,"hh:mm")&amp;IF($P396="Quinzaine A","   ◆ Q-A",IF($P396="Quinzaine B","   ◆ Q-B",IF($P396="Exception","   ◆ PONCTUEL","")))&amp;CHAR(10)&amp;$K396&amp;CHAR(10)&amp;$M396&amp;IF($N396&lt;&gt;"",CHAR(10)&amp;"Salle "&amp;$N396,"")&amp;IF($O396="En ligne",CHAR(10)&amp;"◆ EN LIGNE","")&amp;IF($R396&lt;&gt;"",CHAR(10)&amp;$R396,"")</f>
        <v/>
      </c>
      <c r="Y396" s="45" t="inlineStr"/>
      <c r="Z396" s="45" t="inlineStr">
        <is>
          <t>— généré —</t>
        </is>
      </c>
    </row>
    <row r="397" ht="15" customHeight="1">
      <c r="A397" s="10" t="inlineStr">
        <is>
          <t>S4</t>
        </is>
      </c>
      <c r="B397" s="9" t="inlineStr">
        <is>
          <t>du 5 au 11 octobre 2026</t>
        </is>
      </c>
      <c r="C397" s="10" t="inlineStr">
        <is>
          <t>B</t>
        </is>
      </c>
      <c r="D397" s="41" t="n">
        <v>46306</v>
      </c>
      <c r="E397" s="10" t="inlineStr">
        <is>
          <t>Dimanche</t>
        </is>
      </c>
      <c r="F397" s="42" t="n">
        <v>0.4375</v>
      </c>
      <c r="G397" s="42" t="n">
        <v>0.5</v>
      </c>
      <c r="H397" s="43">
        <f>IF(OR($F397="",$G397=""),"",($G397-$F397)*24)</f>
        <v/>
      </c>
      <c r="I397" s="10" t="inlineStr">
        <is>
          <t>Secondaire</t>
        </is>
      </c>
      <c r="J397" s="9" t="inlineStr">
        <is>
          <t>3éme Eco</t>
        </is>
      </c>
      <c r="K397" s="9" t="inlineStr">
        <is>
          <t>Eco</t>
        </is>
      </c>
      <c r="L397" s="9" t="inlineStr">
        <is>
          <t>Eco</t>
        </is>
      </c>
      <c r="M397" s="9" t="inlineStr">
        <is>
          <t>Rym</t>
        </is>
      </c>
      <c r="N397" s="10" t="n"/>
      <c r="O397" s="10" t="n"/>
      <c r="P397" s="10" t="inlineStr">
        <is>
          <t>Hebdomadaire</t>
        </is>
      </c>
      <c r="Q397" s="9" t="inlineStr">
        <is>
          <t>Généré (octobre)</t>
        </is>
      </c>
      <c r="R397" s="9" t="inlineStr"/>
      <c r="S397" s="44">
        <f>IF($M397="","",IF(SUMPRODUCT(($D$4:$D$704=$D397)*($M$4:$M$704=$M397)*($F$4:$F$704&lt;$G397)*($G$4:$G$704&gt;$F397))&gt;1,"⚠ CONFLIT",""))</f>
        <v/>
      </c>
      <c r="T397" s="44">
        <f>IF($J397="","",IF(SUMPRODUCT(($D$4:$D$704=$D397)*($J$4:$J$704=$J397)*($F$4:$F$704&lt;$G397)*($G$4:$G$704&gt;$F397))&gt;1,"⚠ CONFLIT",""))</f>
        <v/>
      </c>
      <c r="U397" s="44">
        <f>IF(COUNTIFS($D$4:$D$704,$D397,$J$4:$J$704,$J397,$F$4:$F$704,$F397,$K$4:$K$704,$K397)&gt;1,"⚠ DOUBLON","")</f>
        <v/>
      </c>
      <c r="V397" s="44">
        <f>COUNTIFS($A$4:$A397,$A397,$J$4:$J397,$J397,$E$4:$E397,$E397)</f>
        <v/>
      </c>
      <c r="W397" s="45">
        <f>$A397&amp;"|"&amp;$J397&amp;"|"&amp;$E397&amp;"|"&amp;$V397</f>
        <v/>
      </c>
      <c r="X397" s="46">
        <f>TEXT($F397,"hh:mm")&amp;" - "&amp;TEXT($G397,"hh:mm")&amp;IF($P397="Quinzaine A","   ◆ Q-A",IF($P397="Quinzaine B","   ◆ Q-B",IF($P397="Exception","   ◆ PONCTUEL","")))&amp;CHAR(10)&amp;$K397&amp;CHAR(10)&amp;$M397&amp;IF($N397&lt;&gt;"",CHAR(10)&amp;"Salle "&amp;$N397,"")&amp;IF($O397="En ligne",CHAR(10)&amp;"◆ EN LIGNE","")&amp;IF($R397&lt;&gt;"",CHAR(10)&amp;$R397,"")</f>
        <v/>
      </c>
      <c r="Y397" s="45" t="inlineStr"/>
      <c r="Z397" s="45" t="inlineStr">
        <is>
          <t>— généré —</t>
        </is>
      </c>
    </row>
    <row r="398" ht="15" customHeight="1">
      <c r="A398" s="10" t="inlineStr">
        <is>
          <t>S4</t>
        </is>
      </c>
      <c r="B398" s="9" t="inlineStr">
        <is>
          <t>du 5 au 11 octobre 2026</t>
        </is>
      </c>
      <c r="C398" s="10" t="inlineStr">
        <is>
          <t>B</t>
        </is>
      </c>
      <c r="D398" s="41" t="n">
        <v>46306</v>
      </c>
      <c r="E398" s="10" t="inlineStr">
        <is>
          <t>Dimanche</t>
        </is>
      </c>
      <c r="F398" s="42" t="n">
        <v>0.5833333333333334</v>
      </c>
      <c r="G398" s="42" t="n">
        <v>0.6458333333333334</v>
      </c>
      <c r="H398" s="43">
        <f>IF(OR($F398="",$G398=""),"",($G398-$F398)*24)</f>
        <v/>
      </c>
      <c r="I398" s="10" t="inlineStr">
        <is>
          <t>Secondaire</t>
        </is>
      </c>
      <c r="J398" s="9" t="inlineStr">
        <is>
          <t>3éme Eco</t>
        </is>
      </c>
      <c r="K398" s="9" t="inlineStr">
        <is>
          <t>Math</t>
        </is>
      </c>
      <c r="L398" s="9" t="inlineStr">
        <is>
          <t>Math</t>
        </is>
      </c>
      <c r="M398" s="9" t="inlineStr">
        <is>
          <t>Lotfi</t>
        </is>
      </c>
      <c r="N398" s="10" t="n"/>
      <c r="O398" s="10" t="n"/>
      <c r="P398" s="10" t="inlineStr">
        <is>
          <t>Hebdomadaire</t>
        </is>
      </c>
      <c r="Q398" s="9" t="inlineStr">
        <is>
          <t>Généré (octobre)</t>
        </is>
      </c>
      <c r="R398" s="9" t="inlineStr"/>
      <c r="S398" s="44">
        <f>IF($M398="","",IF(SUMPRODUCT(($D$4:$D$704=$D398)*($M$4:$M$704=$M398)*($F$4:$F$704&lt;$G398)*($G$4:$G$704&gt;$F398))&gt;1,"⚠ CONFLIT",""))</f>
        <v/>
      </c>
      <c r="T398" s="44">
        <f>IF($J398="","",IF(SUMPRODUCT(($D$4:$D$704=$D398)*($J$4:$J$704=$J398)*($F$4:$F$704&lt;$G398)*($G$4:$G$704&gt;$F398))&gt;1,"⚠ CONFLIT",""))</f>
        <v/>
      </c>
      <c r="U398" s="44">
        <f>IF(COUNTIFS($D$4:$D$704,$D398,$J$4:$J$704,$J398,$F$4:$F$704,$F398,$K$4:$K$704,$K398)&gt;1,"⚠ DOUBLON","")</f>
        <v/>
      </c>
      <c r="V398" s="44">
        <f>COUNTIFS($A$4:$A398,$A398,$J$4:$J398,$J398,$E$4:$E398,$E398)</f>
        <v/>
      </c>
      <c r="W398" s="45">
        <f>$A398&amp;"|"&amp;$J398&amp;"|"&amp;$E398&amp;"|"&amp;$V398</f>
        <v/>
      </c>
      <c r="X398" s="46">
        <f>TEXT($F398,"hh:mm")&amp;" - "&amp;TEXT($G398,"hh:mm")&amp;IF($P398="Quinzaine A","   ◆ Q-A",IF($P398="Quinzaine B","   ◆ Q-B",IF($P398="Exception","   ◆ PONCTUEL","")))&amp;CHAR(10)&amp;$K398&amp;CHAR(10)&amp;$M398&amp;IF($N398&lt;&gt;"",CHAR(10)&amp;"Salle "&amp;$N398,"")&amp;IF($O398="En ligne",CHAR(10)&amp;"◆ EN LIGNE","")&amp;IF($R398&lt;&gt;"",CHAR(10)&amp;$R398,"")</f>
        <v/>
      </c>
      <c r="Y398" s="45" t="inlineStr"/>
      <c r="Z398" s="45" t="inlineStr">
        <is>
          <t>— généré —</t>
        </is>
      </c>
    </row>
    <row r="399" ht="15" customHeight="1">
      <c r="A399" s="10" t="inlineStr">
        <is>
          <t>S4</t>
        </is>
      </c>
      <c r="B399" s="9" t="inlineStr">
        <is>
          <t>du 5 au 11 octobre 2026</t>
        </is>
      </c>
      <c r="C399" s="10" t="inlineStr">
        <is>
          <t>B</t>
        </is>
      </c>
      <c r="D399" s="41" t="n">
        <v>46306</v>
      </c>
      <c r="E399" s="10" t="inlineStr">
        <is>
          <t>Dimanche</t>
        </is>
      </c>
      <c r="F399" s="42" t="n">
        <v>0.5</v>
      </c>
      <c r="G399" s="42" t="n">
        <v>0.5625</v>
      </c>
      <c r="H399" s="43">
        <f>IF(OR($F399="",$G399=""),"",($G399-$F399)*24)</f>
        <v/>
      </c>
      <c r="I399" s="10" t="inlineStr">
        <is>
          <t>Secondaire</t>
        </is>
      </c>
      <c r="J399" s="9" t="inlineStr">
        <is>
          <t>3éme INFO</t>
        </is>
      </c>
      <c r="K399" s="9" t="inlineStr">
        <is>
          <t>Math</t>
        </is>
      </c>
      <c r="L399" s="9" t="inlineStr">
        <is>
          <t>Math</t>
        </is>
      </c>
      <c r="M399" s="9" t="inlineStr">
        <is>
          <t>Lotfi</t>
        </is>
      </c>
      <c r="N399" s="10" t="n"/>
      <c r="O399" s="10" t="n"/>
      <c r="P399" s="10" t="inlineStr">
        <is>
          <t>Hebdomadaire</t>
        </is>
      </c>
      <c r="Q399" s="9" t="inlineStr">
        <is>
          <t>Généré (octobre)</t>
        </is>
      </c>
      <c r="R399" s="9" t="inlineStr"/>
      <c r="S399" s="44">
        <f>IF($M399="","",IF(SUMPRODUCT(($D$4:$D$704=$D399)*($M$4:$M$704=$M399)*($F$4:$F$704&lt;$G399)*($G$4:$G$704&gt;$F399))&gt;1,"⚠ CONFLIT",""))</f>
        <v/>
      </c>
      <c r="T399" s="44">
        <f>IF($J399="","",IF(SUMPRODUCT(($D$4:$D$704=$D399)*($J$4:$J$704=$J399)*($F$4:$F$704&lt;$G399)*($G$4:$G$704&gt;$F399))&gt;1,"⚠ CONFLIT",""))</f>
        <v/>
      </c>
      <c r="U399" s="44">
        <f>IF(COUNTIFS($D$4:$D$704,$D399,$J$4:$J$704,$J399,$F$4:$F$704,$F399,$K$4:$K$704,$K399)&gt;1,"⚠ DOUBLON","")</f>
        <v/>
      </c>
      <c r="V399" s="44">
        <f>COUNTIFS($A$4:$A399,$A399,$J$4:$J399,$J399,$E$4:$E399,$E399)</f>
        <v/>
      </c>
      <c r="W399" s="45">
        <f>$A399&amp;"|"&amp;$J399&amp;"|"&amp;$E399&amp;"|"&amp;$V399</f>
        <v/>
      </c>
      <c r="X399" s="46">
        <f>TEXT($F399,"hh:mm")&amp;" - "&amp;TEXT($G399,"hh:mm")&amp;IF($P399="Quinzaine A","   ◆ Q-A",IF($P399="Quinzaine B","   ◆ Q-B",IF($P399="Exception","   ◆ PONCTUEL","")))&amp;CHAR(10)&amp;$K399&amp;CHAR(10)&amp;$M399&amp;IF($N399&lt;&gt;"",CHAR(10)&amp;"Salle "&amp;$N399,"")&amp;IF($O399="En ligne",CHAR(10)&amp;"◆ EN LIGNE","")&amp;IF($R399&lt;&gt;"",CHAR(10)&amp;$R399,"")</f>
        <v/>
      </c>
      <c r="Y399" s="45" t="inlineStr"/>
      <c r="Z399" s="45" t="inlineStr">
        <is>
          <t>— généré —</t>
        </is>
      </c>
    </row>
    <row r="400" ht="15" customHeight="1">
      <c r="A400" s="10" t="inlineStr">
        <is>
          <t>S4</t>
        </is>
      </c>
      <c r="B400" s="9" t="inlineStr">
        <is>
          <t>du 5 au 11 octobre 2026</t>
        </is>
      </c>
      <c r="C400" s="10" t="inlineStr">
        <is>
          <t>B</t>
        </is>
      </c>
      <c r="D400" s="41" t="n">
        <v>46306</v>
      </c>
      <c r="E400" s="10" t="inlineStr">
        <is>
          <t>Dimanche</t>
        </is>
      </c>
      <c r="F400" s="42" t="n">
        <v>0.4375</v>
      </c>
      <c r="G400" s="42" t="n">
        <v>0.5</v>
      </c>
      <c r="H400" s="43">
        <f>IF(OR($F400="",$G400=""),"",($G400-$F400)*24)</f>
        <v/>
      </c>
      <c r="I400" s="10" t="inlineStr">
        <is>
          <t>Secondaire</t>
        </is>
      </c>
      <c r="J400" s="9" t="inlineStr">
        <is>
          <t>3éme SCE</t>
        </is>
      </c>
      <c r="K400" s="9" t="inlineStr">
        <is>
          <t>Physique</t>
        </is>
      </c>
      <c r="L400" s="9" t="inlineStr">
        <is>
          <t>Physique</t>
        </is>
      </c>
      <c r="M400" s="9" t="inlineStr">
        <is>
          <t>Sondes</t>
        </is>
      </c>
      <c r="N400" s="10" t="n"/>
      <c r="O400" s="10" t="n"/>
      <c r="P400" s="10" t="inlineStr">
        <is>
          <t>Hebdomadaire</t>
        </is>
      </c>
      <c r="Q400" s="9" t="inlineStr">
        <is>
          <t>Généré (octobre)</t>
        </is>
      </c>
      <c r="R400" s="9" t="inlineStr"/>
      <c r="S400" s="44">
        <f>IF($M400="","",IF(SUMPRODUCT(($D$4:$D$704=$D400)*($M$4:$M$704=$M400)*($F$4:$F$704&lt;$G400)*($G$4:$G$704&gt;$F400))&gt;1,"⚠ CONFLIT",""))</f>
        <v/>
      </c>
      <c r="T400" s="44">
        <f>IF($J400="","",IF(SUMPRODUCT(($D$4:$D$704=$D400)*($J$4:$J$704=$J400)*($F$4:$F$704&lt;$G400)*($G$4:$G$704&gt;$F400))&gt;1,"⚠ CONFLIT",""))</f>
        <v/>
      </c>
      <c r="U400" s="44">
        <f>IF(COUNTIFS($D$4:$D$704,$D400,$J$4:$J$704,$J400,$F$4:$F$704,$F400,$K$4:$K$704,$K400)&gt;1,"⚠ DOUBLON","")</f>
        <v/>
      </c>
      <c r="V400" s="44">
        <f>COUNTIFS($A$4:$A400,$A400,$J$4:$J400,$J400,$E$4:$E400,$E400)</f>
        <v/>
      </c>
      <c r="W400" s="45">
        <f>$A400&amp;"|"&amp;$J400&amp;"|"&amp;$E400&amp;"|"&amp;$V400</f>
        <v/>
      </c>
      <c r="X400" s="46">
        <f>TEXT($F400,"hh:mm")&amp;" - "&amp;TEXT($G400,"hh:mm")&amp;IF($P400="Quinzaine A","   ◆ Q-A",IF($P400="Quinzaine B","   ◆ Q-B",IF($P400="Exception","   ◆ PONCTUEL","")))&amp;CHAR(10)&amp;$K400&amp;CHAR(10)&amp;$M400&amp;IF($N400&lt;&gt;"",CHAR(10)&amp;"Salle "&amp;$N400,"")&amp;IF($O400="En ligne",CHAR(10)&amp;"◆ EN LIGNE","")&amp;IF($R400&lt;&gt;"",CHAR(10)&amp;$R400,"")</f>
        <v/>
      </c>
      <c r="Y400" s="45" t="inlineStr"/>
      <c r="Z400" s="45" t="inlineStr">
        <is>
          <t>— généré —</t>
        </is>
      </c>
    </row>
    <row r="401" ht="15" customHeight="1">
      <c r="A401" s="10" t="inlineStr">
        <is>
          <t>S4</t>
        </is>
      </c>
      <c r="B401" s="9" t="inlineStr">
        <is>
          <t>du 5 au 11 octobre 2026</t>
        </is>
      </c>
      <c r="C401" s="10" t="inlineStr">
        <is>
          <t>B</t>
        </is>
      </c>
      <c r="D401" s="41" t="n">
        <v>46306</v>
      </c>
      <c r="E401" s="10" t="inlineStr">
        <is>
          <t>Dimanche</t>
        </is>
      </c>
      <c r="F401" s="42" t="n">
        <v>0.4375</v>
      </c>
      <c r="G401" s="42" t="n">
        <v>0.5</v>
      </c>
      <c r="H401" s="43">
        <f>IF(OR($F401="",$G401=""),"",($G401-$F401)*24)</f>
        <v/>
      </c>
      <c r="I401" s="10" t="inlineStr">
        <is>
          <t>Bac</t>
        </is>
      </c>
      <c r="J401" s="9" t="inlineStr">
        <is>
          <t>Bac Eco</t>
        </is>
      </c>
      <c r="K401" s="9" t="inlineStr">
        <is>
          <t>Math</t>
        </is>
      </c>
      <c r="L401" s="9" t="inlineStr">
        <is>
          <t>Math</t>
        </is>
      </c>
      <c r="M401" s="9" t="inlineStr">
        <is>
          <t>Lotfi</t>
        </is>
      </c>
      <c r="N401" s="10" t="n"/>
      <c r="O401" s="10" t="n"/>
      <c r="P401" s="10" t="inlineStr">
        <is>
          <t>Hebdomadaire</t>
        </is>
      </c>
      <c r="Q401" s="9" t="inlineStr">
        <is>
          <t>Généré (octobre)</t>
        </is>
      </c>
      <c r="R401" s="9" t="inlineStr"/>
      <c r="S401" s="44">
        <f>IF($M401="","",IF(SUMPRODUCT(($D$4:$D$704=$D401)*($M$4:$M$704=$M401)*($F$4:$F$704&lt;$G401)*($G$4:$G$704&gt;$F401))&gt;1,"⚠ CONFLIT",""))</f>
        <v/>
      </c>
      <c r="T401" s="44">
        <f>IF($J401="","",IF(SUMPRODUCT(($D$4:$D$704=$D401)*($J$4:$J$704=$J401)*($F$4:$F$704&lt;$G401)*($G$4:$G$704&gt;$F401))&gt;1,"⚠ CONFLIT",""))</f>
        <v/>
      </c>
      <c r="U401" s="44">
        <f>IF(COUNTIFS($D$4:$D$704,$D401,$J$4:$J$704,$J401,$F$4:$F$704,$F401,$K$4:$K$704,$K401)&gt;1,"⚠ DOUBLON","")</f>
        <v/>
      </c>
      <c r="V401" s="44">
        <f>COUNTIFS($A$4:$A401,$A401,$J$4:$J401,$J401,$E$4:$E401,$E401)</f>
        <v/>
      </c>
      <c r="W401" s="45">
        <f>$A401&amp;"|"&amp;$J401&amp;"|"&amp;$E401&amp;"|"&amp;$V401</f>
        <v/>
      </c>
      <c r="X401" s="46">
        <f>TEXT($F401,"hh:mm")&amp;" - "&amp;TEXT($G401,"hh:mm")&amp;IF($P401="Quinzaine A","   ◆ Q-A",IF($P401="Quinzaine B","   ◆ Q-B",IF($P401="Exception","   ◆ PONCTUEL","")))&amp;CHAR(10)&amp;$K401&amp;CHAR(10)&amp;$M401&amp;IF($N401&lt;&gt;"",CHAR(10)&amp;"Salle "&amp;$N401,"")&amp;IF($O401="En ligne",CHAR(10)&amp;"◆ EN LIGNE","")&amp;IF($R401&lt;&gt;"",CHAR(10)&amp;$R401,"")</f>
        <v/>
      </c>
      <c r="Y401" s="45" t="inlineStr"/>
      <c r="Z401" s="45" t="inlineStr">
        <is>
          <t>— généré —</t>
        </is>
      </c>
    </row>
    <row r="402" ht="15" customHeight="1">
      <c r="A402" s="10" t="inlineStr">
        <is>
          <t>S4</t>
        </is>
      </c>
      <c r="B402" s="9" t="inlineStr">
        <is>
          <t>du 5 au 11 octobre 2026</t>
        </is>
      </c>
      <c r="C402" s="10" t="inlineStr">
        <is>
          <t>B</t>
        </is>
      </c>
      <c r="D402" s="41" t="n">
        <v>46306</v>
      </c>
      <c r="E402" s="10" t="inlineStr">
        <is>
          <t>Dimanche</t>
        </is>
      </c>
      <c r="F402" s="42" t="n">
        <v>0.5208333333333334</v>
      </c>
      <c r="G402" s="42" t="n">
        <v>0.6041666666666666</v>
      </c>
      <c r="H402" s="43">
        <f>IF(OR($F402="",$G402=""),"",($G402-$F402)*24)</f>
        <v/>
      </c>
      <c r="I402" s="10" t="inlineStr">
        <is>
          <t>Bac</t>
        </is>
      </c>
      <c r="J402" s="9" t="inlineStr">
        <is>
          <t>Bac Eco</t>
        </is>
      </c>
      <c r="K402" s="9" t="inlineStr">
        <is>
          <t>Eco</t>
        </is>
      </c>
      <c r="L402" s="9" t="inlineStr">
        <is>
          <t>Eco</t>
        </is>
      </c>
      <c r="M402" s="9" t="inlineStr">
        <is>
          <t>Rym</t>
        </is>
      </c>
      <c r="N402" s="10" t="n"/>
      <c r="O402" s="10" t="n"/>
      <c r="P402" s="10" t="inlineStr">
        <is>
          <t>Hebdomadaire</t>
        </is>
      </c>
      <c r="Q402" s="9" t="inlineStr">
        <is>
          <t>Généré (octobre)</t>
        </is>
      </c>
      <c r="R402" s="9" t="inlineStr"/>
      <c r="S402" s="44">
        <f>IF($M402="","",IF(SUMPRODUCT(($D$4:$D$704=$D402)*($M$4:$M$704=$M402)*($F$4:$F$704&lt;$G402)*($G$4:$G$704&gt;$F402))&gt;1,"⚠ CONFLIT",""))</f>
        <v/>
      </c>
      <c r="T402" s="44">
        <f>IF($J402="","",IF(SUMPRODUCT(($D$4:$D$704=$D402)*($J$4:$J$704=$J402)*($F$4:$F$704&lt;$G402)*($G$4:$G$704&gt;$F402))&gt;1,"⚠ CONFLIT",""))</f>
        <v/>
      </c>
      <c r="U402" s="44">
        <f>IF(COUNTIFS($D$4:$D$704,$D402,$J$4:$J$704,$J402,$F$4:$F$704,$F402,$K$4:$K$704,$K402)&gt;1,"⚠ DOUBLON","")</f>
        <v/>
      </c>
      <c r="V402" s="44">
        <f>COUNTIFS($A$4:$A402,$A402,$J$4:$J402,$J402,$E$4:$E402,$E402)</f>
        <v/>
      </c>
      <c r="W402" s="45">
        <f>$A402&amp;"|"&amp;$J402&amp;"|"&amp;$E402&amp;"|"&amp;$V402</f>
        <v/>
      </c>
      <c r="X402" s="46">
        <f>TEXT($F402,"hh:mm")&amp;" - "&amp;TEXT($G402,"hh:mm")&amp;IF($P402="Quinzaine A","   ◆ Q-A",IF($P402="Quinzaine B","   ◆ Q-B",IF($P402="Exception","   ◆ PONCTUEL","")))&amp;CHAR(10)&amp;$K402&amp;CHAR(10)&amp;$M402&amp;IF($N402&lt;&gt;"",CHAR(10)&amp;"Salle "&amp;$N402,"")&amp;IF($O402="En ligne",CHAR(10)&amp;"◆ EN LIGNE","")&amp;IF($R402&lt;&gt;"",CHAR(10)&amp;$R402,"")</f>
        <v/>
      </c>
      <c r="Y402" s="45" t="inlineStr"/>
      <c r="Z402" s="45" t="inlineStr">
        <is>
          <t>— généré —</t>
        </is>
      </c>
    </row>
    <row r="403" ht="15" customHeight="1">
      <c r="A403" s="10" t="inlineStr">
        <is>
          <t>S4</t>
        </is>
      </c>
      <c r="B403" s="9" t="inlineStr">
        <is>
          <t>du 5 au 11 octobre 2026</t>
        </is>
      </c>
      <c r="C403" s="10" t="inlineStr">
        <is>
          <t>B</t>
        </is>
      </c>
      <c r="D403" s="41" t="n">
        <v>46306</v>
      </c>
      <c r="E403" s="10" t="inlineStr">
        <is>
          <t>Dimanche</t>
        </is>
      </c>
      <c r="F403" s="42" t="n">
        <v>0.6458333333333334</v>
      </c>
      <c r="G403" s="42" t="n">
        <v>0.7083333333333334</v>
      </c>
      <c r="H403" s="43">
        <f>IF(OR($F403="",$G403=""),"",($G403-$F403)*24)</f>
        <v/>
      </c>
      <c r="I403" s="10" t="inlineStr">
        <is>
          <t>Bac</t>
        </is>
      </c>
      <c r="J403" s="9" t="inlineStr">
        <is>
          <t>Bac INFO</t>
        </is>
      </c>
      <c r="K403" s="9" t="inlineStr">
        <is>
          <t>Math</t>
        </is>
      </c>
      <c r="L403" s="9" t="inlineStr">
        <is>
          <t>Math</t>
        </is>
      </c>
      <c r="M403" s="9" t="inlineStr">
        <is>
          <t>Lotfi</t>
        </is>
      </c>
      <c r="N403" s="10" t="n"/>
      <c r="O403" s="10" t="n"/>
      <c r="P403" s="10" t="inlineStr">
        <is>
          <t>Hebdomadaire</t>
        </is>
      </c>
      <c r="Q403" s="9" t="inlineStr">
        <is>
          <t>Généré (octobre)</t>
        </is>
      </c>
      <c r="R403" s="9" t="inlineStr"/>
      <c r="S403" s="44">
        <f>IF($M403="","",IF(SUMPRODUCT(($D$4:$D$704=$D403)*($M$4:$M$704=$M403)*($F$4:$F$704&lt;$G403)*($G$4:$G$704&gt;$F403))&gt;1,"⚠ CONFLIT",""))</f>
        <v/>
      </c>
      <c r="T403" s="44">
        <f>IF($J403="","",IF(SUMPRODUCT(($D$4:$D$704=$D403)*($J$4:$J$704=$J403)*($F$4:$F$704&lt;$G403)*($G$4:$G$704&gt;$F403))&gt;1,"⚠ CONFLIT",""))</f>
        <v/>
      </c>
      <c r="U403" s="44">
        <f>IF(COUNTIFS($D$4:$D$704,$D403,$J$4:$J$704,$J403,$F$4:$F$704,$F403,$K$4:$K$704,$K403)&gt;1,"⚠ DOUBLON","")</f>
        <v/>
      </c>
      <c r="V403" s="44">
        <f>COUNTIFS($A$4:$A403,$A403,$J$4:$J403,$J403,$E$4:$E403,$E403)</f>
        <v/>
      </c>
      <c r="W403" s="45">
        <f>$A403&amp;"|"&amp;$J403&amp;"|"&amp;$E403&amp;"|"&amp;$V403</f>
        <v/>
      </c>
      <c r="X403" s="46">
        <f>TEXT($F403,"hh:mm")&amp;" - "&amp;TEXT($G403,"hh:mm")&amp;IF($P403="Quinzaine A","   ◆ Q-A",IF($P403="Quinzaine B","   ◆ Q-B",IF($P403="Exception","   ◆ PONCTUEL","")))&amp;CHAR(10)&amp;$K403&amp;CHAR(10)&amp;$M403&amp;IF($N403&lt;&gt;"",CHAR(10)&amp;"Salle "&amp;$N403,"")&amp;IF($O403="En ligne",CHAR(10)&amp;"◆ EN LIGNE","")&amp;IF($R403&lt;&gt;"",CHAR(10)&amp;$R403,"")</f>
        <v/>
      </c>
      <c r="Y403" s="45" t="inlineStr"/>
      <c r="Z403" s="45" t="inlineStr">
        <is>
          <t>— généré —</t>
        </is>
      </c>
    </row>
    <row r="404" ht="15" customHeight="1">
      <c r="A404" s="10" t="inlineStr">
        <is>
          <t>S5</t>
        </is>
      </c>
      <c r="B404" s="9" t="inlineStr">
        <is>
          <t>du 12 au 18 octobre 2026</t>
        </is>
      </c>
      <c r="C404" s="10" t="inlineStr">
        <is>
          <t>A</t>
        </is>
      </c>
      <c r="D404" s="41" t="n">
        <v>46307</v>
      </c>
      <c r="E404" s="10" t="inlineStr">
        <is>
          <t>Lundi</t>
        </is>
      </c>
      <c r="F404" s="42" t="n">
        <v>0.7916666666666666</v>
      </c>
      <c r="G404" s="42" t="n">
        <v>0.875</v>
      </c>
      <c r="H404" s="43">
        <f>IF(OR($F404="",$G404=""),"",($G404-$F404)*24)</f>
        <v/>
      </c>
      <c r="I404" s="10" t="inlineStr">
        <is>
          <t>Primaire</t>
        </is>
      </c>
      <c r="J404" s="9" t="inlineStr">
        <is>
          <t>4éme</t>
        </is>
      </c>
      <c r="K404" s="9" t="inlineStr">
        <is>
          <t>عربية</t>
        </is>
      </c>
      <c r="L404" s="9" t="inlineStr">
        <is>
          <t>Arabe</t>
        </is>
      </c>
      <c r="M404" s="9" t="inlineStr">
        <is>
          <t>Lobna</t>
        </is>
      </c>
      <c r="N404" s="10" t="n"/>
      <c r="O404" s="10" t="n"/>
      <c r="P404" s="10" t="inlineStr">
        <is>
          <t>Hebdomadaire</t>
        </is>
      </c>
      <c r="Q404" s="9" t="inlineStr">
        <is>
          <t>Généré (octobre)</t>
        </is>
      </c>
      <c r="R404" s="9" t="inlineStr"/>
      <c r="S404" s="44">
        <f>IF($M404="","",IF(SUMPRODUCT(($D$4:$D$704=$D404)*($M$4:$M$704=$M404)*($F$4:$F$704&lt;$G404)*($G$4:$G$704&gt;$F404))&gt;1,"⚠ CONFLIT",""))</f>
        <v/>
      </c>
      <c r="T404" s="44">
        <f>IF($J404="","",IF(SUMPRODUCT(($D$4:$D$704=$D404)*($J$4:$J$704=$J404)*($F$4:$F$704&lt;$G404)*($G$4:$G$704&gt;$F404))&gt;1,"⚠ CONFLIT",""))</f>
        <v/>
      </c>
      <c r="U404" s="44">
        <f>IF(COUNTIFS($D$4:$D$704,$D404,$J$4:$J$704,$J404,$F$4:$F$704,$F404,$K$4:$K$704,$K404)&gt;1,"⚠ DOUBLON","")</f>
        <v/>
      </c>
      <c r="V404" s="44">
        <f>COUNTIFS($A$4:$A404,$A404,$J$4:$J404,$J404,$E$4:$E404,$E404)</f>
        <v/>
      </c>
      <c r="W404" s="45">
        <f>$A404&amp;"|"&amp;$J404&amp;"|"&amp;$E404&amp;"|"&amp;$V404</f>
        <v/>
      </c>
      <c r="X404" s="46">
        <f>TEXT($F404,"hh:mm")&amp;" - "&amp;TEXT($G404,"hh:mm")&amp;IF($P404="Quinzaine A","   ◆ Q-A",IF($P404="Quinzaine B","   ◆ Q-B",IF($P404="Exception","   ◆ PONCTUEL","")))&amp;CHAR(10)&amp;$K404&amp;CHAR(10)&amp;$M404&amp;IF($N404&lt;&gt;"",CHAR(10)&amp;"Salle "&amp;$N404,"")&amp;IF($O404="En ligne",CHAR(10)&amp;"◆ EN LIGNE","")&amp;IF($R404&lt;&gt;"",CHAR(10)&amp;$R404,"")</f>
        <v/>
      </c>
      <c r="Y404" s="45" t="inlineStr"/>
      <c r="Z404" s="45" t="inlineStr">
        <is>
          <t>— généré —</t>
        </is>
      </c>
    </row>
    <row r="405" ht="15" customHeight="1">
      <c r="A405" s="10" t="inlineStr">
        <is>
          <t>S5</t>
        </is>
      </c>
      <c r="B405" s="9" t="inlineStr">
        <is>
          <t>du 12 au 18 octobre 2026</t>
        </is>
      </c>
      <c r="C405" s="10" t="inlineStr">
        <is>
          <t>A</t>
        </is>
      </c>
      <c r="D405" s="41" t="n">
        <v>46307</v>
      </c>
      <c r="E405" s="10" t="inlineStr">
        <is>
          <t>Lundi</t>
        </is>
      </c>
      <c r="F405" s="42" t="n">
        <v>0.7916666666666666</v>
      </c>
      <c r="G405" s="42" t="n">
        <v>0.8541666666666666</v>
      </c>
      <c r="H405" s="43">
        <f>IF(OR($F405="",$G405=""),"",($G405-$F405)*24)</f>
        <v/>
      </c>
      <c r="I405" s="10" t="inlineStr">
        <is>
          <t>Primaire</t>
        </is>
      </c>
      <c r="J405" s="9" t="inlineStr">
        <is>
          <t>6éme Pilote (A)</t>
        </is>
      </c>
      <c r="K405" s="9" t="inlineStr">
        <is>
          <t>Français</t>
        </is>
      </c>
      <c r="L405" s="9" t="inlineStr">
        <is>
          <t>Français</t>
        </is>
      </c>
      <c r="M405" s="9" t="inlineStr">
        <is>
          <t>Hend</t>
        </is>
      </c>
      <c r="N405" s="10" t="n"/>
      <c r="O405" s="10" t="n"/>
      <c r="P405" s="10" t="inlineStr">
        <is>
          <t>Hebdomadaire</t>
        </is>
      </c>
      <c r="Q405" s="9" t="inlineStr">
        <is>
          <t>Généré (octobre)</t>
        </is>
      </c>
      <c r="R405" s="9" t="inlineStr"/>
      <c r="S405" s="44">
        <f>IF($M405="","",IF(SUMPRODUCT(($D$4:$D$704=$D405)*($M$4:$M$704=$M405)*($F$4:$F$704&lt;$G405)*($G$4:$G$704&gt;$F405))&gt;1,"⚠ CONFLIT",""))</f>
        <v/>
      </c>
      <c r="T405" s="44">
        <f>IF($J405="","",IF(SUMPRODUCT(($D$4:$D$704=$D405)*($J$4:$J$704=$J405)*($F$4:$F$704&lt;$G405)*($G$4:$G$704&gt;$F405))&gt;1,"⚠ CONFLIT",""))</f>
        <v/>
      </c>
      <c r="U405" s="44">
        <f>IF(COUNTIFS($D$4:$D$704,$D405,$J$4:$J$704,$J405,$F$4:$F$704,$F405,$K$4:$K$704,$K405)&gt;1,"⚠ DOUBLON","")</f>
        <v/>
      </c>
      <c r="V405" s="44">
        <f>COUNTIFS($A$4:$A405,$A405,$J$4:$J405,$J405,$E$4:$E405,$E405)</f>
        <v/>
      </c>
      <c r="W405" s="45">
        <f>$A405&amp;"|"&amp;$J405&amp;"|"&amp;$E405&amp;"|"&amp;$V405</f>
        <v/>
      </c>
      <c r="X405" s="46">
        <f>TEXT($F405,"hh:mm")&amp;" - "&amp;TEXT($G405,"hh:mm")&amp;IF($P405="Quinzaine A","   ◆ Q-A",IF($P405="Quinzaine B","   ◆ Q-B",IF($P405="Exception","   ◆ PONCTUEL","")))&amp;CHAR(10)&amp;$K405&amp;CHAR(10)&amp;$M405&amp;IF($N405&lt;&gt;"",CHAR(10)&amp;"Salle "&amp;$N405,"")&amp;IF($O405="En ligne",CHAR(10)&amp;"◆ EN LIGNE","")&amp;IF($R405&lt;&gt;"",CHAR(10)&amp;$R405,"")</f>
        <v/>
      </c>
      <c r="Y405" s="45" t="inlineStr"/>
      <c r="Z405" s="45" t="inlineStr">
        <is>
          <t>— généré —</t>
        </is>
      </c>
    </row>
    <row r="406" ht="15" customHeight="1">
      <c r="A406" s="10" t="inlineStr">
        <is>
          <t>S5</t>
        </is>
      </c>
      <c r="B406" s="9" t="inlineStr">
        <is>
          <t>du 12 au 18 octobre 2026</t>
        </is>
      </c>
      <c r="C406" s="10" t="inlineStr">
        <is>
          <t>A</t>
        </is>
      </c>
      <c r="D406" s="41" t="n">
        <v>46307</v>
      </c>
      <c r="E406" s="10" t="inlineStr">
        <is>
          <t>Lundi</t>
        </is>
      </c>
      <c r="F406" s="42" t="n">
        <v>0.8125</v>
      </c>
      <c r="G406" s="42" t="n">
        <v>0.875</v>
      </c>
      <c r="H406" s="43">
        <f>IF(OR($F406="",$G406=""),"",($G406-$F406)*24)</f>
        <v/>
      </c>
      <c r="I406" s="10" t="inlineStr">
        <is>
          <t>Collège</t>
        </is>
      </c>
      <c r="J406" s="9" t="inlineStr">
        <is>
          <t>7éme (B)</t>
        </is>
      </c>
      <c r="K406" s="9" t="inlineStr">
        <is>
          <t>Arabe</t>
        </is>
      </c>
      <c r="L406" s="9" t="inlineStr">
        <is>
          <t>Arabe</t>
        </is>
      </c>
      <c r="M406" s="9" t="inlineStr">
        <is>
          <t>Yahya</t>
        </is>
      </c>
      <c r="N406" s="10" t="n"/>
      <c r="O406" s="10" t="n"/>
      <c r="P406" s="10" t="inlineStr">
        <is>
          <t>Hebdomadaire</t>
        </is>
      </c>
      <c r="Q406" s="9" t="inlineStr">
        <is>
          <t>Généré (octobre)</t>
        </is>
      </c>
      <c r="R406" s="9" t="inlineStr"/>
      <c r="S406" s="44">
        <f>IF($M406="","",IF(SUMPRODUCT(($D$4:$D$704=$D406)*($M$4:$M$704=$M406)*($F$4:$F$704&lt;$G406)*($G$4:$G$704&gt;$F406))&gt;1,"⚠ CONFLIT",""))</f>
        <v/>
      </c>
      <c r="T406" s="44">
        <f>IF($J406="","",IF(SUMPRODUCT(($D$4:$D$704=$D406)*($J$4:$J$704=$J406)*($F$4:$F$704&lt;$G406)*($G$4:$G$704&gt;$F406))&gt;1,"⚠ CONFLIT",""))</f>
        <v/>
      </c>
      <c r="U406" s="44">
        <f>IF(COUNTIFS($D$4:$D$704,$D406,$J$4:$J$704,$J406,$F$4:$F$704,$F406,$K$4:$K$704,$K406)&gt;1,"⚠ DOUBLON","")</f>
        <v/>
      </c>
      <c r="V406" s="44">
        <f>COUNTIFS($A$4:$A406,$A406,$J$4:$J406,$J406,$E$4:$E406,$E406)</f>
        <v/>
      </c>
      <c r="W406" s="45">
        <f>$A406&amp;"|"&amp;$J406&amp;"|"&amp;$E406&amp;"|"&amp;$V406</f>
        <v/>
      </c>
      <c r="X406" s="46">
        <f>TEXT($F406,"hh:mm")&amp;" - "&amp;TEXT($G406,"hh:mm")&amp;IF($P406="Quinzaine A","   ◆ Q-A",IF($P406="Quinzaine B","   ◆ Q-B",IF($P406="Exception","   ◆ PONCTUEL","")))&amp;CHAR(10)&amp;$K406&amp;CHAR(10)&amp;$M406&amp;IF($N406&lt;&gt;"",CHAR(10)&amp;"Salle "&amp;$N406,"")&amp;IF($O406="En ligne",CHAR(10)&amp;"◆ EN LIGNE","")&amp;IF($R406&lt;&gt;"",CHAR(10)&amp;$R406,"")</f>
        <v/>
      </c>
      <c r="Y406" s="45" t="inlineStr"/>
      <c r="Z406" s="45" t="inlineStr">
        <is>
          <t>— généré —</t>
        </is>
      </c>
    </row>
    <row r="407" ht="15" customHeight="1">
      <c r="A407" s="10" t="inlineStr">
        <is>
          <t>S5</t>
        </is>
      </c>
      <c r="B407" s="9" t="inlineStr">
        <is>
          <t>du 12 au 18 octobre 2026</t>
        </is>
      </c>
      <c r="C407" s="10" t="inlineStr">
        <is>
          <t>A</t>
        </is>
      </c>
      <c r="D407" s="41" t="n">
        <v>46307</v>
      </c>
      <c r="E407" s="10" t="inlineStr">
        <is>
          <t>Lundi</t>
        </is>
      </c>
      <c r="F407" s="42" t="n">
        <v>0.8125</v>
      </c>
      <c r="G407" s="42" t="n">
        <v>0.875</v>
      </c>
      <c r="H407" s="43">
        <f>IF(OR($F407="",$G407=""),"",($G407-$F407)*24)</f>
        <v/>
      </c>
      <c r="I407" s="10" t="inlineStr">
        <is>
          <t>Collège</t>
        </is>
      </c>
      <c r="J407" s="9" t="inlineStr">
        <is>
          <t>9éme (A)</t>
        </is>
      </c>
      <c r="K407" s="9" t="inlineStr">
        <is>
          <t>فيزياء</t>
        </is>
      </c>
      <c r="L407" s="9" t="inlineStr">
        <is>
          <t>Physique</t>
        </is>
      </c>
      <c r="M407" s="9" t="inlineStr">
        <is>
          <t>Melek</t>
        </is>
      </c>
      <c r="N407" s="10" t="n"/>
      <c r="O407" s="10" t="n"/>
      <c r="P407" s="10" t="inlineStr">
        <is>
          <t>Hebdomadaire</t>
        </is>
      </c>
      <c r="Q407" s="9" t="inlineStr">
        <is>
          <t>Généré (octobre)</t>
        </is>
      </c>
      <c r="R407" s="9" t="inlineStr"/>
      <c r="S407" s="44">
        <f>IF($M407="","",IF(SUMPRODUCT(($D$4:$D$704=$D407)*($M$4:$M$704=$M407)*($F$4:$F$704&lt;$G407)*($G$4:$G$704&gt;$F407))&gt;1,"⚠ CONFLIT",""))</f>
        <v/>
      </c>
      <c r="T407" s="44">
        <f>IF($J407="","",IF(SUMPRODUCT(($D$4:$D$704=$D407)*($J$4:$J$704=$J407)*($F$4:$F$704&lt;$G407)*($G$4:$G$704&gt;$F407))&gt;1,"⚠ CONFLIT",""))</f>
        <v/>
      </c>
      <c r="U407" s="44">
        <f>IF(COUNTIFS($D$4:$D$704,$D407,$J$4:$J$704,$J407,$F$4:$F$704,$F407,$K$4:$K$704,$K407)&gt;1,"⚠ DOUBLON","")</f>
        <v/>
      </c>
      <c r="V407" s="44">
        <f>COUNTIFS($A$4:$A407,$A407,$J$4:$J407,$J407,$E$4:$E407,$E407)</f>
        <v/>
      </c>
      <c r="W407" s="45">
        <f>$A407&amp;"|"&amp;$J407&amp;"|"&amp;$E407&amp;"|"&amp;$V407</f>
        <v/>
      </c>
      <c r="X407" s="46">
        <f>TEXT($F407,"hh:mm")&amp;" - "&amp;TEXT($G407,"hh:mm")&amp;IF($P407="Quinzaine A","   ◆ Q-A",IF($P407="Quinzaine B","   ◆ Q-B",IF($P407="Exception","   ◆ PONCTUEL","")))&amp;CHAR(10)&amp;$K407&amp;CHAR(10)&amp;$M407&amp;IF($N407&lt;&gt;"",CHAR(10)&amp;"Salle "&amp;$N407,"")&amp;IF($O407="En ligne",CHAR(10)&amp;"◆ EN LIGNE","")&amp;IF($R407&lt;&gt;"",CHAR(10)&amp;$R407,"")</f>
        <v/>
      </c>
      <c r="Y407" s="45" t="inlineStr"/>
      <c r="Z407" s="45" t="inlineStr">
        <is>
          <t>— généré —</t>
        </is>
      </c>
    </row>
    <row r="408" ht="15" customHeight="1">
      <c r="A408" s="10" t="inlineStr">
        <is>
          <t>S5</t>
        </is>
      </c>
      <c r="B408" s="9" t="inlineStr">
        <is>
          <t>du 12 au 18 octobre 2026</t>
        </is>
      </c>
      <c r="C408" s="10" t="inlineStr">
        <is>
          <t>A</t>
        </is>
      </c>
      <c r="D408" s="41" t="n">
        <v>46307</v>
      </c>
      <c r="E408" s="10" t="inlineStr">
        <is>
          <t>Lundi</t>
        </is>
      </c>
      <c r="F408" s="42" t="n">
        <v>0.8125</v>
      </c>
      <c r="G408" s="42" t="n">
        <v>0.875</v>
      </c>
      <c r="H408" s="43">
        <f>IF(OR($F408="",$G408=""),"",($G408-$F408)*24)</f>
        <v/>
      </c>
      <c r="I408" s="10" t="inlineStr">
        <is>
          <t>Secondaire</t>
        </is>
      </c>
      <c r="J408" s="9" t="inlineStr">
        <is>
          <t>1ére (A)</t>
        </is>
      </c>
      <c r="K408" s="9" t="inlineStr">
        <is>
          <t>Math</t>
        </is>
      </c>
      <c r="L408" s="9" t="inlineStr">
        <is>
          <t>Math</t>
        </is>
      </c>
      <c r="M408" s="9" t="inlineStr">
        <is>
          <t>Haythem</t>
        </is>
      </c>
      <c r="N408" s="10" t="n"/>
      <c r="O408" s="10" t="n"/>
      <c r="P408" s="10" t="inlineStr">
        <is>
          <t>Hebdomadaire</t>
        </is>
      </c>
      <c r="Q408" s="9" t="inlineStr">
        <is>
          <t>Généré (octobre)</t>
        </is>
      </c>
      <c r="R408" s="9" t="inlineStr"/>
      <c r="S408" s="44">
        <f>IF($M408="","",IF(SUMPRODUCT(($D$4:$D$704=$D408)*($M$4:$M$704=$M408)*($F$4:$F$704&lt;$G408)*($G$4:$G$704&gt;$F408))&gt;1,"⚠ CONFLIT",""))</f>
        <v/>
      </c>
      <c r="T408" s="44">
        <f>IF($J408="","",IF(SUMPRODUCT(($D$4:$D$704=$D408)*($J$4:$J$704=$J408)*($F$4:$F$704&lt;$G408)*($G$4:$G$704&gt;$F408))&gt;1,"⚠ CONFLIT",""))</f>
        <v/>
      </c>
      <c r="U408" s="44">
        <f>IF(COUNTIFS($D$4:$D$704,$D408,$J$4:$J$704,$J408,$F$4:$F$704,$F408,$K$4:$K$704,$K408)&gt;1,"⚠ DOUBLON","")</f>
        <v/>
      </c>
      <c r="V408" s="44">
        <f>COUNTIFS($A$4:$A408,$A408,$J$4:$J408,$J408,$E$4:$E408,$E408)</f>
        <v/>
      </c>
      <c r="W408" s="45">
        <f>$A408&amp;"|"&amp;$J408&amp;"|"&amp;$E408&amp;"|"&amp;$V408</f>
        <v/>
      </c>
      <c r="X408" s="46">
        <f>TEXT($F408,"hh:mm")&amp;" - "&amp;TEXT($G408,"hh:mm")&amp;IF($P408="Quinzaine A","   ◆ Q-A",IF($P408="Quinzaine B","   ◆ Q-B",IF($P408="Exception","   ◆ PONCTUEL","")))&amp;CHAR(10)&amp;$K408&amp;CHAR(10)&amp;$M408&amp;IF($N408&lt;&gt;"",CHAR(10)&amp;"Salle "&amp;$N408,"")&amp;IF($O408="En ligne",CHAR(10)&amp;"◆ EN LIGNE","")&amp;IF($R408&lt;&gt;"",CHAR(10)&amp;$R408,"")</f>
        <v/>
      </c>
      <c r="Y408" s="45" t="inlineStr"/>
      <c r="Z408" s="45" t="inlineStr">
        <is>
          <t>— généré —</t>
        </is>
      </c>
    </row>
    <row r="409" ht="15" customHeight="1">
      <c r="A409" s="10" t="inlineStr">
        <is>
          <t>S5</t>
        </is>
      </c>
      <c r="B409" s="9" t="inlineStr">
        <is>
          <t>du 12 au 18 octobre 2026</t>
        </is>
      </c>
      <c r="C409" s="10" t="inlineStr">
        <is>
          <t>A</t>
        </is>
      </c>
      <c r="D409" s="41" t="n">
        <v>46307</v>
      </c>
      <c r="E409" s="10" t="inlineStr">
        <is>
          <t>Lundi</t>
        </is>
      </c>
      <c r="F409" s="42" t="n">
        <v>0.6458333333333334</v>
      </c>
      <c r="G409" s="42" t="n">
        <v>0.7291666666666666</v>
      </c>
      <c r="H409" s="43">
        <f>IF(OR($F409="",$G409=""),"",($G409-$F409)*24)</f>
        <v/>
      </c>
      <c r="I409" s="10" t="inlineStr">
        <is>
          <t>Secondaire</t>
        </is>
      </c>
      <c r="J409" s="9" t="inlineStr">
        <is>
          <t>3éme INFO</t>
        </is>
      </c>
      <c r="K409" s="9" t="inlineStr">
        <is>
          <t>STI</t>
        </is>
      </c>
      <c r="L409" s="9" t="inlineStr">
        <is>
          <t>STI</t>
        </is>
      </c>
      <c r="M409" s="9" t="inlineStr">
        <is>
          <t>Aymen</t>
        </is>
      </c>
      <c r="N409" s="10" t="n"/>
      <c r="O409" s="10" t="n"/>
      <c r="P409" s="10" t="inlineStr">
        <is>
          <t>Hebdomadaire</t>
        </is>
      </c>
      <c r="Q409" s="9" t="inlineStr">
        <is>
          <t>Généré (octobre)</t>
        </is>
      </c>
      <c r="R409" s="9" t="inlineStr"/>
      <c r="S409" s="44">
        <f>IF($M409="","",IF(SUMPRODUCT(($D$4:$D$704=$D409)*($M$4:$M$704=$M409)*($F$4:$F$704&lt;$G409)*($G$4:$G$704&gt;$F409))&gt;1,"⚠ CONFLIT",""))</f>
        <v/>
      </c>
      <c r="T409" s="44">
        <f>IF($J409="","",IF(SUMPRODUCT(($D$4:$D$704=$D409)*($J$4:$J$704=$J409)*($F$4:$F$704&lt;$G409)*($G$4:$G$704&gt;$F409))&gt;1,"⚠ CONFLIT",""))</f>
        <v/>
      </c>
      <c r="U409" s="44">
        <f>IF(COUNTIFS($D$4:$D$704,$D409,$J$4:$J$704,$J409,$F$4:$F$704,$F409,$K$4:$K$704,$K409)&gt;1,"⚠ DOUBLON","")</f>
        <v/>
      </c>
      <c r="V409" s="44">
        <f>COUNTIFS($A$4:$A409,$A409,$J$4:$J409,$J409,$E$4:$E409,$E409)</f>
        <v/>
      </c>
      <c r="W409" s="45">
        <f>$A409&amp;"|"&amp;$J409&amp;"|"&amp;$E409&amp;"|"&amp;$V409</f>
        <v/>
      </c>
      <c r="X409" s="46">
        <f>TEXT($F409,"hh:mm")&amp;" - "&amp;TEXT($G409,"hh:mm")&amp;IF($P409="Quinzaine A","   ◆ Q-A",IF($P409="Quinzaine B","   ◆ Q-B",IF($P409="Exception","   ◆ PONCTUEL","")))&amp;CHAR(10)&amp;$K409&amp;CHAR(10)&amp;$M409&amp;IF($N409&lt;&gt;"",CHAR(10)&amp;"Salle "&amp;$N409,"")&amp;IF($O409="En ligne",CHAR(10)&amp;"◆ EN LIGNE","")&amp;IF($R409&lt;&gt;"",CHAR(10)&amp;$R409,"")</f>
        <v/>
      </c>
      <c r="Y409" s="45" t="inlineStr"/>
      <c r="Z409" s="45" t="inlineStr">
        <is>
          <t>— généré —</t>
        </is>
      </c>
    </row>
    <row r="410" ht="15" customHeight="1">
      <c r="A410" s="10" t="inlineStr">
        <is>
          <t>S5</t>
        </is>
      </c>
      <c r="B410" s="9" t="inlineStr">
        <is>
          <t>du 12 au 18 octobre 2026</t>
        </is>
      </c>
      <c r="C410" s="10" t="inlineStr">
        <is>
          <t>A</t>
        </is>
      </c>
      <c r="D410" s="41" t="n">
        <v>46307</v>
      </c>
      <c r="E410" s="10" t="inlineStr">
        <is>
          <t>Lundi</t>
        </is>
      </c>
      <c r="F410" s="42" t="n">
        <v>0.7916666666666666</v>
      </c>
      <c r="G410" s="42" t="n">
        <v>0.8541666666666666</v>
      </c>
      <c r="H410" s="43">
        <f>IF(OR($F410="",$G410=""),"",($G410-$F410)*24)</f>
        <v/>
      </c>
      <c r="I410" s="10" t="inlineStr">
        <is>
          <t>Secondaire</t>
        </is>
      </c>
      <c r="J410" s="9" t="inlineStr">
        <is>
          <t>3éme SCE</t>
        </is>
      </c>
      <c r="K410" s="9" t="inlineStr">
        <is>
          <t>Math</t>
        </is>
      </c>
      <c r="L410" s="9" t="inlineStr">
        <is>
          <t>Math</t>
        </is>
      </c>
      <c r="M410" s="9" t="inlineStr">
        <is>
          <t>Lotfi</t>
        </is>
      </c>
      <c r="N410" s="10" t="n"/>
      <c r="O410" s="10" t="n"/>
      <c r="P410" s="10" t="inlineStr">
        <is>
          <t>Hebdomadaire</t>
        </is>
      </c>
      <c r="Q410" s="9" t="inlineStr">
        <is>
          <t>Généré (octobre)</t>
        </is>
      </c>
      <c r="R410" s="9" t="inlineStr"/>
      <c r="S410" s="44">
        <f>IF($M410="","",IF(SUMPRODUCT(($D$4:$D$704=$D410)*($M$4:$M$704=$M410)*($F$4:$F$704&lt;$G410)*($G$4:$G$704&gt;$F410))&gt;1,"⚠ CONFLIT",""))</f>
        <v/>
      </c>
      <c r="T410" s="44">
        <f>IF($J410="","",IF(SUMPRODUCT(($D$4:$D$704=$D410)*($J$4:$J$704=$J410)*($F$4:$F$704&lt;$G410)*($G$4:$G$704&gt;$F410))&gt;1,"⚠ CONFLIT",""))</f>
        <v/>
      </c>
      <c r="U410" s="44">
        <f>IF(COUNTIFS($D$4:$D$704,$D410,$J$4:$J$704,$J410,$F$4:$F$704,$F410,$K$4:$K$704,$K410)&gt;1,"⚠ DOUBLON","")</f>
        <v/>
      </c>
      <c r="V410" s="44">
        <f>COUNTIFS($A$4:$A410,$A410,$J$4:$J410,$J410,$E$4:$E410,$E410)</f>
        <v/>
      </c>
      <c r="W410" s="45">
        <f>$A410&amp;"|"&amp;$J410&amp;"|"&amp;$E410&amp;"|"&amp;$V410</f>
        <v/>
      </c>
      <c r="X410" s="46">
        <f>TEXT($F410,"hh:mm")&amp;" - "&amp;TEXT($G410,"hh:mm")&amp;IF($P410="Quinzaine A","   ◆ Q-A",IF($P410="Quinzaine B","   ◆ Q-B",IF($P410="Exception","   ◆ PONCTUEL","")))&amp;CHAR(10)&amp;$K410&amp;CHAR(10)&amp;$M410&amp;IF($N410&lt;&gt;"",CHAR(10)&amp;"Salle "&amp;$N410,"")&amp;IF($O410="En ligne",CHAR(10)&amp;"◆ EN LIGNE","")&amp;IF($R410&lt;&gt;"",CHAR(10)&amp;$R410,"")</f>
        <v/>
      </c>
      <c r="Y410" s="45" t="inlineStr"/>
      <c r="Z410" s="45" t="inlineStr">
        <is>
          <t>— généré —</t>
        </is>
      </c>
    </row>
    <row r="411" ht="15" customHeight="1">
      <c r="A411" s="10" t="inlineStr">
        <is>
          <t>S5</t>
        </is>
      </c>
      <c r="B411" s="9" t="inlineStr">
        <is>
          <t>du 12 au 18 octobre 2026</t>
        </is>
      </c>
      <c r="C411" s="10" t="inlineStr">
        <is>
          <t>A</t>
        </is>
      </c>
      <c r="D411" s="41" t="n">
        <v>46307</v>
      </c>
      <c r="E411" s="10" t="inlineStr">
        <is>
          <t>Lundi</t>
        </is>
      </c>
      <c r="F411" s="42" t="n">
        <v>0.7916666666666666</v>
      </c>
      <c r="G411" s="42" t="n">
        <v>0.875</v>
      </c>
      <c r="H411" s="43">
        <f>IF(OR($F411="",$G411=""),"",($G411-$F411)*24)</f>
        <v/>
      </c>
      <c r="I411" s="10" t="inlineStr">
        <is>
          <t>Bac</t>
        </is>
      </c>
      <c r="J411" s="9" t="inlineStr">
        <is>
          <t>Bac Eco</t>
        </is>
      </c>
      <c r="K411" s="9" t="inlineStr">
        <is>
          <t>Gestion</t>
        </is>
      </c>
      <c r="L411" s="9" t="inlineStr">
        <is>
          <t>Gestion</t>
        </is>
      </c>
      <c r="M411" s="9" t="inlineStr">
        <is>
          <t>Yassine</t>
        </is>
      </c>
      <c r="N411" s="10" t="n"/>
      <c r="O411" s="10" t="n"/>
      <c r="P411" s="10" t="inlineStr">
        <is>
          <t>Hebdomadaire</t>
        </is>
      </c>
      <c r="Q411" s="9" t="inlineStr">
        <is>
          <t>Généré (octobre)</t>
        </is>
      </c>
      <c r="R411" s="9" t="inlineStr"/>
      <c r="S411" s="44">
        <f>IF($M411="","",IF(SUMPRODUCT(($D$4:$D$704=$D411)*($M$4:$M$704=$M411)*($F$4:$F$704&lt;$G411)*($G$4:$G$704&gt;$F411))&gt;1,"⚠ CONFLIT",""))</f>
        <v/>
      </c>
      <c r="T411" s="44">
        <f>IF($J411="","",IF(SUMPRODUCT(($D$4:$D$704=$D411)*($J$4:$J$704=$J411)*($F$4:$F$704&lt;$G411)*($G$4:$G$704&gt;$F411))&gt;1,"⚠ CONFLIT",""))</f>
        <v/>
      </c>
      <c r="U411" s="44">
        <f>IF(COUNTIFS($D$4:$D$704,$D411,$J$4:$J$704,$J411,$F$4:$F$704,$F411,$K$4:$K$704,$K411)&gt;1,"⚠ DOUBLON","")</f>
        <v/>
      </c>
      <c r="V411" s="44">
        <f>COUNTIFS($A$4:$A411,$A411,$J$4:$J411,$J411,$E$4:$E411,$E411)</f>
        <v/>
      </c>
      <c r="W411" s="45">
        <f>$A411&amp;"|"&amp;$J411&amp;"|"&amp;$E411&amp;"|"&amp;$V411</f>
        <v/>
      </c>
      <c r="X411" s="46">
        <f>TEXT($F411,"hh:mm")&amp;" - "&amp;TEXT($G411,"hh:mm")&amp;IF($P411="Quinzaine A","   ◆ Q-A",IF($P411="Quinzaine B","   ◆ Q-B",IF($P411="Exception","   ◆ PONCTUEL","")))&amp;CHAR(10)&amp;$K411&amp;CHAR(10)&amp;$M411&amp;IF($N411&lt;&gt;"",CHAR(10)&amp;"Salle "&amp;$N411,"")&amp;IF($O411="En ligne",CHAR(10)&amp;"◆ EN LIGNE","")&amp;IF($R411&lt;&gt;"",CHAR(10)&amp;$R411,"")</f>
        <v/>
      </c>
      <c r="Y411" s="45" t="inlineStr"/>
      <c r="Z411" s="45" t="inlineStr">
        <is>
          <t>— généré —</t>
        </is>
      </c>
    </row>
    <row r="412" ht="15" customHeight="1">
      <c r="A412" s="10" t="inlineStr">
        <is>
          <t>S5</t>
        </is>
      </c>
      <c r="B412" s="9" t="inlineStr">
        <is>
          <t>du 12 au 18 octobre 2026</t>
        </is>
      </c>
      <c r="C412" s="10" t="inlineStr">
        <is>
          <t>A</t>
        </is>
      </c>
      <c r="D412" s="41" t="n">
        <v>46307</v>
      </c>
      <c r="E412" s="10" t="inlineStr">
        <is>
          <t>Lundi</t>
        </is>
      </c>
      <c r="F412" s="42" t="n">
        <v>0.7916666666666666</v>
      </c>
      <c r="G412" s="42" t="n">
        <v>0.875</v>
      </c>
      <c r="H412" s="43">
        <f>IF(OR($F412="",$G412=""),"",($G412-$F412)*24)</f>
        <v/>
      </c>
      <c r="I412" s="10" t="inlineStr">
        <is>
          <t>Bac</t>
        </is>
      </c>
      <c r="J412" s="9" t="inlineStr">
        <is>
          <t>Bac SCE</t>
        </is>
      </c>
      <c r="K412" s="9" t="inlineStr">
        <is>
          <t>Physique</t>
        </is>
      </c>
      <c r="L412" s="9" t="inlineStr">
        <is>
          <t>Physique</t>
        </is>
      </c>
      <c r="M412" s="9" t="inlineStr">
        <is>
          <t>Sondes</t>
        </is>
      </c>
      <c r="N412" s="10" t="n"/>
      <c r="O412" s="10" t="n"/>
      <c r="P412" s="10" t="inlineStr">
        <is>
          <t>Hebdomadaire</t>
        </is>
      </c>
      <c r="Q412" s="9" t="inlineStr">
        <is>
          <t>Généré (octobre)</t>
        </is>
      </c>
      <c r="R412" s="9" t="inlineStr"/>
      <c r="S412" s="44">
        <f>IF($M412="","",IF(SUMPRODUCT(($D$4:$D$704=$D412)*($M$4:$M$704=$M412)*($F$4:$F$704&lt;$G412)*($G$4:$G$704&gt;$F412))&gt;1,"⚠ CONFLIT",""))</f>
        <v/>
      </c>
      <c r="T412" s="44">
        <f>IF($J412="","",IF(SUMPRODUCT(($D$4:$D$704=$D412)*($J$4:$J$704=$J412)*($F$4:$F$704&lt;$G412)*($G$4:$G$704&gt;$F412))&gt;1,"⚠ CONFLIT",""))</f>
        <v/>
      </c>
      <c r="U412" s="44">
        <f>IF(COUNTIFS($D$4:$D$704,$D412,$J$4:$J$704,$J412,$F$4:$F$704,$F412,$K$4:$K$704,$K412)&gt;1,"⚠ DOUBLON","")</f>
        <v/>
      </c>
      <c r="V412" s="44">
        <f>COUNTIFS($A$4:$A412,$A412,$J$4:$J412,$J412,$E$4:$E412,$E412)</f>
        <v/>
      </c>
      <c r="W412" s="45">
        <f>$A412&amp;"|"&amp;$J412&amp;"|"&amp;$E412&amp;"|"&amp;$V412</f>
        <v/>
      </c>
      <c r="X412" s="46">
        <f>TEXT($F412,"hh:mm")&amp;" - "&amp;TEXT($G412,"hh:mm")&amp;IF($P412="Quinzaine A","   ◆ Q-A",IF($P412="Quinzaine B","   ◆ Q-B",IF($P412="Exception","   ◆ PONCTUEL","")))&amp;CHAR(10)&amp;$K412&amp;CHAR(10)&amp;$M412&amp;IF($N412&lt;&gt;"",CHAR(10)&amp;"Salle "&amp;$N412,"")&amp;IF($O412="En ligne",CHAR(10)&amp;"◆ EN LIGNE","")&amp;IF($R412&lt;&gt;"",CHAR(10)&amp;$R412,"")</f>
        <v/>
      </c>
      <c r="Y412" s="45" t="inlineStr"/>
      <c r="Z412" s="45" t="inlineStr">
        <is>
          <t>— généré —</t>
        </is>
      </c>
    </row>
    <row r="413" ht="15" customHeight="1">
      <c r="A413" s="10" t="inlineStr">
        <is>
          <t>S5</t>
        </is>
      </c>
      <c r="B413" s="9" t="inlineStr">
        <is>
          <t>du 12 au 18 octobre 2026</t>
        </is>
      </c>
      <c r="C413" s="10" t="inlineStr">
        <is>
          <t>A</t>
        </is>
      </c>
      <c r="D413" s="41" t="n">
        <v>46307</v>
      </c>
      <c r="E413" s="10" t="inlineStr">
        <is>
          <t>Lundi</t>
        </is>
      </c>
      <c r="F413" s="42" t="n">
        <v>0.8125</v>
      </c>
      <c r="G413" s="42" t="n">
        <v>0.875</v>
      </c>
      <c r="H413" s="43">
        <f>IF(OR($F413="",$G413=""),"",($G413-$F413)*24)</f>
        <v/>
      </c>
      <c r="I413" s="10" t="inlineStr">
        <is>
          <t>Bac</t>
        </is>
      </c>
      <c r="J413" s="9" t="inlineStr">
        <is>
          <t>Bac INFO</t>
        </is>
      </c>
      <c r="K413" s="9" t="inlineStr">
        <is>
          <t>Physique</t>
        </is>
      </c>
      <c r="L413" s="9" t="inlineStr">
        <is>
          <t>Physique</t>
        </is>
      </c>
      <c r="M413" s="9" t="inlineStr">
        <is>
          <t>Samia</t>
        </is>
      </c>
      <c r="N413" s="10" t="n"/>
      <c r="O413" s="10" t="n"/>
      <c r="P413" s="10" t="inlineStr">
        <is>
          <t>Hebdomadaire</t>
        </is>
      </c>
      <c r="Q413" s="9" t="inlineStr">
        <is>
          <t>Généré (octobre)</t>
        </is>
      </c>
      <c r="R413" s="9" t="inlineStr"/>
      <c r="S413" s="44">
        <f>IF($M413="","",IF(SUMPRODUCT(($D$4:$D$704=$D413)*($M$4:$M$704=$M413)*($F$4:$F$704&lt;$G413)*($G$4:$G$704&gt;$F413))&gt;1,"⚠ CONFLIT",""))</f>
        <v/>
      </c>
      <c r="T413" s="44">
        <f>IF($J413="","",IF(SUMPRODUCT(($D$4:$D$704=$D413)*($J$4:$J$704=$J413)*($F$4:$F$704&lt;$G413)*($G$4:$G$704&gt;$F413))&gt;1,"⚠ CONFLIT",""))</f>
        <v/>
      </c>
      <c r="U413" s="44">
        <f>IF(COUNTIFS($D$4:$D$704,$D413,$J$4:$J$704,$J413,$F$4:$F$704,$F413,$K$4:$K$704,$K413)&gt;1,"⚠ DOUBLON","")</f>
        <v/>
      </c>
      <c r="V413" s="44">
        <f>COUNTIFS($A$4:$A413,$A413,$J$4:$J413,$J413,$E$4:$E413,$E413)</f>
        <v/>
      </c>
      <c r="W413" s="45">
        <f>$A413&amp;"|"&amp;$J413&amp;"|"&amp;$E413&amp;"|"&amp;$V413</f>
        <v/>
      </c>
      <c r="X413" s="46">
        <f>TEXT($F413,"hh:mm")&amp;" - "&amp;TEXT($G413,"hh:mm")&amp;IF($P413="Quinzaine A","   ◆ Q-A",IF($P413="Quinzaine B","   ◆ Q-B",IF($P413="Exception","   ◆ PONCTUEL","")))&amp;CHAR(10)&amp;$K413&amp;CHAR(10)&amp;$M413&amp;IF($N413&lt;&gt;"",CHAR(10)&amp;"Salle "&amp;$N413,"")&amp;IF($O413="En ligne",CHAR(10)&amp;"◆ EN LIGNE","")&amp;IF($R413&lt;&gt;"",CHAR(10)&amp;$R413,"")</f>
        <v/>
      </c>
      <c r="Y413" s="45" t="inlineStr"/>
      <c r="Z413" s="45" t="inlineStr">
        <is>
          <t>— généré —</t>
        </is>
      </c>
    </row>
    <row r="414" ht="15" customHeight="1">
      <c r="A414" s="10" t="inlineStr">
        <is>
          <t>S5</t>
        </is>
      </c>
      <c r="B414" s="9" t="inlineStr">
        <is>
          <t>du 12 au 18 octobre 2026</t>
        </is>
      </c>
      <c r="C414" s="10" t="inlineStr">
        <is>
          <t>A</t>
        </is>
      </c>
      <c r="D414" s="41" t="n">
        <v>46308</v>
      </c>
      <c r="E414" s="10" t="inlineStr">
        <is>
          <t>Mardi</t>
        </is>
      </c>
      <c r="F414" s="42" t="n">
        <v>0.7916666666666666</v>
      </c>
      <c r="G414" s="42" t="n">
        <v>0.875</v>
      </c>
      <c r="H414" s="43">
        <f>IF(OR($F414="",$G414=""),"",($G414-$F414)*24)</f>
        <v/>
      </c>
      <c r="I414" s="10" t="inlineStr">
        <is>
          <t>Primaire</t>
        </is>
      </c>
      <c r="J414" s="9" t="inlineStr">
        <is>
          <t>5éme</t>
        </is>
      </c>
      <c r="K414" s="9" t="inlineStr">
        <is>
          <t>عربية</t>
        </is>
      </c>
      <c r="L414" s="9" t="inlineStr">
        <is>
          <t>Arabe</t>
        </is>
      </c>
      <c r="M414" s="9" t="inlineStr">
        <is>
          <t>Lobna</t>
        </is>
      </c>
      <c r="N414" s="10" t="n"/>
      <c r="O414" s="10" t="n"/>
      <c r="P414" s="10" t="inlineStr">
        <is>
          <t>Hebdomadaire</t>
        </is>
      </c>
      <c r="Q414" s="9" t="inlineStr">
        <is>
          <t>Généré (octobre)</t>
        </is>
      </c>
      <c r="R414" s="9" t="inlineStr"/>
      <c r="S414" s="44">
        <f>IF($M414="","",IF(SUMPRODUCT(($D$4:$D$704=$D414)*($M$4:$M$704=$M414)*($F$4:$F$704&lt;$G414)*($G$4:$G$704&gt;$F414))&gt;1,"⚠ CONFLIT",""))</f>
        <v/>
      </c>
      <c r="T414" s="44">
        <f>IF($J414="","",IF(SUMPRODUCT(($D$4:$D$704=$D414)*($J$4:$J$704=$J414)*($F$4:$F$704&lt;$G414)*($G$4:$G$704&gt;$F414))&gt;1,"⚠ CONFLIT",""))</f>
        <v/>
      </c>
      <c r="U414" s="44">
        <f>IF(COUNTIFS($D$4:$D$704,$D414,$J$4:$J$704,$J414,$F$4:$F$704,$F414,$K$4:$K$704,$K414)&gt;1,"⚠ DOUBLON","")</f>
        <v/>
      </c>
      <c r="V414" s="44">
        <f>COUNTIFS($A$4:$A414,$A414,$J$4:$J414,$J414,$E$4:$E414,$E414)</f>
        <v/>
      </c>
      <c r="W414" s="45">
        <f>$A414&amp;"|"&amp;$J414&amp;"|"&amp;$E414&amp;"|"&amp;$V414</f>
        <v/>
      </c>
      <c r="X414" s="46">
        <f>TEXT($F414,"hh:mm")&amp;" - "&amp;TEXT($G414,"hh:mm")&amp;IF($P414="Quinzaine A","   ◆ Q-A",IF($P414="Quinzaine B","   ◆ Q-B",IF($P414="Exception","   ◆ PONCTUEL","")))&amp;CHAR(10)&amp;$K414&amp;CHAR(10)&amp;$M414&amp;IF($N414&lt;&gt;"",CHAR(10)&amp;"Salle "&amp;$N414,"")&amp;IF($O414="En ligne",CHAR(10)&amp;"◆ EN LIGNE","")&amp;IF($R414&lt;&gt;"",CHAR(10)&amp;$R414,"")</f>
        <v/>
      </c>
      <c r="Y414" s="45" t="inlineStr"/>
      <c r="Z414" s="45" t="inlineStr">
        <is>
          <t>— généré —</t>
        </is>
      </c>
    </row>
    <row r="415" ht="15" customHeight="1">
      <c r="A415" s="10" t="inlineStr">
        <is>
          <t>S5</t>
        </is>
      </c>
      <c r="B415" s="9" t="inlineStr">
        <is>
          <t>du 12 au 18 octobre 2026</t>
        </is>
      </c>
      <c r="C415" s="10" t="inlineStr">
        <is>
          <t>A</t>
        </is>
      </c>
      <c r="D415" s="41" t="n">
        <v>46308</v>
      </c>
      <c r="E415" s="10" t="inlineStr">
        <is>
          <t>Mardi</t>
        </is>
      </c>
      <c r="F415" s="42" t="n">
        <v>0.7916666666666666</v>
      </c>
      <c r="G415" s="42" t="n">
        <v>0.8541666666666666</v>
      </c>
      <c r="H415" s="43">
        <f>IF(OR($F415="",$G415=""),"",($G415-$F415)*24)</f>
        <v/>
      </c>
      <c r="I415" s="10" t="inlineStr">
        <is>
          <t>Primaire</t>
        </is>
      </c>
      <c r="J415" s="9" t="inlineStr">
        <is>
          <t>6éme (B)</t>
        </is>
      </c>
      <c r="K415" s="9" t="inlineStr">
        <is>
          <t>Français</t>
        </is>
      </c>
      <c r="L415" s="9" t="inlineStr">
        <is>
          <t>Français</t>
        </is>
      </c>
      <c r="M415" s="9" t="inlineStr">
        <is>
          <t>Hend</t>
        </is>
      </c>
      <c r="N415" s="10" t="n"/>
      <c r="O415" s="10" t="n"/>
      <c r="P415" s="10" t="inlineStr">
        <is>
          <t>Hebdomadaire</t>
        </is>
      </c>
      <c r="Q415" s="9" t="inlineStr">
        <is>
          <t>Généré (octobre)</t>
        </is>
      </c>
      <c r="R415" s="9" t="inlineStr"/>
      <c r="S415" s="44">
        <f>IF($M415="","",IF(SUMPRODUCT(($D$4:$D$704=$D415)*($M$4:$M$704=$M415)*($F$4:$F$704&lt;$G415)*($G$4:$G$704&gt;$F415))&gt;1,"⚠ CONFLIT",""))</f>
        <v/>
      </c>
      <c r="T415" s="44">
        <f>IF($J415="","",IF(SUMPRODUCT(($D$4:$D$704=$D415)*($J$4:$J$704=$J415)*($F$4:$F$704&lt;$G415)*($G$4:$G$704&gt;$F415))&gt;1,"⚠ CONFLIT",""))</f>
        <v/>
      </c>
      <c r="U415" s="44">
        <f>IF(COUNTIFS($D$4:$D$704,$D415,$J$4:$J$704,$J415,$F$4:$F$704,$F415,$K$4:$K$704,$K415)&gt;1,"⚠ DOUBLON","")</f>
        <v/>
      </c>
      <c r="V415" s="44">
        <f>COUNTIFS($A$4:$A415,$A415,$J$4:$J415,$J415,$E$4:$E415,$E415)</f>
        <v/>
      </c>
      <c r="W415" s="45">
        <f>$A415&amp;"|"&amp;$J415&amp;"|"&amp;$E415&amp;"|"&amp;$V415</f>
        <v/>
      </c>
      <c r="X415" s="46">
        <f>TEXT($F415,"hh:mm")&amp;" - "&amp;TEXT($G415,"hh:mm")&amp;IF($P415="Quinzaine A","   ◆ Q-A",IF($P415="Quinzaine B","   ◆ Q-B",IF($P415="Exception","   ◆ PONCTUEL","")))&amp;CHAR(10)&amp;$K415&amp;CHAR(10)&amp;$M415&amp;IF($N415&lt;&gt;"",CHAR(10)&amp;"Salle "&amp;$N415,"")&amp;IF($O415="En ligne",CHAR(10)&amp;"◆ EN LIGNE","")&amp;IF($R415&lt;&gt;"",CHAR(10)&amp;$R415,"")</f>
        <v/>
      </c>
      <c r="Y415" s="45" t="inlineStr"/>
      <c r="Z415" s="45" t="inlineStr">
        <is>
          <t>— généré —</t>
        </is>
      </c>
    </row>
    <row r="416" ht="15" customHeight="1">
      <c r="A416" s="10" t="inlineStr">
        <is>
          <t>S5</t>
        </is>
      </c>
      <c r="B416" s="9" t="inlineStr">
        <is>
          <t>du 12 au 18 octobre 2026</t>
        </is>
      </c>
      <c r="C416" s="10" t="inlineStr">
        <is>
          <t>A</t>
        </is>
      </c>
      <c r="D416" s="41" t="n">
        <v>46308</v>
      </c>
      <c r="E416" s="10" t="inlineStr">
        <is>
          <t>Mardi</t>
        </is>
      </c>
      <c r="F416" s="42" t="n">
        <v>0.7916666666666666</v>
      </c>
      <c r="G416" s="42" t="n">
        <v>0.8541666666666666</v>
      </c>
      <c r="H416" s="43">
        <f>IF(OR($F416="",$G416=""),"",($G416-$F416)*24)</f>
        <v/>
      </c>
      <c r="I416" s="10" t="inlineStr">
        <is>
          <t>Collège</t>
        </is>
      </c>
      <c r="J416" s="9" t="inlineStr">
        <is>
          <t>7éme (A)</t>
        </is>
      </c>
      <c r="K416" s="9" t="inlineStr">
        <is>
          <t>Anglais</t>
        </is>
      </c>
      <c r="L416" s="9" t="inlineStr">
        <is>
          <t>Anglais</t>
        </is>
      </c>
      <c r="M416" s="9" t="inlineStr">
        <is>
          <t>Imen Ben Lazrak</t>
        </is>
      </c>
      <c r="N416" s="10" t="n"/>
      <c r="O416" s="10" t="n"/>
      <c r="P416" s="10" t="inlineStr">
        <is>
          <t>Quinzaine A</t>
        </is>
      </c>
      <c r="Q416" s="9" t="inlineStr">
        <is>
          <t>Généré (octobre)</t>
        </is>
      </c>
      <c r="R416" s="9" t="inlineStr"/>
      <c r="S416" s="44">
        <f>IF($M416="","",IF(SUMPRODUCT(($D$4:$D$704=$D416)*($M$4:$M$704=$M416)*($F$4:$F$704&lt;$G416)*($G$4:$G$704&gt;$F416))&gt;1,"⚠ CONFLIT",""))</f>
        <v/>
      </c>
      <c r="T416" s="44">
        <f>IF($J416="","",IF(SUMPRODUCT(($D$4:$D$704=$D416)*($J$4:$J$704=$J416)*($F$4:$F$704&lt;$G416)*($G$4:$G$704&gt;$F416))&gt;1,"⚠ CONFLIT",""))</f>
        <v/>
      </c>
      <c r="U416" s="44">
        <f>IF(COUNTIFS($D$4:$D$704,$D416,$J$4:$J$704,$J416,$F$4:$F$704,$F416,$K$4:$K$704,$K416)&gt;1,"⚠ DOUBLON","")</f>
        <v/>
      </c>
      <c r="V416" s="44">
        <f>COUNTIFS($A$4:$A416,$A416,$J$4:$J416,$J416,$E$4:$E416,$E416)</f>
        <v/>
      </c>
      <c r="W416" s="45">
        <f>$A416&amp;"|"&amp;$J416&amp;"|"&amp;$E416&amp;"|"&amp;$V416</f>
        <v/>
      </c>
      <c r="X416" s="46">
        <f>TEXT($F416,"hh:mm")&amp;" - "&amp;TEXT($G416,"hh:mm")&amp;IF($P416="Quinzaine A","   ◆ Q-A",IF($P416="Quinzaine B","   ◆ Q-B",IF($P416="Exception","   ◆ PONCTUEL","")))&amp;CHAR(10)&amp;$K416&amp;CHAR(10)&amp;$M416&amp;IF($N416&lt;&gt;"",CHAR(10)&amp;"Salle "&amp;$N416,"")&amp;IF($O416="En ligne",CHAR(10)&amp;"◆ EN LIGNE","")&amp;IF($R416&lt;&gt;"",CHAR(10)&amp;$R416,"")</f>
        <v/>
      </c>
      <c r="Y416" s="45" t="inlineStr"/>
      <c r="Z416" s="45" t="inlineStr">
        <is>
          <t>— généré —</t>
        </is>
      </c>
    </row>
    <row r="417" ht="15" customHeight="1">
      <c r="A417" s="10" t="inlineStr">
        <is>
          <t>S5</t>
        </is>
      </c>
      <c r="B417" s="9" t="inlineStr">
        <is>
          <t>du 12 au 18 octobre 2026</t>
        </is>
      </c>
      <c r="C417" s="10" t="inlineStr">
        <is>
          <t>A</t>
        </is>
      </c>
      <c r="D417" s="41" t="n">
        <v>46308</v>
      </c>
      <c r="E417" s="10" t="inlineStr">
        <is>
          <t>Mardi</t>
        </is>
      </c>
      <c r="F417" s="42" t="n">
        <v>0.8125</v>
      </c>
      <c r="G417" s="42" t="n">
        <v>0.875</v>
      </c>
      <c r="H417" s="43">
        <f>IF(OR($F417="",$G417=""),"",($G417-$F417)*24)</f>
        <v/>
      </c>
      <c r="I417" s="10" t="inlineStr">
        <is>
          <t>Collège</t>
        </is>
      </c>
      <c r="J417" s="9" t="inlineStr">
        <is>
          <t>8éme (B)</t>
        </is>
      </c>
      <c r="K417" s="9" t="inlineStr">
        <is>
          <t>Arabe</t>
        </is>
      </c>
      <c r="L417" s="9" t="inlineStr">
        <is>
          <t>Arabe</t>
        </is>
      </c>
      <c r="M417" s="9" t="inlineStr">
        <is>
          <t>Yahya</t>
        </is>
      </c>
      <c r="N417" s="10" t="n"/>
      <c r="O417" s="10" t="n"/>
      <c r="P417" s="10" t="inlineStr">
        <is>
          <t>Hebdomadaire</t>
        </is>
      </c>
      <c r="Q417" s="9" t="inlineStr">
        <is>
          <t>Généré (octobre)</t>
        </is>
      </c>
      <c r="R417" s="9" t="inlineStr"/>
      <c r="S417" s="44">
        <f>IF($M417="","",IF(SUMPRODUCT(($D$4:$D$704=$D417)*($M$4:$M$704=$M417)*($F$4:$F$704&lt;$G417)*($G$4:$G$704&gt;$F417))&gt;1,"⚠ CONFLIT",""))</f>
        <v/>
      </c>
      <c r="T417" s="44">
        <f>IF($J417="","",IF(SUMPRODUCT(($D$4:$D$704=$D417)*($J$4:$J$704=$J417)*($F$4:$F$704&lt;$G417)*($G$4:$G$704&gt;$F417))&gt;1,"⚠ CONFLIT",""))</f>
        <v/>
      </c>
      <c r="U417" s="44">
        <f>IF(COUNTIFS($D$4:$D$704,$D417,$J$4:$J$704,$J417,$F$4:$F$704,$F417,$K$4:$K$704,$K417)&gt;1,"⚠ DOUBLON","")</f>
        <v/>
      </c>
      <c r="V417" s="44">
        <f>COUNTIFS($A$4:$A417,$A417,$J$4:$J417,$J417,$E$4:$E417,$E417)</f>
        <v/>
      </c>
      <c r="W417" s="45">
        <f>$A417&amp;"|"&amp;$J417&amp;"|"&amp;$E417&amp;"|"&amp;$V417</f>
        <v/>
      </c>
      <c r="X417" s="46">
        <f>TEXT($F417,"hh:mm")&amp;" - "&amp;TEXT($G417,"hh:mm")&amp;IF($P417="Quinzaine A","   ◆ Q-A",IF($P417="Quinzaine B","   ◆ Q-B",IF($P417="Exception","   ◆ PONCTUEL","")))&amp;CHAR(10)&amp;$K417&amp;CHAR(10)&amp;$M417&amp;IF($N417&lt;&gt;"",CHAR(10)&amp;"Salle "&amp;$N417,"")&amp;IF($O417="En ligne",CHAR(10)&amp;"◆ EN LIGNE","")&amp;IF($R417&lt;&gt;"",CHAR(10)&amp;$R417,"")</f>
        <v/>
      </c>
      <c r="Y417" s="45" t="inlineStr"/>
      <c r="Z417" s="45" t="inlineStr">
        <is>
          <t>— généré —</t>
        </is>
      </c>
    </row>
    <row r="418" ht="15" customHeight="1">
      <c r="A418" s="10" t="inlineStr">
        <is>
          <t>S5</t>
        </is>
      </c>
      <c r="B418" s="9" t="inlineStr">
        <is>
          <t>du 12 au 18 octobre 2026</t>
        </is>
      </c>
      <c r="C418" s="10" t="inlineStr">
        <is>
          <t>A</t>
        </is>
      </c>
      <c r="D418" s="41" t="n">
        <v>46308</v>
      </c>
      <c r="E418" s="10" t="inlineStr">
        <is>
          <t>Mardi</t>
        </is>
      </c>
      <c r="F418" s="42" t="n">
        <v>0.7916666666666666</v>
      </c>
      <c r="G418" s="42" t="n">
        <v>0.8541666666666666</v>
      </c>
      <c r="H418" s="43">
        <f>IF(OR($F418="",$G418=""),"",($G418-$F418)*24)</f>
        <v/>
      </c>
      <c r="I418" s="10" t="inlineStr">
        <is>
          <t>Collège</t>
        </is>
      </c>
      <c r="J418" s="9" t="inlineStr">
        <is>
          <t>9éme (A)</t>
        </is>
      </c>
      <c r="K418" s="9" t="inlineStr">
        <is>
          <t>Math</t>
        </is>
      </c>
      <c r="L418" s="9" t="inlineStr">
        <is>
          <t>Math</t>
        </is>
      </c>
      <c r="M418" s="9" t="inlineStr">
        <is>
          <t>Faouzi</t>
        </is>
      </c>
      <c r="N418" s="10" t="n"/>
      <c r="O418" s="10" t="n"/>
      <c r="P418" s="10" t="inlineStr">
        <is>
          <t>Hebdomadaire</t>
        </is>
      </c>
      <c r="Q418" s="9" t="inlineStr">
        <is>
          <t>Généré (octobre)</t>
        </is>
      </c>
      <c r="R418" s="9" t="inlineStr"/>
      <c r="S418" s="44">
        <f>IF($M418="","",IF(SUMPRODUCT(($D$4:$D$704=$D418)*($M$4:$M$704=$M418)*($F$4:$F$704&lt;$G418)*($G$4:$G$704&gt;$F418))&gt;1,"⚠ CONFLIT",""))</f>
        <v/>
      </c>
      <c r="T418" s="44">
        <f>IF($J418="","",IF(SUMPRODUCT(($D$4:$D$704=$D418)*($J$4:$J$704=$J418)*($F$4:$F$704&lt;$G418)*($G$4:$G$704&gt;$F418))&gt;1,"⚠ CONFLIT",""))</f>
        <v/>
      </c>
      <c r="U418" s="44">
        <f>IF(COUNTIFS($D$4:$D$704,$D418,$J$4:$J$704,$J418,$F$4:$F$704,$F418,$K$4:$K$704,$K418)&gt;1,"⚠ DOUBLON","")</f>
        <v/>
      </c>
      <c r="V418" s="44">
        <f>COUNTIFS($A$4:$A418,$A418,$J$4:$J418,$J418,$E$4:$E418,$E418)</f>
        <v/>
      </c>
      <c r="W418" s="45">
        <f>$A418&amp;"|"&amp;$J418&amp;"|"&amp;$E418&amp;"|"&amp;$V418</f>
        <v/>
      </c>
      <c r="X418" s="46">
        <f>TEXT($F418,"hh:mm")&amp;" - "&amp;TEXT($G418,"hh:mm")&amp;IF($P418="Quinzaine A","   ◆ Q-A",IF($P418="Quinzaine B","   ◆ Q-B",IF($P418="Exception","   ◆ PONCTUEL","")))&amp;CHAR(10)&amp;$K418&amp;CHAR(10)&amp;$M418&amp;IF($N418&lt;&gt;"",CHAR(10)&amp;"Salle "&amp;$N418,"")&amp;IF($O418="En ligne",CHAR(10)&amp;"◆ EN LIGNE","")&amp;IF($R418&lt;&gt;"",CHAR(10)&amp;$R418,"")</f>
        <v/>
      </c>
      <c r="Y418" s="45" t="inlineStr"/>
      <c r="Z418" s="45" t="inlineStr">
        <is>
          <t>— généré —</t>
        </is>
      </c>
    </row>
    <row r="419" ht="15" customHeight="1">
      <c r="A419" s="10" t="inlineStr">
        <is>
          <t>S5</t>
        </is>
      </c>
      <c r="B419" s="9" t="inlineStr">
        <is>
          <t>du 12 au 18 octobre 2026</t>
        </is>
      </c>
      <c r="C419" s="10" t="inlineStr">
        <is>
          <t>A</t>
        </is>
      </c>
      <c r="D419" s="41" t="n">
        <v>46308</v>
      </c>
      <c r="E419" s="10" t="inlineStr">
        <is>
          <t>Mardi</t>
        </is>
      </c>
      <c r="F419" s="42" t="n">
        <v>0.8020833333333334</v>
      </c>
      <c r="G419" s="42" t="n">
        <v>0.8645833333333334</v>
      </c>
      <c r="H419" s="43">
        <f>IF(OR($F419="",$G419=""),"",($G419-$F419)*24)</f>
        <v/>
      </c>
      <c r="I419" s="10" t="inlineStr">
        <is>
          <t>Collège</t>
        </is>
      </c>
      <c r="J419" s="9" t="inlineStr">
        <is>
          <t>9éme (B)</t>
        </is>
      </c>
      <c r="K419" s="9" t="inlineStr">
        <is>
          <t>SVT</t>
        </is>
      </c>
      <c r="L419" s="9" t="inlineStr">
        <is>
          <t>SVT</t>
        </is>
      </c>
      <c r="M419" s="9" t="inlineStr">
        <is>
          <t>Imen Jribi</t>
        </is>
      </c>
      <c r="N419" s="10" t="n"/>
      <c r="O419" s="10" t="n"/>
      <c r="P419" s="10" t="inlineStr">
        <is>
          <t>Hebdomadaire</t>
        </is>
      </c>
      <c r="Q419" s="9" t="inlineStr">
        <is>
          <t>Généré (octobre)</t>
        </is>
      </c>
      <c r="R419" s="9" t="inlineStr"/>
      <c r="S419" s="44">
        <f>IF($M419="","",IF(SUMPRODUCT(($D$4:$D$704=$D419)*($M$4:$M$704=$M419)*($F$4:$F$704&lt;$G419)*($G$4:$G$704&gt;$F419))&gt;1,"⚠ CONFLIT",""))</f>
        <v/>
      </c>
      <c r="T419" s="44">
        <f>IF($J419="","",IF(SUMPRODUCT(($D$4:$D$704=$D419)*($J$4:$J$704=$J419)*($F$4:$F$704&lt;$G419)*($G$4:$G$704&gt;$F419))&gt;1,"⚠ CONFLIT",""))</f>
        <v/>
      </c>
      <c r="U419" s="44">
        <f>IF(COUNTIFS($D$4:$D$704,$D419,$J$4:$J$704,$J419,$F$4:$F$704,$F419,$K$4:$K$704,$K419)&gt;1,"⚠ DOUBLON","")</f>
        <v/>
      </c>
      <c r="V419" s="44">
        <f>COUNTIFS($A$4:$A419,$A419,$J$4:$J419,$J419,$E$4:$E419,$E419)</f>
        <v/>
      </c>
      <c r="W419" s="45">
        <f>$A419&amp;"|"&amp;$J419&amp;"|"&amp;$E419&amp;"|"&amp;$V419</f>
        <v/>
      </c>
      <c r="X419" s="46">
        <f>TEXT($F419,"hh:mm")&amp;" - "&amp;TEXT($G419,"hh:mm")&amp;IF($P419="Quinzaine A","   ◆ Q-A",IF($P419="Quinzaine B","   ◆ Q-B",IF($P419="Exception","   ◆ PONCTUEL","")))&amp;CHAR(10)&amp;$K419&amp;CHAR(10)&amp;$M419&amp;IF($N419&lt;&gt;"",CHAR(10)&amp;"Salle "&amp;$N419,"")&amp;IF($O419="En ligne",CHAR(10)&amp;"◆ EN LIGNE","")&amp;IF($R419&lt;&gt;"",CHAR(10)&amp;$R419,"")</f>
        <v/>
      </c>
      <c r="Y419" s="45" t="inlineStr"/>
      <c r="Z419" s="45" t="inlineStr">
        <is>
          <t>— généré —</t>
        </is>
      </c>
    </row>
    <row r="420" ht="15" customHeight="1">
      <c r="A420" s="10" t="inlineStr">
        <is>
          <t>S5</t>
        </is>
      </c>
      <c r="B420" s="9" t="inlineStr">
        <is>
          <t>du 12 au 18 octobre 2026</t>
        </is>
      </c>
      <c r="C420" s="10" t="inlineStr">
        <is>
          <t>A</t>
        </is>
      </c>
      <c r="D420" s="41" t="n">
        <v>46308</v>
      </c>
      <c r="E420" s="10" t="inlineStr">
        <is>
          <t>Mardi</t>
        </is>
      </c>
      <c r="F420" s="42" t="n">
        <v>0.8020833333333334</v>
      </c>
      <c r="G420" s="42" t="n">
        <v>0.8645833333333334</v>
      </c>
      <c r="H420" s="43">
        <f>IF(OR($F420="",$G420=""),"",($G420-$F420)*24)</f>
        <v/>
      </c>
      <c r="I420" s="10" t="inlineStr">
        <is>
          <t>Secondaire</t>
        </is>
      </c>
      <c r="J420" s="9" t="inlineStr">
        <is>
          <t>1ére (A)</t>
        </is>
      </c>
      <c r="K420" s="9" t="inlineStr">
        <is>
          <t>Français</t>
        </is>
      </c>
      <c r="L420" s="9" t="inlineStr">
        <is>
          <t>Français</t>
        </is>
      </c>
      <c r="M420" s="9" t="inlineStr">
        <is>
          <t>Nassima</t>
        </is>
      </c>
      <c r="N420" s="10" t="n"/>
      <c r="O420" s="10" t="n"/>
      <c r="P420" s="10" t="inlineStr">
        <is>
          <t>Hebdomadaire</t>
        </is>
      </c>
      <c r="Q420" s="9" t="inlineStr">
        <is>
          <t>Généré (octobre)</t>
        </is>
      </c>
      <c r="R420" s="9" t="inlineStr"/>
      <c r="S420" s="44">
        <f>IF($M420="","",IF(SUMPRODUCT(($D$4:$D$704=$D420)*($M$4:$M$704=$M420)*($F$4:$F$704&lt;$G420)*($G$4:$G$704&gt;$F420))&gt;1,"⚠ CONFLIT",""))</f>
        <v/>
      </c>
      <c r="T420" s="44">
        <f>IF($J420="","",IF(SUMPRODUCT(($D$4:$D$704=$D420)*($J$4:$J$704=$J420)*($F$4:$F$704&lt;$G420)*($G$4:$G$704&gt;$F420))&gt;1,"⚠ CONFLIT",""))</f>
        <v/>
      </c>
      <c r="U420" s="44">
        <f>IF(COUNTIFS($D$4:$D$704,$D420,$J$4:$J$704,$J420,$F$4:$F$704,$F420,$K$4:$K$704,$K420)&gt;1,"⚠ DOUBLON","")</f>
        <v/>
      </c>
      <c r="V420" s="44">
        <f>COUNTIFS($A$4:$A420,$A420,$J$4:$J420,$J420,$E$4:$E420,$E420)</f>
        <v/>
      </c>
      <c r="W420" s="45">
        <f>$A420&amp;"|"&amp;$J420&amp;"|"&amp;$E420&amp;"|"&amp;$V420</f>
        <v/>
      </c>
      <c r="X420" s="46">
        <f>TEXT($F420,"hh:mm")&amp;" - "&amp;TEXT($G420,"hh:mm")&amp;IF($P420="Quinzaine A","   ◆ Q-A",IF($P420="Quinzaine B","   ◆ Q-B",IF($P420="Exception","   ◆ PONCTUEL","")))&amp;CHAR(10)&amp;$K420&amp;CHAR(10)&amp;$M420&amp;IF($N420&lt;&gt;"",CHAR(10)&amp;"Salle "&amp;$N420,"")&amp;IF($O420="En ligne",CHAR(10)&amp;"◆ EN LIGNE","")&amp;IF($R420&lt;&gt;"",CHAR(10)&amp;$R420,"")</f>
        <v/>
      </c>
      <c r="Y420" s="45" t="inlineStr"/>
      <c r="Z420" s="45" t="inlineStr">
        <is>
          <t>— généré —</t>
        </is>
      </c>
    </row>
    <row r="421" ht="15" customHeight="1">
      <c r="A421" s="10" t="inlineStr">
        <is>
          <t>S5</t>
        </is>
      </c>
      <c r="B421" s="9" t="inlineStr">
        <is>
          <t>du 12 au 18 octobre 2026</t>
        </is>
      </c>
      <c r="C421" s="10" t="inlineStr">
        <is>
          <t>A</t>
        </is>
      </c>
      <c r="D421" s="41" t="n">
        <v>46308</v>
      </c>
      <c r="E421" s="10" t="inlineStr">
        <is>
          <t>Mardi</t>
        </is>
      </c>
      <c r="F421" s="42" t="n">
        <v>0.8125</v>
      </c>
      <c r="G421" s="42" t="n">
        <v>0.875</v>
      </c>
      <c r="H421" s="43">
        <f>IF(OR($F421="",$G421=""),"",($G421-$F421)*24)</f>
        <v/>
      </c>
      <c r="I421" s="10" t="inlineStr">
        <is>
          <t>Secondaire</t>
        </is>
      </c>
      <c r="J421" s="9" t="inlineStr">
        <is>
          <t>1ére (B)</t>
        </is>
      </c>
      <c r="K421" s="9" t="inlineStr">
        <is>
          <t>Math</t>
        </is>
      </c>
      <c r="L421" s="9" t="inlineStr">
        <is>
          <t>Math</t>
        </is>
      </c>
      <c r="M421" s="9" t="inlineStr">
        <is>
          <t>Haythem</t>
        </is>
      </c>
      <c r="N421" s="10" t="n"/>
      <c r="O421" s="10" t="n"/>
      <c r="P421" s="10" t="inlineStr">
        <is>
          <t>Hebdomadaire</t>
        </is>
      </c>
      <c r="Q421" s="9" t="inlineStr">
        <is>
          <t>Généré (octobre)</t>
        </is>
      </c>
      <c r="R421" s="9" t="inlineStr"/>
      <c r="S421" s="44">
        <f>IF($M421="","",IF(SUMPRODUCT(($D$4:$D$704=$D421)*($M$4:$M$704=$M421)*($F$4:$F$704&lt;$G421)*($G$4:$G$704&gt;$F421))&gt;1,"⚠ CONFLIT",""))</f>
        <v/>
      </c>
      <c r="T421" s="44">
        <f>IF($J421="","",IF(SUMPRODUCT(($D$4:$D$704=$D421)*($J$4:$J$704=$J421)*($F$4:$F$704&lt;$G421)*($G$4:$G$704&gt;$F421))&gt;1,"⚠ CONFLIT",""))</f>
        <v/>
      </c>
      <c r="U421" s="44">
        <f>IF(COUNTIFS($D$4:$D$704,$D421,$J$4:$J$704,$J421,$F$4:$F$704,$F421,$K$4:$K$704,$K421)&gt;1,"⚠ DOUBLON","")</f>
        <v/>
      </c>
      <c r="V421" s="44">
        <f>COUNTIFS($A$4:$A421,$A421,$J$4:$J421,$J421,$E$4:$E421,$E421)</f>
        <v/>
      </c>
      <c r="W421" s="45">
        <f>$A421&amp;"|"&amp;$J421&amp;"|"&amp;$E421&amp;"|"&amp;$V421</f>
        <v/>
      </c>
      <c r="X421" s="46">
        <f>TEXT($F421,"hh:mm")&amp;" - "&amp;TEXT($G421,"hh:mm")&amp;IF($P421="Quinzaine A","   ◆ Q-A",IF($P421="Quinzaine B","   ◆ Q-B",IF($P421="Exception","   ◆ PONCTUEL","")))&amp;CHAR(10)&amp;$K421&amp;CHAR(10)&amp;$M421&amp;IF($N421&lt;&gt;"",CHAR(10)&amp;"Salle "&amp;$N421,"")&amp;IF($O421="En ligne",CHAR(10)&amp;"◆ EN LIGNE","")&amp;IF($R421&lt;&gt;"",CHAR(10)&amp;$R421,"")</f>
        <v/>
      </c>
      <c r="Y421" s="45" t="inlineStr"/>
      <c r="Z421" s="45" t="inlineStr">
        <is>
          <t>— généré —</t>
        </is>
      </c>
    </row>
    <row r="422" ht="15" customHeight="1">
      <c r="A422" s="10" t="inlineStr">
        <is>
          <t>S5</t>
        </is>
      </c>
      <c r="B422" s="9" t="inlineStr">
        <is>
          <t>du 12 au 18 octobre 2026</t>
        </is>
      </c>
      <c r="C422" s="10" t="inlineStr">
        <is>
          <t>A</t>
        </is>
      </c>
      <c r="D422" s="41" t="n">
        <v>46308</v>
      </c>
      <c r="E422" s="10" t="inlineStr">
        <is>
          <t>Mardi</t>
        </is>
      </c>
      <c r="F422" s="42" t="n">
        <v>0.8020833333333334</v>
      </c>
      <c r="G422" s="42" t="n">
        <v>0.8645833333333334</v>
      </c>
      <c r="H422" s="43">
        <f>IF(OR($F422="",$G422=""),"",($G422-$F422)*24)</f>
        <v/>
      </c>
      <c r="I422" s="10" t="inlineStr">
        <is>
          <t>Secondaire</t>
        </is>
      </c>
      <c r="J422" s="9" t="inlineStr">
        <is>
          <t>2éme Eco</t>
        </is>
      </c>
      <c r="K422" s="9" t="inlineStr">
        <is>
          <t>Anglais</t>
        </is>
      </c>
      <c r="L422" s="9" t="inlineStr">
        <is>
          <t>Anglais</t>
        </is>
      </c>
      <c r="M422" s="9" t="inlineStr">
        <is>
          <t>Imen Bennour</t>
        </is>
      </c>
      <c r="N422" s="10" t="n"/>
      <c r="O422" s="10" t="n"/>
      <c r="P422" s="10" t="inlineStr">
        <is>
          <t>Quinzaine A</t>
        </is>
      </c>
      <c r="Q422" s="9" t="inlineStr">
        <is>
          <t>Généré (octobre)</t>
        </is>
      </c>
      <c r="R422" s="9" t="inlineStr"/>
      <c r="S422" s="44">
        <f>IF($M422="","",IF(SUMPRODUCT(($D$4:$D$704=$D422)*($M$4:$M$704=$M422)*($F$4:$F$704&lt;$G422)*($G$4:$G$704&gt;$F422))&gt;1,"⚠ CONFLIT",""))</f>
        <v/>
      </c>
      <c r="T422" s="44">
        <f>IF($J422="","",IF(SUMPRODUCT(($D$4:$D$704=$D422)*($J$4:$J$704=$J422)*($F$4:$F$704&lt;$G422)*($G$4:$G$704&gt;$F422))&gt;1,"⚠ CONFLIT",""))</f>
        <v/>
      </c>
      <c r="U422" s="44">
        <f>IF(COUNTIFS($D$4:$D$704,$D422,$J$4:$J$704,$J422,$F$4:$F$704,$F422,$K$4:$K$704,$K422)&gt;1,"⚠ DOUBLON","")</f>
        <v/>
      </c>
      <c r="V422" s="44">
        <f>COUNTIFS($A$4:$A422,$A422,$J$4:$J422,$J422,$E$4:$E422,$E422)</f>
        <v/>
      </c>
      <c r="W422" s="45">
        <f>$A422&amp;"|"&amp;$J422&amp;"|"&amp;$E422&amp;"|"&amp;$V422</f>
        <v/>
      </c>
      <c r="X422" s="46">
        <f>TEXT($F422,"hh:mm")&amp;" - "&amp;TEXT($G422,"hh:mm")&amp;IF($P422="Quinzaine A","   ◆ Q-A",IF($P422="Quinzaine B","   ◆ Q-B",IF($P422="Exception","   ◆ PONCTUEL","")))&amp;CHAR(10)&amp;$K422&amp;CHAR(10)&amp;$M422&amp;IF($N422&lt;&gt;"",CHAR(10)&amp;"Salle "&amp;$N422,"")&amp;IF($O422="En ligne",CHAR(10)&amp;"◆ EN LIGNE","")&amp;IF($R422&lt;&gt;"",CHAR(10)&amp;$R422,"")</f>
        <v/>
      </c>
      <c r="Y422" s="45" t="inlineStr"/>
      <c r="Z422" s="45" t="inlineStr">
        <is>
          <t>— généré —</t>
        </is>
      </c>
    </row>
    <row r="423" ht="15" customHeight="1">
      <c r="A423" s="10" t="inlineStr">
        <is>
          <t>S5</t>
        </is>
      </c>
      <c r="B423" s="9" t="inlineStr">
        <is>
          <t>du 12 au 18 octobre 2026</t>
        </is>
      </c>
      <c r="C423" s="10" t="inlineStr">
        <is>
          <t>A</t>
        </is>
      </c>
      <c r="D423" s="41" t="n">
        <v>46308</v>
      </c>
      <c r="E423" s="10" t="inlineStr">
        <is>
          <t>Mardi</t>
        </is>
      </c>
      <c r="F423" s="42" t="n">
        <v>0.8020833333333334</v>
      </c>
      <c r="G423" s="42" t="n">
        <v>0.8645833333333334</v>
      </c>
      <c r="H423" s="43">
        <f>IF(OR($F423="",$G423=""),"",($G423-$F423)*24)</f>
        <v/>
      </c>
      <c r="I423" s="10" t="inlineStr">
        <is>
          <t>Bac</t>
        </is>
      </c>
      <c r="J423" s="9" t="inlineStr">
        <is>
          <t>Bac Eco</t>
        </is>
      </c>
      <c r="K423" s="9" t="inlineStr">
        <is>
          <t>Espagnol</t>
        </is>
      </c>
      <c r="L423" s="9" t="inlineStr">
        <is>
          <t>Espagnol</t>
        </is>
      </c>
      <c r="M423" s="9" t="inlineStr">
        <is>
          <t>Imen</t>
        </is>
      </c>
      <c r="N423" s="10" t="n"/>
      <c r="O423" s="10" t="n"/>
      <c r="P423" s="10" t="inlineStr">
        <is>
          <t>Quinzaine A</t>
        </is>
      </c>
      <c r="Q423" s="9" t="inlineStr">
        <is>
          <t>Généré (octobre)</t>
        </is>
      </c>
      <c r="R423" s="9" t="inlineStr"/>
      <c r="S423" s="44">
        <f>IF($M423="","",IF(SUMPRODUCT(($D$4:$D$704=$D423)*($M$4:$M$704=$M423)*($F$4:$F$704&lt;$G423)*($G$4:$G$704&gt;$F423))&gt;1,"⚠ CONFLIT",""))</f>
        <v/>
      </c>
      <c r="T423" s="44">
        <f>IF($J423="","",IF(SUMPRODUCT(($D$4:$D$704=$D423)*($J$4:$J$704=$J423)*($F$4:$F$704&lt;$G423)*($G$4:$G$704&gt;$F423))&gt;1,"⚠ CONFLIT",""))</f>
        <v/>
      </c>
      <c r="U423" s="44">
        <f>IF(COUNTIFS($D$4:$D$704,$D423,$J$4:$J$704,$J423,$F$4:$F$704,$F423,$K$4:$K$704,$K423)&gt;1,"⚠ DOUBLON","")</f>
        <v/>
      </c>
      <c r="V423" s="44">
        <f>COUNTIFS($A$4:$A423,$A423,$J$4:$J423,$J423,$E$4:$E423,$E423)</f>
        <v/>
      </c>
      <c r="W423" s="45">
        <f>$A423&amp;"|"&amp;$J423&amp;"|"&amp;$E423&amp;"|"&amp;$V423</f>
        <v/>
      </c>
      <c r="X423" s="46">
        <f>TEXT($F423,"hh:mm")&amp;" - "&amp;TEXT($G423,"hh:mm")&amp;IF($P423="Quinzaine A","   ◆ Q-A",IF($P423="Quinzaine B","   ◆ Q-B",IF($P423="Exception","   ◆ PONCTUEL","")))&amp;CHAR(10)&amp;$K423&amp;CHAR(10)&amp;$M423&amp;IF($N423&lt;&gt;"",CHAR(10)&amp;"Salle "&amp;$N423,"")&amp;IF($O423="En ligne",CHAR(10)&amp;"◆ EN LIGNE","")&amp;IF($R423&lt;&gt;"",CHAR(10)&amp;$R423,"")</f>
        <v/>
      </c>
      <c r="Y423" s="45" t="inlineStr"/>
      <c r="Z423" s="45" t="inlineStr">
        <is>
          <t>— généré —</t>
        </is>
      </c>
    </row>
    <row r="424" ht="15" customHeight="1">
      <c r="A424" s="10" t="inlineStr">
        <is>
          <t>S5</t>
        </is>
      </c>
      <c r="B424" s="9" t="inlineStr">
        <is>
          <t>du 12 au 18 octobre 2026</t>
        </is>
      </c>
      <c r="C424" s="10" t="inlineStr">
        <is>
          <t>A</t>
        </is>
      </c>
      <c r="D424" s="41" t="n">
        <v>46308</v>
      </c>
      <c r="E424" s="10" t="inlineStr">
        <is>
          <t>Mardi</t>
        </is>
      </c>
      <c r="F424" s="42" t="n">
        <v>0.8020833333333334</v>
      </c>
      <c r="G424" s="42" t="n">
        <v>0.8645833333333334</v>
      </c>
      <c r="H424" s="43">
        <f>IF(OR($F424="",$G424=""),"",($G424-$F424)*24)</f>
        <v/>
      </c>
      <c r="I424" s="10" t="inlineStr">
        <is>
          <t>Bac</t>
        </is>
      </c>
      <c r="J424" s="9" t="inlineStr">
        <is>
          <t>Bac SCE</t>
        </is>
      </c>
      <c r="K424" s="9" t="inlineStr">
        <is>
          <t>Italien</t>
        </is>
      </c>
      <c r="L424" s="9" t="inlineStr">
        <is>
          <t>Italien</t>
        </is>
      </c>
      <c r="M424" s="9" t="inlineStr">
        <is>
          <t>Amel</t>
        </is>
      </c>
      <c r="N424" s="10" t="n"/>
      <c r="O424" s="10" t="n"/>
      <c r="P424" s="10" t="inlineStr">
        <is>
          <t>Quinzaine A</t>
        </is>
      </c>
      <c r="Q424" s="9" t="inlineStr">
        <is>
          <t>Généré (octobre)</t>
        </is>
      </c>
      <c r="R424" s="9" t="inlineStr"/>
      <c r="S424" s="44">
        <f>IF($M424="","",IF(SUMPRODUCT(($D$4:$D$704=$D424)*($M$4:$M$704=$M424)*($F$4:$F$704&lt;$G424)*($G$4:$G$704&gt;$F424))&gt;1,"⚠ CONFLIT",""))</f>
        <v/>
      </c>
      <c r="T424" s="44">
        <f>IF($J424="","",IF(SUMPRODUCT(($D$4:$D$704=$D424)*($J$4:$J$704=$J424)*($F$4:$F$704&lt;$G424)*($G$4:$G$704&gt;$F424))&gt;1,"⚠ CONFLIT",""))</f>
        <v/>
      </c>
      <c r="U424" s="44">
        <f>IF(COUNTIFS($D$4:$D$704,$D424,$J$4:$J$704,$J424,$F$4:$F$704,$F424,$K$4:$K$704,$K424)&gt;1,"⚠ DOUBLON","")</f>
        <v/>
      </c>
      <c r="V424" s="44">
        <f>COUNTIFS($A$4:$A424,$A424,$J$4:$J424,$J424,$E$4:$E424,$E424)</f>
        <v/>
      </c>
      <c r="W424" s="45">
        <f>$A424&amp;"|"&amp;$J424&amp;"|"&amp;$E424&amp;"|"&amp;$V424</f>
        <v/>
      </c>
      <c r="X424" s="46">
        <f>TEXT($F424,"hh:mm")&amp;" - "&amp;TEXT($G424,"hh:mm")&amp;IF($P424="Quinzaine A","   ◆ Q-A",IF($P424="Quinzaine B","   ◆ Q-B",IF($P424="Exception","   ◆ PONCTUEL","")))&amp;CHAR(10)&amp;$K424&amp;CHAR(10)&amp;$M424&amp;IF($N424&lt;&gt;"",CHAR(10)&amp;"Salle "&amp;$N424,"")&amp;IF($O424="En ligne",CHAR(10)&amp;"◆ EN LIGNE","")&amp;IF($R424&lt;&gt;"",CHAR(10)&amp;$R424,"")</f>
        <v/>
      </c>
      <c r="Y424" s="45" t="inlineStr"/>
      <c r="Z424" s="45" t="inlineStr">
        <is>
          <t>— généré —</t>
        </is>
      </c>
    </row>
    <row r="425" ht="15" customHeight="1">
      <c r="A425" s="10" t="inlineStr">
        <is>
          <t>S5</t>
        </is>
      </c>
      <c r="B425" s="9" t="inlineStr">
        <is>
          <t>du 12 au 18 octobre 2026</t>
        </is>
      </c>
      <c r="C425" s="10" t="inlineStr">
        <is>
          <t>A</t>
        </is>
      </c>
      <c r="D425" s="41" t="n">
        <v>46309</v>
      </c>
      <c r="E425" s="10" t="inlineStr">
        <is>
          <t>Mercredi</t>
        </is>
      </c>
      <c r="F425" s="42" t="n">
        <v>0.7916666666666666</v>
      </c>
      <c r="G425" s="42" t="n">
        <v>0.875</v>
      </c>
      <c r="H425" s="43">
        <f>IF(OR($F425="",$G425=""),"",($G425-$F425)*24)</f>
        <v/>
      </c>
      <c r="I425" s="10" t="inlineStr">
        <is>
          <t>Primaire</t>
        </is>
      </c>
      <c r="J425" s="9" t="inlineStr">
        <is>
          <t>4éme</t>
        </is>
      </c>
      <c r="K425" s="9" t="inlineStr">
        <is>
          <t>رياضيات</t>
        </is>
      </c>
      <c r="L425" s="9" t="inlineStr">
        <is>
          <t>Math</t>
        </is>
      </c>
      <c r="M425" s="9" t="inlineStr">
        <is>
          <t>Bassma</t>
        </is>
      </c>
      <c r="N425" s="10" t="n"/>
      <c r="O425" s="10" t="n"/>
      <c r="P425" s="10" t="inlineStr">
        <is>
          <t>Hebdomadaire</t>
        </is>
      </c>
      <c r="Q425" s="9" t="inlineStr">
        <is>
          <t>Généré (octobre)</t>
        </is>
      </c>
      <c r="R425" s="9" t="inlineStr"/>
      <c r="S425" s="44">
        <f>IF($M425="","",IF(SUMPRODUCT(($D$4:$D$704=$D425)*($M$4:$M$704=$M425)*($F$4:$F$704&lt;$G425)*($G$4:$G$704&gt;$F425))&gt;1,"⚠ CONFLIT",""))</f>
        <v/>
      </c>
      <c r="T425" s="44">
        <f>IF($J425="","",IF(SUMPRODUCT(($D$4:$D$704=$D425)*($J$4:$J$704=$J425)*($F$4:$F$704&lt;$G425)*($G$4:$G$704&gt;$F425))&gt;1,"⚠ CONFLIT",""))</f>
        <v/>
      </c>
      <c r="U425" s="44">
        <f>IF(COUNTIFS($D$4:$D$704,$D425,$J$4:$J$704,$J425,$F$4:$F$704,$F425,$K$4:$K$704,$K425)&gt;1,"⚠ DOUBLON","")</f>
        <v/>
      </c>
      <c r="V425" s="44">
        <f>COUNTIFS($A$4:$A425,$A425,$J$4:$J425,$J425,$E$4:$E425,$E425)</f>
        <v/>
      </c>
      <c r="W425" s="45">
        <f>$A425&amp;"|"&amp;$J425&amp;"|"&amp;$E425&amp;"|"&amp;$V425</f>
        <v/>
      </c>
      <c r="X425" s="46">
        <f>TEXT($F425,"hh:mm")&amp;" - "&amp;TEXT($G425,"hh:mm")&amp;IF($P425="Quinzaine A","   ◆ Q-A",IF($P425="Quinzaine B","   ◆ Q-B",IF($P425="Exception","   ◆ PONCTUEL","")))&amp;CHAR(10)&amp;$K425&amp;CHAR(10)&amp;$M425&amp;IF($N425&lt;&gt;"",CHAR(10)&amp;"Salle "&amp;$N425,"")&amp;IF($O425="En ligne",CHAR(10)&amp;"◆ EN LIGNE","")&amp;IF($R425&lt;&gt;"",CHAR(10)&amp;$R425,"")</f>
        <v/>
      </c>
      <c r="Y425" s="45" t="inlineStr"/>
      <c r="Z425" s="45" t="inlineStr">
        <is>
          <t>— généré —</t>
        </is>
      </c>
    </row>
    <row r="426" ht="15" customHeight="1">
      <c r="A426" s="10" t="inlineStr">
        <is>
          <t>S5</t>
        </is>
      </c>
      <c r="B426" s="9" t="inlineStr">
        <is>
          <t>du 12 au 18 octobre 2026</t>
        </is>
      </c>
      <c r="C426" s="10" t="inlineStr">
        <is>
          <t>A</t>
        </is>
      </c>
      <c r="D426" s="41" t="n">
        <v>46309</v>
      </c>
      <c r="E426" s="10" t="inlineStr">
        <is>
          <t>Mercredi</t>
        </is>
      </c>
      <c r="F426" s="42" t="n">
        <v>0.7916666666666666</v>
      </c>
      <c r="G426" s="42" t="n">
        <v>0.875</v>
      </c>
      <c r="H426" s="43">
        <f>IF(OR($F426="",$G426=""),"",($G426-$F426)*24)</f>
        <v/>
      </c>
      <c r="I426" s="10" t="inlineStr">
        <is>
          <t>Primaire</t>
        </is>
      </c>
      <c r="J426" s="9" t="inlineStr">
        <is>
          <t>6éme Pilote (A)</t>
        </is>
      </c>
      <c r="K426" s="9" t="inlineStr">
        <is>
          <t>رياضيات</t>
        </is>
      </c>
      <c r="L426" s="9" t="inlineStr">
        <is>
          <t>Math</t>
        </is>
      </c>
      <c r="M426" s="9" t="inlineStr">
        <is>
          <t>Noura</t>
        </is>
      </c>
      <c r="N426" s="10" t="n"/>
      <c r="O426" s="10" t="n"/>
      <c r="P426" s="10" t="inlineStr">
        <is>
          <t>Hebdomadaire</t>
        </is>
      </c>
      <c r="Q426" s="9" t="inlineStr">
        <is>
          <t>Généré (octobre)</t>
        </is>
      </c>
      <c r="R426" s="9" t="inlineStr"/>
      <c r="S426" s="44">
        <f>IF($M426="","",IF(SUMPRODUCT(($D$4:$D$704=$D426)*($M$4:$M$704=$M426)*($F$4:$F$704&lt;$G426)*($G$4:$G$704&gt;$F426))&gt;1,"⚠ CONFLIT",""))</f>
        <v/>
      </c>
      <c r="T426" s="44">
        <f>IF($J426="","",IF(SUMPRODUCT(($D$4:$D$704=$D426)*($J$4:$J$704=$J426)*($F$4:$F$704&lt;$G426)*($G$4:$G$704&gt;$F426))&gt;1,"⚠ CONFLIT",""))</f>
        <v/>
      </c>
      <c r="U426" s="44">
        <f>IF(COUNTIFS($D$4:$D$704,$D426,$J$4:$J$704,$J426,$F$4:$F$704,$F426,$K$4:$K$704,$K426)&gt;1,"⚠ DOUBLON","")</f>
        <v/>
      </c>
      <c r="V426" s="44">
        <f>COUNTIFS($A$4:$A426,$A426,$J$4:$J426,$J426,$E$4:$E426,$E426)</f>
        <v/>
      </c>
      <c r="W426" s="45">
        <f>$A426&amp;"|"&amp;$J426&amp;"|"&amp;$E426&amp;"|"&amp;$V426</f>
        <v/>
      </c>
      <c r="X426" s="46">
        <f>TEXT($F426,"hh:mm")&amp;" - "&amp;TEXT($G426,"hh:mm")&amp;IF($P426="Quinzaine A","   ◆ Q-A",IF($P426="Quinzaine B","   ◆ Q-B",IF($P426="Exception","   ◆ PONCTUEL","")))&amp;CHAR(10)&amp;$K426&amp;CHAR(10)&amp;$M426&amp;IF($N426&lt;&gt;"",CHAR(10)&amp;"Salle "&amp;$N426,"")&amp;IF($O426="En ligne",CHAR(10)&amp;"◆ EN LIGNE","")&amp;IF($R426&lt;&gt;"",CHAR(10)&amp;$R426,"")</f>
        <v/>
      </c>
      <c r="Y426" s="45" t="inlineStr"/>
      <c r="Z426" s="45" t="inlineStr">
        <is>
          <t>— généré —</t>
        </is>
      </c>
    </row>
    <row r="427" ht="15" customHeight="1">
      <c r="A427" s="10" t="inlineStr">
        <is>
          <t>S5</t>
        </is>
      </c>
      <c r="B427" s="9" t="inlineStr">
        <is>
          <t>du 12 au 18 octobre 2026</t>
        </is>
      </c>
      <c r="C427" s="10" t="inlineStr">
        <is>
          <t>A</t>
        </is>
      </c>
      <c r="D427" s="41" t="n">
        <v>46309</v>
      </c>
      <c r="E427" s="10" t="inlineStr">
        <is>
          <t>Mercredi</t>
        </is>
      </c>
      <c r="F427" s="42" t="n">
        <v>0.8125</v>
      </c>
      <c r="G427" s="42" t="n">
        <v>0.875</v>
      </c>
      <c r="H427" s="43">
        <f>IF(OR($F427="",$G427=""),"",($G427-$F427)*24)</f>
        <v/>
      </c>
      <c r="I427" s="10" t="inlineStr">
        <is>
          <t>Collège</t>
        </is>
      </c>
      <c r="J427" s="9" t="inlineStr">
        <is>
          <t>7éme (A)</t>
        </is>
      </c>
      <c r="K427" s="9" t="inlineStr">
        <is>
          <t>فيزياء</t>
        </is>
      </c>
      <c r="L427" s="9" t="inlineStr">
        <is>
          <t>Physique</t>
        </is>
      </c>
      <c r="M427" s="9" t="inlineStr">
        <is>
          <t>Melek</t>
        </is>
      </c>
      <c r="N427" s="10" t="n"/>
      <c r="O427" s="10" t="n"/>
      <c r="P427" s="10" t="inlineStr">
        <is>
          <t>Hebdomadaire</t>
        </is>
      </c>
      <c r="Q427" s="9" t="inlineStr">
        <is>
          <t>Généré (octobre)</t>
        </is>
      </c>
      <c r="R427" s="9" t="inlineStr"/>
      <c r="S427" s="44">
        <f>IF($M427="","",IF(SUMPRODUCT(($D$4:$D$704=$D427)*($M$4:$M$704=$M427)*($F$4:$F$704&lt;$G427)*($G$4:$G$704&gt;$F427))&gt;1,"⚠ CONFLIT",""))</f>
        <v/>
      </c>
      <c r="T427" s="44">
        <f>IF($J427="","",IF(SUMPRODUCT(($D$4:$D$704=$D427)*($J$4:$J$704=$J427)*($F$4:$F$704&lt;$G427)*($G$4:$G$704&gt;$F427))&gt;1,"⚠ CONFLIT",""))</f>
        <v/>
      </c>
      <c r="U427" s="44">
        <f>IF(COUNTIFS($D$4:$D$704,$D427,$J$4:$J$704,$J427,$F$4:$F$704,$F427,$K$4:$K$704,$K427)&gt;1,"⚠ DOUBLON","")</f>
        <v/>
      </c>
      <c r="V427" s="44">
        <f>COUNTIFS($A$4:$A427,$A427,$J$4:$J427,$J427,$E$4:$E427,$E427)</f>
        <v/>
      </c>
      <c r="W427" s="45">
        <f>$A427&amp;"|"&amp;$J427&amp;"|"&amp;$E427&amp;"|"&amp;$V427</f>
        <v/>
      </c>
      <c r="X427" s="46">
        <f>TEXT($F427,"hh:mm")&amp;" - "&amp;TEXT($G427,"hh:mm")&amp;IF($P427="Quinzaine A","   ◆ Q-A",IF($P427="Quinzaine B","   ◆ Q-B",IF($P427="Exception","   ◆ PONCTUEL","")))&amp;CHAR(10)&amp;$K427&amp;CHAR(10)&amp;$M427&amp;IF($N427&lt;&gt;"",CHAR(10)&amp;"Salle "&amp;$N427,"")&amp;IF($O427="En ligne",CHAR(10)&amp;"◆ EN LIGNE","")&amp;IF($R427&lt;&gt;"",CHAR(10)&amp;$R427,"")</f>
        <v/>
      </c>
      <c r="Y427" s="45" t="inlineStr"/>
      <c r="Z427" s="45" t="inlineStr">
        <is>
          <t>— généré —</t>
        </is>
      </c>
    </row>
    <row r="428" ht="15" customHeight="1">
      <c r="A428" s="10" t="inlineStr">
        <is>
          <t>S5</t>
        </is>
      </c>
      <c r="B428" s="9" t="inlineStr">
        <is>
          <t>du 12 au 18 octobre 2026</t>
        </is>
      </c>
      <c r="C428" s="10" t="inlineStr">
        <is>
          <t>A</t>
        </is>
      </c>
      <c r="D428" s="41" t="n">
        <v>46309</v>
      </c>
      <c r="E428" s="10" t="inlineStr">
        <is>
          <t>Mercredi</t>
        </is>
      </c>
      <c r="F428" s="42" t="n">
        <v>0.7916666666666666</v>
      </c>
      <c r="G428" s="42" t="n">
        <v>0.8541666666666666</v>
      </c>
      <c r="H428" s="43">
        <f>IF(OR($F428="",$G428=""),"",($G428-$F428)*24)</f>
        <v/>
      </c>
      <c r="I428" s="10" t="inlineStr">
        <is>
          <t>Collège</t>
        </is>
      </c>
      <c r="J428" s="9" t="inlineStr">
        <is>
          <t>8éme (A)</t>
        </is>
      </c>
      <c r="K428" s="9" t="inlineStr">
        <is>
          <t>Arabe</t>
        </is>
      </c>
      <c r="L428" s="9" t="inlineStr">
        <is>
          <t>Arabe</t>
        </is>
      </c>
      <c r="M428" s="9" t="inlineStr">
        <is>
          <t>Awatef</t>
        </is>
      </c>
      <c r="N428" s="10" t="n"/>
      <c r="O428" s="10" t="n"/>
      <c r="P428" s="10" t="inlineStr">
        <is>
          <t>Hebdomadaire</t>
        </is>
      </c>
      <c r="Q428" s="9" t="inlineStr">
        <is>
          <t>Généré (octobre)</t>
        </is>
      </c>
      <c r="R428" s="9" t="inlineStr"/>
      <c r="S428" s="44">
        <f>IF($M428="","",IF(SUMPRODUCT(($D$4:$D$704=$D428)*($M$4:$M$704=$M428)*($F$4:$F$704&lt;$G428)*($G$4:$G$704&gt;$F428))&gt;1,"⚠ CONFLIT",""))</f>
        <v/>
      </c>
      <c r="T428" s="44">
        <f>IF($J428="","",IF(SUMPRODUCT(($D$4:$D$704=$D428)*($J$4:$J$704=$J428)*($F$4:$F$704&lt;$G428)*($G$4:$G$704&gt;$F428))&gt;1,"⚠ CONFLIT",""))</f>
        <v/>
      </c>
      <c r="U428" s="44">
        <f>IF(COUNTIFS($D$4:$D$704,$D428,$J$4:$J$704,$J428,$F$4:$F$704,$F428,$K$4:$K$704,$K428)&gt;1,"⚠ DOUBLON","")</f>
        <v/>
      </c>
      <c r="V428" s="44">
        <f>COUNTIFS($A$4:$A428,$A428,$J$4:$J428,$J428,$E$4:$E428,$E428)</f>
        <v/>
      </c>
      <c r="W428" s="45">
        <f>$A428&amp;"|"&amp;$J428&amp;"|"&amp;$E428&amp;"|"&amp;$V428</f>
        <v/>
      </c>
      <c r="X428" s="46">
        <f>TEXT($F428,"hh:mm")&amp;" - "&amp;TEXT($G428,"hh:mm")&amp;IF($P428="Quinzaine A","   ◆ Q-A",IF($P428="Quinzaine B","   ◆ Q-B",IF($P428="Exception","   ◆ PONCTUEL","")))&amp;CHAR(10)&amp;$K428&amp;CHAR(10)&amp;$M428&amp;IF($N428&lt;&gt;"",CHAR(10)&amp;"Salle "&amp;$N428,"")&amp;IF($O428="En ligne",CHAR(10)&amp;"◆ EN LIGNE","")&amp;IF($R428&lt;&gt;"",CHAR(10)&amp;$R428,"")</f>
        <v/>
      </c>
      <c r="Y428" s="45" t="inlineStr"/>
      <c r="Z428" s="45" t="inlineStr">
        <is>
          <t>— généré —</t>
        </is>
      </c>
    </row>
    <row r="429" ht="15" customHeight="1">
      <c r="A429" s="10" t="inlineStr">
        <is>
          <t>S5</t>
        </is>
      </c>
      <c r="B429" s="9" t="inlineStr">
        <is>
          <t>du 12 au 18 octobre 2026</t>
        </is>
      </c>
      <c r="C429" s="10" t="inlineStr">
        <is>
          <t>A</t>
        </is>
      </c>
      <c r="D429" s="41" t="n">
        <v>46309</v>
      </c>
      <c r="E429" s="10" t="inlineStr">
        <is>
          <t>Mercredi</t>
        </is>
      </c>
      <c r="F429" s="42" t="n">
        <v>0.8020833333333334</v>
      </c>
      <c r="G429" s="42" t="n">
        <v>0.8645833333333334</v>
      </c>
      <c r="H429" s="43">
        <f>IF(OR($F429="",$G429=""),"",($G429-$F429)*24)</f>
        <v/>
      </c>
      <c r="I429" s="10" t="inlineStr">
        <is>
          <t>Collège</t>
        </is>
      </c>
      <c r="J429" s="9" t="inlineStr">
        <is>
          <t>8éme (B)</t>
        </is>
      </c>
      <c r="K429" s="9" t="inlineStr">
        <is>
          <t>Math</t>
        </is>
      </c>
      <c r="L429" s="9" t="inlineStr">
        <is>
          <t>Math</t>
        </is>
      </c>
      <c r="M429" s="9" t="inlineStr">
        <is>
          <t>Khouloud</t>
        </is>
      </c>
      <c r="N429" s="10" t="n"/>
      <c r="O429" s="10" t="n"/>
      <c r="P429" s="10" t="inlineStr">
        <is>
          <t>Hebdomadaire</t>
        </is>
      </c>
      <c r="Q429" s="9" t="inlineStr">
        <is>
          <t>Généré (octobre)</t>
        </is>
      </c>
      <c r="R429" s="9" t="inlineStr"/>
      <c r="S429" s="44">
        <f>IF($M429="","",IF(SUMPRODUCT(($D$4:$D$704=$D429)*($M$4:$M$704=$M429)*($F$4:$F$704&lt;$G429)*($G$4:$G$704&gt;$F429))&gt;1,"⚠ CONFLIT",""))</f>
        <v/>
      </c>
      <c r="T429" s="44">
        <f>IF($J429="","",IF(SUMPRODUCT(($D$4:$D$704=$D429)*($J$4:$J$704=$J429)*($F$4:$F$704&lt;$G429)*($G$4:$G$704&gt;$F429))&gt;1,"⚠ CONFLIT",""))</f>
        <v/>
      </c>
      <c r="U429" s="44">
        <f>IF(COUNTIFS($D$4:$D$704,$D429,$J$4:$J$704,$J429,$F$4:$F$704,$F429,$K$4:$K$704,$K429)&gt;1,"⚠ DOUBLON","")</f>
        <v/>
      </c>
      <c r="V429" s="44">
        <f>COUNTIFS($A$4:$A429,$A429,$J$4:$J429,$J429,$E$4:$E429,$E429)</f>
        <v/>
      </c>
      <c r="W429" s="45">
        <f>$A429&amp;"|"&amp;$J429&amp;"|"&amp;$E429&amp;"|"&amp;$V429</f>
        <v/>
      </c>
      <c r="X429" s="46">
        <f>TEXT($F429,"hh:mm")&amp;" - "&amp;TEXT($G429,"hh:mm")&amp;IF($P429="Quinzaine A","   ◆ Q-A",IF($P429="Quinzaine B","   ◆ Q-B",IF($P429="Exception","   ◆ PONCTUEL","")))&amp;CHAR(10)&amp;$K429&amp;CHAR(10)&amp;$M429&amp;IF($N429&lt;&gt;"",CHAR(10)&amp;"Salle "&amp;$N429,"")&amp;IF($O429="En ligne",CHAR(10)&amp;"◆ EN LIGNE","")&amp;IF($R429&lt;&gt;"",CHAR(10)&amp;$R429,"")</f>
        <v/>
      </c>
      <c r="Y429" s="45" t="inlineStr"/>
      <c r="Z429" s="45" t="inlineStr">
        <is>
          <t>— généré —</t>
        </is>
      </c>
    </row>
    <row r="430" ht="15" customHeight="1">
      <c r="A430" s="10" t="inlineStr">
        <is>
          <t>S5</t>
        </is>
      </c>
      <c r="B430" s="9" t="inlineStr">
        <is>
          <t>du 12 au 18 octobre 2026</t>
        </is>
      </c>
      <c r="C430" s="10" t="inlineStr">
        <is>
          <t>A</t>
        </is>
      </c>
      <c r="D430" s="41" t="n">
        <v>46309</v>
      </c>
      <c r="E430" s="10" t="inlineStr">
        <is>
          <t>Mercredi</t>
        </is>
      </c>
      <c r="F430" s="42" t="n">
        <v>0.8125</v>
      </c>
      <c r="G430" s="42" t="n">
        <v>0.875</v>
      </c>
      <c r="H430" s="43">
        <f>IF(OR($F430="",$G430=""),"",($G430-$F430)*24)</f>
        <v/>
      </c>
      <c r="I430" s="10" t="inlineStr">
        <is>
          <t>Collège</t>
        </is>
      </c>
      <c r="J430" s="9" t="inlineStr">
        <is>
          <t>8éme (C)</t>
        </is>
      </c>
      <c r="K430" s="9" t="inlineStr">
        <is>
          <t>Français</t>
        </is>
      </c>
      <c r="L430" s="9" t="inlineStr">
        <is>
          <t>Français</t>
        </is>
      </c>
      <c r="M430" s="9" t="inlineStr">
        <is>
          <t>Nabil</t>
        </is>
      </c>
      <c r="N430" s="10" t="n"/>
      <c r="O430" s="10" t="n"/>
      <c r="P430" s="10" t="inlineStr">
        <is>
          <t>Hebdomadaire</t>
        </is>
      </c>
      <c r="Q430" s="9" t="inlineStr">
        <is>
          <t>Généré (octobre)</t>
        </is>
      </c>
      <c r="R430" s="9" t="inlineStr"/>
      <c r="S430" s="44">
        <f>IF($M430="","",IF(SUMPRODUCT(($D$4:$D$704=$D430)*($M$4:$M$704=$M430)*($F$4:$F$704&lt;$G430)*($G$4:$G$704&gt;$F430))&gt;1,"⚠ CONFLIT",""))</f>
        <v/>
      </c>
      <c r="T430" s="44">
        <f>IF($J430="","",IF(SUMPRODUCT(($D$4:$D$704=$D430)*($J$4:$J$704=$J430)*($F$4:$F$704&lt;$G430)*($G$4:$G$704&gt;$F430))&gt;1,"⚠ CONFLIT",""))</f>
        <v/>
      </c>
      <c r="U430" s="44">
        <f>IF(COUNTIFS($D$4:$D$704,$D430,$J$4:$J$704,$J430,$F$4:$F$704,$F430,$K$4:$K$704,$K430)&gt;1,"⚠ DOUBLON","")</f>
        <v/>
      </c>
      <c r="V430" s="44">
        <f>COUNTIFS($A$4:$A430,$A430,$J$4:$J430,$J430,$E$4:$E430,$E430)</f>
        <v/>
      </c>
      <c r="W430" s="45">
        <f>$A430&amp;"|"&amp;$J430&amp;"|"&amp;$E430&amp;"|"&amp;$V430</f>
        <v/>
      </c>
      <c r="X430" s="46">
        <f>TEXT($F430,"hh:mm")&amp;" - "&amp;TEXT($G430,"hh:mm")&amp;IF($P430="Quinzaine A","   ◆ Q-A",IF($P430="Quinzaine B","   ◆ Q-B",IF($P430="Exception","   ◆ PONCTUEL","")))&amp;CHAR(10)&amp;$K430&amp;CHAR(10)&amp;$M430&amp;IF($N430&lt;&gt;"",CHAR(10)&amp;"Salle "&amp;$N430,"")&amp;IF($O430="En ligne",CHAR(10)&amp;"◆ EN LIGNE","")&amp;IF($R430&lt;&gt;"",CHAR(10)&amp;$R430,"")</f>
        <v/>
      </c>
      <c r="Y430" s="45" t="inlineStr"/>
      <c r="Z430" s="45" t="inlineStr">
        <is>
          <t>— généré —</t>
        </is>
      </c>
    </row>
    <row r="431" ht="15" customHeight="1">
      <c r="A431" s="10" t="inlineStr">
        <is>
          <t>S5</t>
        </is>
      </c>
      <c r="B431" s="9" t="inlineStr">
        <is>
          <t>du 12 au 18 octobre 2026</t>
        </is>
      </c>
      <c r="C431" s="10" t="inlineStr">
        <is>
          <t>A</t>
        </is>
      </c>
      <c r="D431" s="41" t="n">
        <v>46309</v>
      </c>
      <c r="E431" s="10" t="inlineStr">
        <is>
          <t>Mercredi</t>
        </is>
      </c>
      <c r="F431" s="42" t="n">
        <v>0.8125</v>
      </c>
      <c r="G431" s="42" t="n">
        <v>0.875</v>
      </c>
      <c r="H431" s="43">
        <f>IF(OR($F431="",$G431=""),"",($G431-$F431)*24)</f>
        <v/>
      </c>
      <c r="I431" s="10" t="inlineStr">
        <is>
          <t>Collège</t>
        </is>
      </c>
      <c r="J431" s="9" t="inlineStr">
        <is>
          <t>9éme (B)</t>
        </is>
      </c>
      <c r="K431" s="9" t="inlineStr">
        <is>
          <t>Arabe</t>
        </is>
      </c>
      <c r="L431" s="9" t="inlineStr">
        <is>
          <t>Arabe</t>
        </is>
      </c>
      <c r="M431" s="9" t="inlineStr">
        <is>
          <t>Yahya</t>
        </is>
      </c>
      <c r="N431" s="10" t="n"/>
      <c r="O431" s="10" t="n"/>
      <c r="P431" s="10" t="inlineStr">
        <is>
          <t>Hebdomadaire</t>
        </is>
      </c>
      <c r="Q431" s="9" t="inlineStr">
        <is>
          <t>Généré (octobre)</t>
        </is>
      </c>
      <c r="R431" s="9" t="inlineStr"/>
      <c r="S431" s="44">
        <f>IF($M431="","",IF(SUMPRODUCT(($D$4:$D$704=$D431)*($M$4:$M$704=$M431)*($F$4:$F$704&lt;$G431)*($G$4:$G$704&gt;$F431))&gt;1,"⚠ CONFLIT",""))</f>
        <v/>
      </c>
      <c r="T431" s="44">
        <f>IF($J431="","",IF(SUMPRODUCT(($D$4:$D$704=$D431)*($J$4:$J$704=$J431)*($F$4:$F$704&lt;$G431)*($G$4:$G$704&gt;$F431))&gt;1,"⚠ CONFLIT",""))</f>
        <v/>
      </c>
      <c r="U431" s="44">
        <f>IF(COUNTIFS($D$4:$D$704,$D431,$J$4:$J$704,$J431,$F$4:$F$704,$F431,$K$4:$K$704,$K431)&gt;1,"⚠ DOUBLON","")</f>
        <v/>
      </c>
      <c r="V431" s="44">
        <f>COUNTIFS($A$4:$A431,$A431,$J$4:$J431,$J431,$E$4:$E431,$E431)</f>
        <v/>
      </c>
      <c r="W431" s="45">
        <f>$A431&amp;"|"&amp;$J431&amp;"|"&amp;$E431&amp;"|"&amp;$V431</f>
        <v/>
      </c>
      <c r="X431" s="46">
        <f>TEXT($F431,"hh:mm")&amp;" - "&amp;TEXT($G431,"hh:mm")&amp;IF($P431="Quinzaine A","   ◆ Q-A",IF($P431="Quinzaine B","   ◆ Q-B",IF($P431="Exception","   ◆ PONCTUEL","")))&amp;CHAR(10)&amp;$K431&amp;CHAR(10)&amp;$M431&amp;IF($N431&lt;&gt;"",CHAR(10)&amp;"Salle "&amp;$N431,"")&amp;IF($O431="En ligne",CHAR(10)&amp;"◆ EN LIGNE","")&amp;IF($R431&lt;&gt;"",CHAR(10)&amp;$R431,"")</f>
        <v/>
      </c>
      <c r="Y431" s="45" t="inlineStr"/>
      <c r="Z431" s="45" t="inlineStr">
        <is>
          <t>— généré —</t>
        </is>
      </c>
    </row>
    <row r="432" ht="15" customHeight="1">
      <c r="A432" s="10" t="inlineStr">
        <is>
          <t>S5</t>
        </is>
      </c>
      <c r="B432" s="9" t="inlineStr">
        <is>
          <t>du 12 au 18 octobre 2026</t>
        </is>
      </c>
      <c r="C432" s="10" t="inlineStr">
        <is>
          <t>A</t>
        </is>
      </c>
      <c r="D432" s="41" t="n">
        <v>46309</v>
      </c>
      <c r="E432" s="10" t="inlineStr">
        <is>
          <t>Mercredi</t>
        </is>
      </c>
      <c r="F432" s="42" t="n">
        <v>0.8020833333333334</v>
      </c>
      <c r="G432" s="42" t="n">
        <v>0.8645833333333334</v>
      </c>
      <c r="H432" s="43">
        <f>IF(OR($F432="",$G432=""),"",($G432-$F432)*24)</f>
        <v/>
      </c>
      <c r="I432" s="10" t="inlineStr">
        <is>
          <t>Collège</t>
        </is>
      </c>
      <c r="J432" s="9" t="inlineStr">
        <is>
          <t>9éme (C)</t>
        </is>
      </c>
      <c r="K432" s="9" t="inlineStr">
        <is>
          <t>SVT</t>
        </is>
      </c>
      <c r="L432" s="9" t="inlineStr">
        <is>
          <t>SVT</t>
        </is>
      </c>
      <c r="M432" s="9" t="inlineStr">
        <is>
          <t>Imen Jribi</t>
        </is>
      </c>
      <c r="N432" s="10" t="n"/>
      <c r="O432" s="10" t="n"/>
      <c r="P432" s="10" t="inlineStr">
        <is>
          <t>Hebdomadaire</t>
        </is>
      </c>
      <c r="Q432" s="9" t="inlineStr">
        <is>
          <t>Généré (octobre)</t>
        </is>
      </c>
      <c r="R432" s="9" t="inlineStr"/>
      <c r="S432" s="44">
        <f>IF($M432="","",IF(SUMPRODUCT(($D$4:$D$704=$D432)*($M$4:$M$704=$M432)*($F$4:$F$704&lt;$G432)*($G$4:$G$704&gt;$F432))&gt;1,"⚠ CONFLIT",""))</f>
        <v/>
      </c>
      <c r="T432" s="44">
        <f>IF($J432="","",IF(SUMPRODUCT(($D$4:$D$704=$D432)*($J$4:$J$704=$J432)*($F$4:$F$704&lt;$G432)*($G$4:$G$704&gt;$F432))&gt;1,"⚠ CONFLIT",""))</f>
        <v/>
      </c>
      <c r="U432" s="44">
        <f>IF(COUNTIFS($D$4:$D$704,$D432,$J$4:$J$704,$J432,$F$4:$F$704,$F432,$K$4:$K$704,$K432)&gt;1,"⚠ DOUBLON","")</f>
        <v/>
      </c>
      <c r="V432" s="44">
        <f>COUNTIFS($A$4:$A432,$A432,$J$4:$J432,$J432,$E$4:$E432,$E432)</f>
        <v/>
      </c>
      <c r="W432" s="45">
        <f>$A432&amp;"|"&amp;$J432&amp;"|"&amp;$E432&amp;"|"&amp;$V432</f>
        <v/>
      </c>
      <c r="X432" s="46">
        <f>TEXT($F432,"hh:mm")&amp;" - "&amp;TEXT($G432,"hh:mm")&amp;IF($P432="Quinzaine A","   ◆ Q-A",IF($P432="Quinzaine B","   ◆ Q-B",IF($P432="Exception","   ◆ PONCTUEL","")))&amp;CHAR(10)&amp;$K432&amp;CHAR(10)&amp;$M432&amp;IF($N432&lt;&gt;"",CHAR(10)&amp;"Salle "&amp;$N432,"")&amp;IF($O432="En ligne",CHAR(10)&amp;"◆ EN LIGNE","")&amp;IF($R432&lt;&gt;"",CHAR(10)&amp;$R432,"")</f>
        <v/>
      </c>
      <c r="Y432" s="45" t="inlineStr"/>
      <c r="Z432" s="45" t="inlineStr">
        <is>
          <t>— généré —</t>
        </is>
      </c>
    </row>
    <row r="433" ht="15" customHeight="1">
      <c r="A433" s="10" t="inlineStr">
        <is>
          <t>S5</t>
        </is>
      </c>
      <c r="B433" s="9" t="inlineStr">
        <is>
          <t>du 12 au 18 octobre 2026</t>
        </is>
      </c>
      <c r="C433" s="10" t="inlineStr">
        <is>
          <t>A</t>
        </is>
      </c>
      <c r="D433" s="41" t="n">
        <v>46309</v>
      </c>
      <c r="E433" s="10" t="inlineStr">
        <is>
          <t>Mercredi</t>
        </is>
      </c>
      <c r="F433" s="42" t="n">
        <v>0.8020833333333334</v>
      </c>
      <c r="G433" s="42" t="n">
        <v>0.8645833333333334</v>
      </c>
      <c r="H433" s="43">
        <f>IF(OR($F433="",$G433=""),"",($G433-$F433)*24)</f>
        <v/>
      </c>
      <c r="I433" s="10" t="inlineStr">
        <is>
          <t>Secondaire</t>
        </is>
      </c>
      <c r="J433" s="9" t="inlineStr">
        <is>
          <t>1ére (B)</t>
        </is>
      </c>
      <c r="K433" s="9" t="inlineStr">
        <is>
          <t>Français</t>
        </is>
      </c>
      <c r="L433" s="9" t="inlineStr">
        <is>
          <t>Français</t>
        </is>
      </c>
      <c r="M433" s="9" t="inlineStr">
        <is>
          <t>Nassima</t>
        </is>
      </c>
      <c r="N433" s="10" t="n"/>
      <c r="O433" s="10" t="n"/>
      <c r="P433" s="10" t="inlineStr">
        <is>
          <t>Hebdomadaire</t>
        </is>
      </c>
      <c r="Q433" s="9" t="inlineStr">
        <is>
          <t>Généré (octobre)</t>
        </is>
      </c>
      <c r="R433" s="9" t="inlineStr"/>
      <c r="S433" s="44">
        <f>IF($M433="","",IF(SUMPRODUCT(($D$4:$D$704=$D433)*($M$4:$M$704=$M433)*($F$4:$F$704&lt;$G433)*($G$4:$G$704&gt;$F433))&gt;1,"⚠ CONFLIT",""))</f>
        <v/>
      </c>
      <c r="T433" s="44">
        <f>IF($J433="","",IF(SUMPRODUCT(($D$4:$D$704=$D433)*($J$4:$J$704=$J433)*($F$4:$F$704&lt;$G433)*($G$4:$G$704&gt;$F433))&gt;1,"⚠ CONFLIT",""))</f>
        <v/>
      </c>
      <c r="U433" s="44">
        <f>IF(COUNTIFS($D$4:$D$704,$D433,$J$4:$J$704,$J433,$F$4:$F$704,$F433,$K$4:$K$704,$K433)&gt;1,"⚠ DOUBLON","")</f>
        <v/>
      </c>
      <c r="V433" s="44">
        <f>COUNTIFS($A$4:$A433,$A433,$J$4:$J433,$J433,$E$4:$E433,$E433)</f>
        <v/>
      </c>
      <c r="W433" s="45">
        <f>$A433&amp;"|"&amp;$J433&amp;"|"&amp;$E433&amp;"|"&amp;$V433</f>
        <v/>
      </c>
      <c r="X433" s="46">
        <f>TEXT($F433,"hh:mm")&amp;" - "&amp;TEXT($G433,"hh:mm")&amp;IF($P433="Quinzaine A","   ◆ Q-A",IF($P433="Quinzaine B","   ◆ Q-B",IF($P433="Exception","   ◆ PONCTUEL","")))&amp;CHAR(10)&amp;$K433&amp;CHAR(10)&amp;$M433&amp;IF($N433&lt;&gt;"",CHAR(10)&amp;"Salle "&amp;$N433,"")&amp;IF($O433="En ligne",CHAR(10)&amp;"◆ EN LIGNE","")&amp;IF($R433&lt;&gt;"",CHAR(10)&amp;$R433,"")</f>
        <v/>
      </c>
      <c r="Y433" s="45" t="inlineStr"/>
      <c r="Z433" s="45" t="inlineStr">
        <is>
          <t>— généré —</t>
        </is>
      </c>
    </row>
    <row r="434" ht="15" customHeight="1">
      <c r="A434" s="10" t="inlineStr">
        <is>
          <t>S5</t>
        </is>
      </c>
      <c r="B434" s="9" t="inlineStr">
        <is>
          <t>du 12 au 18 octobre 2026</t>
        </is>
      </c>
      <c r="C434" s="10" t="inlineStr">
        <is>
          <t>A</t>
        </is>
      </c>
      <c r="D434" s="41" t="n">
        <v>46309</v>
      </c>
      <c r="E434" s="10" t="inlineStr">
        <is>
          <t>Mercredi</t>
        </is>
      </c>
      <c r="F434" s="42" t="n">
        <v>0.8125</v>
      </c>
      <c r="G434" s="42" t="n">
        <v>0.875</v>
      </c>
      <c r="H434" s="43">
        <f>IF(OR($F434="",$G434=""),"",($G434-$F434)*24)</f>
        <v/>
      </c>
      <c r="I434" s="10" t="inlineStr">
        <is>
          <t>Secondaire</t>
        </is>
      </c>
      <c r="J434" s="9" t="inlineStr">
        <is>
          <t>2éme Eco</t>
        </is>
      </c>
      <c r="K434" s="9" t="inlineStr">
        <is>
          <t>Math</t>
        </is>
      </c>
      <c r="L434" s="9" t="inlineStr">
        <is>
          <t>Math</t>
        </is>
      </c>
      <c r="M434" s="9" t="inlineStr">
        <is>
          <t>Haythem</t>
        </is>
      </c>
      <c r="N434" s="10" t="n"/>
      <c r="O434" s="10" t="n"/>
      <c r="P434" s="10" t="inlineStr">
        <is>
          <t>Hebdomadaire</t>
        </is>
      </c>
      <c r="Q434" s="9" t="inlineStr">
        <is>
          <t>Généré (octobre)</t>
        </is>
      </c>
      <c r="R434" s="9" t="inlineStr"/>
      <c r="S434" s="44">
        <f>IF($M434="","",IF(SUMPRODUCT(($D$4:$D$704=$D434)*($M$4:$M$704=$M434)*($F$4:$F$704&lt;$G434)*($G$4:$G$704&gt;$F434))&gt;1,"⚠ CONFLIT",""))</f>
        <v/>
      </c>
      <c r="T434" s="44">
        <f>IF($J434="","",IF(SUMPRODUCT(($D$4:$D$704=$D434)*($J$4:$J$704=$J434)*($F$4:$F$704&lt;$G434)*($G$4:$G$704&gt;$F434))&gt;1,"⚠ CONFLIT",""))</f>
        <v/>
      </c>
      <c r="U434" s="44">
        <f>IF(COUNTIFS($D$4:$D$704,$D434,$J$4:$J$704,$J434,$F$4:$F$704,$F434,$K$4:$K$704,$K434)&gt;1,"⚠ DOUBLON","")</f>
        <v/>
      </c>
      <c r="V434" s="44">
        <f>COUNTIFS($A$4:$A434,$A434,$J$4:$J434,$J434,$E$4:$E434,$E434)</f>
        <v/>
      </c>
      <c r="W434" s="45">
        <f>$A434&amp;"|"&amp;$J434&amp;"|"&amp;$E434&amp;"|"&amp;$V434</f>
        <v/>
      </c>
      <c r="X434" s="46">
        <f>TEXT($F434,"hh:mm")&amp;" - "&amp;TEXT($G434,"hh:mm")&amp;IF($P434="Quinzaine A","   ◆ Q-A",IF($P434="Quinzaine B","   ◆ Q-B",IF($P434="Exception","   ◆ PONCTUEL","")))&amp;CHAR(10)&amp;$K434&amp;CHAR(10)&amp;$M434&amp;IF($N434&lt;&gt;"",CHAR(10)&amp;"Salle "&amp;$N434,"")&amp;IF($O434="En ligne",CHAR(10)&amp;"◆ EN LIGNE","")&amp;IF($R434&lt;&gt;"",CHAR(10)&amp;$R434,"")</f>
        <v/>
      </c>
      <c r="Y434" s="45" t="inlineStr"/>
      <c r="Z434" s="45" t="inlineStr">
        <is>
          <t>— généré —</t>
        </is>
      </c>
    </row>
    <row r="435" ht="15" customHeight="1">
      <c r="A435" s="10" t="inlineStr">
        <is>
          <t>S5</t>
        </is>
      </c>
      <c r="B435" s="9" t="inlineStr">
        <is>
          <t>du 12 au 18 octobre 2026</t>
        </is>
      </c>
      <c r="C435" s="10" t="inlineStr">
        <is>
          <t>A</t>
        </is>
      </c>
      <c r="D435" s="41" t="n">
        <v>46309</v>
      </c>
      <c r="E435" s="10" t="inlineStr">
        <is>
          <t>Mercredi</t>
        </is>
      </c>
      <c r="F435" s="42" t="n">
        <v>0.7916666666666666</v>
      </c>
      <c r="G435" s="42" t="n">
        <v>0.8541666666666666</v>
      </c>
      <c r="H435" s="43">
        <f>IF(OR($F435="",$G435=""),"",($G435-$F435)*24)</f>
        <v/>
      </c>
      <c r="I435" s="10" t="inlineStr">
        <is>
          <t>Secondaire</t>
        </is>
      </c>
      <c r="J435" s="9" t="inlineStr">
        <is>
          <t>3éme Eco</t>
        </is>
      </c>
      <c r="K435" s="9" t="inlineStr">
        <is>
          <t>Gestion</t>
        </is>
      </c>
      <c r="L435" s="9" t="inlineStr">
        <is>
          <t>Gestion</t>
        </is>
      </c>
      <c r="M435" s="9" t="inlineStr">
        <is>
          <t>Yassine</t>
        </is>
      </c>
      <c r="N435" s="10" t="n"/>
      <c r="O435" s="10" t="n"/>
      <c r="P435" s="10" t="inlineStr">
        <is>
          <t>Hebdomadaire</t>
        </is>
      </c>
      <c r="Q435" s="9" t="inlineStr">
        <is>
          <t>Généré (octobre)</t>
        </is>
      </c>
      <c r="R435" s="9" t="inlineStr"/>
      <c r="S435" s="44">
        <f>IF($M435="","",IF(SUMPRODUCT(($D$4:$D$704=$D435)*($M$4:$M$704=$M435)*($F$4:$F$704&lt;$G435)*($G$4:$G$704&gt;$F435))&gt;1,"⚠ CONFLIT",""))</f>
        <v/>
      </c>
      <c r="T435" s="44">
        <f>IF($J435="","",IF(SUMPRODUCT(($D$4:$D$704=$D435)*($J$4:$J$704=$J435)*($F$4:$F$704&lt;$G435)*($G$4:$G$704&gt;$F435))&gt;1,"⚠ CONFLIT",""))</f>
        <v/>
      </c>
      <c r="U435" s="44">
        <f>IF(COUNTIFS($D$4:$D$704,$D435,$J$4:$J$704,$J435,$F$4:$F$704,$F435,$K$4:$K$704,$K435)&gt;1,"⚠ DOUBLON","")</f>
        <v/>
      </c>
      <c r="V435" s="44">
        <f>COUNTIFS($A$4:$A435,$A435,$J$4:$J435,$J435,$E$4:$E435,$E435)</f>
        <v/>
      </c>
      <c r="W435" s="45">
        <f>$A435&amp;"|"&amp;$J435&amp;"|"&amp;$E435&amp;"|"&amp;$V435</f>
        <v/>
      </c>
      <c r="X435" s="46">
        <f>TEXT($F435,"hh:mm")&amp;" - "&amp;TEXT($G435,"hh:mm")&amp;IF($P435="Quinzaine A","   ◆ Q-A",IF($P435="Quinzaine B","   ◆ Q-B",IF($P435="Exception","   ◆ PONCTUEL","")))&amp;CHAR(10)&amp;$K435&amp;CHAR(10)&amp;$M435&amp;IF($N435&lt;&gt;"",CHAR(10)&amp;"Salle "&amp;$N435,"")&amp;IF($O435="En ligne",CHAR(10)&amp;"◆ EN LIGNE","")&amp;IF($R435&lt;&gt;"",CHAR(10)&amp;$R435,"")</f>
        <v/>
      </c>
      <c r="Y435" s="45" t="inlineStr"/>
      <c r="Z435" s="45" t="inlineStr">
        <is>
          <t>— généré —</t>
        </is>
      </c>
    </row>
    <row r="436" ht="15" customHeight="1">
      <c r="A436" s="10" t="inlineStr">
        <is>
          <t>S5</t>
        </is>
      </c>
      <c r="B436" s="9" t="inlineStr">
        <is>
          <t>du 12 au 18 octobre 2026</t>
        </is>
      </c>
      <c r="C436" s="10" t="inlineStr">
        <is>
          <t>A</t>
        </is>
      </c>
      <c r="D436" s="41" t="n">
        <v>46309</v>
      </c>
      <c r="E436" s="10" t="inlineStr">
        <is>
          <t>Mercredi</t>
        </is>
      </c>
      <c r="F436" s="42" t="n">
        <v>0.8125</v>
      </c>
      <c r="G436" s="42" t="n">
        <v>0.875</v>
      </c>
      <c r="H436" s="43">
        <f>IF(OR($F436="",$G436=""),"",($G436-$F436)*24)</f>
        <v/>
      </c>
      <c r="I436" s="10" t="inlineStr">
        <is>
          <t>Secondaire</t>
        </is>
      </c>
      <c r="J436" s="9" t="inlineStr">
        <is>
          <t>3éme INFO</t>
        </is>
      </c>
      <c r="K436" s="9" t="inlineStr">
        <is>
          <t>Physique</t>
        </is>
      </c>
      <c r="L436" s="9" t="inlineStr">
        <is>
          <t>Physique</t>
        </is>
      </c>
      <c r="M436" s="9" t="inlineStr">
        <is>
          <t>Samia</t>
        </is>
      </c>
      <c r="N436" s="10" t="n"/>
      <c r="O436" s="10" t="n"/>
      <c r="P436" s="10" t="inlineStr">
        <is>
          <t>Hebdomadaire</t>
        </is>
      </c>
      <c r="Q436" s="9" t="inlineStr">
        <is>
          <t>Généré (octobre)</t>
        </is>
      </c>
      <c r="R436" s="9" t="inlineStr"/>
      <c r="S436" s="44">
        <f>IF($M436="","",IF(SUMPRODUCT(($D$4:$D$704=$D436)*($M$4:$M$704=$M436)*($F$4:$F$704&lt;$G436)*($G$4:$G$704&gt;$F436))&gt;1,"⚠ CONFLIT",""))</f>
        <v/>
      </c>
      <c r="T436" s="44">
        <f>IF($J436="","",IF(SUMPRODUCT(($D$4:$D$704=$D436)*($J$4:$J$704=$J436)*($F$4:$F$704&lt;$G436)*($G$4:$G$704&gt;$F436))&gt;1,"⚠ CONFLIT",""))</f>
        <v/>
      </c>
      <c r="U436" s="44">
        <f>IF(COUNTIFS($D$4:$D$704,$D436,$J$4:$J$704,$J436,$F$4:$F$704,$F436,$K$4:$K$704,$K436)&gt;1,"⚠ DOUBLON","")</f>
        <v/>
      </c>
      <c r="V436" s="44">
        <f>COUNTIFS($A$4:$A436,$A436,$J$4:$J436,$J436,$E$4:$E436,$E436)</f>
        <v/>
      </c>
      <c r="W436" s="45">
        <f>$A436&amp;"|"&amp;$J436&amp;"|"&amp;$E436&amp;"|"&amp;$V436</f>
        <v/>
      </c>
      <c r="X436" s="46">
        <f>TEXT($F436,"hh:mm")&amp;" - "&amp;TEXT($G436,"hh:mm")&amp;IF($P436="Quinzaine A","   ◆ Q-A",IF($P436="Quinzaine B","   ◆ Q-B",IF($P436="Exception","   ◆ PONCTUEL","")))&amp;CHAR(10)&amp;$K436&amp;CHAR(10)&amp;$M436&amp;IF($N436&lt;&gt;"",CHAR(10)&amp;"Salle "&amp;$N436,"")&amp;IF($O436="En ligne",CHAR(10)&amp;"◆ EN LIGNE","")&amp;IF($R436&lt;&gt;"",CHAR(10)&amp;$R436,"")</f>
        <v/>
      </c>
      <c r="Y436" s="45" t="inlineStr"/>
      <c r="Z436" s="45" t="inlineStr">
        <is>
          <t>— généré —</t>
        </is>
      </c>
    </row>
    <row r="437" ht="15" customHeight="1">
      <c r="A437" s="10" t="inlineStr">
        <is>
          <t>S5</t>
        </is>
      </c>
      <c r="B437" s="9" t="inlineStr">
        <is>
          <t>du 12 au 18 octobre 2026</t>
        </is>
      </c>
      <c r="C437" s="10" t="inlineStr">
        <is>
          <t>A</t>
        </is>
      </c>
      <c r="D437" s="41" t="n">
        <v>46309</v>
      </c>
      <c r="E437" s="10" t="inlineStr">
        <is>
          <t>Mercredi</t>
        </is>
      </c>
      <c r="F437" s="42" t="n">
        <v>0.7916666666666666</v>
      </c>
      <c r="G437" s="42" t="n">
        <v>0.875</v>
      </c>
      <c r="H437" s="43">
        <f>IF(OR($F437="",$G437=""),"",($G437-$F437)*24)</f>
        <v/>
      </c>
      <c r="I437" s="10" t="inlineStr">
        <is>
          <t>Bac</t>
        </is>
      </c>
      <c r="J437" s="9" t="inlineStr">
        <is>
          <t>Bac SCE</t>
        </is>
      </c>
      <c r="K437" s="9" t="inlineStr">
        <is>
          <t>Math</t>
        </is>
      </c>
      <c r="L437" s="9" t="inlineStr">
        <is>
          <t>Math</t>
        </is>
      </c>
      <c r="M437" s="9" t="inlineStr">
        <is>
          <t>Ahmed</t>
        </is>
      </c>
      <c r="N437" s="10" t="n"/>
      <c r="O437" s="10" t="n"/>
      <c r="P437" s="10" t="inlineStr">
        <is>
          <t>Hebdomadaire</t>
        </is>
      </c>
      <c r="Q437" s="9" t="inlineStr">
        <is>
          <t>Généré (octobre)</t>
        </is>
      </c>
      <c r="R437" s="9" t="inlineStr"/>
      <c r="S437" s="44">
        <f>IF($M437="","",IF(SUMPRODUCT(($D$4:$D$704=$D437)*($M$4:$M$704=$M437)*($F$4:$F$704&lt;$G437)*($G$4:$G$704&gt;$F437))&gt;1,"⚠ CONFLIT",""))</f>
        <v/>
      </c>
      <c r="T437" s="44">
        <f>IF($J437="","",IF(SUMPRODUCT(($D$4:$D$704=$D437)*($J$4:$J$704=$J437)*($F$4:$F$704&lt;$G437)*($G$4:$G$704&gt;$F437))&gt;1,"⚠ CONFLIT",""))</f>
        <v/>
      </c>
      <c r="U437" s="44">
        <f>IF(COUNTIFS($D$4:$D$704,$D437,$J$4:$J$704,$J437,$F$4:$F$704,$F437,$K$4:$K$704,$K437)&gt;1,"⚠ DOUBLON","")</f>
        <v/>
      </c>
      <c r="V437" s="44">
        <f>COUNTIFS($A$4:$A437,$A437,$J$4:$J437,$J437,$E$4:$E437,$E437)</f>
        <v/>
      </c>
      <c r="W437" s="45">
        <f>$A437&amp;"|"&amp;$J437&amp;"|"&amp;$E437&amp;"|"&amp;$V437</f>
        <v/>
      </c>
      <c r="X437" s="46">
        <f>TEXT($F437,"hh:mm")&amp;" - "&amp;TEXT($G437,"hh:mm")&amp;IF($P437="Quinzaine A","   ◆ Q-A",IF($P437="Quinzaine B","   ◆ Q-B",IF($P437="Exception","   ◆ PONCTUEL","")))&amp;CHAR(10)&amp;$K437&amp;CHAR(10)&amp;$M437&amp;IF($N437&lt;&gt;"",CHAR(10)&amp;"Salle "&amp;$N437,"")&amp;IF($O437="En ligne",CHAR(10)&amp;"◆ EN LIGNE","")&amp;IF($R437&lt;&gt;"",CHAR(10)&amp;$R437,"")</f>
        <v/>
      </c>
      <c r="Y437" s="45" t="inlineStr"/>
      <c r="Z437" s="45" t="inlineStr">
        <is>
          <t>— généré —</t>
        </is>
      </c>
    </row>
    <row r="438" ht="15" customHeight="1">
      <c r="A438" s="10" t="inlineStr">
        <is>
          <t>S5</t>
        </is>
      </c>
      <c r="B438" s="9" t="inlineStr">
        <is>
          <t>du 12 au 18 octobre 2026</t>
        </is>
      </c>
      <c r="C438" s="10" t="inlineStr">
        <is>
          <t>A</t>
        </is>
      </c>
      <c r="D438" s="41" t="n">
        <v>46309</v>
      </c>
      <c r="E438" s="10" t="inlineStr">
        <is>
          <t>Mercredi</t>
        </is>
      </c>
      <c r="F438" s="42" t="n">
        <v>0.7916666666666666</v>
      </c>
      <c r="G438" s="42" t="n">
        <v>0.875</v>
      </c>
      <c r="H438" s="43">
        <f>IF(OR($F438="",$G438=""),"",($G438-$F438)*24)</f>
        <v/>
      </c>
      <c r="I438" s="10" t="inlineStr">
        <is>
          <t>Bac</t>
        </is>
      </c>
      <c r="J438" s="9" t="inlineStr">
        <is>
          <t>Bac INFO</t>
        </is>
      </c>
      <c r="K438" s="9" t="inlineStr">
        <is>
          <t>STI</t>
        </is>
      </c>
      <c r="L438" s="9" t="inlineStr">
        <is>
          <t>STI</t>
        </is>
      </c>
      <c r="M438" s="9" t="inlineStr">
        <is>
          <t>Aymen</t>
        </is>
      </c>
      <c r="N438" s="10" t="n"/>
      <c r="O438" s="10" t="n"/>
      <c r="P438" s="10" t="inlineStr">
        <is>
          <t>Hebdomadaire</t>
        </is>
      </c>
      <c r="Q438" s="9" t="inlineStr">
        <is>
          <t>Généré (octobre)</t>
        </is>
      </c>
      <c r="R438" s="9" t="inlineStr"/>
      <c r="S438" s="44">
        <f>IF($M438="","",IF(SUMPRODUCT(($D$4:$D$704=$D438)*($M$4:$M$704=$M438)*($F$4:$F$704&lt;$G438)*($G$4:$G$704&gt;$F438))&gt;1,"⚠ CONFLIT",""))</f>
        <v/>
      </c>
      <c r="T438" s="44">
        <f>IF($J438="","",IF(SUMPRODUCT(($D$4:$D$704=$D438)*($J$4:$J$704=$J438)*($F$4:$F$704&lt;$G438)*($G$4:$G$704&gt;$F438))&gt;1,"⚠ CONFLIT",""))</f>
        <v/>
      </c>
      <c r="U438" s="44">
        <f>IF(COUNTIFS($D$4:$D$704,$D438,$J$4:$J$704,$J438,$F$4:$F$704,$F438,$K$4:$K$704,$K438)&gt;1,"⚠ DOUBLON","")</f>
        <v/>
      </c>
      <c r="V438" s="44">
        <f>COUNTIFS($A$4:$A438,$A438,$J$4:$J438,$J438,$E$4:$E438,$E438)</f>
        <v/>
      </c>
      <c r="W438" s="45">
        <f>$A438&amp;"|"&amp;$J438&amp;"|"&amp;$E438&amp;"|"&amp;$V438</f>
        <v/>
      </c>
      <c r="X438" s="46">
        <f>TEXT($F438,"hh:mm")&amp;" - "&amp;TEXT($G438,"hh:mm")&amp;IF($P438="Quinzaine A","   ◆ Q-A",IF($P438="Quinzaine B","   ◆ Q-B",IF($P438="Exception","   ◆ PONCTUEL","")))&amp;CHAR(10)&amp;$K438&amp;CHAR(10)&amp;$M438&amp;IF($N438&lt;&gt;"",CHAR(10)&amp;"Salle "&amp;$N438,"")&amp;IF($O438="En ligne",CHAR(10)&amp;"◆ EN LIGNE","")&amp;IF($R438&lt;&gt;"",CHAR(10)&amp;$R438,"")</f>
        <v/>
      </c>
      <c r="Y438" s="45" t="inlineStr"/>
      <c r="Z438" s="45" t="inlineStr">
        <is>
          <t>— généré —</t>
        </is>
      </c>
    </row>
    <row r="439" ht="15" customHeight="1">
      <c r="A439" s="10" t="inlineStr">
        <is>
          <t>S5</t>
        </is>
      </c>
      <c r="B439" s="9" t="inlineStr">
        <is>
          <t>du 12 au 18 octobre 2026</t>
        </is>
      </c>
      <c r="C439" s="10" t="inlineStr">
        <is>
          <t>A</t>
        </is>
      </c>
      <c r="D439" s="41" t="n">
        <v>46310</v>
      </c>
      <c r="E439" s="10" t="inlineStr">
        <is>
          <t>Jeudi</t>
        </is>
      </c>
      <c r="F439" s="42" t="n">
        <v>0.7916666666666666</v>
      </c>
      <c r="G439" s="42" t="n">
        <v>0.875</v>
      </c>
      <c r="H439" s="43">
        <f>IF(OR($F439="",$G439=""),"",($G439-$F439)*24)</f>
        <v/>
      </c>
      <c r="I439" s="10" t="inlineStr">
        <is>
          <t>Primaire</t>
        </is>
      </c>
      <c r="J439" s="9" t="inlineStr">
        <is>
          <t>5éme</t>
        </is>
      </c>
      <c r="K439" s="9" t="inlineStr">
        <is>
          <t>رياضيات</t>
        </is>
      </c>
      <c r="L439" s="9" t="inlineStr">
        <is>
          <t>Math</t>
        </is>
      </c>
      <c r="M439" s="9" t="inlineStr">
        <is>
          <t>Bassma</t>
        </is>
      </c>
      <c r="N439" s="10" t="n"/>
      <c r="O439" s="10" t="n"/>
      <c r="P439" s="10" t="inlineStr">
        <is>
          <t>Hebdomadaire</t>
        </is>
      </c>
      <c r="Q439" s="9" t="inlineStr">
        <is>
          <t>Généré (octobre)</t>
        </is>
      </c>
      <c r="R439" s="9" t="inlineStr">
        <is>
          <t>Jour férié (Évacuation) — à confirmer</t>
        </is>
      </c>
      <c r="S439" s="44">
        <f>IF($M439="","",IF(SUMPRODUCT(($D$4:$D$704=$D439)*($M$4:$M$704=$M439)*($F$4:$F$704&lt;$G439)*($G$4:$G$704&gt;$F439))&gt;1,"⚠ CONFLIT",""))</f>
        <v/>
      </c>
      <c r="T439" s="44">
        <f>IF($J439="","",IF(SUMPRODUCT(($D$4:$D$704=$D439)*($J$4:$J$704=$J439)*($F$4:$F$704&lt;$G439)*($G$4:$G$704&gt;$F439))&gt;1,"⚠ CONFLIT",""))</f>
        <v/>
      </c>
      <c r="U439" s="44">
        <f>IF(COUNTIFS($D$4:$D$704,$D439,$J$4:$J$704,$J439,$F$4:$F$704,$F439,$K$4:$K$704,$K439)&gt;1,"⚠ DOUBLON","")</f>
        <v/>
      </c>
      <c r="V439" s="44">
        <f>COUNTIFS($A$4:$A439,$A439,$J$4:$J439,$J439,$E$4:$E439,$E439)</f>
        <v/>
      </c>
      <c r="W439" s="45">
        <f>$A439&amp;"|"&amp;$J439&amp;"|"&amp;$E439&amp;"|"&amp;$V439</f>
        <v/>
      </c>
      <c r="X439" s="46">
        <f>TEXT($F439,"hh:mm")&amp;" - "&amp;TEXT($G439,"hh:mm")&amp;IF($P439="Quinzaine A","   ◆ Q-A",IF($P439="Quinzaine B","   ◆ Q-B",IF($P439="Exception","   ◆ PONCTUEL","")))&amp;CHAR(10)&amp;$K439&amp;CHAR(10)&amp;$M439&amp;IF($N439&lt;&gt;"",CHAR(10)&amp;"Salle "&amp;$N439,"")&amp;IF($O439="En ligne",CHAR(10)&amp;"◆ EN LIGNE","")&amp;IF($R439&lt;&gt;"",CHAR(10)&amp;$R439,"")</f>
        <v/>
      </c>
      <c r="Y439" s="45" t="inlineStr"/>
      <c r="Z439" s="45" t="inlineStr">
        <is>
          <t>— généré —</t>
        </is>
      </c>
    </row>
    <row r="440" ht="15" customHeight="1">
      <c r="A440" s="10" t="inlineStr">
        <is>
          <t>S5</t>
        </is>
      </c>
      <c r="B440" s="9" t="inlineStr">
        <is>
          <t>du 12 au 18 octobre 2026</t>
        </is>
      </c>
      <c r="C440" s="10" t="inlineStr">
        <is>
          <t>A</t>
        </is>
      </c>
      <c r="D440" s="41" t="n">
        <v>46310</v>
      </c>
      <c r="E440" s="10" t="inlineStr">
        <is>
          <t>Jeudi</t>
        </is>
      </c>
      <c r="F440" s="42" t="n">
        <v>0.7916666666666666</v>
      </c>
      <c r="G440" s="42" t="n">
        <v>0.875</v>
      </c>
      <c r="H440" s="43">
        <f>IF(OR($F440="",$G440=""),"",($G440-$F440)*24)</f>
        <v/>
      </c>
      <c r="I440" s="10" t="inlineStr">
        <is>
          <t>Primaire</t>
        </is>
      </c>
      <c r="J440" s="9" t="inlineStr">
        <is>
          <t>6éme (B)</t>
        </is>
      </c>
      <c r="K440" s="9" t="inlineStr">
        <is>
          <t>رياضيات</t>
        </is>
      </c>
      <c r="L440" s="9" t="inlineStr">
        <is>
          <t>Math</t>
        </is>
      </c>
      <c r="M440" s="9" t="inlineStr">
        <is>
          <t>Noura</t>
        </is>
      </c>
      <c r="N440" s="10" t="n"/>
      <c r="O440" s="10" t="n"/>
      <c r="P440" s="10" t="inlineStr">
        <is>
          <t>Hebdomadaire</t>
        </is>
      </c>
      <c r="Q440" s="9" t="inlineStr">
        <is>
          <t>Généré (octobre)</t>
        </is>
      </c>
      <c r="R440" s="9" t="inlineStr">
        <is>
          <t>Jour férié (Évacuation) — à confirmer</t>
        </is>
      </c>
      <c r="S440" s="44">
        <f>IF($M440="","",IF(SUMPRODUCT(($D$4:$D$704=$D440)*($M$4:$M$704=$M440)*($F$4:$F$704&lt;$G440)*($G$4:$G$704&gt;$F440))&gt;1,"⚠ CONFLIT",""))</f>
        <v/>
      </c>
      <c r="T440" s="44">
        <f>IF($J440="","",IF(SUMPRODUCT(($D$4:$D$704=$D440)*($J$4:$J$704=$J440)*($F$4:$F$704&lt;$G440)*($G$4:$G$704&gt;$F440))&gt;1,"⚠ CONFLIT",""))</f>
        <v/>
      </c>
      <c r="U440" s="44">
        <f>IF(COUNTIFS($D$4:$D$704,$D440,$J$4:$J$704,$J440,$F$4:$F$704,$F440,$K$4:$K$704,$K440)&gt;1,"⚠ DOUBLON","")</f>
        <v/>
      </c>
      <c r="V440" s="44">
        <f>COUNTIFS($A$4:$A440,$A440,$J$4:$J440,$J440,$E$4:$E440,$E440)</f>
        <v/>
      </c>
      <c r="W440" s="45">
        <f>$A440&amp;"|"&amp;$J440&amp;"|"&amp;$E440&amp;"|"&amp;$V440</f>
        <v/>
      </c>
      <c r="X440" s="46">
        <f>TEXT($F440,"hh:mm")&amp;" - "&amp;TEXT($G440,"hh:mm")&amp;IF($P440="Quinzaine A","   ◆ Q-A",IF($P440="Quinzaine B","   ◆ Q-B",IF($P440="Exception","   ◆ PONCTUEL","")))&amp;CHAR(10)&amp;$K440&amp;CHAR(10)&amp;$M440&amp;IF($N440&lt;&gt;"",CHAR(10)&amp;"Salle "&amp;$N440,"")&amp;IF($O440="En ligne",CHAR(10)&amp;"◆ EN LIGNE","")&amp;IF($R440&lt;&gt;"",CHAR(10)&amp;$R440,"")</f>
        <v/>
      </c>
      <c r="Y440" s="45" t="inlineStr"/>
      <c r="Z440" s="45" t="inlineStr">
        <is>
          <t>— généré —</t>
        </is>
      </c>
    </row>
    <row r="441" ht="15" customHeight="1">
      <c r="A441" s="10" t="inlineStr">
        <is>
          <t>S5</t>
        </is>
      </c>
      <c r="B441" s="9" t="inlineStr">
        <is>
          <t>du 12 au 18 octobre 2026</t>
        </is>
      </c>
      <c r="C441" s="10" t="inlineStr">
        <is>
          <t>A</t>
        </is>
      </c>
      <c r="D441" s="41" t="n">
        <v>46310</v>
      </c>
      <c r="E441" s="10" t="inlineStr">
        <is>
          <t>Jeudi</t>
        </is>
      </c>
      <c r="F441" s="42" t="n">
        <v>0.8020833333333334</v>
      </c>
      <c r="G441" s="42" t="n">
        <v>0.8645833333333334</v>
      </c>
      <c r="H441" s="43">
        <f>IF(OR($F441="",$G441=""),"",($G441-$F441)*24)</f>
        <v/>
      </c>
      <c r="I441" s="10" t="inlineStr">
        <is>
          <t>Collège</t>
        </is>
      </c>
      <c r="J441" s="9" t="inlineStr">
        <is>
          <t>8éme (A)</t>
        </is>
      </c>
      <c r="K441" s="9" t="inlineStr">
        <is>
          <t>Français</t>
        </is>
      </c>
      <c r="L441" s="9" t="inlineStr">
        <is>
          <t>Français</t>
        </is>
      </c>
      <c r="M441" s="9" t="inlineStr">
        <is>
          <t>Nassima</t>
        </is>
      </c>
      <c r="N441" s="10" t="n"/>
      <c r="O441" s="10" t="n"/>
      <c r="P441" s="10" t="inlineStr">
        <is>
          <t>Hebdomadaire</t>
        </is>
      </c>
      <c r="Q441" s="9" t="inlineStr">
        <is>
          <t>Généré (octobre)</t>
        </is>
      </c>
      <c r="R441" s="9" t="inlineStr">
        <is>
          <t>Jour férié (Évacuation) — à confirmer</t>
        </is>
      </c>
      <c r="S441" s="44">
        <f>IF($M441="","",IF(SUMPRODUCT(($D$4:$D$704=$D441)*($M$4:$M$704=$M441)*($F$4:$F$704&lt;$G441)*($G$4:$G$704&gt;$F441))&gt;1,"⚠ CONFLIT",""))</f>
        <v/>
      </c>
      <c r="T441" s="44">
        <f>IF($J441="","",IF(SUMPRODUCT(($D$4:$D$704=$D441)*($J$4:$J$704=$J441)*($F$4:$F$704&lt;$G441)*($G$4:$G$704&gt;$F441))&gt;1,"⚠ CONFLIT",""))</f>
        <v/>
      </c>
      <c r="U441" s="44">
        <f>IF(COUNTIFS($D$4:$D$704,$D441,$J$4:$J$704,$J441,$F$4:$F$704,$F441,$K$4:$K$704,$K441)&gt;1,"⚠ DOUBLON","")</f>
        <v/>
      </c>
      <c r="V441" s="44">
        <f>COUNTIFS($A$4:$A441,$A441,$J$4:$J441,$J441,$E$4:$E441,$E441)</f>
        <v/>
      </c>
      <c r="W441" s="45">
        <f>$A441&amp;"|"&amp;$J441&amp;"|"&amp;$E441&amp;"|"&amp;$V441</f>
        <v/>
      </c>
      <c r="X441" s="46">
        <f>TEXT($F441,"hh:mm")&amp;" - "&amp;TEXT($G441,"hh:mm")&amp;IF($P441="Quinzaine A","   ◆ Q-A",IF($P441="Quinzaine B","   ◆ Q-B",IF($P441="Exception","   ◆ PONCTUEL","")))&amp;CHAR(10)&amp;$K441&amp;CHAR(10)&amp;$M441&amp;IF($N441&lt;&gt;"",CHAR(10)&amp;"Salle "&amp;$N441,"")&amp;IF($O441="En ligne",CHAR(10)&amp;"◆ EN LIGNE","")&amp;IF($R441&lt;&gt;"",CHAR(10)&amp;$R441,"")</f>
        <v/>
      </c>
      <c r="Y441" s="45" t="inlineStr"/>
      <c r="Z441" s="45" t="inlineStr">
        <is>
          <t>— généré —</t>
        </is>
      </c>
    </row>
    <row r="442" ht="15" customHeight="1">
      <c r="A442" s="10" t="inlineStr">
        <is>
          <t>S5</t>
        </is>
      </c>
      <c r="B442" s="9" t="inlineStr">
        <is>
          <t>du 12 au 18 octobre 2026</t>
        </is>
      </c>
      <c r="C442" s="10" t="inlineStr">
        <is>
          <t>A</t>
        </is>
      </c>
      <c r="D442" s="41" t="n">
        <v>46310</v>
      </c>
      <c r="E442" s="10" t="inlineStr">
        <is>
          <t>Jeudi</t>
        </is>
      </c>
      <c r="F442" s="42" t="n">
        <v>0.8020833333333334</v>
      </c>
      <c r="G442" s="42" t="n">
        <v>0.8645833333333334</v>
      </c>
      <c r="H442" s="43">
        <f>IF(OR($F442="",$G442=""),"",($G442-$F442)*24)</f>
        <v/>
      </c>
      <c r="I442" s="10" t="inlineStr">
        <is>
          <t>Collège</t>
        </is>
      </c>
      <c r="J442" s="9" t="inlineStr">
        <is>
          <t>8éme (C)</t>
        </is>
      </c>
      <c r="K442" s="9" t="inlineStr">
        <is>
          <t>Math</t>
        </is>
      </c>
      <c r="L442" s="9" t="inlineStr">
        <is>
          <t>Math</t>
        </is>
      </c>
      <c r="M442" s="9" t="inlineStr">
        <is>
          <t>Khouloud</t>
        </is>
      </c>
      <c r="N442" s="10" t="n"/>
      <c r="O442" s="10" t="n"/>
      <c r="P442" s="10" t="inlineStr">
        <is>
          <t>Hebdomadaire</t>
        </is>
      </c>
      <c r="Q442" s="9" t="inlineStr">
        <is>
          <t>Généré (octobre)</t>
        </is>
      </c>
      <c r="R442" s="9" t="inlineStr">
        <is>
          <t>Jour férié (Évacuation) — à confirmer</t>
        </is>
      </c>
      <c r="S442" s="44">
        <f>IF($M442="","",IF(SUMPRODUCT(($D$4:$D$704=$D442)*($M$4:$M$704=$M442)*($F$4:$F$704&lt;$G442)*($G$4:$G$704&gt;$F442))&gt;1,"⚠ CONFLIT",""))</f>
        <v/>
      </c>
      <c r="T442" s="44">
        <f>IF($J442="","",IF(SUMPRODUCT(($D$4:$D$704=$D442)*($J$4:$J$704=$J442)*($F$4:$F$704&lt;$G442)*($G$4:$G$704&gt;$F442))&gt;1,"⚠ CONFLIT",""))</f>
        <v/>
      </c>
      <c r="U442" s="44">
        <f>IF(COUNTIFS($D$4:$D$704,$D442,$J$4:$J$704,$J442,$F$4:$F$704,$F442,$K$4:$K$704,$K442)&gt;1,"⚠ DOUBLON","")</f>
        <v/>
      </c>
      <c r="V442" s="44">
        <f>COUNTIFS($A$4:$A442,$A442,$J$4:$J442,$J442,$E$4:$E442,$E442)</f>
        <v/>
      </c>
      <c r="W442" s="45">
        <f>$A442&amp;"|"&amp;$J442&amp;"|"&amp;$E442&amp;"|"&amp;$V442</f>
        <v/>
      </c>
      <c r="X442" s="46">
        <f>TEXT($F442,"hh:mm")&amp;" - "&amp;TEXT($G442,"hh:mm")&amp;IF($P442="Quinzaine A","   ◆ Q-A",IF($P442="Quinzaine B","   ◆ Q-B",IF($P442="Exception","   ◆ PONCTUEL","")))&amp;CHAR(10)&amp;$K442&amp;CHAR(10)&amp;$M442&amp;IF($N442&lt;&gt;"",CHAR(10)&amp;"Salle "&amp;$N442,"")&amp;IF($O442="En ligne",CHAR(10)&amp;"◆ EN LIGNE","")&amp;IF($R442&lt;&gt;"",CHAR(10)&amp;$R442,"")</f>
        <v/>
      </c>
      <c r="Y442" s="45" t="inlineStr"/>
      <c r="Z442" s="45" t="inlineStr">
        <is>
          <t>— généré —</t>
        </is>
      </c>
    </row>
    <row r="443" ht="15" customHeight="1">
      <c r="A443" s="10" t="inlineStr">
        <is>
          <t>S5</t>
        </is>
      </c>
      <c r="B443" s="9" t="inlineStr">
        <is>
          <t>du 12 au 18 octobre 2026</t>
        </is>
      </c>
      <c r="C443" s="10" t="inlineStr">
        <is>
          <t>A</t>
        </is>
      </c>
      <c r="D443" s="41" t="n">
        <v>46310</v>
      </c>
      <c r="E443" s="10" t="inlineStr">
        <is>
          <t>Jeudi</t>
        </is>
      </c>
      <c r="F443" s="42" t="n">
        <v>0.8020833333333334</v>
      </c>
      <c r="G443" s="42" t="n">
        <v>0.8645833333333334</v>
      </c>
      <c r="H443" s="43">
        <f>IF(OR($F443="",$G443=""),"",($G443-$F443)*24)</f>
        <v/>
      </c>
      <c r="I443" s="10" t="inlineStr">
        <is>
          <t>Collège</t>
        </is>
      </c>
      <c r="J443" s="9" t="inlineStr">
        <is>
          <t>9éme (A)</t>
        </is>
      </c>
      <c r="K443" s="9" t="inlineStr">
        <is>
          <t>SVT</t>
        </is>
      </c>
      <c r="L443" s="9" t="inlineStr">
        <is>
          <t>SVT</t>
        </is>
      </c>
      <c r="M443" s="9" t="inlineStr">
        <is>
          <t>Imen Jribi</t>
        </is>
      </c>
      <c r="N443" s="10" t="n"/>
      <c r="O443" s="10" t="n"/>
      <c r="P443" s="10" t="inlineStr">
        <is>
          <t>Hebdomadaire</t>
        </is>
      </c>
      <c r="Q443" s="9" t="inlineStr">
        <is>
          <t>Généré (octobre)</t>
        </is>
      </c>
      <c r="R443" s="9" t="inlineStr">
        <is>
          <t>Jour férié (Évacuation) — à confirmer</t>
        </is>
      </c>
      <c r="S443" s="44">
        <f>IF($M443="","",IF(SUMPRODUCT(($D$4:$D$704=$D443)*($M$4:$M$704=$M443)*($F$4:$F$704&lt;$G443)*($G$4:$G$704&gt;$F443))&gt;1,"⚠ CONFLIT",""))</f>
        <v/>
      </c>
      <c r="T443" s="44">
        <f>IF($J443="","",IF(SUMPRODUCT(($D$4:$D$704=$D443)*($J$4:$J$704=$J443)*($F$4:$F$704&lt;$G443)*($G$4:$G$704&gt;$F443))&gt;1,"⚠ CONFLIT",""))</f>
        <v/>
      </c>
      <c r="U443" s="44">
        <f>IF(COUNTIFS($D$4:$D$704,$D443,$J$4:$J$704,$J443,$F$4:$F$704,$F443,$K$4:$K$704,$K443)&gt;1,"⚠ DOUBLON","")</f>
        <v/>
      </c>
      <c r="V443" s="44">
        <f>COUNTIFS($A$4:$A443,$A443,$J$4:$J443,$J443,$E$4:$E443,$E443)</f>
        <v/>
      </c>
      <c r="W443" s="45">
        <f>$A443&amp;"|"&amp;$J443&amp;"|"&amp;$E443&amp;"|"&amp;$V443</f>
        <v/>
      </c>
      <c r="X443" s="46">
        <f>TEXT($F443,"hh:mm")&amp;" - "&amp;TEXT($G443,"hh:mm")&amp;IF($P443="Quinzaine A","   ◆ Q-A",IF($P443="Quinzaine B","   ◆ Q-B",IF($P443="Exception","   ◆ PONCTUEL","")))&amp;CHAR(10)&amp;$K443&amp;CHAR(10)&amp;$M443&amp;IF($N443&lt;&gt;"",CHAR(10)&amp;"Salle "&amp;$N443,"")&amp;IF($O443="En ligne",CHAR(10)&amp;"◆ EN LIGNE","")&amp;IF($R443&lt;&gt;"",CHAR(10)&amp;$R443,"")</f>
        <v/>
      </c>
      <c r="Y443" s="45" t="inlineStr"/>
      <c r="Z443" s="45" t="inlineStr">
        <is>
          <t>— généré —</t>
        </is>
      </c>
    </row>
    <row r="444" ht="15" customHeight="1">
      <c r="A444" s="10" t="inlineStr">
        <is>
          <t>S5</t>
        </is>
      </c>
      <c r="B444" s="9" t="inlineStr">
        <is>
          <t>du 12 au 18 octobre 2026</t>
        </is>
      </c>
      <c r="C444" s="10" t="inlineStr">
        <is>
          <t>A</t>
        </is>
      </c>
      <c r="D444" s="41" t="n">
        <v>46310</v>
      </c>
      <c r="E444" s="10" t="inlineStr">
        <is>
          <t>Jeudi</t>
        </is>
      </c>
      <c r="F444" s="42" t="n">
        <v>0.8125</v>
      </c>
      <c r="G444" s="42" t="n">
        <v>0.875</v>
      </c>
      <c r="H444" s="43">
        <f>IF(OR($F444="",$G444=""),"",($G444-$F444)*24)</f>
        <v/>
      </c>
      <c r="I444" s="10" t="inlineStr">
        <is>
          <t>Collège</t>
        </is>
      </c>
      <c r="J444" s="9" t="inlineStr">
        <is>
          <t>9éme (C)</t>
        </is>
      </c>
      <c r="K444" s="9" t="inlineStr">
        <is>
          <t>Anglais</t>
        </is>
      </c>
      <c r="L444" s="9" t="inlineStr">
        <is>
          <t>Anglais</t>
        </is>
      </c>
      <c r="M444" s="9" t="inlineStr">
        <is>
          <t>Saber</t>
        </is>
      </c>
      <c r="N444" s="10" t="n"/>
      <c r="O444" s="10" t="n"/>
      <c r="P444" s="10" t="inlineStr">
        <is>
          <t>Hebdomadaire</t>
        </is>
      </c>
      <c r="Q444" s="9" t="inlineStr">
        <is>
          <t>Généré (octobre)</t>
        </is>
      </c>
      <c r="R444" s="9" t="inlineStr">
        <is>
          <t>Jour férié (Évacuation) — à confirmer</t>
        </is>
      </c>
      <c r="S444" s="44">
        <f>IF($M444="","",IF(SUMPRODUCT(($D$4:$D$704=$D444)*($M$4:$M$704=$M444)*($F$4:$F$704&lt;$G444)*($G$4:$G$704&gt;$F444))&gt;1,"⚠ CONFLIT",""))</f>
        <v/>
      </c>
      <c r="T444" s="44">
        <f>IF($J444="","",IF(SUMPRODUCT(($D$4:$D$704=$D444)*($J$4:$J$704=$J444)*($F$4:$F$704&lt;$G444)*($G$4:$G$704&gt;$F444))&gt;1,"⚠ CONFLIT",""))</f>
        <v/>
      </c>
      <c r="U444" s="44">
        <f>IF(COUNTIFS($D$4:$D$704,$D444,$J$4:$J$704,$J444,$F$4:$F$704,$F444,$K$4:$K$704,$K444)&gt;1,"⚠ DOUBLON","")</f>
        <v/>
      </c>
      <c r="V444" s="44">
        <f>COUNTIFS($A$4:$A444,$A444,$J$4:$J444,$J444,$E$4:$E444,$E444)</f>
        <v/>
      </c>
      <c r="W444" s="45">
        <f>$A444&amp;"|"&amp;$J444&amp;"|"&amp;$E444&amp;"|"&amp;$V444</f>
        <v/>
      </c>
      <c r="X444" s="46">
        <f>TEXT($F444,"hh:mm")&amp;" - "&amp;TEXT($G444,"hh:mm")&amp;IF($P444="Quinzaine A","   ◆ Q-A",IF($P444="Quinzaine B","   ◆ Q-B",IF($P444="Exception","   ◆ PONCTUEL","")))&amp;CHAR(10)&amp;$K444&amp;CHAR(10)&amp;$M444&amp;IF($N444&lt;&gt;"",CHAR(10)&amp;"Salle "&amp;$N444,"")&amp;IF($O444="En ligne",CHAR(10)&amp;"◆ EN LIGNE","")&amp;IF($R444&lt;&gt;"",CHAR(10)&amp;$R444,"")</f>
        <v/>
      </c>
      <c r="Y444" s="45" t="inlineStr"/>
      <c r="Z444" s="45" t="inlineStr">
        <is>
          <t>— généré —</t>
        </is>
      </c>
    </row>
    <row r="445" ht="15" customHeight="1">
      <c r="A445" s="10" t="inlineStr">
        <is>
          <t>S5</t>
        </is>
      </c>
      <c r="B445" s="9" t="inlineStr">
        <is>
          <t>du 12 au 18 octobre 2026</t>
        </is>
      </c>
      <c r="C445" s="10" t="inlineStr">
        <is>
          <t>A</t>
        </is>
      </c>
      <c r="D445" s="41" t="n">
        <v>46310</v>
      </c>
      <c r="E445" s="10" t="inlineStr">
        <is>
          <t>Jeudi</t>
        </is>
      </c>
      <c r="F445" s="42" t="n">
        <v>0.8020833333333334</v>
      </c>
      <c r="G445" s="42" t="n">
        <v>0.8645833333333334</v>
      </c>
      <c r="H445" s="43">
        <f>IF(OR($F445="",$G445=""),"",($G445-$F445)*24)</f>
        <v/>
      </c>
      <c r="I445" s="10" t="inlineStr">
        <is>
          <t>Secondaire</t>
        </is>
      </c>
      <c r="J445" s="9" t="inlineStr">
        <is>
          <t>1ére (A)</t>
        </is>
      </c>
      <c r="K445" s="9" t="inlineStr">
        <is>
          <t>Anglais</t>
        </is>
      </c>
      <c r="L445" s="9" t="inlineStr">
        <is>
          <t>Anglais</t>
        </is>
      </c>
      <c r="M445" s="9" t="inlineStr">
        <is>
          <t>Imen Bennour</t>
        </is>
      </c>
      <c r="N445" s="10" t="n"/>
      <c r="O445" s="10" t="n"/>
      <c r="P445" s="10" t="inlineStr">
        <is>
          <t>Quinzaine A</t>
        </is>
      </c>
      <c r="Q445" s="9" t="inlineStr">
        <is>
          <t>Généré (octobre)</t>
        </is>
      </c>
      <c r="R445" s="9" t="inlineStr">
        <is>
          <t>Jour férié (Évacuation) — à confirmer</t>
        </is>
      </c>
      <c r="S445" s="44">
        <f>IF($M445="","",IF(SUMPRODUCT(($D$4:$D$704=$D445)*($M$4:$M$704=$M445)*($F$4:$F$704&lt;$G445)*($G$4:$G$704&gt;$F445))&gt;1,"⚠ CONFLIT",""))</f>
        <v/>
      </c>
      <c r="T445" s="44">
        <f>IF($J445="","",IF(SUMPRODUCT(($D$4:$D$704=$D445)*($J$4:$J$704=$J445)*($F$4:$F$704&lt;$G445)*($G$4:$G$704&gt;$F445))&gt;1,"⚠ CONFLIT",""))</f>
        <v/>
      </c>
      <c r="U445" s="44">
        <f>IF(COUNTIFS($D$4:$D$704,$D445,$J$4:$J$704,$J445,$F$4:$F$704,$F445,$K$4:$K$704,$K445)&gt;1,"⚠ DOUBLON","")</f>
        <v/>
      </c>
      <c r="V445" s="44">
        <f>COUNTIFS($A$4:$A445,$A445,$J$4:$J445,$J445,$E$4:$E445,$E445)</f>
        <v/>
      </c>
      <c r="W445" s="45">
        <f>$A445&amp;"|"&amp;$J445&amp;"|"&amp;$E445&amp;"|"&amp;$V445</f>
        <v/>
      </c>
      <c r="X445" s="46">
        <f>TEXT($F445,"hh:mm")&amp;" - "&amp;TEXT($G445,"hh:mm")&amp;IF($P445="Quinzaine A","   ◆ Q-A",IF($P445="Quinzaine B","   ◆ Q-B",IF($P445="Exception","   ◆ PONCTUEL","")))&amp;CHAR(10)&amp;$K445&amp;CHAR(10)&amp;$M445&amp;IF($N445&lt;&gt;"",CHAR(10)&amp;"Salle "&amp;$N445,"")&amp;IF($O445="En ligne",CHAR(10)&amp;"◆ EN LIGNE","")&amp;IF($R445&lt;&gt;"",CHAR(10)&amp;$R445,"")</f>
        <v/>
      </c>
      <c r="Y445" s="45" t="inlineStr"/>
      <c r="Z445" s="45" t="inlineStr">
        <is>
          <t>— généré —</t>
        </is>
      </c>
    </row>
    <row r="446" ht="15" customHeight="1">
      <c r="A446" s="10" t="inlineStr">
        <is>
          <t>S5</t>
        </is>
      </c>
      <c r="B446" s="9" t="inlineStr">
        <is>
          <t>du 12 au 18 octobre 2026</t>
        </is>
      </c>
      <c r="C446" s="10" t="inlineStr">
        <is>
          <t>A</t>
        </is>
      </c>
      <c r="D446" s="41" t="n">
        <v>46310</v>
      </c>
      <c r="E446" s="10" t="inlineStr">
        <is>
          <t>Jeudi</t>
        </is>
      </c>
      <c r="F446" s="42" t="n">
        <v>0.7916666666666666</v>
      </c>
      <c r="G446" s="42" t="n">
        <v>0.8541666666666666</v>
      </c>
      <c r="H446" s="43">
        <f>IF(OR($F446="",$G446=""),"",($G446-$F446)*24)</f>
        <v/>
      </c>
      <c r="I446" s="10" t="inlineStr">
        <is>
          <t>Secondaire</t>
        </is>
      </c>
      <c r="J446" s="9" t="inlineStr">
        <is>
          <t>2éme Eco</t>
        </is>
      </c>
      <c r="K446" s="9" t="inlineStr">
        <is>
          <t>Gestion</t>
        </is>
      </c>
      <c r="L446" s="9" t="inlineStr">
        <is>
          <t>Gestion</t>
        </is>
      </c>
      <c r="M446" s="9" t="inlineStr">
        <is>
          <t>Yassine</t>
        </is>
      </c>
      <c r="N446" s="10" t="n"/>
      <c r="O446" s="10" t="n"/>
      <c r="P446" s="10" t="inlineStr">
        <is>
          <t>Hebdomadaire</t>
        </is>
      </c>
      <c r="Q446" s="9" t="inlineStr">
        <is>
          <t>Généré (octobre)</t>
        </is>
      </c>
      <c r="R446" s="9" t="inlineStr">
        <is>
          <t>Jour férié (Évacuation) — à confirmer</t>
        </is>
      </c>
      <c r="S446" s="44">
        <f>IF($M446="","",IF(SUMPRODUCT(($D$4:$D$704=$D446)*($M$4:$M$704=$M446)*($F$4:$F$704&lt;$G446)*($G$4:$G$704&gt;$F446))&gt;1,"⚠ CONFLIT",""))</f>
        <v/>
      </c>
      <c r="T446" s="44">
        <f>IF($J446="","",IF(SUMPRODUCT(($D$4:$D$704=$D446)*($J$4:$J$704=$J446)*($F$4:$F$704&lt;$G446)*($G$4:$G$704&gt;$F446))&gt;1,"⚠ CONFLIT",""))</f>
        <v/>
      </c>
      <c r="U446" s="44">
        <f>IF(COUNTIFS($D$4:$D$704,$D446,$J$4:$J$704,$J446,$F$4:$F$704,$F446,$K$4:$K$704,$K446)&gt;1,"⚠ DOUBLON","")</f>
        <v/>
      </c>
      <c r="V446" s="44">
        <f>COUNTIFS($A$4:$A446,$A446,$J$4:$J446,$J446,$E$4:$E446,$E446)</f>
        <v/>
      </c>
      <c r="W446" s="45">
        <f>$A446&amp;"|"&amp;$J446&amp;"|"&amp;$E446&amp;"|"&amp;$V446</f>
        <v/>
      </c>
      <c r="X446" s="46">
        <f>TEXT($F446,"hh:mm")&amp;" - "&amp;TEXT($G446,"hh:mm")&amp;IF($P446="Quinzaine A","   ◆ Q-A",IF($P446="Quinzaine B","   ◆ Q-B",IF($P446="Exception","   ◆ PONCTUEL","")))&amp;CHAR(10)&amp;$K446&amp;CHAR(10)&amp;$M446&amp;IF($N446&lt;&gt;"",CHAR(10)&amp;"Salle "&amp;$N446,"")&amp;IF($O446="En ligne",CHAR(10)&amp;"◆ EN LIGNE","")&amp;IF($R446&lt;&gt;"",CHAR(10)&amp;$R446,"")</f>
        <v/>
      </c>
      <c r="Y446" s="45" t="inlineStr"/>
      <c r="Z446" s="45" t="inlineStr">
        <is>
          <t>— généré —</t>
        </is>
      </c>
    </row>
    <row r="447" ht="15" customHeight="1">
      <c r="A447" s="10" t="inlineStr">
        <is>
          <t>S5</t>
        </is>
      </c>
      <c r="B447" s="9" t="inlineStr">
        <is>
          <t>du 12 au 18 octobre 2026</t>
        </is>
      </c>
      <c r="C447" s="10" t="inlineStr">
        <is>
          <t>A</t>
        </is>
      </c>
      <c r="D447" s="41" t="n">
        <v>46310</v>
      </c>
      <c r="E447" s="10" t="inlineStr">
        <is>
          <t>Jeudi</t>
        </is>
      </c>
      <c r="F447" s="42" t="n">
        <v>0.8125</v>
      </c>
      <c r="G447" s="42" t="n">
        <v>0.875</v>
      </c>
      <c r="H447" s="43">
        <f>IF(OR($F447="",$G447=""),"",($G447-$F447)*24)</f>
        <v/>
      </c>
      <c r="I447" s="10" t="inlineStr">
        <is>
          <t>Secondaire</t>
        </is>
      </c>
      <c r="J447" s="9" t="inlineStr">
        <is>
          <t>2éme SCE</t>
        </is>
      </c>
      <c r="K447" s="9" t="inlineStr">
        <is>
          <t>Math</t>
        </is>
      </c>
      <c r="L447" s="9" t="inlineStr">
        <is>
          <t>Math</t>
        </is>
      </c>
      <c r="M447" s="9" t="inlineStr">
        <is>
          <t>Haythem</t>
        </is>
      </c>
      <c r="N447" s="10" t="n"/>
      <c r="O447" s="10" t="n"/>
      <c r="P447" s="10" t="inlineStr">
        <is>
          <t>Hebdomadaire</t>
        </is>
      </c>
      <c r="Q447" s="9" t="inlineStr">
        <is>
          <t>Généré (octobre)</t>
        </is>
      </c>
      <c r="R447" s="9" t="inlineStr">
        <is>
          <t>Jour férié (Évacuation) — à confirmer</t>
        </is>
      </c>
      <c r="S447" s="44">
        <f>IF($M447="","",IF(SUMPRODUCT(($D$4:$D$704=$D447)*($M$4:$M$704=$M447)*($F$4:$F$704&lt;$G447)*($G$4:$G$704&gt;$F447))&gt;1,"⚠ CONFLIT",""))</f>
        <v/>
      </c>
      <c r="T447" s="44">
        <f>IF($J447="","",IF(SUMPRODUCT(($D$4:$D$704=$D447)*($J$4:$J$704=$J447)*($F$4:$F$704&lt;$G447)*($G$4:$G$704&gt;$F447))&gt;1,"⚠ CONFLIT",""))</f>
        <v/>
      </c>
      <c r="U447" s="44">
        <f>IF(COUNTIFS($D$4:$D$704,$D447,$J$4:$J$704,$J447,$F$4:$F$704,$F447,$K$4:$K$704,$K447)&gt;1,"⚠ DOUBLON","")</f>
        <v/>
      </c>
      <c r="V447" s="44">
        <f>COUNTIFS($A$4:$A447,$A447,$J$4:$J447,$J447,$E$4:$E447,$E447)</f>
        <v/>
      </c>
      <c r="W447" s="45">
        <f>$A447&amp;"|"&amp;$J447&amp;"|"&amp;$E447&amp;"|"&amp;$V447</f>
        <v/>
      </c>
      <c r="X447" s="46">
        <f>TEXT($F447,"hh:mm")&amp;" - "&amp;TEXT($G447,"hh:mm")&amp;IF($P447="Quinzaine A","   ◆ Q-A",IF($P447="Quinzaine B","   ◆ Q-B",IF($P447="Exception","   ◆ PONCTUEL","")))&amp;CHAR(10)&amp;$K447&amp;CHAR(10)&amp;$M447&amp;IF($N447&lt;&gt;"",CHAR(10)&amp;"Salle "&amp;$N447,"")&amp;IF($O447="En ligne",CHAR(10)&amp;"◆ EN LIGNE","")&amp;IF($R447&lt;&gt;"",CHAR(10)&amp;$R447,"")</f>
        <v/>
      </c>
      <c r="Y447" s="45" t="inlineStr"/>
      <c r="Z447" s="45" t="inlineStr">
        <is>
          <t>— généré —</t>
        </is>
      </c>
    </row>
    <row r="448" ht="15" customHeight="1">
      <c r="A448" s="10" t="inlineStr">
        <is>
          <t>S5</t>
        </is>
      </c>
      <c r="B448" s="9" t="inlineStr">
        <is>
          <t>du 12 au 18 octobre 2026</t>
        </is>
      </c>
      <c r="C448" s="10" t="inlineStr">
        <is>
          <t>A</t>
        </is>
      </c>
      <c r="D448" s="41" t="n">
        <v>46310</v>
      </c>
      <c r="E448" s="10" t="inlineStr">
        <is>
          <t>Jeudi</t>
        </is>
      </c>
      <c r="F448" s="42" t="n">
        <v>0.8125</v>
      </c>
      <c r="G448" s="42" t="n">
        <v>0.875</v>
      </c>
      <c r="H448" s="43">
        <f>IF(OR($F448="",$G448=""),"",($G448-$F448)*24)</f>
        <v/>
      </c>
      <c r="I448" s="10" t="inlineStr">
        <is>
          <t>Secondaire</t>
        </is>
      </c>
      <c r="J448" s="9" t="inlineStr">
        <is>
          <t>2éme INFO</t>
        </is>
      </c>
      <c r="K448" s="9" t="inlineStr">
        <is>
          <t>Physique</t>
        </is>
      </c>
      <c r="L448" s="9" t="inlineStr">
        <is>
          <t>Physique</t>
        </is>
      </c>
      <c r="M448" s="9" t="inlineStr">
        <is>
          <t>Samia</t>
        </is>
      </c>
      <c r="N448" s="10" t="n"/>
      <c r="O448" s="10" t="n"/>
      <c r="P448" s="10" t="inlineStr">
        <is>
          <t>Hebdomadaire</t>
        </is>
      </c>
      <c r="Q448" s="9" t="inlineStr">
        <is>
          <t>Généré (octobre)</t>
        </is>
      </c>
      <c r="R448" s="9" t="inlineStr">
        <is>
          <t>Jour férié (Évacuation) — à confirmer</t>
        </is>
      </c>
      <c r="S448" s="44">
        <f>IF($M448="","",IF(SUMPRODUCT(($D$4:$D$704=$D448)*($M$4:$M$704=$M448)*($F$4:$F$704&lt;$G448)*($G$4:$G$704&gt;$F448))&gt;1,"⚠ CONFLIT",""))</f>
        <v/>
      </c>
      <c r="T448" s="44">
        <f>IF($J448="","",IF(SUMPRODUCT(($D$4:$D$704=$D448)*($J$4:$J$704=$J448)*($F$4:$F$704&lt;$G448)*($G$4:$G$704&gt;$F448))&gt;1,"⚠ CONFLIT",""))</f>
        <v/>
      </c>
      <c r="U448" s="44">
        <f>IF(COUNTIFS($D$4:$D$704,$D448,$J$4:$J$704,$J448,$F$4:$F$704,$F448,$K$4:$K$704,$K448)&gt;1,"⚠ DOUBLON","")</f>
        <v/>
      </c>
      <c r="V448" s="44">
        <f>COUNTIFS($A$4:$A448,$A448,$J$4:$J448,$J448,$E$4:$E448,$E448)</f>
        <v/>
      </c>
      <c r="W448" s="45">
        <f>$A448&amp;"|"&amp;$J448&amp;"|"&amp;$E448&amp;"|"&amp;$V448</f>
        <v/>
      </c>
      <c r="X448" s="46">
        <f>TEXT($F448,"hh:mm")&amp;" - "&amp;TEXT($G448,"hh:mm")&amp;IF($P448="Quinzaine A","   ◆ Q-A",IF($P448="Quinzaine B","   ◆ Q-B",IF($P448="Exception","   ◆ PONCTUEL","")))&amp;CHAR(10)&amp;$K448&amp;CHAR(10)&amp;$M448&amp;IF($N448&lt;&gt;"",CHAR(10)&amp;"Salle "&amp;$N448,"")&amp;IF($O448="En ligne",CHAR(10)&amp;"◆ EN LIGNE","")&amp;IF($R448&lt;&gt;"",CHAR(10)&amp;$R448,"")</f>
        <v/>
      </c>
      <c r="Y448" s="45" t="inlineStr"/>
      <c r="Z448" s="45" t="inlineStr">
        <is>
          <t>— généré —</t>
        </is>
      </c>
    </row>
    <row r="449" ht="15" customHeight="1">
      <c r="A449" s="10" t="inlineStr">
        <is>
          <t>S5</t>
        </is>
      </c>
      <c r="B449" s="9" t="inlineStr">
        <is>
          <t>du 12 au 18 octobre 2026</t>
        </is>
      </c>
      <c r="C449" s="10" t="inlineStr">
        <is>
          <t>A</t>
        </is>
      </c>
      <c r="D449" s="41" t="n">
        <v>46310</v>
      </c>
      <c r="E449" s="10" t="inlineStr">
        <is>
          <t>Jeudi</t>
        </is>
      </c>
      <c r="F449" s="42" t="n">
        <v>0.8125</v>
      </c>
      <c r="G449" s="42" t="n">
        <v>0.875</v>
      </c>
      <c r="H449" s="43">
        <f>IF(OR($F449="",$G449=""),"",($G449-$F449)*24)</f>
        <v/>
      </c>
      <c r="I449" s="10" t="inlineStr">
        <is>
          <t>Secondaire</t>
        </is>
      </c>
      <c r="J449" s="9" t="inlineStr">
        <is>
          <t>3éme Eco</t>
        </is>
      </c>
      <c r="K449" s="9" t="inlineStr">
        <is>
          <t>Arabe</t>
        </is>
      </c>
      <c r="L449" s="9" t="inlineStr">
        <is>
          <t>Arabe</t>
        </is>
      </c>
      <c r="M449" s="9" t="inlineStr">
        <is>
          <t>Najet</t>
        </is>
      </c>
      <c r="N449" s="10" t="n"/>
      <c r="O449" s="10" t="n"/>
      <c r="P449" s="10" t="inlineStr">
        <is>
          <t>Quinzaine A</t>
        </is>
      </c>
      <c r="Q449" s="9" t="inlineStr">
        <is>
          <t>Généré (octobre)</t>
        </is>
      </c>
      <c r="R449" s="9" t="inlineStr">
        <is>
          <t>Jour férié (Évacuation) — à confirmer</t>
        </is>
      </c>
      <c r="S449" s="44">
        <f>IF($M449="","",IF(SUMPRODUCT(($D$4:$D$704=$D449)*($M$4:$M$704=$M449)*($F$4:$F$704&lt;$G449)*($G$4:$G$704&gt;$F449))&gt;1,"⚠ CONFLIT",""))</f>
        <v/>
      </c>
      <c r="T449" s="44">
        <f>IF($J449="","",IF(SUMPRODUCT(($D$4:$D$704=$D449)*($J$4:$J$704=$J449)*($F$4:$F$704&lt;$G449)*($G$4:$G$704&gt;$F449))&gt;1,"⚠ CONFLIT",""))</f>
        <v/>
      </c>
      <c r="U449" s="44">
        <f>IF(COUNTIFS($D$4:$D$704,$D449,$J$4:$J$704,$J449,$F$4:$F$704,$F449,$K$4:$K$704,$K449)&gt;1,"⚠ DOUBLON","")</f>
        <v/>
      </c>
      <c r="V449" s="44">
        <f>COUNTIFS($A$4:$A449,$A449,$J$4:$J449,$J449,$E$4:$E449,$E449)</f>
        <v/>
      </c>
      <c r="W449" s="45">
        <f>$A449&amp;"|"&amp;$J449&amp;"|"&amp;$E449&amp;"|"&amp;$V449</f>
        <v/>
      </c>
      <c r="X449" s="46">
        <f>TEXT($F449,"hh:mm")&amp;" - "&amp;TEXT($G449,"hh:mm")&amp;IF($P449="Quinzaine A","   ◆ Q-A",IF($P449="Quinzaine B","   ◆ Q-B",IF($P449="Exception","   ◆ PONCTUEL","")))&amp;CHAR(10)&amp;$K449&amp;CHAR(10)&amp;$M449&amp;IF($N449&lt;&gt;"",CHAR(10)&amp;"Salle "&amp;$N449,"")&amp;IF($O449="En ligne",CHAR(10)&amp;"◆ EN LIGNE","")&amp;IF($R449&lt;&gt;"",CHAR(10)&amp;$R449,"")</f>
        <v/>
      </c>
      <c r="Y449" s="45" t="inlineStr"/>
      <c r="Z449" s="45" t="inlineStr">
        <is>
          <t>— généré —</t>
        </is>
      </c>
    </row>
    <row r="450" ht="15" customHeight="1">
      <c r="A450" s="10" t="inlineStr">
        <is>
          <t>S5</t>
        </is>
      </c>
      <c r="B450" s="9" t="inlineStr">
        <is>
          <t>du 12 au 18 octobre 2026</t>
        </is>
      </c>
      <c r="C450" s="10" t="inlineStr">
        <is>
          <t>A</t>
        </is>
      </c>
      <c r="D450" s="41" t="n">
        <v>46310</v>
      </c>
      <c r="E450" s="10" t="inlineStr">
        <is>
          <t>Jeudi</t>
        </is>
      </c>
      <c r="F450" s="42" t="n">
        <v>0.7916666666666666</v>
      </c>
      <c r="G450" s="42" t="n">
        <v>0.8541666666666666</v>
      </c>
      <c r="H450" s="43">
        <f>IF(OR($F450="",$G450=""),"",($G450-$F450)*24)</f>
        <v/>
      </c>
      <c r="I450" s="10" t="inlineStr">
        <is>
          <t>Bac</t>
        </is>
      </c>
      <c r="J450" s="9" t="inlineStr">
        <is>
          <t>Bac Eco</t>
        </is>
      </c>
      <c r="K450" s="9" t="inlineStr">
        <is>
          <t>Philo</t>
        </is>
      </c>
      <c r="L450" s="9" t="inlineStr">
        <is>
          <t>Philo</t>
        </is>
      </c>
      <c r="M450" s="9" t="inlineStr">
        <is>
          <t>Fayssel</t>
        </is>
      </c>
      <c r="N450" s="10" t="n"/>
      <c r="O450" s="10" t="n"/>
      <c r="P450" s="10" t="inlineStr">
        <is>
          <t>Quinzaine A</t>
        </is>
      </c>
      <c r="Q450" s="9" t="inlineStr">
        <is>
          <t>Généré (octobre)</t>
        </is>
      </c>
      <c r="R450" s="9" t="inlineStr">
        <is>
          <t>Jour férié (Évacuation) — à confirmer</t>
        </is>
      </c>
      <c r="S450" s="44">
        <f>IF($M450="","",IF(SUMPRODUCT(($D$4:$D$704=$D450)*($M$4:$M$704=$M450)*($F$4:$F$704&lt;$G450)*($G$4:$G$704&gt;$F450))&gt;1,"⚠ CONFLIT",""))</f>
        <v/>
      </c>
      <c r="T450" s="44">
        <f>IF($J450="","",IF(SUMPRODUCT(($D$4:$D$704=$D450)*($J$4:$J$704=$J450)*($F$4:$F$704&lt;$G450)*($G$4:$G$704&gt;$F450))&gt;1,"⚠ CONFLIT",""))</f>
        <v/>
      </c>
      <c r="U450" s="44">
        <f>IF(COUNTIFS($D$4:$D$704,$D450,$J$4:$J$704,$J450,$F$4:$F$704,$F450,$K$4:$K$704,$K450)&gt;1,"⚠ DOUBLON","")</f>
        <v/>
      </c>
      <c r="V450" s="44">
        <f>COUNTIFS($A$4:$A450,$A450,$J$4:$J450,$J450,$E$4:$E450,$E450)</f>
        <v/>
      </c>
      <c r="W450" s="45">
        <f>$A450&amp;"|"&amp;$J450&amp;"|"&amp;$E450&amp;"|"&amp;$V450</f>
        <v/>
      </c>
      <c r="X450" s="46">
        <f>TEXT($F450,"hh:mm")&amp;" - "&amp;TEXT($G450,"hh:mm")&amp;IF($P450="Quinzaine A","   ◆ Q-A",IF($P450="Quinzaine B","   ◆ Q-B",IF($P450="Exception","   ◆ PONCTUEL","")))&amp;CHAR(10)&amp;$K450&amp;CHAR(10)&amp;$M450&amp;IF($N450&lt;&gt;"",CHAR(10)&amp;"Salle "&amp;$N450,"")&amp;IF($O450="En ligne",CHAR(10)&amp;"◆ EN LIGNE","")&amp;IF($R450&lt;&gt;"",CHAR(10)&amp;$R450,"")</f>
        <v/>
      </c>
      <c r="Y450" s="45" t="inlineStr"/>
      <c r="Z450" s="45" t="inlineStr">
        <is>
          <t>— généré —</t>
        </is>
      </c>
    </row>
    <row r="451" ht="15" customHeight="1">
      <c r="A451" s="10" t="inlineStr">
        <is>
          <t>S5</t>
        </is>
      </c>
      <c r="B451" s="9" t="inlineStr">
        <is>
          <t>du 12 au 18 octobre 2026</t>
        </is>
      </c>
      <c r="C451" s="10" t="inlineStr">
        <is>
          <t>A</t>
        </is>
      </c>
      <c r="D451" s="41" t="n">
        <v>46311</v>
      </c>
      <c r="E451" s="10" t="inlineStr">
        <is>
          <t>Vendredi</t>
        </is>
      </c>
      <c r="F451" s="42" t="n">
        <v>0.7916666666666666</v>
      </c>
      <c r="G451" s="42" t="n">
        <v>0.8541666666666666</v>
      </c>
      <c r="H451" s="43">
        <f>IF(OR($F451="",$G451=""),"",($G451-$F451)*24)</f>
        <v/>
      </c>
      <c r="I451" s="10" t="inlineStr">
        <is>
          <t>Primaire</t>
        </is>
      </c>
      <c r="J451" s="9" t="inlineStr">
        <is>
          <t>4éme</t>
        </is>
      </c>
      <c r="K451" s="9" t="inlineStr">
        <is>
          <t>إيقاظ علمي</t>
        </is>
      </c>
      <c r="L451" s="9" t="inlineStr">
        <is>
          <t>Éveil scientifique</t>
        </is>
      </c>
      <c r="M451" s="9" t="inlineStr">
        <is>
          <t>Bassma</t>
        </is>
      </c>
      <c r="N451" s="10" t="n"/>
      <c r="O451" s="10" t="n"/>
      <c r="P451" s="10" t="inlineStr">
        <is>
          <t>Quinzaine A</t>
        </is>
      </c>
      <c r="Q451" s="9" t="inlineStr">
        <is>
          <t>Généré (octobre)</t>
        </is>
      </c>
      <c r="R451" s="9" t="inlineStr"/>
      <c r="S451" s="44">
        <f>IF($M451="","",IF(SUMPRODUCT(($D$4:$D$704=$D451)*($M$4:$M$704=$M451)*($F$4:$F$704&lt;$G451)*($G$4:$G$704&gt;$F451))&gt;1,"⚠ CONFLIT",""))</f>
        <v/>
      </c>
      <c r="T451" s="44">
        <f>IF($J451="","",IF(SUMPRODUCT(($D$4:$D$704=$D451)*($J$4:$J$704=$J451)*($F$4:$F$704&lt;$G451)*($G$4:$G$704&gt;$F451))&gt;1,"⚠ CONFLIT",""))</f>
        <v/>
      </c>
      <c r="U451" s="44">
        <f>IF(COUNTIFS($D$4:$D$704,$D451,$J$4:$J$704,$J451,$F$4:$F$704,$F451,$K$4:$K$704,$K451)&gt;1,"⚠ DOUBLON","")</f>
        <v/>
      </c>
      <c r="V451" s="44">
        <f>COUNTIFS($A$4:$A451,$A451,$J$4:$J451,$J451,$E$4:$E451,$E451)</f>
        <v/>
      </c>
      <c r="W451" s="45">
        <f>$A451&amp;"|"&amp;$J451&amp;"|"&amp;$E451&amp;"|"&amp;$V451</f>
        <v/>
      </c>
      <c r="X451" s="46">
        <f>TEXT($F451,"hh:mm")&amp;" - "&amp;TEXT($G451,"hh:mm")&amp;IF($P451="Quinzaine A","   ◆ Q-A",IF($P451="Quinzaine B","   ◆ Q-B",IF($P451="Exception","   ◆ PONCTUEL","")))&amp;CHAR(10)&amp;$K451&amp;CHAR(10)&amp;$M451&amp;IF($N451&lt;&gt;"",CHAR(10)&amp;"Salle "&amp;$N451,"")&amp;IF($O451="En ligne",CHAR(10)&amp;"◆ EN LIGNE","")&amp;IF($R451&lt;&gt;"",CHAR(10)&amp;$R451,"")</f>
        <v/>
      </c>
      <c r="Y451" s="45" t="inlineStr"/>
      <c r="Z451" s="45" t="inlineStr">
        <is>
          <t>— généré —</t>
        </is>
      </c>
    </row>
    <row r="452" ht="15" customHeight="1">
      <c r="A452" s="10" t="inlineStr">
        <is>
          <t>S5</t>
        </is>
      </c>
      <c r="B452" s="9" t="inlineStr">
        <is>
          <t>du 12 au 18 octobre 2026</t>
        </is>
      </c>
      <c r="C452" s="10" t="inlineStr">
        <is>
          <t>A</t>
        </is>
      </c>
      <c r="D452" s="41" t="n">
        <v>46311</v>
      </c>
      <c r="E452" s="10" t="inlineStr">
        <is>
          <t>Vendredi</t>
        </is>
      </c>
      <c r="F452" s="42" t="n">
        <v>0.8125</v>
      </c>
      <c r="G452" s="42" t="n">
        <v>0.875</v>
      </c>
      <c r="H452" s="43">
        <f>IF(OR($F452="",$G452=""),"",($G452-$F452)*24)</f>
        <v/>
      </c>
      <c r="I452" s="10" t="inlineStr">
        <is>
          <t>Primaire</t>
        </is>
      </c>
      <c r="J452" s="9" t="inlineStr">
        <is>
          <t>6éme Pilote (A)</t>
        </is>
      </c>
      <c r="K452" s="9" t="inlineStr">
        <is>
          <t>إيقاظ علمي</t>
        </is>
      </c>
      <c r="L452" s="9" t="inlineStr">
        <is>
          <t>Éveil scientifique</t>
        </is>
      </c>
      <c r="M452" s="9" t="inlineStr">
        <is>
          <t>Noura</t>
        </is>
      </c>
      <c r="N452" s="10" t="n"/>
      <c r="O452" s="10" t="n"/>
      <c r="P452" s="10" t="inlineStr">
        <is>
          <t>Hebdomadaire</t>
        </is>
      </c>
      <c r="Q452" s="9" t="inlineStr">
        <is>
          <t>Généré (octobre)</t>
        </is>
      </c>
      <c r="R452" s="9" t="inlineStr"/>
      <c r="S452" s="44">
        <f>IF($M452="","",IF(SUMPRODUCT(($D$4:$D$704=$D452)*($M$4:$M$704=$M452)*($F$4:$F$704&lt;$G452)*($G$4:$G$704&gt;$F452))&gt;1,"⚠ CONFLIT",""))</f>
        <v/>
      </c>
      <c r="T452" s="44">
        <f>IF($J452="","",IF(SUMPRODUCT(($D$4:$D$704=$D452)*($J$4:$J$704=$J452)*($F$4:$F$704&lt;$G452)*($G$4:$G$704&gt;$F452))&gt;1,"⚠ CONFLIT",""))</f>
        <v/>
      </c>
      <c r="U452" s="44">
        <f>IF(COUNTIFS($D$4:$D$704,$D452,$J$4:$J$704,$J452,$F$4:$F$704,$F452,$K$4:$K$704,$K452)&gt;1,"⚠ DOUBLON","")</f>
        <v/>
      </c>
      <c r="V452" s="44">
        <f>COUNTIFS($A$4:$A452,$A452,$J$4:$J452,$J452,$E$4:$E452,$E452)</f>
        <v/>
      </c>
      <c r="W452" s="45">
        <f>$A452&amp;"|"&amp;$J452&amp;"|"&amp;$E452&amp;"|"&amp;$V452</f>
        <v/>
      </c>
      <c r="X452" s="46">
        <f>TEXT($F452,"hh:mm")&amp;" - "&amp;TEXT($G452,"hh:mm")&amp;IF($P452="Quinzaine A","   ◆ Q-A",IF($P452="Quinzaine B","   ◆ Q-B",IF($P452="Exception","   ◆ PONCTUEL","")))&amp;CHAR(10)&amp;$K452&amp;CHAR(10)&amp;$M452&amp;IF($N452&lt;&gt;"",CHAR(10)&amp;"Salle "&amp;$N452,"")&amp;IF($O452="En ligne",CHAR(10)&amp;"◆ EN LIGNE","")&amp;IF($R452&lt;&gt;"",CHAR(10)&amp;$R452,"")</f>
        <v/>
      </c>
      <c r="Y452" s="45" t="inlineStr"/>
      <c r="Z452" s="45" t="inlineStr">
        <is>
          <t>— généré —</t>
        </is>
      </c>
    </row>
    <row r="453" ht="15" customHeight="1">
      <c r="A453" s="10" t="inlineStr">
        <is>
          <t>S5</t>
        </is>
      </c>
      <c r="B453" s="9" t="inlineStr">
        <is>
          <t>du 12 au 18 octobre 2026</t>
        </is>
      </c>
      <c r="C453" s="10" t="inlineStr">
        <is>
          <t>A</t>
        </is>
      </c>
      <c r="D453" s="41" t="n">
        <v>46311</v>
      </c>
      <c r="E453" s="10" t="inlineStr">
        <is>
          <t>Vendredi</t>
        </is>
      </c>
      <c r="F453" s="42" t="n">
        <v>0.75</v>
      </c>
      <c r="G453" s="42" t="n">
        <v>0.8125</v>
      </c>
      <c r="H453" s="43">
        <f>IF(OR($F453="",$G453=""),"",($G453-$F453)*24)</f>
        <v/>
      </c>
      <c r="I453" s="10" t="inlineStr">
        <is>
          <t>Collège</t>
        </is>
      </c>
      <c r="J453" s="9" t="inlineStr">
        <is>
          <t>7éme (A)</t>
        </is>
      </c>
      <c r="K453" s="9" t="inlineStr">
        <is>
          <t>Math</t>
        </is>
      </c>
      <c r="L453" s="9" t="inlineStr">
        <is>
          <t>Math</t>
        </is>
      </c>
      <c r="M453" s="9" t="inlineStr">
        <is>
          <t>Khouloud</t>
        </is>
      </c>
      <c r="N453" s="10" t="n"/>
      <c r="O453" s="10" t="n"/>
      <c r="P453" s="10" t="inlineStr">
        <is>
          <t>Hebdomadaire</t>
        </is>
      </c>
      <c r="Q453" s="9" t="inlineStr">
        <is>
          <t>Généré (octobre)</t>
        </is>
      </c>
      <c r="R453" s="9" t="inlineStr"/>
      <c r="S453" s="44">
        <f>IF($M453="","",IF(SUMPRODUCT(($D$4:$D$704=$D453)*($M$4:$M$704=$M453)*($F$4:$F$704&lt;$G453)*($G$4:$G$704&gt;$F453))&gt;1,"⚠ CONFLIT",""))</f>
        <v/>
      </c>
      <c r="T453" s="44">
        <f>IF($J453="","",IF(SUMPRODUCT(($D$4:$D$704=$D453)*($J$4:$J$704=$J453)*($F$4:$F$704&lt;$G453)*($G$4:$G$704&gt;$F453))&gt;1,"⚠ CONFLIT",""))</f>
        <v/>
      </c>
      <c r="U453" s="44">
        <f>IF(COUNTIFS($D$4:$D$704,$D453,$J$4:$J$704,$J453,$F$4:$F$704,$F453,$K$4:$K$704,$K453)&gt;1,"⚠ DOUBLON","")</f>
        <v/>
      </c>
      <c r="V453" s="44">
        <f>COUNTIFS($A$4:$A453,$A453,$J$4:$J453,$J453,$E$4:$E453,$E453)</f>
        <v/>
      </c>
      <c r="W453" s="45">
        <f>$A453&amp;"|"&amp;$J453&amp;"|"&amp;$E453&amp;"|"&amp;$V453</f>
        <v/>
      </c>
      <c r="X453" s="46">
        <f>TEXT($F453,"hh:mm")&amp;" - "&amp;TEXT($G453,"hh:mm")&amp;IF($P453="Quinzaine A","   ◆ Q-A",IF($P453="Quinzaine B","   ◆ Q-B",IF($P453="Exception","   ◆ PONCTUEL","")))&amp;CHAR(10)&amp;$K453&amp;CHAR(10)&amp;$M453&amp;IF($N453&lt;&gt;"",CHAR(10)&amp;"Salle "&amp;$N453,"")&amp;IF($O453="En ligne",CHAR(10)&amp;"◆ EN LIGNE","")&amp;IF($R453&lt;&gt;"",CHAR(10)&amp;$R453,"")</f>
        <v/>
      </c>
      <c r="Y453" s="45" t="inlineStr"/>
      <c r="Z453" s="45" t="inlineStr">
        <is>
          <t>— généré —</t>
        </is>
      </c>
    </row>
    <row r="454" ht="15" customHeight="1">
      <c r="A454" s="10" t="inlineStr">
        <is>
          <t>S5</t>
        </is>
      </c>
      <c r="B454" s="9" t="inlineStr">
        <is>
          <t>du 12 au 18 octobre 2026</t>
        </is>
      </c>
      <c r="C454" s="10" t="inlineStr">
        <is>
          <t>A</t>
        </is>
      </c>
      <c r="D454" s="41" t="n">
        <v>46311</v>
      </c>
      <c r="E454" s="10" t="inlineStr">
        <is>
          <t>Vendredi</t>
        </is>
      </c>
      <c r="F454" s="42" t="n">
        <v>0.8125</v>
      </c>
      <c r="G454" s="42" t="n">
        <v>0.875</v>
      </c>
      <c r="H454" s="43">
        <f>IF(OR($F454="",$G454=""),"",($G454-$F454)*24)</f>
        <v/>
      </c>
      <c r="I454" s="10" t="inlineStr">
        <is>
          <t>Collège</t>
        </is>
      </c>
      <c r="J454" s="9" t="inlineStr">
        <is>
          <t>7éme (B)</t>
        </is>
      </c>
      <c r="K454" s="9" t="inlineStr">
        <is>
          <t>Math</t>
        </is>
      </c>
      <c r="L454" s="9" t="inlineStr">
        <is>
          <t>Math</t>
        </is>
      </c>
      <c r="M454" s="9" t="inlineStr">
        <is>
          <t>Khouloud</t>
        </is>
      </c>
      <c r="N454" s="10" t="n"/>
      <c r="O454" s="10" t="n"/>
      <c r="P454" s="10" t="inlineStr">
        <is>
          <t>Hebdomadaire</t>
        </is>
      </c>
      <c r="Q454" s="9" t="inlineStr">
        <is>
          <t>Généré (octobre)</t>
        </is>
      </c>
      <c r="R454" s="9" t="inlineStr"/>
      <c r="S454" s="44">
        <f>IF($M454="","",IF(SUMPRODUCT(($D$4:$D$704=$D454)*($M$4:$M$704=$M454)*($F$4:$F$704&lt;$G454)*($G$4:$G$704&gt;$F454))&gt;1,"⚠ CONFLIT",""))</f>
        <v/>
      </c>
      <c r="T454" s="44">
        <f>IF($J454="","",IF(SUMPRODUCT(($D$4:$D$704=$D454)*($J$4:$J$704=$J454)*($F$4:$F$704&lt;$G454)*($G$4:$G$704&gt;$F454))&gt;1,"⚠ CONFLIT",""))</f>
        <v/>
      </c>
      <c r="U454" s="44">
        <f>IF(COUNTIFS($D$4:$D$704,$D454,$J$4:$J$704,$J454,$F$4:$F$704,$F454,$K$4:$K$704,$K454)&gt;1,"⚠ DOUBLON","")</f>
        <v/>
      </c>
      <c r="V454" s="44">
        <f>COUNTIFS($A$4:$A454,$A454,$J$4:$J454,$J454,$E$4:$E454,$E454)</f>
        <v/>
      </c>
      <c r="W454" s="45">
        <f>$A454&amp;"|"&amp;$J454&amp;"|"&amp;$E454&amp;"|"&amp;$V454</f>
        <v/>
      </c>
      <c r="X454" s="46">
        <f>TEXT($F454,"hh:mm")&amp;" - "&amp;TEXT($G454,"hh:mm")&amp;IF($P454="Quinzaine A","   ◆ Q-A",IF($P454="Quinzaine B","   ◆ Q-B",IF($P454="Exception","   ◆ PONCTUEL","")))&amp;CHAR(10)&amp;$K454&amp;CHAR(10)&amp;$M454&amp;IF($N454&lt;&gt;"",CHAR(10)&amp;"Salle "&amp;$N454,"")&amp;IF($O454="En ligne",CHAR(10)&amp;"◆ EN LIGNE","")&amp;IF($R454&lt;&gt;"",CHAR(10)&amp;$R454,"")</f>
        <v/>
      </c>
      <c r="Y454" s="45" t="inlineStr"/>
      <c r="Z454" s="45" t="inlineStr">
        <is>
          <t>— généré —</t>
        </is>
      </c>
    </row>
    <row r="455" ht="15" customHeight="1">
      <c r="A455" s="10" t="inlineStr">
        <is>
          <t>S5</t>
        </is>
      </c>
      <c r="B455" s="9" t="inlineStr">
        <is>
          <t>du 12 au 18 octobre 2026</t>
        </is>
      </c>
      <c r="C455" s="10" t="inlineStr">
        <is>
          <t>A</t>
        </is>
      </c>
      <c r="D455" s="41" t="n">
        <v>46311</v>
      </c>
      <c r="E455" s="10" t="inlineStr">
        <is>
          <t>Vendredi</t>
        </is>
      </c>
      <c r="F455" s="42" t="n">
        <v>0.8125</v>
      </c>
      <c r="G455" s="42" t="n">
        <v>0.875</v>
      </c>
      <c r="H455" s="43">
        <f>IF(OR($F455="",$G455=""),"",($G455-$F455)*24)</f>
        <v/>
      </c>
      <c r="I455" s="10" t="inlineStr">
        <is>
          <t>Collège</t>
        </is>
      </c>
      <c r="J455" s="9" t="inlineStr">
        <is>
          <t>8éme (A)</t>
        </is>
      </c>
      <c r="K455" s="9" t="inlineStr">
        <is>
          <t>فيزياء</t>
        </is>
      </c>
      <c r="L455" s="9" t="inlineStr">
        <is>
          <t>Physique</t>
        </is>
      </c>
      <c r="M455" s="9" t="inlineStr">
        <is>
          <t>Melek</t>
        </is>
      </c>
      <c r="N455" s="10" t="n"/>
      <c r="O455" s="10" t="n"/>
      <c r="P455" s="10" t="inlineStr">
        <is>
          <t>Hebdomadaire</t>
        </is>
      </c>
      <c r="Q455" s="9" t="inlineStr">
        <is>
          <t>Généré (octobre)</t>
        </is>
      </c>
      <c r="R455" s="9" t="inlineStr"/>
      <c r="S455" s="44">
        <f>IF($M455="","",IF(SUMPRODUCT(($D$4:$D$704=$D455)*($M$4:$M$704=$M455)*($F$4:$F$704&lt;$G455)*($G$4:$G$704&gt;$F455))&gt;1,"⚠ CONFLIT",""))</f>
        <v/>
      </c>
      <c r="T455" s="44">
        <f>IF($J455="","",IF(SUMPRODUCT(($D$4:$D$704=$D455)*($J$4:$J$704=$J455)*($F$4:$F$704&lt;$G455)*($G$4:$G$704&gt;$F455))&gt;1,"⚠ CONFLIT",""))</f>
        <v/>
      </c>
      <c r="U455" s="44">
        <f>IF(COUNTIFS($D$4:$D$704,$D455,$J$4:$J$704,$J455,$F$4:$F$704,$F455,$K$4:$K$704,$K455)&gt;1,"⚠ DOUBLON","")</f>
        <v/>
      </c>
      <c r="V455" s="44">
        <f>COUNTIFS($A$4:$A455,$A455,$J$4:$J455,$J455,$E$4:$E455,$E455)</f>
        <v/>
      </c>
      <c r="W455" s="45">
        <f>$A455&amp;"|"&amp;$J455&amp;"|"&amp;$E455&amp;"|"&amp;$V455</f>
        <v/>
      </c>
      <c r="X455" s="46">
        <f>TEXT($F455,"hh:mm")&amp;" - "&amp;TEXT($G455,"hh:mm")&amp;IF($P455="Quinzaine A","   ◆ Q-A",IF($P455="Quinzaine B","   ◆ Q-B",IF($P455="Exception","   ◆ PONCTUEL","")))&amp;CHAR(10)&amp;$K455&amp;CHAR(10)&amp;$M455&amp;IF($N455&lt;&gt;"",CHAR(10)&amp;"Salle "&amp;$N455,"")&amp;IF($O455="En ligne",CHAR(10)&amp;"◆ EN LIGNE","")&amp;IF($R455&lt;&gt;"",CHAR(10)&amp;$R455,"")</f>
        <v/>
      </c>
      <c r="Y455" s="45" t="inlineStr"/>
      <c r="Z455" s="45" t="inlineStr">
        <is>
          <t>— généré —</t>
        </is>
      </c>
    </row>
    <row r="456" ht="15" customHeight="1">
      <c r="A456" s="10" t="inlineStr">
        <is>
          <t>S5</t>
        </is>
      </c>
      <c r="B456" s="9" t="inlineStr">
        <is>
          <t>du 12 au 18 octobre 2026</t>
        </is>
      </c>
      <c r="C456" s="10" t="inlineStr">
        <is>
          <t>A</t>
        </is>
      </c>
      <c r="D456" s="41" t="n">
        <v>46311</v>
      </c>
      <c r="E456" s="10" t="inlineStr">
        <is>
          <t>Vendredi</t>
        </is>
      </c>
      <c r="F456" s="42" t="n">
        <v>0.8125</v>
      </c>
      <c r="G456" s="42" t="n">
        <v>0.875</v>
      </c>
      <c r="H456" s="43">
        <f>IF(OR($F456="",$G456=""),"",($G456-$F456)*24)</f>
        <v/>
      </c>
      <c r="I456" s="10" t="inlineStr">
        <is>
          <t>Collège</t>
        </is>
      </c>
      <c r="J456" s="9" t="inlineStr">
        <is>
          <t>9éme (C)</t>
        </is>
      </c>
      <c r="K456" s="9" t="inlineStr">
        <is>
          <t>Arabe</t>
        </is>
      </c>
      <c r="L456" s="9" t="inlineStr">
        <is>
          <t>Arabe</t>
        </is>
      </c>
      <c r="M456" s="9" t="inlineStr">
        <is>
          <t>Yahya</t>
        </is>
      </c>
      <c r="N456" s="10" t="n"/>
      <c r="O456" s="10" t="n"/>
      <c r="P456" s="10" t="inlineStr">
        <is>
          <t>Hebdomadaire</t>
        </is>
      </c>
      <c r="Q456" s="9" t="inlineStr">
        <is>
          <t>Généré (octobre)</t>
        </is>
      </c>
      <c r="R456" s="9" t="inlineStr"/>
      <c r="S456" s="44">
        <f>IF($M456="","",IF(SUMPRODUCT(($D$4:$D$704=$D456)*($M$4:$M$704=$M456)*($F$4:$F$704&lt;$G456)*($G$4:$G$704&gt;$F456))&gt;1,"⚠ CONFLIT",""))</f>
        <v/>
      </c>
      <c r="T456" s="44">
        <f>IF($J456="","",IF(SUMPRODUCT(($D$4:$D$704=$D456)*($J$4:$J$704=$J456)*($F$4:$F$704&lt;$G456)*($G$4:$G$704&gt;$F456))&gt;1,"⚠ CONFLIT",""))</f>
        <v/>
      </c>
      <c r="U456" s="44">
        <f>IF(COUNTIFS($D$4:$D$704,$D456,$J$4:$J$704,$J456,$F$4:$F$704,$F456,$K$4:$K$704,$K456)&gt;1,"⚠ DOUBLON","")</f>
        <v/>
      </c>
      <c r="V456" s="44">
        <f>COUNTIFS($A$4:$A456,$A456,$J$4:$J456,$J456,$E$4:$E456,$E456)</f>
        <v/>
      </c>
      <c r="W456" s="45">
        <f>$A456&amp;"|"&amp;$J456&amp;"|"&amp;$E456&amp;"|"&amp;$V456</f>
        <v/>
      </c>
      <c r="X456" s="46">
        <f>TEXT($F456,"hh:mm")&amp;" - "&amp;TEXT($G456,"hh:mm")&amp;IF($P456="Quinzaine A","   ◆ Q-A",IF($P456="Quinzaine B","   ◆ Q-B",IF($P456="Exception","   ◆ PONCTUEL","")))&amp;CHAR(10)&amp;$K456&amp;CHAR(10)&amp;$M456&amp;IF($N456&lt;&gt;"",CHAR(10)&amp;"Salle "&amp;$N456,"")&amp;IF($O456="En ligne",CHAR(10)&amp;"◆ EN LIGNE","")&amp;IF($R456&lt;&gt;"",CHAR(10)&amp;$R456,"")</f>
        <v/>
      </c>
      <c r="Y456" s="45" t="inlineStr"/>
      <c r="Z456" s="45" t="inlineStr">
        <is>
          <t>— généré —</t>
        </is>
      </c>
    </row>
    <row r="457" ht="15" customHeight="1">
      <c r="A457" s="10" t="inlineStr">
        <is>
          <t>S5</t>
        </is>
      </c>
      <c r="B457" s="9" t="inlineStr">
        <is>
          <t>du 12 au 18 octobre 2026</t>
        </is>
      </c>
      <c r="C457" s="10" t="inlineStr">
        <is>
          <t>A</t>
        </is>
      </c>
      <c r="D457" s="41" t="n">
        <v>46311</v>
      </c>
      <c r="E457" s="10" t="inlineStr">
        <is>
          <t>Vendredi</t>
        </is>
      </c>
      <c r="F457" s="42" t="n">
        <v>0.7291666666666666</v>
      </c>
      <c r="G457" s="42" t="n">
        <v>0.7916666666666666</v>
      </c>
      <c r="H457" s="43">
        <f>IF(OR($F457="",$G457=""),"",($G457-$F457)*24)</f>
        <v/>
      </c>
      <c r="I457" s="10" t="inlineStr">
        <is>
          <t>Secondaire</t>
        </is>
      </c>
      <c r="J457" s="9" t="inlineStr">
        <is>
          <t>1ére (A)</t>
        </is>
      </c>
      <c r="K457" s="9" t="inlineStr">
        <is>
          <t>Arabe</t>
        </is>
      </c>
      <c r="L457" s="9" t="inlineStr">
        <is>
          <t>Arabe</t>
        </is>
      </c>
      <c r="M457" s="9" t="inlineStr">
        <is>
          <t>Najet</t>
        </is>
      </c>
      <c r="N457" s="10" t="n"/>
      <c r="O457" s="10" t="n"/>
      <c r="P457" s="10" t="inlineStr">
        <is>
          <t>Hebdomadaire</t>
        </is>
      </c>
      <c r="Q457" s="9" t="inlineStr">
        <is>
          <t>Généré (octobre)</t>
        </is>
      </c>
      <c r="R457" s="9" t="inlineStr"/>
      <c r="S457" s="44">
        <f>IF($M457="","",IF(SUMPRODUCT(($D$4:$D$704=$D457)*($M$4:$M$704=$M457)*($F$4:$F$704&lt;$G457)*($G$4:$G$704&gt;$F457))&gt;1,"⚠ CONFLIT",""))</f>
        <v/>
      </c>
      <c r="T457" s="44">
        <f>IF($J457="","",IF(SUMPRODUCT(($D$4:$D$704=$D457)*($J$4:$J$704=$J457)*($F$4:$F$704&lt;$G457)*($G$4:$G$704&gt;$F457))&gt;1,"⚠ CONFLIT",""))</f>
        <v/>
      </c>
      <c r="U457" s="44">
        <f>IF(COUNTIFS($D$4:$D$704,$D457,$J$4:$J$704,$J457,$F$4:$F$704,$F457,$K$4:$K$704,$K457)&gt;1,"⚠ DOUBLON","")</f>
        <v/>
      </c>
      <c r="V457" s="44">
        <f>COUNTIFS($A$4:$A457,$A457,$J$4:$J457,$J457,$E$4:$E457,$E457)</f>
        <v/>
      </c>
      <c r="W457" s="45">
        <f>$A457&amp;"|"&amp;$J457&amp;"|"&amp;$E457&amp;"|"&amp;$V457</f>
        <v/>
      </c>
      <c r="X457" s="46">
        <f>TEXT($F457,"hh:mm")&amp;" - "&amp;TEXT($G457,"hh:mm")&amp;IF($P457="Quinzaine A","   ◆ Q-A",IF($P457="Quinzaine B","   ◆ Q-B",IF($P457="Exception","   ◆ PONCTUEL","")))&amp;CHAR(10)&amp;$K457&amp;CHAR(10)&amp;$M457&amp;IF($N457&lt;&gt;"",CHAR(10)&amp;"Salle "&amp;$N457,"")&amp;IF($O457="En ligne",CHAR(10)&amp;"◆ EN LIGNE","")&amp;IF($R457&lt;&gt;"",CHAR(10)&amp;$R457,"")</f>
        <v/>
      </c>
      <c r="Y457" s="45" t="inlineStr"/>
      <c r="Z457" s="45" t="inlineStr">
        <is>
          <t>— généré —</t>
        </is>
      </c>
    </row>
    <row r="458" ht="15" customHeight="1">
      <c r="A458" s="10" t="inlineStr">
        <is>
          <t>S5</t>
        </is>
      </c>
      <c r="B458" s="9" t="inlineStr">
        <is>
          <t>du 12 au 18 octobre 2026</t>
        </is>
      </c>
      <c r="C458" s="10" t="inlineStr">
        <is>
          <t>A</t>
        </is>
      </c>
      <c r="D458" s="41" t="n">
        <v>46311</v>
      </c>
      <c r="E458" s="10" t="inlineStr">
        <is>
          <t>Vendredi</t>
        </is>
      </c>
      <c r="F458" s="42" t="n">
        <v>0.7916666666666666</v>
      </c>
      <c r="G458" s="42" t="n">
        <v>0.8541666666666666</v>
      </c>
      <c r="H458" s="43">
        <f>IF(OR($F458="",$G458=""),"",($G458-$F458)*24)</f>
        <v/>
      </c>
      <c r="I458" s="10" t="inlineStr">
        <is>
          <t>Secondaire</t>
        </is>
      </c>
      <c r="J458" s="9" t="inlineStr">
        <is>
          <t>1ére (B)</t>
        </is>
      </c>
      <c r="K458" s="9" t="inlineStr">
        <is>
          <t>Arabe</t>
        </is>
      </c>
      <c r="L458" s="9" t="inlineStr">
        <is>
          <t>Arabe</t>
        </is>
      </c>
      <c r="M458" s="9" t="inlineStr">
        <is>
          <t>Najet</t>
        </is>
      </c>
      <c r="N458" s="10" t="n"/>
      <c r="O458" s="10" t="n"/>
      <c r="P458" s="10" t="inlineStr">
        <is>
          <t>Hebdomadaire</t>
        </is>
      </c>
      <c r="Q458" s="9" t="inlineStr">
        <is>
          <t>Généré (octobre)</t>
        </is>
      </c>
      <c r="R458" s="9" t="inlineStr"/>
      <c r="S458" s="44">
        <f>IF($M458="","",IF(SUMPRODUCT(($D$4:$D$704=$D458)*($M$4:$M$704=$M458)*($F$4:$F$704&lt;$G458)*($G$4:$G$704&gt;$F458))&gt;1,"⚠ CONFLIT",""))</f>
        <v/>
      </c>
      <c r="T458" s="44">
        <f>IF($J458="","",IF(SUMPRODUCT(($D$4:$D$704=$D458)*($J$4:$J$704=$J458)*($F$4:$F$704&lt;$G458)*($G$4:$G$704&gt;$F458))&gt;1,"⚠ CONFLIT",""))</f>
        <v/>
      </c>
      <c r="U458" s="44">
        <f>IF(COUNTIFS($D$4:$D$704,$D458,$J$4:$J$704,$J458,$F$4:$F$704,$F458,$K$4:$K$704,$K458)&gt;1,"⚠ DOUBLON","")</f>
        <v/>
      </c>
      <c r="V458" s="44">
        <f>COUNTIFS($A$4:$A458,$A458,$J$4:$J458,$J458,$E$4:$E458,$E458)</f>
        <v/>
      </c>
      <c r="W458" s="45">
        <f>$A458&amp;"|"&amp;$J458&amp;"|"&amp;$E458&amp;"|"&amp;$V458</f>
        <v/>
      </c>
      <c r="X458" s="46">
        <f>TEXT($F458,"hh:mm")&amp;" - "&amp;TEXT($G458,"hh:mm")&amp;IF($P458="Quinzaine A","   ◆ Q-A",IF($P458="Quinzaine B","   ◆ Q-B",IF($P458="Exception","   ◆ PONCTUEL","")))&amp;CHAR(10)&amp;$K458&amp;CHAR(10)&amp;$M458&amp;IF($N458&lt;&gt;"",CHAR(10)&amp;"Salle "&amp;$N458,"")&amp;IF($O458="En ligne",CHAR(10)&amp;"◆ EN LIGNE","")&amp;IF($R458&lt;&gt;"",CHAR(10)&amp;$R458,"")</f>
        <v/>
      </c>
      <c r="Y458" s="45" t="inlineStr"/>
      <c r="Z458" s="45" t="inlineStr">
        <is>
          <t>— généré —</t>
        </is>
      </c>
    </row>
    <row r="459" ht="15" customHeight="1">
      <c r="A459" s="10" t="inlineStr">
        <is>
          <t>S5</t>
        </is>
      </c>
      <c r="B459" s="9" t="inlineStr">
        <is>
          <t>du 12 au 18 octobre 2026</t>
        </is>
      </c>
      <c r="C459" s="10" t="inlineStr">
        <is>
          <t>A</t>
        </is>
      </c>
      <c r="D459" s="41" t="n">
        <v>46311</v>
      </c>
      <c r="E459" s="10" t="inlineStr">
        <is>
          <t>Vendredi</t>
        </is>
      </c>
      <c r="F459" s="42" t="n">
        <v>0.7291666666666666</v>
      </c>
      <c r="G459" s="42" t="n">
        <v>0.7916666666666666</v>
      </c>
      <c r="H459" s="43">
        <f>IF(OR($F459="",$G459=""),"",($G459-$F459)*24)</f>
        <v/>
      </c>
      <c r="I459" s="10" t="inlineStr">
        <is>
          <t>Secondaire</t>
        </is>
      </c>
      <c r="J459" s="9" t="inlineStr">
        <is>
          <t>2éme Eco</t>
        </is>
      </c>
      <c r="K459" s="9" t="inlineStr">
        <is>
          <t>Français</t>
        </is>
      </c>
      <c r="L459" s="9" t="inlineStr">
        <is>
          <t>Français</t>
        </is>
      </c>
      <c r="M459" s="9" t="inlineStr">
        <is>
          <t>Nabil</t>
        </is>
      </c>
      <c r="N459" s="10" t="n"/>
      <c r="O459" s="10" t="n"/>
      <c r="P459" s="10" t="inlineStr">
        <is>
          <t>Quinzaine A</t>
        </is>
      </c>
      <c r="Q459" s="9" t="inlineStr">
        <is>
          <t>Généré (octobre)</t>
        </is>
      </c>
      <c r="R459" s="9" t="inlineStr"/>
      <c r="S459" s="44">
        <f>IF($M459="","",IF(SUMPRODUCT(($D$4:$D$704=$D459)*($M$4:$M$704=$M459)*($F$4:$F$704&lt;$G459)*($G$4:$G$704&gt;$F459))&gt;1,"⚠ CONFLIT",""))</f>
        <v/>
      </c>
      <c r="T459" s="44">
        <f>IF($J459="","",IF(SUMPRODUCT(($D$4:$D$704=$D459)*($J$4:$J$704=$J459)*($F$4:$F$704&lt;$G459)*($G$4:$G$704&gt;$F459))&gt;1,"⚠ CONFLIT",""))</f>
        <v/>
      </c>
      <c r="U459" s="44">
        <f>IF(COUNTIFS($D$4:$D$704,$D459,$J$4:$J$704,$J459,$F$4:$F$704,$F459,$K$4:$K$704,$K459)&gt;1,"⚠ DOUBLON","")</f>
        <v/>
      </c>
      <c r="V459" s="44">
        <f>COUNTIFS($A$4:$A459,$A459,$J$4:$J459,$J459,$E$4:$E459,$E459)</f>
        <v/>
      </c>
      <c r="W459" s="45">
        <f>$A459&amp;"|"&amp;$J459&amp;"|"&amp;$E459&amp;"|"&amp;$V459</f>
        <v/>
      </c>
      <c r="X459" s="46">
        <f>TEXT($F459,"hh:mm")&amp;" - "&amp;TEXT($G459,"hh:mm")&amp;IF($P459="Quinzaine A","   ◆ Q-A",IF($P459="Quinzaine B","   ◆ Q-B",IF($P459="Exception","   ◆ PONCTUEL","")))&amp;CHAR(10)&amp;$K459&amp;CHAR(10)&amp;$M459&amp;IF($N459&lt;&gt;"",CHAR(10)&amp;"Salle "&amp;$N459,"")&amp;IF($O459="En ligne",CHAR(10)&amp;"◆ EN LIGNE","")&amp;IF($R459&lt;&gt;"",CHAR(10)&amp;$R459,"")</f>
        <v/>
      </c>
      <c r="Y459" s="45" t="inlineStr"/>
      <c r="Z459" s="45" t="inlineStr">
        <is>
          <t>— généré —</t>
        </is>
      </c>
    </row>
    <row r="460" ht="15" customHeight="1">
      <c r="A460" s="10" t="inlineStr">
        <is>
          <t>S5</t>
        </is>
      </c>
      <c r="B460" s="9" t="inlineStr">
        <is>
          <t>du 12 au 18 octobre 2026</t>
        </is>
      </c>
      <c r="C460" s="10" t="inlineStr">
        <is>
          <t>A</t>
        </is>
      </c>
      <c r="D460" s="41" t="n">
        <v>46311</v>
      </c>
      <c r="E460" s="10" t="inlineStr">
        <is>
          <t>Vendredi</t>
        </is>
      </c>
      <c r="F460" s="42" t="n">
        <v>0.8125</v>
      </c>
      <c r="G460" s="42" t="n">
        <v>0.875</v>
      </c>
      <c r="H460" s="43">
        <f>IF(OR($F460="",$G460=""),"",($G460-$F460)*24)</f>
        <v/>
      </c>
      <c r="I460" s="10" t="inlineStr">
        <is>
          <t>Secondaire</t>
        </is>
      </c>
      <c r="J460" s="9" t="inlineStr">
        <is>
          <t>2éme INFO</t>
        </is>
      </c>
      <c r="K460" s="9" t="inlineStr">
        <is>
          <t>Math</t>
        </is>
      </c>
      <c r="L460" s="9" t="inlineStr">
        <is>
          <t>Math</t>
        </is>
      </c>
      <c r="M460" s="9" t="inlineStr">
        <is>
          <t>Haythem</t>
        </is>
      </c>
      <c r="N460" s="10" t="n"/>
      <c r="O460" s="10" t="n"/>
      <c r="P460" s="10" t="inlineStr">
        <is>
          <t>Hebdomadaire</t>
        </is>
      </c>
      <c r="Q460" s="9" t="inlineStr">
        <is>
          <t>Généré (octobre)</t>
        </is>
      </c>
      <c r="R460" s="9" t="inlineStr"/>
      <c r="S460" s="44">
        <f>IF($M460="","",IF(SUMPRODUCT(($D$4:$D$704=$D460)*($M$4:$M$704=$M460)*($F$4:$F$704&lt;$G460)*($G$4:$G$704&gt;$F460))&gt;1,"⚠ CONFLIT",""))</f>
        <v/>
      </c>
      <c r="T460" s="44">
        <f>IF($J460="","",IF(SUMPRODUCT(($D$4:$D$704=$D460)*($J$4:$J$704=$J460)*($F$4:$F$704&lt;$G460)*($G$4:$G$704&gt;$F460))&gt;1,"⚠ CONFLIT",""))</f>
        <v/>
      </c>
      <c r="U460" s="44">
        <f>IF(COUNTIFS($D$4:$D$704,$D460,$J$4:$J$704,$J460,$F$4:$F$704,$F460,$K$4:$K$704,$K460)&gt;1,"⚠ DOUBLON","")</f>
        <v/>
      </c>
      <c r="V460" s="44">
        <f>COUNTIFS($A$4:$A460,$A460,$J$4:$J460,$J460,$E$4:$E460,$E460)</f>
        <v/>
      </c>
      <c r="W460" s="45">
        <f>$A460&amp;"|"&amp;$J460&amp;"|"&amp;$E460&amp;"|"&amp;$V460</f>
        <v/>
      </c>
      <c r="X460" s="46">
        <f>TEXT($F460,"hh:mm")&amp;" - "&amp;TEXT($G460,"hh:mm")&amp;IF($P460="Quinzaine A","   ◆ Q-A",IF($P460="Quinzaine B","   ◆ Q-B",IF($P460="Exception","   ◆ PONCTUEL","")))&amp;CHAR(10)&amp;$K460&amp;CHAR(10)&amp;$M460&amp;IF($N460&lt;&gt;"",CHAR(10)&amp;"Salle "&amp;$N460,"")&amp;IF($O460="En ligne",CHAR(10)&amp;"◆ EN LIGNE","")&amp;IF($R460&lt;&gt;"",CHAR(10)&amp;$R460,"")</f>
        <v/>
      </c>
      <c r="Y460" s="45" t="inlineStr"/>
      <c r="Z460" s="45" t="inlineStr">
        <is>
          <t>— généré —</t>
        </is>
      </c>
    </row>
    <row r="461" ht="15" customHeight="1">
      <c r="A461" s="10" t="inlineStr">
        <is>
          <t>S5</t>
        </is>
      </c>
      <c r="B461" s="9" t="inlineStr">
        <is>
          <t>du 12 au 18 octobre 2026</t>
        </is>
      </c>
      <c r="C461" s="10" t="inlineStr">
        <is>
          <t>A</t>
        </is>
      </c>
      <c r="D461" s="41" t="n">
        <v>46311</v>
      </c>
      <c r="E461" s="10" t="inlineStr">
        <is>
          <t>Vendredi</t>
        </is>
      </c>
      <c r="F461" s="42" t="n">
        <v>0.7916666666666666</v>
      </c>
      <c r="G461" s="42" t="n">
        <v>0.8541666666666666</v>
      </c>
      <c r="H461" s="43">
        <f>IF(OR($F461="",$G461=""),"",($G461-$F461)*24)</f>
        <v/>
      </c>
      <c r="I461" s="10" t="inlineStr">
        <is>
          <t>Secondaire</t>
        </is>
      </c>
      <c r="J461" s="9" t="inlineStr">
        <is>
          <t>3éme Eco</t>
        </is>
      </c>
      <c r="K461" s="9" t="inlineStr">
        <is>
          <t>Français</t>
        </is>
      </c>
      <c r="L461" s="9" t="inlineStr">
        <is>
          <t>Français</t>
        </is>
      </c>
      <c r="M461" s="9" t="inlineStr">
        <is>
          <t>Nabil</t>
        </is>
      </c>
      <c r="N461" s="10" t="n"/>
      <c r="O461" s="10" t="n"/>
      <c r="P461" s="10" t="inlineStr">
        <is>
          <t>Quinzaine A</t>
        </is>
      </c>
      <c r="Q461" s="9" t="inlineStr">
        <is>
          <t>Généré (octobre)</t>
        </is>
      </c>
      <c r="R461" s="9" t="inlineStr"/>
      <c r="S461" s="44">
        <f>IF($M461="","",IF(SUMPRODUCT(($D$4:$D$704=$D461)*($M$4:$M$704=$M461)*($F$4:$F$704&lt;$G461)*($G$4:$G$704&gt;$F461))&gt;1,"⚠ CONFLIT",""))</f>
        <v/>
      </c>
      <c r="T461" s="44">
        <f>IF($J461="","",IF(SUMPRODUCT(($D$4:$D$704=$D461)*($J$4:$J$704=$J461)*($F$4:$F$704&lt;$G461)*($G$4:$G$704&gt;$F461))&gt;1,"⚠ CONFLIT",""))</f>
        <v/>
      </c>
      <c r="U461" s="44">
        <f>IF(COUNTIFS($D$4:$D$704,$D461,$J$4:$J$704,$J461,$F$4:$F$704,$F461,$K$4:$K$704,$K461)&gt;1,"⚠ DOUBLON","")</f>
        <v/>
      </c>
      <c r="V461" s="44">
        <f>COUNTIFS($A$4:$A461,$A461,$J$4:$J461,$J461,$E$4:$E461,$E461)</f>
        <v/>
      </c>
      <c r="W461" s="45">
        <f>$A461&amp;"|"&amp;$J461&amp;"|"&amp;$E461&amp;"|"&amp;$V461</f>
        <v/>
      </c>
      <c r="X461" s="46">
        <f>TEXT($F461,"hh:mm")&amp;" - "&amp;TEXT($G461,"hh:mm")&amp;IF($P461="Quinzaine A","   ◆ Q-A",IF($P461="Quinzaine B","   ◆ Q-B",IF($P461="Exception","   ◆ PONCTUEL","")))&amp;CHAR(10)&amp;$K461&amp;CHAR(10)&amp;$M461&amp;IF($N461&lt;&gt;"",CHAR(10)&amp;"Salle "&amp;$N461,"")&amp;IF($O461="En ligne",CHAR(10)&amp;"◆ EN LIGNE","")&amp;IF($R461&lt;&gt;"",CHAR(10)&amp;$R461,"")</f>
        <v/>
      </c>
      <c r="Y461" s="45" t="inlineStr"/>
      <c r="Z461" s="45" t="inlineStr">
        <is>
          <t>— généré —</t>
        </is>
      </c>
    </row>
    <row r="462" ht="15" customHeight="1">
      <c r="A462" s="10" t="inlineStr">
        <is>
          <t>S5</t>
        </is>
      </c>
      <c r="B462" s="9" t="inlineStr">
        <is>
          <t>du 12 au 18 octobre 2026</t>
        </is>
      </c>
      <c r="C462" s="10" t="inlineStr">
        <is>
          <t>A</t>
        </is>
      </c>
      <c r="D462" s="41" t="n">
        <v>46311</v>
      </c>
      <c r="E462" s="10" t="inlineStr">
        <is>
          <t>Vendredi</t>
        </is>
      </c>
      <c r="F462" s="42" t="n">
        <v>0.7291666666666666</v>
      </c>
      <c r="G462" s="42" t="n">
        <v>0.7916666666666666</v>
      </c>
      <c r="H462" s="43">
        <f>IF(OR($F462="",$G462=""),"",($G462-$F462)*24)</f>
        <v/>
      </c>
      <c r="I462" s="10" t="inlineStr">
        <is>
          <t>Bac</t>
        </is>
      </c>
      <c r="J462" s="9" t="inlineStr">
        <is>
          <t>Bac Eco</t>
        </is>
      </c>
      <c r="K462" s="9" t="inlineStr">
        <is>
          <t>Anglais</t>
        </is>
      </c>
      <c r="L462" s="9" t="inlineStr">
        <is>
          <t>Anglais</t>
        </is>
      </c>
      <c r="M462" s="9" t="inlineStr">
        <is>
          <t>Khaled</t>
        </is>
      </c>
      <c r="N462" s="10" t="n"/>
      <c r="O462" s="10" t="n"/>
      <c r="P462" s="10" t="inlineStr">
        <is>
          <t>Quinzaine A</t>
        </is>
      </c>
      <c r="Q462" s="9" t="inlineStr">
        <is>
          <t>Généré (octobre)</t>
        </is>
      </c>
      <c r="R462" s="9" t="inlineStr"/>
      <c r="S462" s="44">
        <f>IF($M462="","",IF(SUMPRODUCT(($D$4:$D$704=$D462)*($M$4:$M$704=$M462)*($F$4:$F$704&lt;$G462)*($G$4:$G$704&gt;$F462))&gt;1,"⚠ CONFLIT",""))</f>
        <v/>
      </c>
      <c r="T462" s="44">
        <f>IF($J462="","",IF(SUMPRODUCT(($D$4:$D$704=$D462)*($J$4:$J$704=$J462)*($F$4:$F$704&lt;$G462)*($G$4:$G$704&gt;$F462))&gt;1,"⚠ CONFLIT",""))</f>
        <v/>
      </c>
      <c r="U462" s="44">
        <f>IF(COUNTIFS($D$4:$D$704,$D462,$J$4:$J$704,$J462,$F$4:$F$704,$F462,$K$4:$K$704,$K462)&gt;1,"⚠ DOUBLON","")</f>
        <v/>
      </c>
      <c r="V462" s="44">
        <f>COUNTIFS($A$4:$A462,$A462,$J$4:$J462,$J462,$E$4:$E462,$E462)</f>
        <v/>
      </c>
      <c r="W462" s="45">
        <f>$A462&amp;"|"&amp;$J462&amp;"|"&amp;$E462&amp;"|"&amp;$V462</f>
        <v/>
      </c>
      <c r="X462" s="46">
        <f>TEXT($F462,"hh:mm")&amp;" - "&amp;TEXT($G462,"hh:mm")&amp;IF($P462="Quinzaine A","   ◆ Q-A",IF($P462="Quinzaine B","   ◆ Q-B",IF($P462="Exception","   ◆ PONCTUEL","")))&amp;CHAR(10)&amp;$K462&amp;CHAR(10)&amp;$M462&amp;IF($N462&lt;&gt;"",CHAR(10)&amp;"Salle "&amp;$N462,"")&amp;IF($O462="En ligne",CHAR(10)&amp;"◆ EN LIGNE","")&amp;IF($R462&lt;&gt;"",CHAR(10)&amp;$R462,"")</f>
        <v/>
      </c>
      <c r="Y462" s="45" t="inlineStr"/>
      <c r="Z462" s="45" t="inlineStr">
        <is>
          <t>— généré —</t>
        </is>
      </c>
    </row>
    <row r="463" ht="15" customHeight="1">
      <c r="A463" s="10" t="inlineStr">
        <is>
          <t>S5</t>
        </is>
      </c>
      <c r="B463" s="9" t="inlineStr">
        <is>
          <t>du 12 au 18 octobre 2026</t>
        </is>
      </c>
      <c r="C463" s="10" t="inlineStr">
        <is>
          <t>A</t>
        </is>
      </c>
      <c r="D463" s="41" t="n">
        <v>46312</v>
      </c>
      <c r="E463" s="10" t="inlineStr">
        <is>
          <t>Samedi</t>
        </is>
      </c>
      <c r="F463" s="42" t="n">
        <v>0.6666666666666666</v>
      </c>
      <c r="G463" s="42" t="n">
        <v>0.7291666666666666</v>
      </c>
      <c r="H463" s="43">
        <f>IF(OR($F463="",$G463=""),"",($G463-$F463)*24)</f>
        <v/>
      </c>
      <c r="I463" s="10" t="inlineStr">
        <is>
          <t>Primaire</t>
        </is>
      </c>
      <c r="J463" s="9" t="inlineStr">
        <is>
          <t>4éme</t>
        </is>
      </c>
      <c r="K463" s="9" t="inlineStr">
        <is>
          <t>Français</t>
        </is>
      </c>
      <c r="L463" s="9" t="inlineStr">
        <is>
          <t>Français</t>
        </is>
      </c>
      <c r="M463" s="9" t="inlineStr">
        <is>
          <t>Hend</t>
        </is>
      </c>
      <c r="N463" s="10" t="n"/>
      <c r="O463" s="10" t="n"/>
      <c r="P463" s="10" t="inlineStr">
        <is>
          <t>Hebdomadaire</t>
        </is>
      </c>
      <c r="Q463" s="9" t="inlineStr">
        <is>
          <t>Généré (octobre)</t>
        </is>
      </c>
      <c r="R463" s="9" t="inlineStr"/>
      <c r="S463" s="44">
        <f>IF($M463="","",IF(SUMPRODUCT(($D$4:$D$704=$D463)*($M$4:$M$704=$M463)*($F$4:$F$704&lt;$G463)*($G$4:$G$704&gt;$F463))&gt;1,"⚠ CONFLIT",""))</f>
        <v/>
      </c>
      <c r="T463" s="44">
        <f>IF($J463="","",IF(SUMPRODUCT(($D$4:$D$704=$D463)*($J$4:$J$704=$J463)*($F$4:$F$704&lt;$G463)*($G$4:$G$704&gt;$F463))&gt;1,"⚠ CONFLIT",""))</f>
        <v/>
      </c>
      <c r="U463" s="44">
        <f>IF(COUNTIFS($D$4:$D$704,$D463,$J$4:$J$704,$J463,$F$4:$F$704,$F463,$K$4:$K$704,$K463)&gt;1,"⚠ DOUBLON","")</f>
        <v/>
      </c>
      <c r="V463" s="44">
        <f>COUNTIFS($A$4:$A463,$A463,$J$4:$J463,$J463,$E$4:$E463,$E463)</f>
        <v/>
      </c>
      <c r="W463" s="45">
        <f>$A463&amp;"|"&amp;$J463&amp;"|"&amp;$E463&amp;"|"&amp;$V463</f>
        <v/>
      </c>
      <c r="X463" s="46">
        <f>TEXT($F463,"hh:mm")&amp;" - "&amp;TEXT($G463,"hh:mm")&amp;IF($P463="Quinzaine A","   ◆ Q-A",IF($P463="Quinzaine B","   ◆ Q-B",IF($P463="Exception","   ◆ PONCTUEL","")))&amp;CHAR(10)&amp;$K463&amp;CHAR(10)&amp;$M463&amp;IF($N463&lt;&gt;"",CHAR(10)&amp;"Salle "&amp;$N463,"")&amp;IF($O463="En ligne",CHAR(10)&amp;"◆ EN LIGNE","")&amp;IF($R463&lt;&gt;"",CHAR(10)&amp;$R463,"")</f>
        <v/>
      </c>
      <c r="Y463" s="45" t="inlineStr"/>
      <c r="Z463" s="45" t="inlineStr">
        <is>
          <t>— généré —</t>
        </is>
      </c>
    </row>
    <row r="464" ht="15" customHeight="1">
      <c r="A464" s="10" t="inlineStr">
        <is>
          <t>S5</t>
        </is>
      </c>
      <c r="B464" s="9" t="inlineStr">
        <is>
          <t>du 12 au 18 octobre 2026</t>
        </is>
      </c>
      <c r="C464" s="10" t="inlineStr">
        <is>
          <t>A</t>
        </is>
      </c>
      <c r="D464" s="41" t="n">
        <v>46312</v>
      </c>
      <c r="E464" s="10" t="inlineStr">
        <is>
          <t>Samedi</t>
        </is>
      </c>
      <c r="F464" s="42" t="n">
        <v>0.75</v>
      </c>
      <c r="G464" s="42" t="n">
        <v>0.8125</v>
      </c>
      <c r="H464" s="43">
        <f>IF(OR($F464="",$G464=""),"",($G464-$F464)*24)</f>
        <v/>
      </c>
      <c r="I464" s="10" t="inlineStr">
        <is>
          <t>Primaire</t>
        </is>
      </c>
      <c r="J464" s="9" t="inlineStr">
        <is>
          <t>5éme</t>
        </is>
      </c>
      <c r="K464" s="9" t="inlineStr">
        <is>
          <t>Français</t>
        </is>
      </c>
      <c r="L464" s="9" t="inlineStr">
        <is>
          <t>Français</t>
        </is>
      </c>
      <c r="M464" s="9" t="inlineStr">
        <is>
          <t>Hend</t>
        </is>
      </c>
      <c r="N464" s="10" t="n"/>
      <c r="O464" s="10" t="n"/>
      <c r="P464" s="10" t="inlineStr">
        <is>
          <t>Hebdomadaire</t>
        </is>
      </c>
      <c r="Q464" s="9" t="inlineStr">
        <is>
          <t>Généré (octobre)</t>
        </is>
      </c>
      <c r="R464" s="9" t="inlineStr"/>
      <c r="S464" s="44">
        <f>IF($M464="","",IF(SUMPRODUCT(($D$4:$D$704=$D464)*($M$4:$M$704=$M464)*($F$4:$F$704&lt;$G464)*($G$4:$G$704&gt;$F464))&gt;1,"⚠ CONFLIT",""))</f>
        <v/>
      </c>
      <c r="T464" s="44">
        <f>IF($J464="","",IF(SUMPRODUCT(($D$4:$D$704=$D464)*($J$4:$J$704=$J464)*($F$4:$F$704&lt;$G464)*($G$4:$G$704&gt;$F464))&gt;1,"⚠ CONFLIT",""))</f>
        <v/>
      </c>
      <c r="U464" s="44">
        <f>IF(COUNTIFS($D$4:$D$704,$D464,$J$4:$J$704,$J464,$F$4:$F$704,$F464,$K$4:$K$704,$K464)&gt;1,"⚠ DOUBLON","")</f>
        <v/>
      </c>
      <c r="V464" s="44">
        <f>COUNTIFS($A$4:$A464,$A464,$J$4:$J464,$J464,$E$4:$E464,$E464)</f>
        <v/>
      </c>
      <c r="W464" s="45">
        <f>$A464&amp;"|"&amp;$J464&amp;"|"&amp;$E464&amp;"|"&amp;$V464</f>
        <v/>
      </c>
      <c r="X464" s="46">
        <f>TEXT($F464,"hh:mm")&amp;" - "&amp;TEXT($G464,"hh:mm")&amp;IF($P464="Quinzaine A","   ◆ Q-A",IF($P464="Quinzaine B","   ◆ Q-B",IF($P464="Exception","   ◆ PONCTUEL","")))&amp;CHAR(10)&amp;$K464&amp;CHAR(10)&amp;$M464&amp;IF($N464&lt;&gt;"",CHAR(10)&amp;"Salle "&amp;$N464,"")&amp;IF($O464="En ligne",CHAR(10)&amp;"◆ EN LIGNE","")&amp;IF($R464&lt;&gt;"",CHAR(10)&amp;$R464,"")</f>
        <v/>
      </c>
      <c r="Y464" s="45" t="inlineStr"/>
      <c r="Z464" s="45" t="inlineStr">
        <is>
          <t>— généré —</t>
        </is>
      </c>
    </row>
    <row r="465" ht="15" customHeight="1">
      <c r="A465" s="10" t="inlineStr">
        <is>
          <t>S5</t>
        </is>
      </c>
      <c r="B465" s="9" t="inlineStr">
        <is>
          <t>du 12 au 18 octobre 2026</t>
        </is>
      </c>
      <c r="C465" s="10" t="inlineStr">
        <is>
          <t>A</t>
        </is>
      </c>
      <c r="D465" s="41" t="n">
        <v>46312</v>
      </c>
      <c r="E465" s="10" t="inlineStr">
        <is>
          <t>Samedi</t>
        </is>
      </c>
      <c r="F465" s="42" t="n">
        <v>0.7916666666666666</v>
      </c>
      <c r="G465" s="42" t="n">
        <v>0.875</v>
      </c>
      <c r="H465" s="43">
        <f>IF(OR($F465="",$G465=""),"",($G465-$F465)*24)</f>
        <v/>
      </c>
      <c r="I465" s="10" t="inlineStr">
        <is>
          <t>Primaire</t>
        </is>
      </c>
      <c r="J465" s="9" t="inlineStr">
        <is>
          <t>6éme Pilote (A)</t>
        </is>
      </c>
      <c r="K465" s="9" t="inlineStr">
        <is>
          <t>عربية</t>
        </is>
      </c>
      <c r="L465" s="9" t="inlineStr">
        <is>
          <t>Arabe</t>
        </is>
      </c>
      <c r="M465" s="9" t="inlineStr">
        <is>
          <t>Lobna</t>
        </is>
      </c>
      <c r="N465" s="10" t="n"/>
      <c r="O465" s="10" t="n"/>
      <c r="P465" s="10" t="inlineStr">
        <is>
          <t>Hebdomadaire</t>
        </is>
      </c>
      <c r="Q465" s="9" t="inlineStr">
        <is>
          <t>Généré (octobre)</t>
        </is>
      </c>
      <c r="R465" s="9" t="inlineStr"/>
      <c r="S465" s="44">
        <f>IF($M465="","",IF(SUMPRODUCT(($D$4:$D$704=$D465)*($M$4:$M$704=$M465)*($F$4:$F$704&lt;$G465)*($G$4:$G$704&gt;$F465))&gt;1,"⚠ CONFLIT",""))</f>
        <v/>
      </c>
      <c r="T465" s="44">
        <f>IF($J465="","",IF(SUMPRODUCT(($D$4:$D$704=$D465)*($J$4:$J$704=$J465)*($F$4:$F$704&lt;$G465)*($G$4:$G$704&gt;$F465))&gt;1,"⚠ CONFLIT",""))</f>
        <v/>
      </c>
      <c r="U465" s="44">
        <f>IF(COUNTIFS($D$4:$D$704,$D465,$J$4:$J$704,$J465,$F$4:$F$704,$F465,$K$4:$K$704,$K465)&gt;1,"⚠ DOUBLON","")</f>
        <v/>
      </c>
      <c r="V465" s="44">
        <f>COUNTIFS($A$4:$A465,$A465,$J$4:$J465,$J465,$E$4:$E465,$E465)</f>
        <v/>
      </c>
      <c r="W465" s="45">
        <f>$A465&amp;"|"&amp;$J465&amp;"|"&amp;$E465&amp;"|"&amp;$V465</f>
        <v/>
      </c>
      <c r="X465" s="46">
        <f>TEXT($F465,"hh:mm")&amp;" - "&amp;TEXT($G465,"hh:mm")&amp;IF($P465="Quinzaine A","   ◆ Q-A",IF($P465="Quinzaine B","   ◆ Q-B",IF($P465="Exception","   ◆ PONCTUEL","")))&amp;CHAR(10)&amp;$K465&amp;CHAR(10)&amp;$M465&amp;IF($N465&lt;&gt;"",CHAR(10)&amp;"Salle "&amp;$N465,"")&amp;IF($O465="En ligne",CHAR(10)&amp;"◆ EN LIGNE","")&amp;IF($R465&lt;&gt;"",CHAR(10)&amp;$R465,"")</f>
        <v/>
      </c>
      <c r="Y465" s="45" t="inlineStr"/>
      <c r="Z465" s="45" t="inlineStr">
        <is>
          <t>— généré —</t>
        </is>
      </c>
    </row>
    <row r="466" ht="15" customHeight="1">
      <c r="A466" s="10" t="inlineStr">
        <is>
          <t>S5</t>
        </is>
      </c>
      <c r="B466" s="9" t="inlineStr">
        <is>
          <t>du 12 au 18 octobre 2026</t>
        </is>
      </c>
      <c r="C466" s="10" t="inlineStr">
        <is>
          <t>A</t>
        </is>
      </c>
      <c r="D466" s="41" t="n">
        <v>46312</v>
      </c>
      <c r="E466" s="10" t="inlineStr">
        <is>
          <t>Samedi</t>
        </is>
      </c>
      <c r="F466" s="42" t="n">
        <v>0.7083333333333334</v>
      </c>
      <c r="G466" s="42" t="n">
        <v>0.7916666666666666</v>
      </c>
      <c r="H466" s="43">
        <f>IF(OR($F466="",$G466=""),"",($G466-$F466)*24)</f>
        <v/>
      </c>
      <c r="I466" s="10" t="inlineStr">
        <is>
          <t>Primaire</t>
        </is>
      </c>
      <c r="J466" s="9" t="inlineStr">
        <is>
          <t>6éme (B)</t>
        </is>
      </c>
      <c r="K466" s="9" t="inlineStr">
        <is>
          <t>عربية</t>
        </is>
      </c>
      <c r="L466" s="9" t="inlineStr">
        <is>
          <t>Arabe</t>
        </is>
      </c>
      <c r="M466" s="9" t="inlineStr">
        <is>
          <t>Lobna</t>
        </is>
      </c>
      <c r="N466" s="10" t="n"/>
      <c r="O466" s="10" t="n"/>
      <c r="P466" s="10" t="inlineStr">
        <is>
          <t>Hebdomadaire</t>
        </is>
      </c>
      <c r="Q466" s="9" t="inlineStr">
        <is>
          <t>Généré (octobre)</t>
        </is>
      </c>
      <c r="R466" s="9" t="inlineStr"/>
      <c r="S466" s="44">
        <f>IF($M466="","",IF(SUMPRODUCT(($D$4:$D$704=$D466)*($M$4:$M$704=$M466)*($F$4:$F$704&lt;$G466)*($G$4:$G$704&gt;$F466))&gt;1,"⚠ CONFLIT",""))</f>
        <v/>
      </c>
      <c r="T466" s="44">
        <f>IF($J466="","",IF(SUMPRODUCT(($D$4:$D$704=$D466)*($J$4:$J$704=$J466)*($F$4:$F$704&lt;$G466)*($G$4:$G$704&gt;$F466))&gt;1,"⚠ CONFLIT",""))</f>
        <v/>
      </c>
      <c r="U466" s="44">
        <f>IF(COUNTIFS($D$4:$D$704,$D466,$J$4:$J$704,$J466,$F$4:$F$704,$F466,$K$4:$K$704,$K466)&gt;1,"⚠ DOUBLON","")</f>
        <v/>
      </c>
      <c r="V466" s="44">
        <f>COUNTIFS($A$4:$A466,$A466,$J$4:$J466,$J466,$E$4:$E466,$E466)</f>
        <v/>
      </c>
      <c r="W466" s="45">
        <f>$A466&amp;"|"&amp;$J466&amp;"|"&amp;$E466&amp;"|"&amp;$V466</f>
        <v/>
      </c>
      <c r="X466" s="46">
        <f>TEXT($F466,"hh:mm")&amp;" - "&amp;TEXT($G466,"hh:mm")&amp;IF($P466="Quinzaine A","   ◆ Q-A",IF($P466="Quinzaine B","   ◆ Q-B",IF($P466="Exception","   ◆ PONCTUEL","")))&amp;CHAR(10)&amp;$K466&amp;CHAR(10)&amp;$M466&amp;IF($N466&lt;&gt;"",CHAR(10)&amp;"Salle "&amp;$N466,"")&amp;IF($O466="En ligne",CHAR(10)&amp;"◆ EN LIGNE","")&amp;IF($R466&lt;&gt;"",CHAR(10)&amp;$R466,"")</f>
        <v/>
      </c>
      <c r="Y466" s="45" t="inlineStr"/>
      <c r="Z466" s="45" t="inlineStr">
        <is>
          <t>— généré —</t>
        </is>
      </c>
    </row>
    <row r="467" ht="15" customHeight="1">
      <c r="A467" s="10" t="inlineStr">
        <is>
          <t>S5</t>
        </is>
      </c>
      <c r="B467" s="9" t="inlineStr">
        <is>
          <t>du 12 au 18 octobre 2026</t>
        </is>
      </c>
      <c r="C467" s="10" t="inlineStr">
        <is>
          <t>A</t>
        </is>
      </c>
      <c r="D467" s="41" t="n">
        <v>46312</v>
      </c>
      <c r="E467" s="10" t="inlineStr">
        <is>
          <t>Samedi</t>
        </is>
      </c>
      <c r="F467" s="42" t="n">
        <v>0.6666666666666666</v>
      </c>
      <c r="G467" s="42" t="n">
        <v>0.7291666666666666</v>
      </c>
      <c r="H467" s="43">
        <f>IF(OR($F467="",$G467=""),"",($G467-$F467)*24)</f>
        <v/>
      </c>
      <c r="I467" s="10" t="inlineStr">
        <is>
          <t>Collège</t>
        </is>
      </c>
      <c r="J467" s="9" t="inlineStr">
        <is>
          <t>7éme (A)</t>
        </is>
      </c>
      <c r="K467" s="9" t="inlineStr">
        <is>
          <t>SVT</t>
        </is>
      </c>
      <c r="L467" s="9" t="inlineStr">
        <is>
          <t>SVT</t>
        </is>
      </c>
      <c r="M467" s="9" t="inlineStr">
        <is>
          <t>Sabrine</t>
        </is>
      </c>
      <c r="N467" s="10" t="n"/>
      <c r="O467" s="10" t="n"/>
      <c r="P467" s="10" t="inlineStr">
        <is>
          <t>Quinzaine A</t>
        </is>
      </c>
      <c r="Q467" s="9" t="inlineStr">
        <is>
          <t>Généré (octobre)</t>
        </is>
      </c>
      <c r="R467" s="9" t="inlineStr"/>
      <c r="S467" s="44">
        <f>IF($M467="","",IF(SUMPRODUCT(($D$4:$D$704=$D467)*($M$4:$M$704=$M467)*($F$4:$F$704&lt;$G467)*($G$4:$G$704&gt;$F467))&gt;1,"⚠ CONFLIT",""))</f>
        <v/>
      </c>
      <c r="T467" s="44">
        <f>IF($J467="","",IF(SUMPRODUCT(($D$4:$D$704=$D467)*($J$4:$J$704=$J467)*($F$4:$F$704&lt;$G467)*($G$4:$G$704&gt;$F467))&gt;1,"⚠ CONFLIT",""))</f>
        <v/>
      </c>
      <c r="U467" s="44">
        <f>IF(COUNTIFS($D$4:$D$704,$D467,$J$4:$J$704,$J467,$F$4:$F$704,$F467,$K$4:$K$704,$K467)&gt;1,"⚠ DOUBLON","")</f>
        <v/>
      </c>
      <c r="V467" s="44">
        <f>COUNTIFS($A$4:$A467,$A467,$J$4:$J467,$J467,$E$4:$E467,$E467)</f>
        <v/>
      </c>
      <c r="W467" s="45">
        <f>$A467&amp;"|"&amp;$J467&amp;"|"&amp;$E467&amp;"|"&amp;$V467</f>
        <v/>
      </c>
      <c r="X467" s="46">
        <f>TEXT($F467,"hh:mm")&amp;" - "&amp;TEXT($G467,"hh:mm")&amp;IF($P467="Quinzaine A","   ◆ Q-A",IF($P467="Quinzaine B","   ◆ Q-B",IF($P467="Exception","   ◆ PONCTUEL","")))&amp;CHAR(10)&amp;$K467&amp;CHAR(10)&amp;$M467&amp;IF($N467&lt;&gt;"",CHAR(10)&amp;"Salle "&amp;$N467,"")&amp;IF($O467="En ligne",CHAR(10)&amp;"◆ EN LIGNE","")&amp;IF($R467&lt;&gt;"",CHAR(10)&amp;$R467,"")</f>
        <v/>
      </c>
      <c r="Y467" s="45" t="inlineStr"/>
      <c r="Z467" s="45" t="inlineStr">
        <is>
          <t>— généré —</t>
        </is>
      </c>
    </row>
    <row r="468" ht="15" customHeight="1">
      <c r="A468" s="10" t="inlineStr">
        <is>
          <t>S5</t>
        </is>
      </c>
      <c r="B468" s="9" t="inlineStr">
        <is>
          <t>du 12 au 18 octobre 2026</t>
        </is>
      </c>
      <c r="C468" s="10" t="inlineStr">
        <is>
          <t>A</t>
        </is>
      </c>
      <c r="D468" s="41" t="n">
        <v>46312</v>
      </c>
      <c r="E468" s="10" t="inlineStr">
        <is>
          <t>Samedi</t>
        </is>
      </c>
      <c r="F468" s="42" t="n">
        <v>0.75</v>
      </c>
      <c r="G468" s="42" t="n">
        <v>0.8125</v>
      </c>
      <c r="H468" s="43">
        <f>IF(OR($F468="",$G468=""),"",($G468-$F468)*24)</f>
        <v/>
      </c>
      <c r="I468" s="10" t="inlineStr">
        <is>
          <t>Collège</t>
        </is>
      </c>
      <c r="J468" s="9" t="inlineStr">
        <is>
          <t>7éme (A)</t>
        </is>
      </c>
      <c r="K468" s="9" t="inlineStr">
        <is>
          <t>Arabe</t>
        </is>
      </c>
      <c r="L468" s="9" t="inlineStr">
        <is>
          <t>Arabe</t>
        </is>
      </c>
      <c r="M468" s="9" t="inlineStr">
        <is>
          <t>Awatef</t>
        </is>
      </c>
      <c r="N468" s="10" t="n"/>
      <c r="O468" s="10" t="n"/>
      <c r="P468" s="10" t="inlineStr">
        <is>
          <t>Hebdomadaire</t>
        </is>
      </c>
      <c r="Q468" s="9" t="inlineStr">
        <is>
          <t>Généré (octobre)</t>
        </is>
      </c>
      <c r="R468" s="9" t="inlineStr"/>
      <c r="S468" s="44">
        <f>IF($M468="","",IF(SUMPRODUCT(($D$4:$D$704=$D468)*($M$4:$M$704=$M468)*($F$4:$F$704&lt;$G468)*($G$4:$G$704&gt;$F468))&gt;1,"⚠ CONFLIT",""))</f>
        <v/>
      </c>
      <c r="T468" s="44">
        <f>IF($J468="","",IF(SUMPRODUCT(($D$4:$D$704=$D468)*($J$4:$J$704=$J468)*($F$4:$F$704&lt;$G468)*($G$4:$G$704&gt;$F468))&gt;1,"⚠ CONFLIT",""))</f>
        <v/>
      </c>
      <c r="U468" s="44">
        <f>IF(COUNTIFS($D$4:$D$704,$D468,$J$4:$J$704,$J468,$F$4:$F$704,$F468,$K$4:$K$704,$K468)&gt;1,"⚠ DOUBLON","")</f>
        <v/>
      </c>
      <c r="V468" s="44">
        <f>COUNTIFS($A$4:$A468,$A468,$J$4:$J468,$J468,$E$4:$E468,$E468)</f>
        <v/>
      </c>
      <c r="W468" s="45">
        <f>$A468&amp;"|"&amp;$J468&amp;"|"&amp;$E468&amp;"|"&amp;$V468</f>
        <v/>
      </c>
      <c r="X468" s="46">
        <f>TEXT($F468,"hh:mm")&amp;" - "&amp;TEXT($G468,"hh:mm")&amp;IF($P468="Quinzaine A","   ◆ Q-A",IF($P468="Quinzaine B","   ◆ Q-B",IF($P468="Exception","   ◆ PONCTUEL","")))&amp;CHAR(10)&amp;$K468&amp;CHAR(10)&amp;$M468&amp;IF($N468&lt;&gt;"",CHAR(10)&amp;"Salle "&amp;$N468,"")&amp;IF($O468="En ligne",CHAR(10)&amp;"◆ EN LIGNE","")&amp;IF($R468&lt;&gt;"",CHAR(10)&amp;$R468,"")</f>
        <v/>
      </c>
      <c r="Y468" s="45" t="inlineStr"/>
      <c r="Z468" s="45" t="inlineStr">
        <is>
          <t>— généré —</t>
        </is>
      </c>
    </row>
    <row r="469" ht="15" customHeight="1">
      <c r="A469" s="10" t="inlineStr">
        <is>
          <t>S5</t>
        </is>
      </c>
      <c r="B469" s="9" t="inlineStr">
        <is>
          <t>du 12 au 18 octobre 2026</t>
        </is>
      </c>
      <c r="C469" s="10" t="inlineStr">
        <is>
          <t>A</t>
        </is>
      </c>
      <c r="D469" s="41" t="n">
        <v>46312</v>
      </c>
      <c r="E469" s="10" t="inlineStr">
        <is>
          <t>Samedi</t>
        </is>
      </c>
      <c r="F469" s="42" t="n">
        <v>0.7291666666666666</v>
      </c>
      <c r="G469" s="42" t="n">
        <v>0.7916666666666666</v>
      </c>
      <c r="H469" s="43">
        <f>IF(OR($F469="",$G469=""),"",($G469-$F469)*24)</f>
        <v/>
      </c>
      <c r="I469" s="10" t="inlineStr">
        <is>
          <t>Collège</t>
        </is>
      </c>
      <c r="J469" s="9" t="inlineStr">
        <is>
          <t>8éme (A)</t>
        </is>
      </c>
      <c r="K469" s="9" t="inlineStr">
        <is>
          <t>SVT</t>
        </is>
      </c>
      <c r="L469" s="9" t="inlineStr">
        <is>
          <t>SVT</t>
        </is>
      </c>
      <c r="M469" s="9" t="inlineStr">
        <is>
          <t>Sabrine</t>
        </is>
      </c>
      <c r="N469" s="10" t="n"/>
      <c r="O469" s="10" t="n"/>
      <c r="P469" s="10" t="inlineStr">
        <is>
          <t>Quinzaine A</t>
        </is>
      </c>
      <c r="Q469" s="9" t="inlineStr">
        <is>
          <t>Généré (octobre)</t>
        </is>
      </c>
      <c r="R469" s="9" t="inlineStr"/>
      <c r="S469" s="44">
        <f>IF($M469="","",IF(SUMPRODUCT(($D$4:$D$704=$D469)*($M$4:$M$704=$M469)*($F$4:$F$704&lt;$G469)*($G$4:$G$704&gt;$F469))&gt;1,"⚠ CONFLIT",""))</f>
        <v/>
      </c>
      <c r="T469" s="44">
        <f>IF($J469="","",IF(SUMPRODUCT(($D$4:$D$704=$D469)*($J$4:$J$704=$J469)*($F$4:$F$704&lt;$G469)*($G$4:$G$704&gt;$F469))&gt;1,"⚠ CONFLIT",""))</f>
        <v/>
      </c>
      <c r="U469" s="44">
        <f>IF(COUNTIFS($D$4:$D$704,$D469,$J$4:$J$704,$J469,$F$4:$F$704,$F469,$K$4:$K$704,$K469)&gt;1,"⚠ DOUBLON","")</f>
        <v/>
      </c>
      <c r="V469" s="44">
        <f>COUNTIFS($A$4:$A469,$A469,$J$4:$J469,$J469,$E$4:$E469,$E469)</f>
        <v/>
      </c>
      <c r="W469" s="45">
        <f>$A469&amp;"|"&amp;$J469&amp;"|"&amp;$E469&amp;"|"&amp;$V469</f>
        <v/>
      </c>
      <c r="X469" s="46">
        <f>TEXT($F469,"hh:mm")&amp;" - "&amp;TEXT($G469,"hh:mm")&amp;IF($P469="Quinzaine A","   ◆ Q-A",IF($P469="Quinzaine B","   ◆ Q-B",IF($P469="Exception","   ◆ PONCTUEL","")))&amp;CHAR(10)&amp;$K469&amp;CHAR(10)&amp;$M469&amp;IF($N469&lt;&gt;"",CHAR(10)&amp;"Salle "&amp;$N469,"")&amp;IF($O469="En ligne",CHAR(10)&amp;"◆ EN LIGNE","")&amp;IF($R469&lt;&gt;"",CHAR(10)&amp;$R469,"")</f>
        <v/>
      </c>
      <c r="Y469" s="45" t="inlineStr"/>
      <c r="Z469" s="45" t="inlineStr">
        <is>
          <t>— généré —</t>
        </is>
      </c>
    </row>
    <row r="470" ht="15" customHeight="1">
      <c r="A470" s="10" t="inlineStr">
        <is>
          <t>S5</t>
        </is>
      </c>
      <c r="B470" s="9" t="inlineStr">
        <is>
          <t>du 12 au 18 octobre 2026</t>
        </is>
      </c>
      <c r="C470" s="10" t="inlineStr">
        <is>
          <t>A</t>
        </is>
      </c>
      <c r="D470" s="41" t="n">
        <v>46312</v>
      </c>
      <c r="E470" s="10" t="inlineStr">
        <is>
          <t>Samedi</t>
        </is>
      </c>
      <c r="F470" s="42" t="n">
        <v>0.7291666666666666</v>
      </c>
      <c r="G470" s="42" t="n">
        <v>0.7916666666666666</v>
      </c>
      <c r="H470" s="43">
        <f>IF(OR($F470="",$G470=""),"",($G470-$F470)*24)</f>
        <v/>
      </c>
      <c r="I470" s="10" t="inlineStr">
        <is>
          <t>Collège</t>
        </is>
      </c>
      <c r="J470" s="9" t="inlineStr">
        <is>
          <t>8éme (B)</t>
        </is>
      </c>
      <c r="K470" s="9" t="inlineStr">
        <is>
          <t>Anglais</t>
        </is>
      </c>
      <c r="L470" s="9" t="inlineStr">
        <is>
          <t>Anglais</t>
        </is>
      </c>
      <c r="M470" s="9" t="inlineStr">
        <is>
          <t>Imen Ben Lazrak</t>
        </is>
      </c>
      <c r="N470" s="10" t="n"/>
      <c r="O470" s="10" t="n"/>
      <c r="P470" s="10" t="inlineStr">
        <is>
          <t>Quinzaine A</t>
        </is>
      </c>
      <c r="Q470" s="9" t="inlineStr">
        <is>
          <t>Généré (octobre)</t>
        </is>
      </c>
      <c r="R470" s="9" t="inlineStr"/>
      <c r="S470" s="44">
        <f>IF($M470="","",IF(SUMPRODUCT(($D$4:$D$704=$D470)*($M$4:$M$704=$M470)*($F$4:$F$704&lt;$G470)*($G$4:$G$704&gt;$F470))&gt;1,"⚠ CONFLIT",""))</f>
        <v/>
      </c>
      <c r="T470" s="44">
        <f>IF($J470="","",IF(SUMPRODUCT(($D$4:$D$704=$D470)*($J$4:$J$704=$J470)*($F$4:$F$704&lt;$G470)*($G$4:$G$704&gt;$F470))&gt;1,"⚠ CONFLIT",""))</f>
        <v/>
      </c>
      <c r="U470" s="44">
        <f>IF(COUNTIFS($D$4:$D$704,$D470,$J$4:$J$704,$J470,$F$4:$F$704,$F470,$K$4:$K$704,$K470)&gt;1,"⚠ DOUBLON","")</f>
        <v/>
      </c>
      <c r="V470" s="44">
        <f>COUNTIFS($A$4:$A470,$A470,$J$4:$J470,$J470,$E$4:$E470,$E470)</f>
        <v/>
      </c>
      <c r="W470" s="45">
        <f>$A470&amp;"|"&amp;$J470&amp;"|"&amp;$E470&amp;"|"&amp;$V470</f>
        <v/>
      </c>
      <c r="X470" s="46">
        <f>TEXT($F470,"hh:mm")&amp;" - "&amp;TEXT($G470,"hh:mm")&amp;IF($P470="Quinzaine A","   ◆ Q-A",IF($P470="Quinzaine B","   ◆ Q-B",IF($P470="Exception","   ◆ PONCTUEL","")))&amp;CHAR(10)&amp;$K470&amp;CHAR(10)&amp;$M470&amp;IF($N470&lt;&gt;"",CHAR(10)&amp;"Salle "&amp;$N470,"")&amp;IF($O470="En ligne",CHAR(10)&amp;"◆ EN LIGNE","")&amp;IF($R470&lt;&gt;"",CHAR(10)&amp;$R470,"")</f>
        <v/>
      </c>
      <c r="Y470" s="45" t="inlineStr"/>
      <c r="Z470" s="45" t="inlineStr">
        <is>
          <t>— généré —</t>
        </is>
      </c>
    </row>
    <row r="471" ht="15" customHeight="1">
      <c r="A471" s="10" t="inlineStr">
        <is>
          <t>S5</t>
        </is>
      </c>
      <c r="B471" s="9" t="inlineStr">
        <is>
          <t>du 12 au 18 octobre 2026</t>
        </is>
      </c>
      <c r="C471" s="10" t="inlineStr">
        <is>
          <t>A</t>
        </is>
      </c>
      <c r="D471" s="41" t="n">
        <v>46312</v>
      </c>
      <c r="E471" s="10" t="inlineStr">
        <is>
          <t>Samedi</t>
        </is>
      </c>
      <c r="F471" s="42" t="n">
        <v>0.6875</v>
      </c>
      <c r="G471" s="42" t="n">
        <v>0.75</v>
      </c>
      <c r="H471" s="43">
        <f>IF(OR($F471="",$G471=""),"",($G471-$F471)*24)</f>
        <v/>
      </c>
      <c r="I471" s="10" t="inlineStr">
        <is>
          <t>Collège</t>
        </is>
      </c>
      <c r="J471" s="9" t="inlineStr">
        <is>
          <t>9éme (A)</t>
        </is>
      </c>
      <c r="K471" s="9" t="inlineStr">
        <is>
          <t>Arabe</t>
        </is>
      </c>
      <c r="L471" s="9" t="inlineStr">
        <is>
          <t>Arabe</t>
        </is>
      </c>
      <c r="M471" s="9" t="inlineStr">
        <is>
          <t>Awatef</t>
        </is>
      </c>
      <c r="N471" s="10" t="n"/>
      <c r="O471" s="10" t="n"/>
      <c r="P471" s="10" t="inlineStr">
        <is>
          <t>Hebdomadaire</t>
        </is>
      </c>
      <c r="Q471" s="9" t="inlineStr">
        <is>
          <t>Généré (octobre)</t>
        </is>
      </c>
      <c r="R471" s="9" t="inlineStr"/>
      <c r="S471" s="44">
        <f>IF($M471="","",IF(SUMPRODUCT(($D$4:$D$704=$D471)*($M$4:$M$704=$M471)*($F$4:$F$704&lt;$G471)*($G$4:$G$704&gt;$F471))&gt;1,"⚠ CONFLIT",""))</f>
        <v/>
      </c>
      <c r="T471" s="44">
        <f>IF($J471="","",IF(SUMPRODUCT(($D$4:$D$704=$D471)*($J$4:$J$704=$J471)*($F$4:$F$704&lt;$G471)*($G$4:$G$704&gt;$F471))&gt;1,"⚠ CONFLIT",""))</f>
        <v/>
      </c>
      <c r="U471" s="44">
        <f>IF(COUNTIFS($D$4:$D$704,$D471,$J$4:$J$704,$J471,$F$4:$F$704,$F471,$K$4:$K$704,$K471)&gt;1,"⚠ DOUBLON","")</f>
        <v/>
      </c>
      <c r="V471" s="44">
        <f>COUNTIFS($A$4:$A471,$A471,$J$4:$J471,$J471,$E$4:$E471,$E471)</f>
        <v/>
      </c>
      <c r="W471" s="45">
        <f>$A471&amp;"|"&amp;$J471&amp;"|"&amp;$E471&amp;"|"&amp;$V471</f>
        <v/>
      </c>
      <c r="X471" s="46">
        <f>TEXT($F471,"hh:mm")&amp;" - "&amp;TEXT($G471,"hh:mm")&amp;IF($P471="Quinzaine A","   ◆ Q-A",IF($P471="Quinzaine B","   ◆ Q-B",IF($P471="Exception","   ◆ PONCTUEL","")))&amp;CHAR(10)&amp;$K471&amp;CHAR(10)&amp;$M471&amp;IF($N471&lt;&gt;"",CHAR(10)&amp;"Salle "&amp;$N471,"")&amp;IF($O471="En ligne",CHAR(10)&amp;"◆ EN LIGNE","")&amp;IF($R471&lt;&gt;"",CHAR(10)&amp;$R471,"")</f>
        <v/>
      </c>
      <c r="Y471" s="45" t="inlineStr"/>
      <c r="Z471" s="45" t="inlineStr">
        <is>
          <t>— généré —</t>
        </is>
      </c>
    </row>
    <row r="472" ht="15" customHeight="1">
      <c r="A472" s="10" t="inlineStr">
        <is>
          <t>S5</t>
        </is>
      </c>
      <c r="B472" s="9" t="inlineStr">
        <is>
          <t>du 12 au 18 octobre 2026</t>
        </is>
      </c>
      <c r="C472" s="10" t="inlineStr">
        <is>
          <t>A</t>
        </is>
      </c>
      <c r="D472" s="41" t="n">
        <v>46312</v>
      </c>
      <c r="E472" s="10" t="inlineStr">
        <is>
          <t>Samedi</t>
        </is>
      </c>
      <c r="F472" s="42" t="n">
        <v>0.7291666666666666</v>
      </c>
      <c r="G472" s="42" t="n">
        <v>0.7916666666666666</v>
      </c>
      <c r="H472" s="43">
        <f>IF(OR($F472="",$G472=""),"",($G472-$F472)*24)</f>
        <v/>
      </c>
      <c r="I472" s="10" t="inlineStr">
        <is>
          <t>Collège</t>
        </is>
      </c>
      <c r="J472" s="9" t="inlineStr">
        <is>
          <t>9éme (B)</t>
        </is>
      </c>
      <c r="K472" s="9" t="inlineStr">
        <is>
          <t>Math</t>
        </is>
      </c>
      <c r="L472" s="9" t="inlineStr">
        <is>
          <t>Math</t>
        </is>
      </c>
      <c r="M472" s="9" t="inlineStr">
        <is>
          <t>Hajer</t>
        </is>
      </c>
      <c r="N472" s="10" t="n"/>
      <c r="O472" s="10" t="n"/>
      <c r="P472" s="10" t="inlineStr">
        <is>
          <t>Hebdomadaire</t>
        </is>
      </c>
      <c r="Q472" s="9" t="inlineStr">
        <is>
          <t>Généré (octobre)</t>
        </is>
      </c>
      <c r="R472" s="9" t="inlineStr"/>
      <c r="S472" s="44">
        <f>IF($M472="","",IF(SUMPRODUCT(($D$4:$D$704=$D472)*($M$4:$M$704=$M472)*($F$4:$F$704&lt;$G472)*($G$4:$G$704&gt;$F472))&gt;1,"⚠ CONFLIT",""))</f>
        <v/>
      </c>
      <c r="T472" s="44">
        <f>IF($J472="","",IF(SUMPRODUCT(($D$4:$D$704=$D472)*($J$4:$J$704=$J472)*($F$4:$F$704&lt;$G472)*($G$4:$G$704&gt;$F472))&gt;1,"⚠ CONFLIT",""))</f>
        <v/>
      </c>
      <c r="U472" s="44">
        <f>IF(COUNTIFS($D$4:$D$704,$D472,$J$4:$J$704,$J472,$F$4:$F$704,$F472,$K$4:$K$704,$K472)&gt;1,"⚠ DOUBLON","")</f>
        <v/>
      </c>
      <c r="V472" s="44">
        <f>COUNTIFS($A$4:$A472,$A472,$J$4:$J472,$J472,$E$4:$E472,$E472)</f>
        <v/>
      </c>
      <c r="W472" s="45">
        <f>$A472&amp;"|"&amp;$J472&amp;"|"&amp;$E472&amp;"|"&amp;$V472</f>
        <v/>
      </c>
      <c r="X472" s="46">
        <f>TEXT($F472,"hh:mm")&amp;" - "&amp;TEXT($G472,"hh:mm")&amp;IF($P472="Quinzaine A","   ◆ Q-A",IF($P472="Quinzaine B","   ◆ Q-B",IF($P472="Exception","   ◆ PONCTUEL","")))&amp;CHAR(10)&amp;$K472&amp;CHAR(10)&amp;$M472&amp;IF($N472&lt;&gt;"",CHAR(10)&amp;"Salle "&amp;$N472,"")&amp;IF($O472="En ligne",CHAR(10)&amp;"◆ EN LIGNE","")&amp;IF($R472&lt;&gt;"",CHAR(10)&amp;$R472,"")</f>
        <v/>
      </c>
      <c r="Y472" s="45" t="inlineStr"/>
      <c r="Z472" s="45" t="inlineStr">
        <is>
          <t>— généré —</t>
        </is>
      </c>
    </row>
    <row r="473" ht="15" customHeight="1">
      <c r="A473" s="10" t="inlineStr">
        <is>
          <t>S5</t>
        </is>
      </c>
      <c r="B473" s="9" t="inlineStr">
        <is>
          <t>du 12 au 18 octobre 2026</t>
        </is>
      </c>
      <c r="C473" s="10" t="inlineStr">
        <is>
          <t>A</t>
        </is>
      </c>
      <c r="D473" s="41" t="n">
        <v>46312</v>
      </c>
      <c r="E473" s="10" t="inlineStr">
        <is>
          <t>Samedi</t>
        </is>
      </c>
      <c r="F473" s="42" t="n">
        <v>0.7916666666666666</v>
      </c>
      <c r="G473" s="42" t="n">
        <v>0.8541666666666666</v>
      </c>
      <c r="H473" s="43">
        <f>IF(OR($F473="",$G473=""),"",($G473-$F473)*24)</f>
        <v/>
      </c>
      <c r="I473" s="10" t="inlineStr">
        <is>
          <t>Collège</t>
        </is>
      </c>
      <c r="J473" s="9" t="inlineStr">
        <is>
          <t>9éme (C)</t>
        </is>
      </c>
      <c r="K473" s="9" t="inlineStr">
        <is>
          <t>Math</t>
        </is>
      </c>
      <c r="L473" s="9" t="inlineStr">
        <is>
          <t>Math</t>
        </is>
      </c>
      <c r="M473" s="9" t="inlineStr">
        <is>
          <t>Hajer</t>
        </is>
      </c>
      <c r="N473" s="10" t="n"/>
      <c r="O473" s="10" t="n"/>
      <c r="P473" s="10" t="inlineStr">
        <is>
          <t>Hebdomadaire</t>
        </is>
      </c>
      <c r="Q473" s="9" t="inlineStr">
        <is>
          <t>Généré (octobre)</t>
        </is>
      </c>
      <c r="R473" s="9" t="inlineStr"/>
      <c r="S473" s="44">
        <f>IF($M473="","",IF(SUMPRODUCT(($D$4:$D$704=$D473)*($M$4:$M$704=$M473)*($F$4:$F$704&lt;$G473)*($G$4:$G$704&gt;$F473))&gt;1,"⚠ CONFLIT",""))</f>
        <v/>
      </c>
      <c r="T473" s="44">
        <f>IF($J473="","",IF(SUMPRODUCT(($D$4:$D$704=$D473)*($J$4:$J$704=$J473)*($F$4:$F$704&lt;$G473)*($G$4:$G$704&gt;$F473))&gt;1,"⚠ CONFLIT",""))</f>
        <v/>
      </c>
      <c r="U473" s="44">
        <f>IF(COUNTIFS($D$4:$D$704,$D473,$J$4:$J$704,$J473,$F$4:$F$704,$F473,$K$4:$K$704,$K473)&gt;1,"⚠ DOUBLON","")</f>
        <v/>
      </c>
      <c r="V473" s="44">
        <f>COUNTIFS($A$4:$A473,$A473,$J$4:$J473,$J473,$E$4:$E473,$E473)</f>
        <v/>
      </c>
      <c r="W473" s="45">
        <f>$A473&amp;"|"&amp;$J473&amp;"|"&amp;$E473&amp;"|"&amp;$V473</f>
        <v/>
      </c>
      <c r="X473" s="46">
        <f>TEXT($F473,"hh:mm")&amp;" - "&amp;TEXT($G473,"hh:mm")&amp;IF($P473="Quinzaine A","   ◆ Q-A",IF($P473="Quinzaine B","   ◆ Q-B",IF($P473="Exception","   ◆ PONCTUEL","")))&amp;CHAR(10)&amp;$K473&amp;CHAR(10)&amp;$M473&amp;IF($N473&lt;&gt;"",CHAR(10)&amp;"Salle "&amp;$N473,"")&amp;IF($O473="En ligne",CHAR(10)&amp;"◆ EN LIGNE","")&amp;IF($R473&lt;&gt;"",CHAR(10)&amp;$R473,"")</f>
        <v/>
      </c>
      <c r="Y473" s="45" t="inlineStr"/>
      <c r="Z473" s="45" t="inlineStr">
        <is>
          <t>— généré —</t>
        </is>
      </c>
    </row>
    <row r="474" ht="15" customHeight="1">
      <c r="A474" s="10" t="inlineStr">
        <is>
          <t>S5</t>
        </is>
      </c>
      <c r="B474" s="9" t="inlineStr">
        <is>
          <t>du 12 au 18 octobre 2026</t>
        </is>
      </c>
      <c r="C474" s="10" t="inlineStr">
        <is>
          <t>A</t>
        </is>
      </c>
      <c r="D474" s="41" t="n">
        <v>46312</v>
      </c>
      <c r="E474" s="10" t="inlineStr">
        <is>
          <t>Samedi</t>
        </is>
      </c>
      <c r="F474" s="42" t="n">
        <v>0.6458333333333334</v>
      </c>
      <c r="G474" s="42" t="n">
        <v>0.7083333333333334</v>
      </c>
      <c r="H474" s="43">
        <f>IF(OR($F474="",$G474=""),"",($G474-$F474)*24)</f>
        <v/>
      </c>
      <c r="I474" s="10" t="inlineStr">
        <is>
          <t>Secondaire</t>
        </is>
      </c>
      <c r="J474" s="9" t="inlineStr">
        <is>
          <t>2éme Eco</t>
        </is>
      </c>
      <c r="K474" s="9" t="inlineStr">
        <is>
          <t>Histoire</t>
        </is>
      </c>
      <c r="L474" s="9" t="inlineStr">
        <is>
          <t>Histoire</t>
        </is>
      </c>
      <c r="M474" s="9" t="inlineStr">
        <is>
          <t>Abdelwaheb</t>
        </is>
      </c>
      <c r="N474" s="10" t="n"/>
      <c r="O474" s="10" t="n"/>
      <c r="P474" s="10" t="inlineStr">
        <is>
          <t>Quinzaine A</t>
        </is>
      </c>
      <c r="Q474" s="9" t="inlineStr">
        <is>
          <t>Généré (octobre)</t>
        </is>
      </c>
      <c r="R474" s="9" t="inlineStr"/>
      <c r="S474" s="44">
        <f>IF($M474="","",IF(SUMPRODUCT(($D$4:$D$704=$D474)*($M$4:$M$704=$M474)*($F$4:$F$704&lt;$G474)*($G$4:$G$704&gt;$F474))&gt;1,"⚠ CONFLIT",""))</f>
        <v/>
      </c>
      <c r="T474" s="44">
        <f>IF($J474="","",IF(SUMPRODUCT(($D$4:$D$704=$D474)*($J$4:$J$704=$J474)*($F$4:$F$704&lt;$G474)*($G$4:$G$704&gt;$F474))&gt;1,"⚠ CONFLIT",""))</f>
        <v/>
      </c>
      <c r="U474" s="44">
        <f>IF(COUNTIFS($D$4:$D$704,$D474,$J$4:$J$704,$J474,$F$4:$F$704,$F474,$K$4:$K$704,$K474)&gt;1,"⚠ DOUBLON","")</f>
        <v/>
      </c>
      <c r="V474" s="44">
        <f>COUNTIFS($A$4:$A474,$A474,$J$4:$J474,$J474,$E$4:$E474,$E474)</f>
        <v/>
      </c>
      <c r="W474" s="45">
        <f>$A474&amp;"|"&amp;$J474&amp;"|"&amp;$E474&amp;"|"&amp;$V474</f>
        <v/>
      </c>
      <c r="X474" s="46">
        <f>TEXT($F474,"hh:mm")&amp;" - "&amp;TEXT($G474,"hh:mm")&amp;IF($P474="Quinzaine A","   ◆ Q-A",IF($P474="Quinzaine B","   ◆ Q-B",IF($P474="Exception","   ◆ PONCTUEL","")))&amp;CHAR(10)&amp;$K474&amp;CHAR(10)&amp;$M474&amp;IF($N474&lt;&gt;"",CHAR(10)&amp;"Salle "&amp;$N474,"")&amp;IF($O474="En ligne",CHAR(10)&amp;"◆ EN LIGNE","")&amp;IF($R474&lt;&gt;"",CHAR(10)&amp;$R474,"")</f>
        <v/>
      </c>
      <c r="Y474" s="45" t="inlineStr"/>
      <c r="Z474" s="45" t="inlineStr">
        <is>
          <t>— généré —</t>
        </is>
      </c>
    </row>
    <row r="475" ht="15" customHeight="1">
      <c r="A475" s="10" t="inlineStr">
        <is>
          <t>S5</t>
        </is>
      </c>
      <c r="B475" s="9" t="inlineStr">
        <is>
          <t>du 12 au 18 octobre 2026</t>
        </is>
      </c>
      <c r="C475" s="10" t="inlineStr">
        <is>
          <t>A</t>
        </is>
      </c>
      <c r="D475" s="41" t="n">
        <v>46312</v>
      </c>
      <c r="E475" s="10" t="inlineStr">
        <is>
          <t>Samedi</t>
        </is>
      </c>
      <c r="F475" s="42" t="n">
        <v>0.6666666666666666</v>
      </c>
      <c r="G475" s="42" t="n">
        <v>0.7291666666666666</v>
      </c>
      <c r="H475" s="43">
        <f>IF(OR($F475="",$G475=""),"",($G475-$F475)*24)</f>
        <v/>
      </c>
      <c r="I475" s="10" t="inlineStr">
        <is>
          <t>Secondaire</t>
        </is>
      </c>
      <c r="J475" s="9" t="inlineStr">
        <is>
          <t>2éme SCE</t>
        </is>
      </c>
      <c r="K475" s="9" t="inlineStr">
        <is>
          <t>SVT</t>
        </is>
      </c>
      <c r="L475" s="9" t="inlineStr">
        <is>
          <t>SVT</t>
        </is>
      </c>
      <c r="M475" s="9" t="inlineStr">
        <is>
          <t>Rym</t>
        </is>
      </c>
      <c r="N475" s="10" t="n"/>
      <c r="O475" s="10" t="n"/>
      <c r="P475" s="10" t="inlineStr">
        <is>
          <t>Hebdomadaire</t>
        </is>
      </c>
      <c r="Q475" s="9" t="inlineStr">
        <is>
          <t>Généré (octobre)</t>
        </is>
      </c>
      <c r="R475" s="9" t="inlineStr"/>
      <c r="S475" s="44">
        <f>IF($M475="","",IF(SUMPRODUCT(($D$4:$D$704=$D475)*($M$4:$M$704=$M475)*($F$4:$F$704&lt;$G475)*($G$4:$G$704&gt;$F475))&gt;1,"⚠ CONFLIT",""))</f>
        <v/>
      </c>
      <c r="T475" s="44">
        <f>IF($J475="","",IF(SUMPRODUCT(($D$4:$D$704=$D475)*($J$4:$J$704=$J475)*($F$4:$F$704&lt;$G475)*($G$4:$G$704&gt;$F475))&gt;1,"⚠ CONFLIT",""))</f>
        <v/>
      </c>
      <c r="U475" s="44">
        <f>IF(COUNTIFS($D$4:$D$704,$D475,$J$4:$J$704,$J475,$F$4:$F$704,$F475,$K$4:$K$704,$K475)&gt;1,"⚠ DOUBLON","")</f>
        <v/>
      </c>
      <c r="V475" s="44">
        <f>COUNTIFS($A$4:$A475,$A475,$J$4:$J475,$J475,$E$4:$E475,$E475)</f>
        <v/>
      </c>
      <c r="W475" s="45">
        <f>$A475&amp;"|"&amp;$J475&amp;"|"&amp;$E475&amp;"|"&amp;$V475</f>
        <v/>
      </c>
      <c r="X475" s="46">
        <f>TEXT($F475,"hh:mm")&amp;" - "&amp;TEXT($G475,"hh:mm")&amp;IF($P475="Quinzaine A","   ◆ Q-A",IF($P475="Quinzaine B","   ◆ Q-B",IF($P475="Exception","   ◆ PONCTUEL","")))&amp;CHAR(10)&amp;$K475&amp;CHAR(10)&amp;$M475&amp;IF($N475&lt;&gt;"",CHAR(10)&amp;"Salle "&amp;$N475,"")&amp;IF($O475="En ligne",CHAR(10)&amp;"◆ EN LIGNE","")&amp;IF($R475&lt;&gt;"",CHAR(10)&amp;$R475,"")</f>
        <v/>
      </c>
      <c r="Y475" s="45" t="inlineStr"/>
      <c r="Z475" s="45" t="inlineStr">
        <is>
          <t>— généré —</t>
        </is>
      </c>
    </row>
    <row r="476" ht="15" customHeight="1">
      <c r="A476" s="10" t="inlineStr">
        <is>
          <t>S5</t>
        </is>
      </c>
      <c r="B476" s="9" t="inlineStr">
        <is>
          <t>du 12 au 18 octobre 2026</t>
        </is>
      </c>
      <c r="C476" s="10" t="inlineStr">
        <is>
          <t>A</t>
        </is>
      </c>
      <c r="D476" s="41" t="n">
        <v>46312</v>
      </c>
      <c r="E476" s="10" t="inlineStr">
        <is>
          <t>Samedi</t>
        </is>
      </c>
      <c r="F476" s="42" t="n">
        <v>0.7083333333333334</v>
      </c>
      <c r="G476" s="42" t="n">
        <v>0.7916666666666666</v>
      </c>
      <c r="H476" s="43">
        <f>IF(OR($F476="",$G476=""),"",($G476-$F476)*24)</f>
        <v/>
      </c>
      <c r="I476" s="10" t="inlineStr">
        <is>
          <t>Secondaire</t>
        </is>
      </c>
      <c r="J476" s="9" t="inlineStr">
        <is>
          <t>2éme INFO</t>
        </is>
      </c>
      <c r="K476" s="9" t="inlineStr">
        <is>
          <t>Informatique</t>
        </is>
      </c>
      <c r="L476" s="9" t="inlineStr">
        <is>
          <t>Informatique</t>
        </is>
      </c>
      <c r="M476" s="9" t="inlineStr">
        <is>
          <t>Aymen</t>
        </is>
      </c>
      <c r="N476" s="10" t="n"/>
      <c r="O476" s="10" t="n"/>
      <c r="P476" s="10" t="inlineStr">
        <is>
          <t>Hebdomadaire</t>
        </is>
      </c>
      <c r="Q476" s="9" t="inlineStr">
        <is>
          <t>Généré (octobre)</t>
        </is>
      </c>
      <c r="R476" s="9" t="inlineStr"/>
      <c r="S476" s="44">
        <f>IF($M476="","",IF(SUMPRODUCT(($D$4:$D$704=$D476)*($M$4:$M$704=$M476)*($F$4:$F$704&lt;$G476)*($G$4:$G$704&gt;$F476))&gt;1,"⚠ CONFLIT",""))</f>
        <v/>
      </c>
      <c r="T476" s="44">
        <f>IF($J476="","",IF(SUMPRODUCT(($D$4:$D$704=$D476)*($J$4:$J$704=$J476)*($F$4:$F$704&lt;$G476)*($G$4:$G$704&gt;$F476))&gt;1,"⚠ CONFLIT",""))</f>
        <v/>
      </c>
      <c r="U476" s="44">
        <f>IF(COUNTIFS($D$4:$D$704,$D476,$J$4:$J$704,$J476,$F$4:$F$704,$F476,$K$4:$K$704,$K476)&gt;1,"⚠ DOUBLON","")</f>
        <v/>
      </c>
      <c r="V476" s="44">
        <f>COUNTIFS($A$4:$A476,$A476,$J$4:$J476,$J476,$E$4:$E476,$E476)</f>
        <v/>
      </c>
      <c r="W476" s="45">
        <f>$A476&amp;"|"&amp;$J476&amp;"|"&amp;$E476&amp;"|"&amp;$V476</f>
        <v/>
      </c>
      <c r="X476" s="46">
        <f>TEXT($F476,"hh:mm")&amp;" - "&amp;TEXT($G476,"hh:mm")&amp;IF($P476="Quinzaine A","   ◆ Q-A",IF($P476="Quinzaine B","   ◆ Q-B",IF($P476="Exception","   ◆ PONCTUEL","")))&amp;CHAR(10)&amp;$K476&amp;CHAR(10)&amp;$M476&amp;IF($N476&lt;&gt;"",CHAR(10)&amp;"Salle "&amp;$N476,"")&amp;IF($O476="En ligne",CHAR(10)&amp;"◆ EN LIGNE","")&amp;IF($R476&lt;&gt;"",CHAR(10)&amp;$R476,"")</f>
        <v/>
      </c>
      <c r="Y476" s="45" t="inlineStr"/>
      <c r="Z476" s="45" t="inlineStr">
        <is>
          <t>— généré —</t>
        </is>
      </c>
    </row>
    <row r="477" ht="15" customHeight="1">
      <c r="A477" s="10" t="inlineStr">
        <is>
          <t>S5</t>
        </is>
      </c>
      <c r="B477" s="9" t="inlineStr">
        <is>
          <t>du 12 au 18 octobre 2026</t>
        </is>
      </c>
      <c r="C477" s="10" t="inlineStr">
        <is>
          <t>A</t>
        </is>
      </c>
      <c r="D477" s="41" t="n">
        <v>46312</v>
      </c>
      <c r="E477" s="10" t="inlineStr">
        <is>
          <t>Samedi</t>
        </is>
      </c>
      <c r="F477" s="42" t="n">
        <v>0.7083333333333334</v>
      </c>
      <c r="G477" s="42" t="n">
        <v>0.7708333333333334</v>
      </c>
      <c r="H477" s="43">
        <f>IF(OR($F477="",$G477=""),"",($G477-$F477)*24)</f>
        <v/>
      </c>
      <c r="I477" s="10" t="inlineStr">
        <is>
          <t>Secondaire</t>
        </is>
      </c>
      <c r="J477" s="9" t="inlineStr">
        <is>
          <t>3éme Eco</t>
        </is>
      </c>
      <c r="K477" s="9" t="inlineStr">
        <is>
          <t>Histoire</t>
        </is>
      </c>
      <c r="L477" s="9" t="inlineStr">
        <is>
          <t>Histoire</t>
        </is>
      </c>
      <c r="M477" s="9" t="inlineStr">
        <is>
          <t>Abdelwaheb</t>
        </is>
      </c>
      <c r="N477" s="10" t="n"/>
      <c r="O477" s="10" t="n"/>
      <c r="P477" s="10" t="inlineStr">
        <is>
          <t>Quinzaine A</t>
        </is>
      </c>
      <c r="Q477" s="9" t="inlineStr">
        <is>
          <t>Généré (octobre)</t>
        </is>
      </c>
      <c r="R477" s="9" t="inlineStr"/>
      <c r="S477" s="44">
        <f>IF($M477="","",IF(SUMPRODUCT(($D$4:$D$704=$D477)*($M$4:$M$704=$M477)*($F$4:$F$704&lt;$G477)*($G$4:$G$704&gt;$F477))&gt;1,"⚠ CONFLIT",""))</f>
        <v/>
      </c>
      <c r="T477" s="44">
        <f>IF($J477="","",IF(SUMPRODUCT(($D$4:$D$704=$D477)*($J$4:$J$704=$J477)*($F$4:$F$704&lt;$G477)*($G$4:$G$704&gt;$F477))&gt;1,"⚠ CONFLIT",""))</f>
        <v/>
      </c>
      <c r="U477" s="44">
        <f>IF(COUNTIFS($D$4:$D$704,$D477,$J$4:$J$704,$J477,$F$4:$F$704,$F477,$K$4:$K$704,$K477)&gt;1,"⚠ DOUBLON","")</f>
        <v/>
      </c>
      <c r="V477" s="44">
        <f>COUNTIFS($A$4:$A477,$A477,$J$4:$J477,$J477,$E$4:$E477,$E477)</f>
        <v/>
      </c>
      <c r="W477" s="45">
        <f>$A477&amp;"|"&amp;$J477&amp;"|"&amp;$E477&amp;"|"&amp;$V477</f>
        <v/>
      </c>
      <c r="X477" s="46">
        <f>TEXT($F477,"hh:mm")&amp;" - "&amp;TEXT($G477,"hh:mm")&amp;IF($P477="Quinzaine A","   ◆ Q-A",IF($P477="Quinzaine B","   ◆ Q-B",IF($P477="Exception","   ◆ PONCTUEL","")))&amp;CHAR(10)&amp;$K477&amp;CHAR(10)&amp;$M477&amp;IF($N477&lt;&gt;"",CHAR(10)&amp;"Salle "&amp;$N477,"")&amp;IF($O477="En ligne",CHAR(10)&amp;"◆ EN LIGNE","")&amp;IF($R477&lt;&gt;"",CHAR(10)&amp;$R477,"")</f>
        <v/>
      </c>
      <c r="Y477" s="45" t="inlineStr"/>
      <c r="Z477" s="45" t="inlineStr">
        <is>
          <t>— généré —</t>
        </is>
      </c>
    </row>
    <row r="478" ht="15" customHeight="1">
      <c r="A478" s="10" t="inlineStr">
        <is>
          <t>S5</t>
        </is>
      </c>
      <c r="B478" s="9" t="inlineStr">
        <is>
          <t>du 12 au 18 octobre 2026</t>
        </is>
      </c>
      <c r="C478" s="10" t="inlineStr">
        <is>
          <t>A</t>
        </is>
      </c>
      <c r="D478" s="41" t="n">
        <v>46312</v>
      </c>
      <c r="E478" s="10" t="inlineStr">
        <is>
          <t>Samedi</t>
        </is>
      </c>
      <c r="F478" s="42" t="n">
        <v>0.625</v>
      </c>
      <c r="G478" s="42" t="n">
        <v>0.7083333333333334</v>
      </c>
      <c r="H478" s="43">
        <f>IF(OR($F478="",$G478=""),"",($G478-$F478)*24)</f>
        <v/>
      </c>
      <c r="I478" s="10" t="inlineStr">
        <is>
          <t>Secondaire</t>
        </is>
      </c>
      <c r="J478" s="9" t="inlineStr">
        <is>
          <t>3éme INFO</t>
        </is>
      </c>
      <c r="K478" s="9" t="inlineStr">
        <is>
          <t>ALGO</t>
        </is>
      </c>
      <c r="L478" s="9" t="inlineStr">
        <is>
          <t>ALGO</t>
        </is>
      </c>
      <c r="M478" s="9" t="inlineStr">
        <is>
          <t>Aymen</t>
        </is>
      </c>
      <c r="N478" s="10" t="n"/>
      <c r="O478" s="10" t="n"/>
      <c r="P478" s="10" t="inlineStr">
        <is>
          <t>Hebdomadaire</t>
        </is>
      </c>
      <c r="Q478" s="9" t="inlineStr">
        <is>
          <t>Généré (octobre)</t>
        </is>
      </c>
      <c r="R478" s="9" t="inlineStr"/>
      <c r="S478" s="44">
        <f>IF($M478="","",IF(SUMPRODUCT(($D$4:$D$704=$D478)*($M$4:$M$704=$M478)*($F$4:$F$704&lt;$G478)*($G$4:$G$704&gt;$F478))&gt;1,"⚠ CONFLIT",""))</f>
        <v/>
      </c>
      <c r="T478" s="44">
        <f>IF($J478="","",IF(SUMPRODUCT(($D$4:$D$704=$D478)*($J$4:$J$704=$J478)*($F$4:$F$704&lt;$G478)*($G$4:$G$704&gt;$F478))&gt;1,"⚠ CONFLIT",""))</f>
        <v/>
      </c>
      <c r="U478" s="44">
        <f>IF(COUNTIFS($D$4:$D$704,$D478,$J$4:$J$704,$J478,$F$4:$F$704,$F478,$K$4:$K$704,$K478)&gt;1,"⚠ DOUBLON","")</f>
        <v/>
      </c>
      <c r="V478" s="44">
        <f>COUNTIFS($A$4:$A478,$A478,$J$4:$J478,$J478,$E$4:$E478,$E478)</f>
        <v/>
      </c>
      <c r="W478" s="45">
        <f>$A478&amp;"|"&amp;$J478&amp;"|"&amp;$E478&amp;"|"&amp;$V478</f>
        <v/>
      </c>
      <c r="X478" s="46">
        <f>TEXT($F478,"hh:mm")&amp;" - "&amp;TEXT($G478,"hh:mm")&amp;IF($P478="Quinzaine A","   ◆ Q-A",IF($P478="Quinzaine B","   ◆ Q-B",IF($P478="Exception","   ◆ PONCTUEL","")))&amp;CHAR(10)&amp;$K478&amp;CHAR(10)&amp;$M478&amp;IF($N478&lt;&gt;"",CHAR(10)&amp;"Salle "&amp;$N478,"")&amp;IF($O478="En ligne",CHAR(10)&amp;"◆ EN LIGNE","")&amp;IF($R478&lt;&gt;"",CHAR(10)&amp;$R478,"")</f>
        <v/>
      </c>
      <c r="Y478" s="45" t="inlineStr"/>
      <c r="Z478" s="45" t="inlineStr">
        <is>
          <t>— généré —</t>
        </is>
      </c>
    </row>
    <row r="479" ht="15" customHeight="1">
      <c r="A479" s="10" t="inlineStr">
        <is>
          <t>S5</t>
        </is>
      </c>
      <c r="B479" s="9" t="inlineStr">
        <is>
          <t>du 12 au 18 octobre 2026</t>
        </is>
      </c>
      <c r="C479" s="10" t="inlineStr">
        <is>
          <t>A</t>
        </is>
      </c>
      <c r="D479" s="41" t="n">
        <v>46312</v>
      </c>
      <c r="E479" s="10" t="inlineStr">
        <is>
          <t>Samedi</t>
        </is>
      </c>
      <c r="F479" s="42" t="n">
        <v>0.7291666666666666</v>
      </c>
      <c r="G479" s="42" t="n">
        <v>0.7916666666666666</v>
      </c>
      <c r="H479" s="43">
        <f>IF(OR($F479="",$G479=""),"",($G479-$F479)*24)</f>
        <v/>
      </c>
      <c r="I479" s="10" t="inlineStr">
        <is>
          <t>Secondaire</t>
        </is>
      </c>
      <c r="J479" s="9" t="inlineStr">
        <is>
          <t>3éme SCE</t>
        </is>
      </c>
      <c r="K479" s="9" t="inlineStr">
        <is>
          <t>SVT</t>
        </is>
      </c>
      <c r="L479" s="9" t="inlineStr">
        <is>
          <t>SVT</t>
        </is>
      </c>
      <c r="M479" s="9" t="inlineStr">
        <is>
          <t>Rym</t>
        </is>
      </c>
      <c r="N479" s="10" t="n"/>
      <c r="O479" s="10" t="n"/>
      <c r="P479" s="10" t="inlineStr">
        <is>
          <t>Hebdomadaire</t>
        </is>
      </c>
      <c r="Q479" s="9" t="inlineStr">
        <is>
          <t>Généré (octobre)</t>
        </is>
      </c>
      <c r="R479" s="9" t="inlineStr"/>
      <c r="S479" s="44">
        <f>IF($M479="","",IF(SUMPRODUCT(($D$4:$D$704=$D479)*($M$4:$M$704=$M479)*($F$4:$F$704&lt;$G479)*($G$4:$G$704&gt;$F479))&gt;1,"⚠ CONFLIT",""))</f>
        <v/>
      </c>
      <c r="T479" s="44">
        <f>IF($J479="","",IF(SUMPRODUCT(($D$4:$D$704=$D479)*($J$4:$J$704=$J479)*($F$4:$F$704&lt;$G479)*($G$4:$G$704&gt;$F479))&gt;1,"⚠ CONFLIT",""))</f>
        <v/>
      </c>
      <c r="U479" s="44">
        <f>IF(COUNTIFS($D$4:$D$704,$D479,$J$4:$J$704,$J479,$F$4:$F$704,$F479,$K$4:$K$704,$K479)&gt;1,"⚠ DOUBLON","")</f>
        <v/>
      </c>
      <c r="V479" s="44">
        <f>COUNTIFS($A$4:$A479,$A479,$J$4:$J479,$J479,$E$4:$E479,$E479)</f>
        <v/>
      </c>
      <c r="W479" s="45">
        <f>$A479&amp;"|"&amp;$J479&amp;"|"&amp;$E479&amp;"|"&amp;$V479</f>
        <v/>
      </c>
      <c r="X479" s="46">
        <f>TEXT($F479,"hh:mm")&amp;" - "&amp;TEXT($G479,"hh:mm")&amp;IF($P479="Quinzaine A","   ◆ Q-A",IF($P479="Quinzaine B","   ◆ Q-B",IF($P479="Exception","   ◆ PONCTUEL","")))&amp;CHAR(10)&amp;$K479&amp;CHAR(10)&amp;$M479&amp;IF($N479&lt;&gt;"",CHAR(10)&amp;"Salle "&amp;$N479,"")&amp;IF($O479="En ligne",CHAR(10)&amp;"◆ EN LIGNE","")&amp;IF($R479&lt;&gt;"",CHAR(10)&amp;$R479,"")</f>
        <v/>
      </c>
      <c r="Y479" s="45" t="inlineStr"/>
      <c r="Z479" s="45" t="inlineStr">
        <is>
          <t>— généré —</t>
        </is>
      </c>
    </row>
    <row r="480" ht="15" customHeight="1">
      <c r="A480" s="10" t="inlineStr">
        <is>
          <t>S5</t>
        </is>
      </c>
      <c r="B480" s="9" t="inlineStr">
        <is>
          <t>du 12 au 18 octobre 2026</t>
        </is>
      </c>
      <c r="C480" s="10" t="inlineStr">
        <is>
          <t>A</t>
        </is>
      </c>
      <c r="D480" s="41" t="n">
        <v>46312</v>
      </c>
      <c r="E480" s="10" t="inlineStr">
        <is>
          <t>Samedi</t>
        </is>
      </c>
      <c r="F480" s="42" t="n">
        <v>0.7708333333333334</v>
      </c>
      <c r="G480" s="42" t="n">
        <v>0.8333333333333334</v>
      </c>
      <c r="H480" s="43">
        <f>IF(OR($F480="",$G480=""),"",($G480-$F480)*24)</f>
        <v/>
      </c>
      <c r="I480" s="10" t="inlineStr">
        <is>
          <t>Bac</t>
        </is>
      </c>
      <c r="J480" s="9" t="inlineStr">
        <is>
          <t>Bac Eco</t>
        </is>
      </c>
      <c r="K480" s="9" t="inlineStr">
        <is>
          <t>Histoire</t>
        </is>
      </c>
      <c r="L480" s="9" t="inlineStr">
        <is>
          <t>Histoire</t>
        </is>
      </c>
      <c r="M480" s="9" t="inlineStr">
        <is>
          <t>Abdelwaheb</t>
        </is>
      </c>
      <c r="N480" s="10" t="n"/>
      <c r="O480" s="10" t="n"/>
      <c r="P480" s="10" t="inlineStr">
        <is>
          <t>Quinzaine A</t>
        </is>
      </c>
      <c r="Q480" s="9" t="inlineStr">
        <is>
          <t>Généré (octobre)</t>
        </is>
      </c>
      <c r="R480" s="9" t="inlineStr"/>
      <c r="S480" s="44">
        <f>IF($M480="","",IF(SUMPRODUCT(($D$4:$D$704=$D480)*($M$4:$M$704=$M480)*($F$4:$F$704&lt;$G480)*($G$4:$G$704&gt;$F480))&gt;1,"⚠ CONFLIT",""))</f>
        <v/>
      </c>
      <c r="T480" s="44">
        <f>IF($J480="","",IF(SUMPRODUCT(($D$4:$D$704=$D480)*($J$4:$J$704=$J480)*($F$4:$F$704&lt;$G480)*($G$4:$G$704&gt;$F480))&gt;1,"⚠ CONFLIT",""))</f>
        <v/>
      </c>
      <c r="U480" s="44">
        <f>IF(COUNTIFS($D$4:$D$704,$D480,$J$4:$J$704,$J480,$F$4:$F$704,$F480,$K$4:$K$704,$K480)&gt;1,"⚠ DOUBLON","")</f>
        <v/>
      </c>
      <c r="V480" s="44">
        <f>COUNTIFS($A$4:$A480,$A480,$J$4:$J480,$J480,$E$4:$E480,$E480)</f>
        <v/>
      </c>
      <c r="W480" s="45">
        <f>$A480&amp;"|"&amp;$J480&amp;"|"&amp;$E480&amp;"|"&amp;$V480</f>
        <v/>
      </c>
      <c r="X480" s="46">
        <f>TEXT($F480,"hh:mm")&amp;" - "&amp;TEXT($G480,"hh:mm")&amp;IF($P480="Quinzaine A","   ◆ Q-A",IF($P480="Quinzaine B","   ◆ Q-B",IF($P480="Exception","   ◆ PONCTUEL","")))&amp;CHAR(10)&amp;$K480&amp;CHAR(10)&amp;$M480&amp;IF($N480&lt;&gt;"",CHAR(10)&amp;"Salle "&amp;$N480,"")&amp;IF($O480="En ligne",CHAR(10)&amp;"◆ EN LIGNE","")&amp;IF($R480&lt;&gt;"",CHAR(10)&amp;$R480,"")</f>
        <v/>
      </c>
      <c r="Y480" s="45" t="inlineStr"/>
      <c r="Z480" s="45" t="inlineStr">
        <is>
          <t>— généré —</t>
        </is>
      </c>
    </row>
    <row r="481" ht="15" customHeight="1">
      <c r="A481" s="10" t="inlineStr">
        <is>
          <t>S5</t>
        </is>
      </c>
      <c r="B481" s="9" t="inlineStr">
        <is>
          <t>du 12 au 18 octobre 2026</t>
        </is>
      </c>
      <c r="C481" s="10" t="inlineStr">
        <is>
          <t>A</t>
        </is>
      </c>
      <c r="D481" s="41" t="n">
        <v>46312</v>
      </c>
      <c r="E481" s="10" t="inlineStr">
        <is>
          <t>Samedi</t>
        </is>
      </c>
      <c r="F481" s="42" t="n">
        <v>0.7916666666666666</v>
      </c>
      <c r="G481" s="42" t="n">
        <v>0.8541666666666666</v>
      </c>
      <c r="H481" s="43">
        <f>IF(OR($F481="",$G481=""),"",($G481-$F481)*24)</f>
        <v/>
      </c>
      <c r="I481" s="10" t="inlineStr">
        <is>
          <t>Bac</t>
        </is>
      </c>
      <c r="J481" s="9" t="inlineStr">
        <is>
          <t>Bac SCE</t>
        </is>
      </c>
      <c r="K481" s="9" t="inlineStr">
        <is>
          <t>SVT</t>
        </is>
      </c>
      <c r="L481" s="9" t="inlineStr">
        <is>
          <t>SVT</t>
        </is>
      </c>
      <c r="M481" s="9" t="inlineStr">
        <is>
          <t>Rym</t>
        </is>
      </c>
      <c r="N481" s="10" t="n"/>
      <c r="O481" s="10" t="n"/>
      <c r="P481" s="10" t="inlineStr">
        <is>
          <t>Hebdomadaire</t>
        </is>
      </c>
      <c r="Q481" s="9" t="inlineStr">
        <is>
          <t>Généré (octobre)</t>
        </is>
      </c>
      <c r="R481" s="9" t="inlineStr"/>
      <c r="S481" s="44">
        <f>IF($M481="","",IF(SUMPRODUCT(($D$4:$D$704=$D481)*($M$4:$M$704=$M481)*($F$4:$F$704&lt;$G481)*($G$4:$G$704&gt;$F481))&gt;1,"⚠ CONFLIT",""))</f>
        <v/>
      </c>
      <c r="T481" s="44">
        <f>IF($J481="","",IF(SUMPRODUCT(($D$4:$D$704=$D481)*($J$4:$J$704=$J481)*($F$4:$F$704&lt;$G481)*($G$4:$G$704&gt;$F481))&gt;1,"⚠ CONFLIT",""))</f>
        <v/>
      </c>
      <c r="U481" s="44">
        <f>IF(COUNTIFS($D$4:$D$704,$D481,$J$4:$J$704,$J481,$F$4:$F$704,$F481,$K$4:$K$704,$K481)&gt;1,"⚠ DOUBLON","")</f>
        <v/>
      </c>
      <c r="V481" s="44">
        <f>COUNTIFS($A$4:$A481,$A481,$J$4:$J481,$J481,$E$4:$E481,$E481)</f>
        <v/>
      </c>
      <c r="W481" s="45">
        <f>$A481&amp;"|"&amp;$J481&amp;"|"&amp;$E481&amp;"|"&amp;$V481</f>
        <v/>
      </c>
      <c r="X481" s="46">
        <f>TEXT($F481,"hh:mm")&amp;" - "&amp;TEXT($G481,"hh:mm")&amp;IF($P481="Quinzaine A","   ◆ Q-A",IF($P481="Quinzaine B","   ◆ Q-B",IF($P481="Exception","   ◆ PONCTUEL","")))&amp;CHAR(10)&amp;$K481&amp;CHAR(10)&amp;$M481&amp;IF($N481&lt;&gt;"",CHAR(10)&amp;"Salle "&amp;$N481,"")&amp;IF($O481="En ligne",CHAR(10)&amp;"◆ EN LIGNE","")&amp;IF($R481&lt;&gt;"",CHAR(10)&amp;$R481,"")</f>
        <v/>
      </c>
      <c r="Y481" s="45" t="inlineStr"/>
      <c r="Z481" s="45" t="inlineStr">
        <is>
          <t>— généré —</t>
        </is>
      </c>
    </row>
    <row r="482" ht="15" customHeight="1">
      <c r="A482" s="10" t="inlineStr">
        <is>
          <t>S5</t>
        </is>
      </c>
      <c r="B482" s="9" t="inlineStr">
        <is>
          <t>du 12 au 18 octobre 2026</t>
        </is>
      </c>
      <c r="C482" s="10" t="inlineStr">
        <is>
          <t>A</t>
        </is>
      </c>
      <c r="D482" s="41" t="n">
        <v>46312</v>
      </c>
      <c r="E482" s="10" t="inlineStr">
        <is>
          <t>Samedi</t>
        </is>
      </c>
      <c r="F482" s="42" t="n">
        <v>0.7916666666666666</v>
      </c>
      <c r="G482" s="42" t="n">
        <v>0.875</v>
      </c>
      <c r="H482" s="43">
        <f>IF(OR($F482="",$G482=""),"",($G482-$F482)*24)</f>
        <v/>
      </c>
      <c r="I482" s="10" t="inlineStr">
        <is>
          <t>Bac</t>
        </is>
      </c>
      <c r="J482" s="9" t="inlineStr">
        <is>
          <t>Bac INFO</t>
        </is>
      </c>
      <c r="K482" s="9" t="inlineStr">
        <is>
          <t>ALGO</t>
        </is>
      </c>
      <c r="L482" s="9" t="inlineStr">
        <is>
          <t>ALGO</t>
        </is>
      </c>
      <c r="M482" s="9" t="inlineStr">
        <is>
          <t>Heni</t>
        </is>
      </c>
      <c r="N482" s="10" t="n"/>
      <c r="O482" s="10" t="n"/>
      <c r="P482" s="10" t="inlineStr">
        <is>
          <t>Hebdomadaire</t>
        </is>
      </c>
      <c r="Q482" s="9" t="inlineStr">
        <is>
          <t>Généré (octobre)</t>
        </is>
      </c>
      <c r="R482" s="9" t="inlineStr"/>
      <c r="S482" s="44">
        <f>IF($M482="","",IF(SUMPRODUCT(($D$4:$D$704=$D482)*($M$4:$M$704=$M482)*($F$4:$F$704&lt;$G482)*($G$4:$G$704&gt;$F482))&gt;1,"⚠ CONFLIT",""))</f>
        <v/>
      </c>
      <c r="T482" s="44">
        <f>IF($J482="","",IF(SUMPRODUCT(($D$4:$D$704=$D482)*($J$4:$J$704=$J482)*($F$4:$F$704&lt;$G482)*($G$4:$G$704&gt;$F482))&gt;1,"⚠ CONFLIT",""))</f>
        <v/>
      </c>
      <c r="U482" s="44">
        <f>IF(COUNTIFS($D$4:$D$704,$D482,$J$4:$J$704,$J482,$F$4:$F$704,$F482,$K$4:$K$704,$K482)&gt;1,"⚠ DOUBLON","")</f>
        <v/>
      </c>
      <c r="V482" s="44">
        <f>COUNTIFS($A$4:$A482,$A482,$J$4:$J482,$J482,$E$4:$E482,$E482)</f>
        <v/>
      </c>
      <c r="W482" s="45">
        <f>$A482&amp;"|"&amp;$J482&amp;"|"&amp;$E482&amp;"|"&amp;$V482</f>
        <v/>
      </c>
      <c r="X482" s="46">
        <f>TEXT($F482,"hh:mm")&amp;" - "&amp;TEXT($G482,"hh:mm")&amp;IF($P482="Quinzaine A","   ◆ Q-A",IF($P482="Quinzaine B","   ◆ Q-B",IF($P482="Exception","   ◆ PONCTUEL","")))&amp;CHAR(10)&amp;$K482&amp;CHAR(10)&amp;$M482&amp;IF($N482&lt;&gt;"",CHAR(10)&amp;"Salle "&amp;$N482,"")&amp;IF($O482="En ligne",CHAR(10)&amp;"◆ EN LIGNE","")&amp;IF($R482&lt;&gt;"",CHAR(10)&amp;$R482,"")</f>
        <v/>
      </c>
      <c r="Y482" s="45" t="inlineStr"/>
      <c r="Z482" s="45" t="inlineStr">
        <is>
          <t>— généré —</t>
        </is>
      </c>
    </row>
    <row r="483" ht="15" customHeight="1">
      <c r="A483" s="10" t="inlineStr">
        <is>
          <t>S5</t>
        </is>
      </c>
      <c r="B483" s="9" t="inlineStr">
        <is>
          <t>du 12 au 18 octobre 2026</t>
        </is>
      </c>
      <c r="C483" s="10" t="inlineStr">
        <is>
          <t>A</t>
        </is>
      </c>
      <c r="D483" s="41" t="n">
        <v>46313</v>
      </c>
      <c r="E483" s="10" t="inlineStr">
        <is>
          <t>Dimanche</t>
        </is>
      </c>
      <c r="F483" s="42" t="n">
        <v>0.4375</v>
      </c>
      <c r="G483" s="42" t="n">
        <v>0.5</v>
      </c>
      <c r="H483" s="43">
        <f>IF(OR($F483="",$G483=""),"",($G483-$F483)*24)</f>
        <v/>
      </c>
      <c r="I483" s="10" t="inlineStr">
        <is>
          <t>Primaire</t>
        </is>
      </c>
      <c r="J483" s="9" t="inlineStr">
        <is>
          <t>4éme</t>
        </is>
      </c>
      <c r="K483" s="9" t="inlineStr">
        <is>
          <t>Anglais</t>
        </is>
      </c>
      <c r="L483" s="9" t="inlineStr">
        <is>
          <t>Anglais</t>
        </is>
      </c>
      <c r="M483" s="9" t="inlineStr">
        <is>
          <t>Samar</t>
        </is>
      </c>
      <c r="N483" s="10" t="n"/>
      <c r="O483" s="10" t="n"/>
      <c r="P483" s="10" t="inlineStr">
        <is>
          <t>Quinzaine A</t>
        </is>
      </c>
      <c r="Q483" s="9" t="inlineStr">
        <is>
          <t>Généré (octobre)</t>
        </is>
      </c>
      <c r="R483" s="9" t="inlineStr"/>
      <c r="S483" s="44">
        <f>IF($M483="","",IF(SUMPRODUCT(($D$4:$D$704=$D483)*($M$4:$M$704=$M483)*($F$4:$F$704&lt;$G483)*($G$4:$G$704&gt;$F483))&gt;1,"⚠ CONFLIT",""))</f>
        <v/>
      </c>
      <c r="T483" s="44">
        <f>IF($J483="","",IF(SUMPRODUCT(($D$4:$D$704=$D483)*($J$4:$J$704=$J483)*($F$4:$F$704&lt;$G483)*($G$4:$G$704&gt;$F483))&gt;1,"⚠ CONFLIT",""))</f>
        <v/>
      </c>
      <c r="U483" s="44">
        <f>IF(COUNTIFS($D$4:$D$704,$D483,$J$4:$J$704,$J483,$F$4:$F$704,$F483,$K$4:$K$704,$K483)&gt;1,"⚠ DOUBLON","")</f>
        <v/>
      </c>
      <c r="V483" s="44">
        <f>COUNTIFS($A$4:$A483,$A483,$J$4:$J483,$J483,$E$4:$E483,$E483)</f>
        <v/>
      </c>
      <c r="W483" s="45">
        <f>$A483&amp;"|"&amp;$J483&amp;"|"&amp;$E483&amp;"|"&amp;$V483</f>
        <v/>
      </c>
      <c r="X483" s="46">
        <f>TEXT($F483,"hh:mm")&amp;" - "&amp;TEXT($G483,"hh:mm")&amp;IF($P483="Quinzaine A","   ◆ Q-A",IF($P483="Quinzaine B","   ◆ Q-B",IF($P483="Exception","   ◆ PONCTUEL","")))&amp;CHAR(10)&amp;$K483&amp;CHAR(10)&amp;$M483&amp;IF($N483&lt;&gt;"",CHAR(10)&amp;"Salle "&amp;$N483,"")&amp;IF($O483="En ligne",CHAR(10)&amp;"◆ EN LIGNE","")&amp;IF($R483&lt;&gt;"",CHAR(10)&amp;$R483,"")</f>
        <v/>
      </c>
      <c r="Y483" s="45" t="inlineStr"/>
      <c r="Z483" s="45" t="inlineStr">
        <is>
          <t>— généré —</t>
        </is>
      </c>
    </row>
    <row r="484" ht="15" customHeight="1">
      <c r="A484" s="10" t="inlineStr">
        <is>
          <t>S5</t>
        </is>
      </c>
      <c r="B484" s="9" t="inlineStr">
        <is>
          <t>du 12 au 18 octobre 2026</t>
        </is>
      </c>
      <c r="C484" s="10" t="inlineStr">
        <is>
          <t>A</t>
        </is>
      </c>
      <c r="D484" s="41" t="n">
        <v>46313</v>
      </c>
      <c r="E484" s="10" t="inlineStr">
        <is>
          <t>Dimanche</t>
        </is>
      </c>
      <c r="F484" s="42" t="n">
        <v>0.5</v>
      </c>
      <c r="G484" s="42" t="n">
        <v>0.5625</v>
      </c>
      <c r="H484" s="43">
        <f>IF(OR($F484="",$G484=""),"",($G484-$F484)*24)</f>
        <v/>
      </c>
      <c r="I484" s="10" t="inlineStr">
        <is>
          <t>Primaire</t>
        </is>
      </c>
      <c r="J484" s="9" t="inlineStr">
        <is>
          <t>6éme Pilote (A)</t>
        </is>
      </c>
      <c r="K484" s="9" t="inlineStr">
        <is>
          <t>Anglais</t>
        </is>
      </c>
      <c r="L484" s="9" t="inlineStr">
        <is>
          <t>Anglais</t>
        </is>
      </c>
      <c r="M484" s="9" t="inlineStr">
        <is>
          <t>Samar</t>
        </is>
      </c>
      <c r="N484" s="10" t="n"/>
      <c r="O484" s="10" t="n"/>
      <c r="P484" s="10" t="inlineStr">
        <is>
          <t>Quinzaine A</t>
        </is>
      </c>
      <c r="Q484" s="9" t="inlineStr">
        <is>
          <t>Généré (octobre)</t>
        </is>
      </c>
      <c r="R484" s="9" t="inlineStr"/>
      <c r="S484" s="44">
        <f>IF($M484="","",IF(SUMPRODUCT(($D$4:$D$704=$D484)*($M$4:$M$704=$M484)*($F$4:$F$704&lt;$G484)*($G$4:$G$704&gt;$F484))&gt;1,"⚠ CONFLIT",""))</f>
        <v/>
      </c>
      <c r="T484" s="44">
        <f>IF($J484="","",IF(SUMPRODUCT(($D$4:$D$704=$D484)*($J$4:$J$704=$J484)*($F$4:$F$704&lt;$G484)*($G$4:$G$704&gt;$F484))&gt;1,"⚠ CONFLIT",""))</f>
        <v/>
      </c>
      <c r="U484" s="44">
        <f>IF(COUNTIFS($D$4:$D$704,$D484,$J$4:$J$704,$J484,$F$4:$F$704,$F484,$K$4:$K$704,$K484)&gt;1,"⚠ DOUBLON","")</f>
        <v/>
      </c>
      <c r="V484" s="44">
        <f>COUNTIFS($A$4:$A484,$A484,$J$4:$J484,$J484,$E$4:$E484,$E484)</f>
        <v/>
      </c>
      <c r="W484" s="45">
        <f>$A484&amp;"|"&amp;$J484&amp;"|"&amp;$E484&amp;"|"&amp;$V484</f>
        <v/>
      </c>
      <c r="X484" s="46">
        <f>TEXT($F484,"hh:mm")&amp;" - "&amp;TEXT($G484,"hh:mm")&amp;IF($P484="Quinzaine A","   ◆ Q-A",IF($P484="Quinzaine B","   ◆ Q-B",IF($P484="Exception","   ◆ PONCTUEL","")))&amp;CHAR(10)&amp;$K484&amp;CHAR(10)&amp;$M484&amp;IF($N484&lt;&gt;"",CHAR(10)&amp;"Salle "&amp;$N484,"")&amp;IF($O484="En ligne",CHAR(10)&amp;"◆ EN LIGNE","")&amp;IF($R484&lt;&gt;"",CHAR(10)&amp;$R484,"")</f>
        <v/>
      </c>
      <c r="Y484" s="45" t="inlineStr"/>
      <c r="Z484" s="45" t="inlineStr">
        <is>
          <t>— généré —</t>
        </is>
      </c>
    </row>
    <row r="485" ht="15" customHeight="1">
      <c r="A485" s="10" t="inlineStr">
        <is>
          <t>S5</t>
        </is>
      </c>
      <c r="B485" s="9" t="inlineStr">
        <is>
          <t>du 12 au 18 octobre 2026</t>
        </is>
      </c>
      <c r="C485" s="10" t="inlineStr">
        <is>
          <t>A</t>
        </is>
      </c>
      <c r="D485" s="41" t="n">
        <v>46313</v>
      </c>
      <c r="E485" s="10" t="inlineStr">
        <is>
          <t>Dimanche</t>
        </is>
      </c>
      <c r="F485" s="42" t="n">
        <v>0.5833333333333334</v>
      </c>
      <c r="G485" s="42" t="n">
        <v>0.6458333333333334</v>
      </c>
      <c r="H485" s="43">
        <f>IF(OR($F485="",$G485=""),"",($G485-$F485)*24)</f>
        <v/>
      </c>
      <c r="I485" s="10" t="inlineStr">
        <is>
          <t>Collège</t>
        </is>
      </c>
      <c r="J485" s="9" t="inlineStr">
        <is>
          <t>7éme (A)</t>
        </is>
      </c>
      <c r="K485" s="9" t="inlineStr">
        <is>
          <t>Français</t>
        </is>
      </c>
      <c r="L485" s="9" t="inlineStr">
        <is>
          <t>Français</t>
        </is>
      </c>
      <c r="M485" s="9" t="inlineStr">
        <is>
          <t>Marwa</t>
        </is>
      </c>
      <c r="N485" s="10" t="n"/>
      <c r="O485" s="10" t="n"/>
      <c r="P485" s="10" t="inlineStr">
        <is>
          <t>Hebdomadaire</t>
        </is>
      </c>
      <c r="Q485" s="9" t="inlineStr">
        <is>
          <t>Généré (octobre)</t>
        </is>
      </c>
      <c r="R485" s="9" t="inlineStr"/>
      <c r="S485" s="44">
        <f>IF($M485="","",IF(SUMPRODUCT(($D$4:$D$704=$D485)*($M$4:$M$704=$M485)*($F$4:$F$704&lt;$G485)*($G$4:$G$704&gt;$F485))&gt;1,"⚠ CONFLIT",""))</f>
        <v/>
      </c>
      <c r="T485" s="44">
        <f>IF($J485="","",IF(SUMPRODUCT(($D$4:$D$704=$D485)*($J$4:$J$704=$J485)*($F$4:$F$704&lt;$G485)*($G$4:$G$704&gt;$F485))&gt;1,"⚠ CONFLIT",""))</f>
        <v/>
      </c>
      <c r="U485" s="44">
        <f>IF(COUNTIFS($D$4:$D$704,$D485,$J$4:$J$704,$J485,$F$4:$F$704,$F485,$K$4:$K$704,$K485)&gt;1,"⚠ DOUBLON","")</f>
        <v/>
      </c>
      <c r="V485" s="44">
        <f>COUNTIFS($A$4:$A485,$A485,$J$4:$J485,$J485,$E$4:$E485,$E485)</f>
        <v/>
      </c>
      <c r="W485" s="45">
        <f>$A485&amp;"|"&amp;$J485&amp;"|"&amp;$E485&amp;"|"&amp;$V485</f>
        <v/>
      </c>
      <c r="X485" s="46">
        <f>TEXT($F485,"hh:mm")&amp;" - "&amp;TEXT($G485,"hh:mm")&amp;IF($P485="Quinzaine A","   ◆ Q-A",IF($P485="Quinzaine B","   ◆ Q-B",IF($P485="Exception","   ◆ PONCTUEL","")))&amp;CHAR(10)&amp;$K485&amp;CHAR(10)&amp;$M485&amp;IF($N485&lt;&gt;"",CHAR(10)&amp;"Salle "&amp;$N485,"")&amp;IF($O485="En ligne",CHAR(10)&amp;"◆ EN LIGNE","")&amp;IF($R485&lt;&gt;"",CHAR(10)&amp;$R485,"")</f>
        <v/>
      </c>
      <c r="Y485" s="45" t="inlineStr"/>
      <c r="Z485" s="45" t="inlineStr">
        <is>
          <t>— généré —</t>
        </is>
      </c>
    </row>
    <row r="486" ht="15" customHeight="1">
      <c r="A486" s="10" t="inlineStr">
        <is>
          <t>S5</t>
        </is>
      </c>
      <c r="B486" s="9" t="inlineStr">
        <is>
          <t>du 12 au 18 octobre 2026</t>
        </is>
      </c>
      <c r="C486" s="10" t="inlineStr">
        <is>
          <t>A</t>
        </is>
      </c>
      <c r="D486" s="41" t="n">
        <v>46313</v>
      </c>
      <c r="E486" s="10" t="inlineStr">
        <is>
          <t>Dimanche</t>
        </is>
      </c>
      <c r="F486" s="42" t="n">
        <v>0.6458333333333334</v>
      </c>
      <c r="G486" s="42" t="n">
        <v>0.7083333333333334</v>
      </c>
      <c r="H486" s="43">
        <f>IF(OR($F486="",$G486=""),"",($G486-$F486)*24)</f>
        <v/>
      </c>
      <c r="I486" s="10" t="inlineStr">
        <is>
          <t>Collège</t>
        </is>
      </c>
      <c r="J486" s="9" t="inlineStr">
        <is>
          <t>7éme (B)</t>
        </is>
      </c>
      <c r="K486" s="9" t="inlineStr">
        <is>
          <t>Français</t>
        </is>
      </c>
      <c r="L486" s="9" t="inlineStr">
        <is>
          <t>Français</t>
        </is>
      </c>
      <c r="M486" s="9" t="inlineStr">
        <is>
          <t>Marwa</t>
        </is>
      </c>
      <c r="N486" s="10" t="n"/>
      <c r="O486" s="10" t="n"/>
      <c r="P486" s="10" t="inlineStr">
        <is>
          <t>Hebdomadaire</t>
        </is>
      </c>
      <c r="Q486" s="9" t="inlineStr">
        <is>
          <t>Généré (octobre)</t>
        </is>
      </c>
      <c r="R486" s="9" t="inlineStr"/>
      <c r="S486" s="44">
        <f>IF($M486="","",IF(SUMPRODUCT(($D$4:$D$704=$D486)*($M$4:$M$704=$M486)*($F$4:$F$704&lt;$G486)*($G$4:$G$704&gt;$F486))&gt;1,"⚠ CONFLIT",""))</f>
        <v/>
      </c>
      <c r="T486" s="44">
        <f>IF($J486="","",IF(SUMPRODUCT(($D$4:$D$704=$D486)*($J$4:$J$704=$J486)*($F$4:$F$704&lt;$G486)*($G$4:$G$704&gt;$F486))&gt;1,"⚠ CONFLIT",""))</f>
        <v/>
      </c>
      <c r="U486" s="44">
        <f>IF(COUNTIFS($D$4:$D$704,$D486,$J$4:$J$704,$J486,$F$4:$F$704,$F486,$K$4:$K$704,$K486)&gt;1,"⚠ DOUBLON","")</f>
        <v/>
      </c>
      <c r="V486" s="44">
        <f>COUNTIFS($A$4:$A486,$A486,$J$4:$J486,$J486,$E$4:$E486,$E486)</f>
        <v/>
      </c>
      <c r="W486" s="45">
        <f>$A486&amp;"|"&amp;$J486&amp;"|"&amp;$E486&amp;"|"&amp;$V486</f>
        <v/>
      </c>
      <c r="X486" s="46">
        <f>TEXT($F486,"hh:mm")&amp;" - "&amp;TEXT($G486,"hh:mm")&amp;IF($P486="Quinzaine A","   ◆ Q-A",IF($P486="Quinzaine B","   ◆ Q-B",IF($P486="Exception","   ◆ PONCTUEL","")))&amp;CHAR(10)&amp;$K486&amp;CHAR(10)&amp;$M486&amp;IF($N486&lt;&gt;"",CHAR(10)&amp;"Salle "&amp;$N486,"")&amp;IF($O486="En ligne",CHAR(10)&amp;"◆ EN LIGNE","")&amp;IF($R486&lt;&gt;"",CHAR(10)&amp;$R486,"")</f>
        <v/>
      </c>
      <c r="Y486" s="45" t="inlineStr"/>
      <c r="Z486" s="45" t="inlineStr">
        <is>
          <t>— généré —</t>
        </is>
      </c>
    </row>
    <row r="487" ht="15" customHeight="1">
      <c r="A487" s="10" t="inlineStr">
        <is>
          <t>S5</t>
        </is>
      </c>
      <c r="B487" s="9" t="inlineStr">
        <is>
          <t>du 12 au 18 octobre 2026</t>
        </is>
      </c>
      <c r="C487" s="10" t="inlineStr">
        <is>
          <t>A</t>
        </is>
      </c>
      <c r="D487" s="41" t="n">
        <v>46313</v>
      </c>
      <c r="E487" s="10" t="inlineStr">
        <is>
          <t>Dimanche</t>
        </is>
      </c>
      <c r="F487" s="42" t="n">
        <v>0.5729166666666666</v>
      </c>
      <c r="G487" s="42" t="n">
        <v>0.6354166666666666</v>
      </c>
      <c r="H487" s="43">
        <f>IF(OR($F487="",$G487=""),"",($G487-$F487)*24)</f>
        <v/>
      </c>
      <c r="I487" s="10" t="inlineStr">
        <is>
          <t>Collège</t>
        </is>
      </c>
      <c r="J487" s="9" t="inlineStr">
        <is>
          <t>8éme (A)</t>
        </is>
      </c>
      <c r="K487" s="9" t="inlineStr">
        <is>
          <t>Math</t>
        </is>
      </c>
      <c r="L487" s="9" t="inlineStr">
        <is>
          <t>Math</t>
        </is>
      </c>
      <c r="M487" s="9" t="inlineStr">
        <is>
          <t>Hajer</t>
        </is>
      </c>
      <c r="N487" s="10" t="n"/>
      <c r="O487" s="10" t="n"/>
      <c r="P487" s="10" t="inlineStr">
        <is>
          <t>Hebdomadaire</t>
        </is>
      </c>
      <c r="Q487" s="9" t="inlineStr">
        <is>
          <t>Généré (octobre)</t>
        </is>
      </c>
      <c r="R487" s="9" t="inlineStr"/>
      <c r="S487" s="44">
        <f>IF($M487="","",IF(SUMPRODUCT(($D$4:$D$704=$D487)*($M$4:$M$704=$M487)*($F$4:$F$704&lt;$G487)*($G$4:$G$704&gt;$F487))&gt;1,"⚠ CONFLIT",""))</f>
        <v/>
      </c>
      <c r="T487" s="44">
        <f>IF($J487="","",IF(SUMPRODUCT(($D$4:$D$704=$D487)*($J$4:$J$704=$J487)*($F$4:$F$704&lt;$G487)*($G$4:$G$704&gt;$F487))&gt;1,"⚠ CONFLIT",""))</f>
        <v/>
      </c>
      <c r="U487" s="44">
        <f>IF(COUNTIFS($D$4:$D$704,$D487,$J$4:$J$704,$J487,$F$4:$F$704,$F487,$K$4:$K$704,$K487)&gt;1,"⚠ DOUBLON","")</f>
        <v/>
      </c>
      <c r="V487" s="44">
        <f>COUNTIFS($A$4:$A487,$A487,$J$4:$J487,$J487,$E$4:$E487,$E487)</f>
        <v/>
      </c>
      <c r="W487" s="45">
        <f>$A487&amp;"|"&amp;$J487&amp;"|"&amp;$E487&amp;"|"&amp;$V487</f>
        <v/>
      </c>
      <c r="X487" s="46">
        <f>TEXT($F487,"hh:mm")&amp;" - "&amp;TEXT($G487,"hh:mm")&amp;IF($P487="Quinzaine A","   ◆ Q-A",IF($P487="Quinzaine B","   ◆ Q-B",IF($P487="Exception","   ◆ PONCTUEL","")))&amp;CHAR(10)&amp;$K487&amp;CHAR(10)&amp;$M487&amp;IF($N487&lt;&gt;"",CHAR(10)&amp;"Salle "&amp;$N487,"")&amp;IF($O487="En ligne",CHAR(10)&amp;"◆ EN LIGNE","")&amp;IF($R487&lt;&gt;"",CHAR(10)&amp;$R487,"")</f>
        <v/>
      </c>
      <c r="Y487" s="45" t="inlineStr"/>
      <c r="Z487" s="45" t="inlineStr">
        <is>
          <t>— généré —</t>
        </is>
      </c>
    </row>
    <row r="488" ht="15" customHeight="1">
      <c r="A488" s="10" t="inlineStr">
        <is>
          <t>S5</t>
        </is>
      </c>
      <c r="B488" s="9" t="inlineStr">
        <is>
          <t>du 12 au 18 octobre 2026</t>
        </is>
      </c>
      <c r="C488" s="10" t="inlineStr">
        <is>
          <t>A</t>
        </is>
      </c>
      <c r="D488" s="41" t="n">
        <v>46313</v>
      </c>
      <c r="E488" s="10" t="inlineStr">
        <is>
          <t>Dimanche</t>
        </is>
      </c>
      <c r="F488" s="42" t="n">
        <v>0.7083333333333334</v>
      </c>
      <c r="G488" s="42" t="n">
        <v>0.7708333333333334</v>
      </c>
      <c r="H488" s="43">
        <f>IF(OR($F488="",$G488=""),"",($G488-$F488)*24)</f>
        <v/>
      </c>
      <c r="I488" s="10" t="inlineStr">
        <is>
          <t>Collège</t>
        </is>
      </c>
      <c r="J488" s="9" t="inlineStr">
        <is>
          <t>8éme (B)</t>
        </is>
      </c>
      <c r="K488" s="9" t="inlineStr">
        <is>
          <t>Français</t>
        </is>
      </c>
      <c r="L488" s="9" t="inlineStr">
        <is>
          <t>Français</t>
        </is>
      </c>
      <c r="M488" s="9" t="inlineStr">
        <is>
          <t>Marwa</t>
        </is>
      </c>
      <c r="N488" s="10" t="n"/>
      <c r="O488" s="10" t="n"/>
      <c r="P488" s="10" t="inlineStr">
        <is>
          <t>Hebdomadaire</t>
        </is>
      </c>
      <c r="Q488" s="9" t="inlineStr">
        <is>
          <t>Généré (octobre)</t>
        </is>
      </c>
      <c r="R488" s="9" t="inlineStr"/>
      <c r="S488" s="44">
        <f>IF($M488="","",IF(SUMPRODUCT(($D$4:$D$704=$D488)*($M$4:$M$704=$M488)*($F$4:$F$704&lt;$G488)*($G$4:$G$704&gt;$F488))&gt;1,"⚠ CONFLIT",""))</f>
        <v/>
      </c>
      <c r="T488" s="44">
        <f>IF($J488="","",IF(SUMPRODUCT(($D$4:$D$704=$D488)*($J$4:$J$704=$J488)*($F$4:$F$704&lt;$G488)*($G$4:$G$704&gt;$F488))&gt;1,"⚠ CONFLIT",""))</f>
        <v/>
      </c>
      <c r="U488" s="44">
        <f>IF(COUNTIFS($D$4:$D$704,$D488,$J$4:$J$704,$J488,$F$4:$F$704,$F488,$K$4:$K$704,$K488)&gt;1,"⚠ DOUBLON","")</f>
        <v/>
      </c>
      <c r="V488" s="44">
        <f>COUNTIFS($A$4:$A488,$A488,$J$4:$J488,$J488,$E$4:$E488,$E488)</f>
        <v/>
      </c>
      <c r="W488" s="45">
        <f>$A488&amp;"|"&amp;$J488&amp;"|"&amp;$E488&amp;"|"&amp;$V488</f>
        <v/>
      </c>
      <c r="X488" s="46">
        <f>TEXT($F488,"hh:mm")&amp;" - "&amp;TEXT($G488,"hh:mm")&amp;IF($P488="Quinzaine A","   ◆ Q-A",IF($P488="Quinzaine B","   ◆ Q-B",IF($P488="Exception","   ◆ PONCTUEL","")))&amp;CHAR(10)&amp;$K488&amp;CHAR(10)&amp;$M488&amp;IF($N488&lt;&gt;"",CHAR(10)&amp;"Salle "&amp;$N488,"")&amp;IF($O488="En ligne",CHAR(10)&amp;"◆ EN LIGNE","")&amp;IF($R488&lt;&gt;"",CHAR(10)&amp;$R488,"")</f>
        <v/>
      </c>
      <c r="Y488" s="45" t="inlineStr"/>
      <c r="Z488" s="45" t="inlineStr">
        <is>
          <t>— généré —</t>
        </is>
      </c>
    </row>
    <row r="489" ht="15" customHeight="1">
      <c r="A489" s="10" t="inlineStr">
        <is>
          <t>S5</t>
        </is>
      </c>
      <c r="B489" s="9" t="inlineStr">
        <is>
          <t>du 12 au 18 octobre 2026</t>
        </is>
      </c>
      <c r="C489" s="10" t="inlineStr">
        <is>
          <t>A</t>
        </is>
      </c>
      <c r="D489" s="41" t="n">
        <v>46313</v>
      </c>
      <c r="E489" s="10" t="inlineStr">
        <is>
          <t>Dimanche</t>
        </is>
      </c>
      <c r="F489" s="42" t="n">
        <v>0.4375</v>
      </c>
      <c r="G489" s="42" t="n">
        <v>0.5</v>
      </c>
      <c r="H489" s="43">
        <f>IF(OR($F489="",$G489=""),"",($G489-$F489)*24)</f>
        <v/>
      </c>
      <c r="I489" s="10" t="inlineStr">
        <is>
          <t>Collège</t>
        </is>
      </c>
      <c r="J489" s="9" t="inlineStr">
        <is>
          <t>9éme (A)</t>
        </is>
      </c>
      <c r="K489" s="9" t="inlineStr">
        <is>
          <t>Anglais</t>
        </is>
      </c>
      <c r="L489" s="9" t="inlineStr">
        <is>
          <t>Anglais</t>
        </is>
      </c>
      <c r="M489" s="9" t="inlineStr">
        <is>
          <t>Bassma</t>
        </is>
      </c>
      <c r="N489" s="10" t="n"/>
      <c r="O489" s="10" t="n"/>
      <c r="P489" s="10" t="inlineStr">
        <is>
          <t>Hebdomadaire</t>
        </is>
      </c>
      <c r="Q489" s="9" t="inlineStr">
        <is>
          <t>Généré (octobre)</t>
        </is>
      </c>
      <c r="R489" s="9" t="inlineStr"/>
      <c r="S489" s="44">
        <f>IF($M489="","",IF(SUMPRODUCT(($D$4:$D$704=$D489)*($M$4:$M$704=$M489)*($F$4:$F$704&lt;$G489)*($G$4:$G$704&gt;$F489))&gt;1,"⚠ CONFLIT",""))</f>
        <v/>
      </c>
      <c r="T489" s="44">
        <f>IF($J489="","",IF(SUMPRODUCT(($D$4:$D$704=$D489)*($J$4:$J$704=$J489)*($F$4:$F$704&lt;$G489)*($G$4:$G$704&gt;$F489))&gt;1,"⚠ CONFLIT",""))</f>
        <v/>
      </c>
      <c r="U489" s="44">
        <f>IF(COUNTIFS($D$4:$D$704,$D489,$J$4:$J$704,$J489,$F$4:$F$704,$F489,$K$4:$K$704,$K489)&gt;1,"⚠ DOUBLON","")</f>
        <v/>
      </c>
      <c r="V489" s="44">
        <f>COUNTIFS($A$4:$A489,$A489,$J$4:$J489,$J489,$E$4:$E489,$E489)</f>
        <v/>
      </c>
      <c r="W489" s="45">
        <f>$A489&amp;"|"&amp;$J489&amp;"|"&amp;$E489&amp;"|"&amp;$V489</f>
        <v/>
      </c>
      <c r="X489" s="46">
        <f>TEXT($F489,"hh:mm")&amp;" - "&amp;TEXT($G489,"hh:mm")&amp;IF($P489="Quinzaine A","   ◆ Q-A",IF($P489="Quinzaine B","   ◆ Q-B",IF($P489="Exception","   ◆ PONCTUEL","")))&amp;CHAR(10)&amp;$K489&amp;CHAR(10)&amp;$M489&amp;IF($N489&lt;&gt;"",CHAR(10)&amp;"Salle "&amp;$N489,"")&amp;IF($O489="En ligne",CHAR(10)&amp;"◆ EN LIGNE","")&amp;IF($R489&lt;&gt;"",CHAR(10)&amp;$R489,"")</f>
        <v/>
      </c>
      <c r="Y489" s="45" t="inlineStr"/>
      <c r="Z489" s="45" t="inlineStr">
        <is>
          <t>— généré —</t>
        </is>
      </c>
    </row>
    <row r="490" ht="15" customHeight="1">
      <c r="A490" s="10" t="inlineStr">
        <is>
          <t>S5</t>
        </is>
      </c>
      <c r="B490" s="9" t="inlineStr">
        <is>
          <t>du 12 au 18 octobre 2026</t>
        </is>
      </c>
      <c r="C490" s="10" t="inlineStr">
        <is>
          <t>A</t>
        </is>
      </c>
      <c r="D490" s="41" t="n">
        <v>46313</v>
      </c>
      <c r="E490" s="10" t="inlineStr">
        <is>
          <t>Dimanche</t>
        </is>
      </c>
      <c r="F490" s="42" t="n">
        <v>0.6458333333333334</v>
      </c>
      <c r="G490" s="42" t="n">
        <v>0.7083333333333334</v>
      </c>
      <c r="H490" s="43">
        <f>IF(OR($F490="",$G490=""),"",($G490-$F490)*24)</f>
        <v/>
      </c>
      <c r="I490" s="10" t="inlineStr">
        <is>
          <t>Collège</t>
        </is>
      </c>
      <c r="J490" s="9" t="inlineStr">
        <is>
          <t>9éme (A)</t>
        </is>
      </c>
      <c r="K490" s="9" t="inlineStr">
        <is>
          <t>Français</t>
        </is>
      </c>
      <c r="L490" s="9" t="inlineStr">
        <is>
          <t>Français</t>
        </is>
      </c>
      <c r="M490" s="9" t="inlineStr">
        <is>
          <t>Nassima</t>
        </is>
      </c>
      <c r="N490" s="10" t="n"/>
      <c r="O490" s="10" t="n"/>
      <c r="P490" s="10" t="inlineStr">
        <is>
          <t>Hebdomadaire</t>
        </is>
      </c>
      <c r="Q490" s="9" t="inlineStr">
        <is>
          <t>Généré (octobre)</t>
        </is>
      </c>
      <c r="R490" s="9" t="inlineStr"/>
      <c r="S490" s="44">
        <f>IF($M490="","",IF(SUMPRODUCT(($D$4:$D$704=$D490)*($M$4:$M$704=$M490)*($F$4:$F$704&lt;$G490)*($G$4:$G$704&gt;$F490))&gt;1,"⚠ CONFLIT",""))</f>
        <v/>
      </c>
      <c r="T490" s="44">
        <f>IF($J490="","",IF(SUMPRODUCT(($D$4:$D$704=$D490)*($J$4:$J$704=$J490)*($F$4:$F$704&lt;$G490)*($G$4:$G$704&gt;$F490))&gt;1,"⚠ CONFLIT",""))</f>
        <v/>
      </c>
      <c r="U490" s="44">
        <f>IF(COUNTIFS($D$4:$D$704,$D490,$J$4:$J$704,$J490,$F$4:$F$704,$F490,$K$4:$K$704,$K490)&gt;1,"⚠ DOUBLON","")</f>
        <v/>
      </c>
      <c r="V490" s="44">
        <f>COUNTIFS($A$4:$A490,$A490,$J$4:$J490,$J490,$E$4:$E490,$E490)</f>
        <v/>
      </c>
      <c r="W490" s="45">
        <f>$A490&amp;"|"&amp;$J490&amp;"|"&amp;$E490&amp;"|"&amp;$V490</f>
        <v/>
      </c>
      <c r="X490" s="46">
        <f>TEXT($F490,"hh:mm")&amp;" - "&amp;TEXT($G490,"hh:mm")&amp;IF($P490="Quinzaine A","   ◆ Q-A",IF($P490="Quinzaine B","   ◆ Q-B",IF($P490="Exception","   ◆ PONCTUEL","")))&amp;CHAR(10)&amp;$K490&amp;CHAR(10)&amp;$M490&amp;IF($N490&lt;&gt;"",CHAR(10)&amp;"Salle "&amp;$N490,"")&amp;IF($O490="En ligne",CHAR(10)&amp;"◆ EN LIGNE","")&amp;IF($R490&lt;&gt;"",CHAR(10)&amp;$R490,"")</f>
        <v/>
      </c>
      <c r="Y490" s="45" t="inlineStr"/>
      <c r="Z490" s="45" t="inlineStr">
        <is>
          <t>— généré —</t>
        </is>
      </c>
    </row>
    <row r="491" ht="15" customHeight="1">
      <c r="A491" s="10" t="inlineStr">
        <is>
          <t>S5</t>
        </is>
      </c>
      <c r="B491" s="9" t="inlineStr">
        <is>
          <t>du 12 au 18 octobre 2026</t>
        </is>
      </c>
      <c r="C491" s="10" t="inlineStr">
        <is>
          <t>A</t>
        </is>
      </c>
      <c r="D491" s="41" t="n">
        <v>46313</v>
      </c>
      <c r="E491" s="10" t="inlineStr">
        <is>
          <t>Dimanche</t>
        </is>
      </c>
      <c r="F491" s="42" t="n">
        <v>0.375</v>
      </c>
      <c r="G491" s="42" t="n">
        <v>0.4375</v>
      </c>
      <c r="H491" s="43">
        <f>IF(OR($F491="",$G491=""),"",($G491-$F491)*24)</f>
        <v/>
      </c>
      <c r="I491" s="10" t="inlineStr">
        <is>
          <t>Collège</t>
        </is>
      </c>
      <c r="J491" s="9" t="inlineStr">
        <is>
          <t>9éme (B)</t>
        </is>
      </c>
      <c r="K491" s="9" t="inlineStr">
        <is>
          <t>Anglais</t>
        </is>
      </c>
      <c r="L491" s="9" t="inlineStr">
        <is>
          <t>Anglais</t>
        </is>
      </c>
      <c r="M491" s="9" t="inlineStr">
        <is>
          <t>Bassma</t>
        </is>
      </c>
      <c r="N491" s="10" t="n"/>
      <c r="O491" s="10" t="n"/>
      <c r="P491" s="10" t="inlineStr">
        <is>
          <t>Hebdomadaire</t>
        </is>
      </c>
      <c r="Q491" s="9" t="inlineStr">
        <is>
          <t>Généré (octobre)</t>
        </is>
      </c>
      <c r="R491" s="9" t="inlineStr"/>
      <c r="S491" s="44">
        <f>IF($M491="","",IF(SUMPRODUCT(($D$4:$D$704=$D491)*($M$4:$M$704=$M491)*($F$4:$F$704&lt;$G491)*($G$4:$G$704&gt;$F491))&gt;1,"⚠ CONFLIT",""))</f>
        <v/>
      </c>
      <c r="T491" s="44">
        <f>IF($J491="","",IF(SUMPRODUCT(($D$4:$D$704=$D491)*($J$4:$J$704=$J491)*($F$4:$F$704&lt;$G491)*($G$4:$G$704&gt;$F491))&gt;1,"⚠ CONFLIT",""))</f>
        <v/>
      </c>
      <c r="U491" s="44">
        <f>IF(COUNTIFS($D$4:$D$704,$D491,$J$4:$J$704,$J491,$F$4:$F$704,$F491,$K$4:$K$704,$K491)&gt;1,"⚠ DOUBLON","")</f>
        <v/>
      </c>
      <c r="V491" s="44">
        <f>COUNTIFS($A$4:$A491,$A491,$J$4:$J491,$J491,$E$4:$E491,$E491)</f>
        <v/>
      </c>
      <c r="W491" s="45">
        <f>$A491&amp;"|"&amp;$J491&amp;"|"&amp;$E491&amp;"|"&amp;$V491</f>
        <v/>
      </c>
      <c r="X491" s="46">
        <f>TEXT($F491,"hh:mm")&amp;" - "&amp;TEXT($G491,"hh:mm")&amp;IF($P491="Quinzaine A","   ◆ Q-A",IF($P491="Quinzaine B","   ◆ Q-B",IF($P491="Exception","   ◆ PONCTUEL","")))&amp;CHAR(10)&amp;$K491&amp;CHAR(10)&amp;$M491&amp;IF($N491&lt;&gt;"",CHAR(10)&amp;"Salle "&amp;$N491,"")&amp;IF($O491="En ligne",CHAR(10)&amp;"◆ EN LIGNE","")&amp;IF($R491&lt;&gt;"",CHAR(10)&amp;$R491,"")</f>
        <v/>
      </c>
      <c r="Y491" s="45" t="inlineStr"/>
      <c r="Z491" s="45" t="inlineStr">
        <is>
          <t>— généré —</t>
        </is>
      </c>
    </row>
    <row r="492" ht="15" customHeight="1">
      <c r="A492" s="10" t="inlineStr">
        <is>
          <t>S5</t>
        </is>
      </c>
      <c r="B492" s="9" t="inlineStr">
        <is>
          <t>du 12 au 18 octobre 2026</t>
        </is>
      </c>
      <c r="C492" s="10" t="inlineStr">
        <is>
          <t>A</t>
        </is>
      </c>
      <c r="D492" s="41" t="n">
        <v>46313</v>
      </c>
      <c r="E492" s="10" t="inlineStr">
        <is>
          <t>Dimanche</t>
        </is>
      </c>
      <c r="F492" s="42" t="n">
        <v>0.7083333333333334</v>
      </c>
      <c r="G492" s="42" t="n">
        <v>0.7708333333333334</v>
      </c>
      <c r="H492" s="43">
        <f>IF(OR($F492="",$G492=""),"",($G492-$F492)*24)</f>
        <v/>
      </c>
      <c r="I492" s="10" t="inlineStr">
        <is>
          <t>Collège</t>
        </is>
      </c>
      <c r="J492" s="9" t="inlineStr">
        <is>
          <t>9éme (B)</t>
        </is>
      </c>
      <c r="K492" s="9" t="inlineStr">
        <is>
          <t>Français</t>
        </is>
      </c>
      <c r="L492" s="9" t="inlineStr">
        <is>
          <t>Français</t>
        </is>
      </c>
      <c r="M492" s="9" t="inlineStr">
        <is>
          <t>Nassima</t>
        </is>
      </c>
      <c r="N492" s="10" t="n"/>
      <c r="O492" s="10" t="n"/>
      <c r="P492" s="10" t="inlineStr">
        <is>
          <t>Hebdomadaire</t>
        </is>
      </c>
      <c r="Q492" s="9" t="inlineStr">
        <is>
          <t>Généré (octobre)</t>
        </is>
      </c>
      <c r="R492" s="9" t="inlineStr"/>
      <c r="S492" s="44">
        <f>IF($M492="","",IF(SUMPRODUCT(($D$4:$D$704=$D492)*($M$4:$M$704=$M492)*($F$4:$F$704&lt;$G492)*($G$4:$G$704&gt;$F492))&gt;1,"⚠ CONFLIT",""))</f>
        <v/>
      </c>
      <c r="T492" s="44">
        <f>IF($J492="","",IF(SUMPRODUCT(($D$4:$D$704=$D492)*($J$4:$J$704=$J492)*($F$4:$F$704&lt;$G492)*($G$4:$G$704&gt;$F492))&gt;1,"⚠ CONFLIT",""))</f>
        <v/>
      </c>
      <c r="U492" s="44">
        <f>IF(COUNTIFS($D$4:$D$704,$D492,$J$4:$J$704,$J492,$F$4:$F$704,$F492,$K$4:$K$704,$K492)&gt;1,"⚠ DOUBLON","")</f>
        <v/>
      </c>
      <c r="V492" s="44">
        <f>COUNTIFS($A$4:$A492,$A492,$J$4:$J492,$J492,$E$4:$E492,$E492)</f>
        <v/>
      </c>
      <c r="W492" s="45">
        <f>$A492&amp;"|"&amp;$J492&amp;"|"&amp;$E492&amp;"|"&amp;$V492</f>
        <v/>
      </c>
      <c r="X492" s="46">
        <f>TEXT($F492,"hh:mm")&amp;" - "&amp;TEXT($G492,"hh:mm")&amp;IF($P492="Quinzaine A","   ◆ Q-A",IF($P492="Quinzaine B","   ◆ Q-B",IF($P492="Exception","   ◆ PONCTUEL","")))&amp;CHAR(10)&amp;$K492&amp;CHAR(10)&amp;$M492&amp;IF($N492&lt;&gt;"",CHAR(10)&amp;"Salle "&amp;$N492,"")&amp;IF($O492="En ligne",CHAR(10)&amp;"◆ EN LIGNE","")&amp;IF($R492&lt;&gt;"",CHAR(10)&amp;$R492,"")</f>
        <v/>
      </c>
      <c r="Y492" s="45" t="inlineStr"/>
      <c r="Z492" s="45" t="inlineStr">
        <is>
          <t>— généré —</t>
        </is>
      </c>
    </row>
    <row r="493" ht="15" customHeight="1">
      <c r="A493" s="10" t="inlineStr">
        <is>
          <t>S5</t>
        </is>
      </c>
      <c r="B493" s="9" t="inlineStr">
        <is>
          <t>du 12 au 18 octobre 2026</t>
        </is>
      </c>
      <c r="C493" s="10" t="inlineStr">
        <is>
          <t>A</t>
        </is>
      </c>
      <c r="D493" s="41" t="n">
        <v>46313</v>
      </c>
      <c r="E493" s="10" t="inlineStr">
        <is>
          <t>Dimanche</t>
        </is>
      </c>
      <c r="F493" s="42" t="n">
        <v>0.375</v>
      </c>
      <c r="G493" s="42" t="n">
        <v>0.4375</v>
      </c>
      <c r="H493" s="43">
        <f>IF(OR($F493="",$G493=""),"",($G493-$F493)*24)</f>
        <v/>
      </c>
      <c r="I493" s="10" t="inlineStr">
        <is>
          <t>Secondaire</t>
        </is>
      </c>
      <c r="J493" s="9" t="inlineStr">
        <is>
          <t>1ére (A)</t>
        </is>
      </c>
      <c r="K493" s="9" t="inlineStr">
        <is>
          <t>Physique</t>
        </is>
      </c>
      <c r="L493" s="9" t="inlineStr">
        <is>
          <t>Physique</t>
        </is>
      </c>
      <c r="M493" s="9" t="inlineStr">
        <is>
          <t>Refka</t>
        </is>
      </c>
      <c r="N493" s="10" t="n"/>
      <c r="O493" s="10" t="n"/>
      <c r="P493" s="10" t="inlineStr">
        <is>
          <t>Hebdomadaire</t>
        </is>
      </c>
      <c r="Q493" s="9" t="inlineStr">
        <is>
          <t>Généré (octobre)</t>
        </is>
      </c>
      <c r="R493" s="9" t="inlineStr"/>
      <c r="S493" s="44">
        <f>IF($M493="","",IF(SUMPRODUCT(($D$4:$D$704=$D493)*($M$4:$M$704=$M493)*($F$4:$F$704&lt;$G493)*($G$4:$G$704&gt;$F493))&gt;1,"⚠ CONFLIT",""))</f>
        <v/>
      </c>
      <c r="T493" s="44">
        <f>IF($J493="","",IF(SUMPRODUCT(($D$4:$D$704=$D493)*($J$4:$J$704=$J493)*($F$4:$F$704&lt;$G493)*($G$4:$G$704&gt;$F493))&gt;1,"⚠ CONFLIT",""))</f>
        <v/>
      </c>
      <c r="U493" s="44">
        <f>IF(COUNTIFS($D$4:$D$704,$D493,$J$4:$J$704,$J493,$F$4:$F$704,$F493,$K$4:$K$704,$K493)&gt;1,"⚠ DOUBLON","")</f>
        <v/>
      </c>
      <c r="V493" s="44">
        <f>COUNTIFS($A$4:$A493,$A493,$J$4:$J493,$J493,$E$4:$E493,$E493)</f>
        <v/>
      </c>
      <c r="W493" s="45">
        <f>$A493&amp;"|"&amp;$J493&amp;"|"&amp;$E493&amp;"|"&amp;$V493</f>
        <v/>
      </c>
      <c r="X493" s="46">
        <f>TEXT($F493,"hh:mm")&amp;" - "&amp;TEXT($G493,"hh:mm")&amp;IF($P493="Quinzaine A","   ◆ Q-A",IF($P493="Quinzaine B","   ◆ Q-B",IF($P493="Exception","   ◆ PONCTUEL","")))&amp;CHAR(10)&amp;$K493&amp;CHAR(10)&amp;$M493&amp;IF($N493&lt;&gt;"",CHAR(10)&amp;"Salle "&amp;$N493,"")&amp;IF($O493="En ligne",CHAR(10)&amp;"◆ EN LIGNE","")&amp;IF($R493&lt;&gt;"",CHAR(10)&amp;$R493,"")</f>
        <v/>
      </c>
      <c r="Y493" s="45" t="inlineStr"/>
      <c r="Z493" s="45" t="inlineStr">
        <is>
          <t>— généré —</t>
        </is>
      </c>
    </row>
    <row r="494" ht="15" customHeight="1">
      <c r="A494" s="10" t="inlineStr">
        <is>
          <t>S5</t>
        </is>
      </c>
      <c r="B494" s="9" t="inlineStr">
        <is>
          <t>du 12 au 18 octobre 2026</t>
        </is>
      </c>
      <c r="C494" s="10" t="inlineStr">
        <is>
          <t>A</t>
        </is>
      </c>
      <c r="D494" s="41" t="n">
        <v>46313</v>
      </c>
      <c r="E494" s="10" t="inlineStr">
        <is>
          <t>Dimanche</t>
        </is>
      </c>
      <c r="F494" s="42" t="n">
        <v>0.5416666666666666</v>
      </c>
      <c r="G494" s="42" t="n">
        <v>0.6041666666666666</v>
      </c>
      <c r="H494" s="43">
        <f>IF(OR($F494="",$G494=""),"",($G494-$F494)*24)</f>
        <v/>
      </c>
      <c r="I494" s="10" t="inlineStr">
        <is>
          <t>Secondaire</t>
        </is>
      </c>
      <c r="J494" s="9" t="inlineStr">
        <is>
          <t>1ére (A)</t>
        </is>
      </c>
      <c r="K494" s="9" t="inlineStr">
        <is>
          <t>SVT</t>
        </is>
      </c>
      <c r="L494" s="9" t="inlineStr">
        <is>
          <t>SVT</t>
        </is>
      </c>
      <c r="M494" s="9" t="inlineStr">
        <is>
          <t>Imen Ghoumeme</t>
        </is>
      </c>
      <c r="N494" s="10" t="n"/>
      <c r="O494" s="10" t="n"/>
      <c r="P494" s="10" t="inlineStr">
        <is>
          <t>Quinzaine A</t>
        </is>
      </c>
      <c r="Q494" s="9" t="inlineStr">
        <is>
          <t>Généré (octobre)</t>
        </is>
      </c>
      <c r="R494" s="9" t="inlineStr"/>
      <c r="S494" s="44">
        <f>IF($M494="","",IF(SUMPRODUCT(($D$4:$D$704=$D494)*($M$4:$M$704=$M494)*($F$4:$F$704&lt;$G494)*($G$4:$G$704&gt;$F494))&gt;1,"⚠ CONFLIT",""))</f>
        <v/>
      </c>
      <c r="T494" s="44">
        <f>IF($J494="","",IF(SUMPRODUCT(($D$4:$D$704=$D494)*($J$4:$J$704=$J494)*($F$4:$F$704&lt;$G494)*($G$4:$G$704&gt;$F494))&gt;1,"⚠ CONFLIT",""))</f>
        <v/>
      </c>
      <c r="U494" s="44">
        <f>IF(COUNTIFS($D$4:$D$704,$D494,$J$4:$J$704,$J494,$F$4:$F$704,$F494,$K$4:$K$704,$K494)&gt;1,"⚠ DOUBLON","")</f>
        <v/>
      </c>
      <c r="V494" s="44">
        <f>COUNTIFS($A$4:$A494,$A494,$J$4:$J494,$J494,$E$4:$E494,$E494)</f>
        <v/>
      </c>
      <c r="W494" s="45">
        <f>$A494&amp;"|"&amp;$J494&amp;"|"&amp;$E494&amp;"|"&amp;$V494</f>
        <v/>
      </c>
      <c r="X494" s="46">
        <f>TEXT($F494,"hh:mm")&amp;" - "&amp;TEXT($G494,"hh:mm")&amp;IF($P494="Quinzaine A","   ◆ Q-A",IF($P494="Quinzaine B","   ◆ Q-B",IF($P494="Exception","   ◆ PONCTUEL","")))&amp;CHAR(10)&amp;$K494&amp;CHAR(10)&amp;$M494&amp;IF($N494&lt;&gt;"",CHAR(10)&amp;"Salle "&amp;$N494,"")&amp;IF($O494="En ligne",CHAR(10)&amp;"◆ EN LIGNE","")&amp;IF($R494&lt;&gt;"",CHAR(10)&amp;$R494,"")</f>
        <v/>
      </c>
      <c r="Y494" s="45" t="inlineStr"/>
      <c r="Z494" s="45" t="inlineStr">
        <is>
          <t>— généré —</t>
        </is>
      </c>
    </row>
    <row r="495" ht="15" customHeight="1">
      <c r="A495" s="10" t="inlineStr">
        <is>
          <t>S5</t>
        </is>
      </c>
      <c r="B495" s="9" t="inlineStr">
        <is>
          <t>du 12 au 18 octobre 2026</t>
        </is>
      </c>
      <c r="C495" s="10" t="inlineStr">
        <is>
          <t>A</t>
        </is>
      </c>
      <c r="D495" s="41" t="n">
        <v>46313</v>
      </c>
      <c r="E495" s="10" t="inlineStr">
        <is>
          <t>Dimanche</t>
        </is>
      </c>
      <c r="F495" s="42" t="n">
        <v>0.4375</v>
      </c>
      <c r="G495" s="42" t="n">
        <v>0.5</v>
      </c>
      <c r="H495" s="43">
        <f>IF(OR($F495="",$G495=""),"",($G495-$F495)*24)</f>
        <v/>
      </c>
      <c r="I495" s="10" t="inlineStr">
        <is>
          <t>Secondaire</t>
        </is>
      </c>
      <c r="J495" s="9" t="inlineStr">
        <is>
          <t>1ére (B)</t>
        </is>
      </c>
      <c r="K495" s="9" t="inlineStr">
        <is>
          <t>Physique</t>
        </is>
      </c>
      <c r="L495" s="9" t="inlineStr">
        <is>
          <t>Physique</t>
        </is>
      </c>
      <c r="M495" s="9" t="inlineStr">
        <is>
          <t>Refka</t>
        </is>
      </c>
      <c r="N495" s="10" t="n"/>
      <c r="O495" s="10" t="n"/>
      <c r="P495" s="10" t="inlineStr">
        <is>
          <t>Hebdomadaire</t>
        </is>
      </c>
      <c r="Q495" s="9" t="inlineStr">
        <is>
          <t>Généré (octobre)</t>
        </is>
      </c>
      <c r="R495" s="9" t="inlineStr"/>
      <c r="S495" s="44">
        <f>IF($M495="","",IF(SUMPRODUCT(($D$4:$D$704=$D495)*($M$4:$M$704=$M495)*($F$4:$F$704&lt;$G495)*($G$4:$G$704&gt;$F495))&gt;1,"⚠ CONFLIT",""))</f>
        <v/>
      </c>
      <c r="T495" s="44">
        <f>IF($J495="","",IF(SUMPRODUCT(($D$4:$D$704=$D495)*($J$4:$J$704=$J495)*($F$4:$F$704&lt;$G495)*($G$4:$G$704&gt;$F495))&gt;1,"⚠ CONFLIT",""))</f>
        <v/>
      </c>
      <c r="U495" s="44">
        <f>IF(COUNTIFS($D$4:$D$704,$D495,$J$4:$J$704,$J495,$F$4:$F$704,$F495,$K$4:$K$704,$K495)&gt;1,"⚠ DOUBLON","")</f>
        <v/>
      </c>
      <c r="V495" s="44">
        <f>COUNTIFS($A$4:$A495,$A495,$J$4:$J495,$J495,$E$4:$E495,$E495)</f>
        <v/>
      </c>
      <c r="W495" s="45">
        <f>$A495&amp;"|"&amp;$J495&amp;"|"&amp;$E495&amp;"|"&amp;$V495</f>
        <v/>
      </c>
      <c r="X495" s="46">
        <f>TEXT($F495,"hh:mm")&amp;" - "&amp;TEXT($G495,"hh:mm")&amp;IF($P495="Quinzaine A","   ◆ Q-A",IF($P495="Quinzaine B","   ◆ Q-B",IF($P495="Exception","   ◆ PONCTUEL","")))&amp;CHAR(10)&amp;$K495&amp;CHAR(10)&amp;$M495&amp;IF($N495&lt;&gt;"",CHAR(10)&amp;"Salle "&amp;$N495,"")&amp;IF($O495="En ligne",CHAR(10)&amp;"◆ EN LIGNE","")&amp;IF($R495&lt;&gt;"",CHAR(10)&amp;$R495,"")</f>
        <v/>
      </c>
      <c r="Y495" s="45" t="inlineStr"/>
      <c r="Z495" s="45" t="inlineStr">
        <is>
          <t>— généré —</t>
        </is>
      </c>
    </row>
    <row r="496" ht="15" customHeight="1">
      <c r="A496" s="10" t="inlineStr">
        <is>
          <t>S5</t>
        </is>
      </c>
      <c r="B496" s="9" t="inlineStr">
        <is>
          <t>du 12 au 18 octobre 2026</t>
        </is>
      </c>
      <c r="C496" s="10" t="inlineStr">
        <is>
          <t>A</t>
        </is>
      </c>
      <c r="D496" s="41" t="n">
        <v>46313</v>
      </c>
      <c r="E496" s="10" t="inlineStr">
        <is>
          <t>Dimanche</t>
        </is>
      </c>
      <c r="F496" s="42" t="n">
        <v>0.375</v>
      </c>
      <c r="G496" s="42" t="n">
        <v>0.4375</v>
      </c>
      <c r="H496" s="43">
        <f>IF(OR($F496="",$G496=""),"",($G496-$F496)*24)</f>
        <v/>
      </c>
      <c r="I496" s="10" t="inlineStr">
        <is>
          <t>Secondaire</t>
        </is>
      </c>
      <c r="J496" s="9" t="inlineStr">
        <is>
          <t>2éme Eco</t>
        </is>
      </c>
      <c r="K496" s="9" t="inlineStr">
        <is>
          <t>Eco</t>
        </is>
      </c>
      <c r="L496" s="9" t="inlineStr">
        <is>
          <t>Eco</t>
        </is>
      </c>
      <c r="M496" s="9" t="inlineStr">
        <is>
          <t>Rym</t>
        </is>
      </c>
      <c r="N496" s="10" t="n"/>
      <c r="O496" s="10" t="n"/>
      <c r="P496" s="10" t="inlineStr">
        <is>
          <t>Hebdomadaire</t>
        </is>
      </c>
      <c r="Q496" s="9" t="inlineStr">
        <is>
          <t>Généré (octobre)</t>
        </is>
      </c>
      <c r="R496" s="9" t="inlineStr"/>
      <c r="S496" s="44">
        <f>IF($M496="","",IF(SUMPRODUCT(($D$4:$D$704=$D496)*($M$4:$M$704=$M496)*($F$4:$F$704&lt;$G496)*($G$4:$G$704&gt;$F496))&gt;1,"⚠ CONFLIT",""))</f>
        <v/>
      </c>
      <c r="T496" s="44">
        <f>IF($J496="","",IF(SUMPRODUCT(($D$4:$D$704=$D496)*($J$4:$J$704=$J496)*($F$4:$F$704&lt;$G496)*($G$4:$G$704&gt;$F496))&gt;1,"⚠ CONFLIT",""))</f>
        <v/>
      </c>
      <c r="U496" s="44">
        <f>IF(COUNTIFS($D$4:$D$704,$D496,$J$4:$J$704,$J496,$F$4:$F$704,$F496,$K$4:$K$704,$K496)&gt;1,"⚠ DOUBLON","")</f>
        <v/>
      </c>
      <c r="V496" s="44">
        <f>COUNTIFS($A$4:$A496,$A496,$J$4:$J496,$J496,$E$4:$E496,$E496)</f>
        <v/>
      </c>
      <c r="W496" s="45">
        <f>$A496&amp;"|"&amp;$J496&amp;"|"&amp;$E496&amp;"|"&amp;$V496</f>
        <v/>
      </c>
      <c r="X496" s="46">
        <f>TEXT($F496,"hh:mm")&amp;" - "&amp;TEXT($G496,"hh:mm")&amp;IF($P496="Quinzaine A","   ◆ Q-A",IF($P496="Quinzaine B","   ◆ Q-B",IF($P496="Exception","   ◆ PONCTUEL","")))&amp;CHAR(10)&amp;$K496&amp;CHAR(10)&amp;$M496&amp;IF($N496&lt;&gt;"",CHAR(10)&amp;"Salle "&amp;$N496,"")&amp;IF($O496="En ligne",CHAR(10)&amp;"◆ EN LIGNE","")&amp;IF($R496&lt;&gt;"",CHAR(10)&amp;$R496,"")</f>
        <v/>
      </c>
      <c r="Y496" s="45" t="inlineStr"/>
      <c r="Z496" s="45" t="inlineStr">
        <is>
          <t>— généré —</t>
        </is>
      </c>
    </row>
    <row r="497" ht="15" customHeight="1">
      <c r="A497" s="10" t="inlineStr">
        <is>
          <t>S5</t>
        </is>
      </c>
      <c r="B497" s="9" t="inlineStr">
        <is>
          <t>du 12 au 18 octobre 2026</t>
        </is>
      </c>
      <c r="C497" s="10" t="inlineStr">
        <is>
          <t>A</t>
        </is>
      </c>
      <c r="D497" s="41" t="n">
        <v>46313</v>
      </c>
      <c r="E497" s="10" t="inlineStr">
        <is>
          <t>Dimanche</t>
        </is>
      </c>
      <c r="F497" s="42" t="n">
        <v>0.5</v>
      </c>
      <c r="G497" s="42" t="n">
        <v>0.5625</v>
      </c>
      <c r="H497" s="43">
        <f>IF(OR($F497="",$G497=""),"",($G497-$F497)*24)</f>
        <v/>
      </c>
      <c r="I497" s="10" t="inlineStr">
        <is>
          <t>Secondaire</t>
        </is>
      </c>
      <c r="J497" s="9" t="inlineStr">
        <is>
          <t>2éme SCE</t>
        </is>
      </c>
      <c r="K497" s="9" t="inlineStr">
        <is>
          <t>Physique</t>
        </is>
      </c>
      <c r="L497" s="9" t="inlineStr">
        <is>
          <t>Physique</t>
        </is>
      </c>
      <c r="M497" s="9" t="inlineStr">
        <is>
          <t>Refka</t>
        </is>
      </c>
      <c r="N497" s="10" t="n"/>
      <c r="O497" s="10" t="n"/>
      <c r="P497" s="10" t="inlineStr">
        <is>
          <t>Hebdomadaire</t>
        </is>
      </c>
      <c r="Q497" s="9" t="inlineStr">
        <is>
          <t>Généré (octobre)</t>
        </is>
      </c>
      <c r="R497" s="9" t="inlineStr"/>
      <c r="S497" s="44">
        <f>IF($M497="","",IF(SUMPRODUCT(($D$4:$D$704=$D497)*($M$4:$M$704=$M497)*($F$4:$F$704&lt;$G497)*($G$4:$G$704&gt;$F497))&gt;1,"⚠ CONFLIT",""))</f>
        <v/>
      </c>
      <c r="T497" s="44">
        <f>IF($J497="","",IF(SUMPRODUCT(($D$4:$D$704=$D497)*($J$4:$J$704=$J497)*($F$4:$F$704&lt;$G497)*($G$4:$G$704&gt;$F497))&gt;1,"⚠ CONFLIT",""))</f>
        <v/>
      </c>
      <c r="U497" s="44">
        <f>IF(COUNTIFS($D$4:$D$704,$D497,$J$4:$J$704,$J497,$F$4:$F$704,$F497,$K$4:$K$704,$K497)&gt;1,"⚠ DOUBLON","")</f>
        <v/>
      </c>
      <c r="V497" s="44">
        <f>COUNTIFS($A$4:$A497,$A497,$J$4:$J497,$J497,$E$4:$E497,$E497)</f>
        <v/>
      </c>
      <c r="W497" s="45">
        <f>$A497&amp;"|"&amp;$J497&amp;"|"&amp;$E497&amp;"|"&amp;$V497</f>
        <v/>
      </c>
      <c r="X497" s="46">
        <f>TEXT($F497,"hh:mm")&amp;" - "&amp;TEXT($G497,"hh:mm")&amp;IF($P497="Quinzaine A","   ◆ Q-A",IF($P497="Quinzaine B","   ◆ Q-B",IF($P497="Exception","   ◆ PONCTUEL","")))&amp;CHAR(10)&amp;$K497&amp;CHAR(10)&amp;$M497&amp;IF($N497&lt;&gt;"",CHAR(10)&amp;"Salle "&amp;$N497,"")&amp;IF($O497="En ligne",CHAR(10)&amp;"◆ EN LIGNE","")&amp;IF($R497&lt;&gt;"",CHAR(10)&amp;$R497,"")</f>
        <v/>
      </c>
      <c r="Y497" s="45" t="inlineStr"/>
      <c r="Z497" s="45" t="inlineStr">
        <is>
          <t>— généré —</t>
        </is>
      </c>
    </row>
    <row r="498" ht="15" customHeight="1">
      <c r="A498" s="10" t="inlineStr">
        <is>
          <t>S5</t>
        </is>
      </c>
      <c r="B498" s="9" t="inlineStr">
        <is>
          <t>du 12 au 18 octobre 2026</t>
        </is>
      </c>
      <c r="C498" s="10" t="inlineStr">
        <is>
          <t>A</t>
        </is>
      </c>
      <c r="D498" s="41" t="n">
        <v>46313</v>
      </c>
      <c r="E498" s="10" t="inlineStr">
        <is>
          <t>Dimanche</t>
        </is>
      </c>
      <c r="F498" s="42" t="n">
        <v>0.4375</v>
      </c>
      <c r="G498" s="42" t="n">
        <v>0.5</v>
      </c>
      <c r="H498" s="43">
        <f>IF(OR($F498="",$G498=""),"",($G498-$F498)*24)</f>
        <v/>
      </c>
      <c r="I498" s="10" t="inlineStr">
        <is>
          <t>Secondaire</t>
        </is>
      </c>
      <c r="J498" s="9" t="inlineStr">
        <is>
          <t>3éme Eco</t>
        </is>
      </c>
      <c r="K498" s="9" t="inlineStr">
        <is>
          <t>Eco</t>
        </is>
      </c>
      <c r="L498" s="9" t="inlineStr">
        <is>
          <t>Eco</t>
        </is>
      </c>
      <c r="M498" s="9" t="inlineStr">
        <is>
          <t>Rym</t>
        </is>
      </c>
      <c r="N498" s="10" t="n"/>
      <c r="O498" s="10" t="n"/>
      <c r="P498" s="10" t="inlineStr">
        <is>
          <t>Hebdomadaire</t>
        </is>
      </c>
      <c r="Q498" s="9" t="inlineStr">
        <is>
          <t>Généré (octobre)</t>
        </is>
      </c>
      <c r="R498" s="9" t="inlineStr"/>
      <c r="S498" s="44">
        <f>IF($M498="","",IF(SUMPRODUCT(($D$4:$D$704=$D498)*($M$4:$M$704=$M498)*($F$4:$F$704&lt;$G498)*($G$4:$G$704&gt;$F498))&gt;1,"⚠ CONFLIT",""))</f>
        <v/>
      </c>
      <c r="T498" s="44">
        <f>IF($J498="","",IF(SUMPRODUCT(($D$4:$D$704=$D498)*($J$4:$J$704=$J498)*($F$4:$F$704&lt;$G498)*($G$4:$G$704&gt;$F498))&gt;1,"⚠ CONFLIT",""))</f>
        <v/>
      </c>
      <c r="U498" s="44">
        <f>IF(COUNTIFS($D$4:$D$704,$D498,$J$4:$J$704,$J498,$F$4:$F$704,$F498,$K$4:$K$704,$K498)&gt;1,"⚠ DOUBLON","")</f>
        <v/>
      </c>
      <c r="V498" s="44">
        <f>COUNTIFS($A$4:$A498,$A498,$J$4:$J498,$J498,$E$4:$E498,$E498)</f>
        <v/>
      </c>
      <c r="W498" s="45">
        <f>$A498&amp;"|"&amp;$J498&amp;"|"&amp;$E498&amp;"|"&amp;$V498</f>
        <v/>
      </c>
      <c r="X498" s="46">
        <f>TEXT($F498,"hh:mm")&amp;" - "&amp;TEXT($G498,"hh:mm")&amp;IF($P498="Quinzaine A","   ◆ Q-A",IF($P498="Quinzaine B","   ◆ Q-B",IF($P498="Exception","   ◆ PONCTUEL","")))&amp;CHAR(10)&amp;$K498&amp;CHAR(10)&amp;$M498&amp;IF($N498&lt;&gt;"",CHAR(10)&amp;"Salle "&amp;$N498,"")&amp;IF($O498="En ligne",CHAR(10)&amp;"◆ EN LIGNE","")&amp;IF($R498&lt;&gt;"",CHAR(10)&amp;$R498,"")</f>
        <v/>
      </c>
      <c r="Y498" s="45" t="inlineStr"/>
      <c r="Z498" s="45" t="inlineStr">
        <is>
          <t>— généré —</t>
        </is>
      </c>
    </row>
    <row r="499" ht="15" customHeight="1">
      <c r="A499" s="10" t="inlineStr">
        <is>
          <t>S5</t>
        </is>
      </c>
      <c r="B499" s="9" t="inlineStr">
        <is>
          <t>du 12 au 18 octobre 2026</t>
        </is>
      </c>
      <c r="C499" s="10" t="inlineStr">
        <is>
          <t>A</t>
        </is>
      </c>
      <c r="D499" s="41" t="n">
        <v>46313</v>
      </c>
      <c r="E499" s="10" t="inlineStr">
        <is>
          <t>Dimanche</t>
        </is>
      </c>
      <c r="F499" s="42" t="n">
        <v>0.5833333333333334</v>
      </c>
      <c r="G499" s="42" t="n">
        <v>0.6458333333333334</v>
      </c>
      <c r="H499" s="43">
        <f>IF(OR($F499="",$G499=""),"",($G499-$F499)*24)</f>
        <v/>
      </c>
      <c r="I499" s="10" t="inlineStr">
        <is>
          <t>Secondaire</t>
        </is>
      </c>
      <c r="J499" s="9" t="inlineStr">
        <is>
          <t>3éme Eco</t>
        </is>
      </c>
      <c r="K499" s="9" t="inlineStr">
        <is>
          <t>Math</t>
        </is>
      </c>
      <c r="L499" s="9" t="inlineStr">
        <is>
          <t>Math</t>
        </is>
      </c>
      <c r="M499" s="9" t="inlineStr">
        <is>
          <t>Lotfi</t>
        </is>
      </c>
      <c r="N499" s="10" t="n"/>
      <c r="O499" s="10" t="n"/>
      <c r="P499" s="10" t="inlineStr">
        <is>
          <t>Hebdomadaire</t>
        </is>
      </c>
      <c r="Q499" s="9" t="inlineStr">
        <is>
          <t>Généré (octobre)</t>
        </is>
      </c>
      <c r="R499" s="9" t="inlineStr"/>
      <c r="S499" s="44">
        <f>IF($M499="","",IF(SUMPRODUCT(($D$4:$D$704=$D499)*($M$4:$M$704=$M499)*($F$4:$F$704&lt;$G499)*($G$4:$G$704&gt;$F499))&gt;1,"⚠ CONFLIT",""))</f>
        <v/>
      </c>
      <c r="T499" s="44">
        <f>IF($J499="","",IF(SUMPRODUCT(($D$4:$D$704=$D499)*($J$4:$J$704=$J499)*($F$4:$F$704&lt;$G499)*($G$4:$G$704&gt;$F499))&gt;1,"⚠ CONFLIT",""))</f>
        <v/>
      </c>
      <c r="U499" s="44">
        <f>IF(COUNTIFS($D$4:$D$704,$D499,$J$4:$J$704,$J499,$F$4:$F$704,$F499,$K$4:$K$704,$K499)&gt;1,"⚠ DOUBLON","")</f>
        <v/>
      </c>
      <c r="V499" s="44">
        <f>COUNTIFS($A$4:$A499,$A499,$J$4:$J499,$J499,$E$4:$E499,$E499)</f>
        <v/>
      </c>
      <c r="W499" s="45">
        <f>$A499&amp;"|"&amp;$J499&amp;"|"&amp;$E499&amp;"|"&amp;$V499</f>
        <v/>
      </c>
      <c r="X499" s="46">
        <f>TEXT($F499,"hh:mm")&amp;" - "&amp;TEXT($G499,"hh:mm")&amp;IF($P499="Quinzaine A","   ◆ Q-A",IF($P499="Quinzaine B","   ◆ Q-B",IF($P499="Exception","   ◆ PONCTUEL","")))&amp;CHAR(10)&amp;$K499&amp;CHAR(10)&amp;$M499&amp;IF($N499&lt;&gt;"",CHAR(10)&amp;"Salle "&amp;$N499,"")&amp;IF($O499="En ligne",CHAR(10)&amp;"◆ EN LIGNE","")&amp;IF($R499&lt;&gt;"",CHAR(10)&amp;$R499,"")</f>
        <v/>
      </c>
      <c r="Y499" s="45" t="inlineStr"/>
      <c r="Z499" s="45" t="inlineStr">
        <is>
          <t>— généré —</t>
        </is>
      </c>
    </row>
    <row r="500" ht="15" customHeight="1">
      <c r="A500" s="10" t="inlineStr">
        <is>
          <t>S5</t>
        </is>
      </c>
      <c r="B500" s="9" t="inlineStr">
        <is>
          <t>du 12 au 18 octobre 2026</t>
        </is>
      </c>
      <c r="C500" s="10" t="inlineStr">
        <is>
          <t>A</t>
        </is>
      </c>
      <c r="D500" s="41" t="n">
        <v>46313</v>
      </c>
      <c r="E500" s="10" t="inlineStr">
        <is>
          <t>Dimanche</t>
        </is>
      </c>
      <c r="F500" s="42" t="n">
        <v>0.5</v>
      </c>
      <c r="G500" s="42" t="n">
        <v>0.5625</v>
      </c>
      <c r="H500" s="43">
        <f>IF(OR($F500="",$G500=""),"",($G500-$F500)*24)</f>
        <v/>
      </c>
      <c r="I500" s="10" t="inlineStr">
        <is>
          <t>Secondaire</t>
        </is>
      </c>
      <c r="J500" s="9" t="inlineStr">
        <is>
          <t>3éme INFO</t>
        </is>
      </c>
      <c r="K500" s="9" t="inlineStr">
        <is>
          <t>Math</t>
        </is>
      </c>
      <c r="L500" s="9" t="inlineStr">
        <is>
          <t>Math</t>
        </is>
      </c>
      <c r="M500" s="9" t="inlineStr">
        <is>
          <t>Lotfi</t>
        </is>
      </c>
      <c r="N500" s="10" t="n"/>
      <c r="O500" s="10" t="n"/>
      <c r="P500" s="10" t="inlineStr">
        <is>
          <t>Hebdomadaire</t>
        </is>
      </c>
      <c r="Q500" s="9" t="inlineStr">
        <is>
          <t>Généré (octobre)</t>
        </is>
      </c>
      <c r="R500" s="9" t="inlineStr"/>
      <c r="S500" s="44">
        <f>IF($M500="","",IF(SUMPRODUCT(($D$4:$D$704=$D500)*($M$4:$M$704=$M500)*($F$4:$F$704&lt;$G500)*($G$4:$G$704&gt;$F500))&gt;1,"⚠ CONFLIT",""))</f>
        <v/>
      </c>
      <c r="T500" s="44">
        <f>IF($J500="","",IF(SUMPRODUCT(($D$4:$D$704=$D500)*($J$4:$J$704=$J500)*($F$4:$F$704&lt;$G500)*($G$4:$G$704&gt;$F500))&gt;1,"⚠ CONFLIT",""))</f>
        <v/>
      </c>
      <c r="U500" s="44">
        <f>IF(COUNTIFS($D$4:$D$704,$D500,$J$4:$J$704,$J500,$F$4:$F$704,$F500,$K$4:$K$704,$K500)&gt;1,"⚠ DOUBLON","")</f>
        <v/>
      </c>
      <c r="V500" s="44">
        <f>COUNTIFS($A$4:$A500,$A500,$J$4:$J500,$J500,$E$4:$E500,$E500)</f>
        <v/>
      </c>
      <c r="W500" s="45">
        <f>$A500&amp;"|"&amp;$J500&amp;"|"&amp;$E500&amp;"|"&amp;$V500</f>
        <v/>
      </c>
      <c r="X500" s="46">
        <f>TEXT($F500,"hh:mm")&amp;" - "&amp;TEXT($G500,"hh:mm")&amp;IF($P500="Quinzaine A","   ◆ Q-A",IF($P500="Quinzaine B","   ◆ Q-B",IF($P500="Exception","   ◆ PONCTUEL","")))&amp;CHAR(10)&amp;$K500&amp;CHAR(10)&amp;$M500&amp;IF($N500&lt;&gt;"",CHAR(10)&amp;"Salle "&amp;$N500,"")&amp;IF($O500="En ligne",CHAR(10)&amp;"◆ EN LIGNE","")&amp;IF($R500&lt;&gt;"",CHAR(10)&amp;$R500,"")</f>
        <v/>
      </c>
      <c r="Y500" s="45" t="inlineStr"/>
      <c r="Z500" s="45" t="inlineStr">
        <is>
          <t>— généré —</t>
        </is>
      </c>
    </row>
    <row r="501" ht="15" customHeight="1">
      <c r="A501" s="10" t="inlineStr">
        <is>
          <t>S5</t>
        </is>
      </c>
      <c r="B501" s="9" t="inlineStr">
        <is>
          <t>du 12 au 18 octobre 2026</t>
        </is>
      </c>
      <c r="C501" s="10" t="inlineStr">
        <is>
          <t>A</t>
        </is>
      </c>
      <c r="D501" s="41" t="n">
        <v>46313</v>
      </c>
      <c r="E501" s="10" t="inlineStr">
        <is>
          <t>Dimanche</t>
        </is>
      </c>
      <c r="F501" s="42" t="n">
        <v>0.4375</v>
      </c>
      <c r="G501" s="42" t="n">
        <v>0.5</v>
      </c>
      <c r="H501" s="43">
        <f>IF(OR($F501="",$G501=""),"",($G501-$F501)*24)</f>
        <v/>
      </c>
      <c r="I501" s="10" t="inlineStr">
        <is>
          <t>Secondaire</t>
        </is>
      </c>
      <c r="J501" s="9" t="inlineStr">
        <is>
          <t>3éme SCE</t>
        </is>
      </c>
      <c r="K501" s="9" t="inlineStr">
        <is>
          <t>Physique</t>
        </is>
      </c>
      <c r="L501" s="9" t="inlineStr">
        <is>
          <t>Physique</t>
        </is>
      </c>
      <c r="M501" s="9" t="inlineStr">
        <is>
          <t>Sondes</t>
        </is>
      </c>
      <c r="N501" s="10" t="n"/>
      <c r="O501" s="10" t="n"/>
      <c r="P501" s="10" t="inlineStr">
        <is>
          <t>Hebdomadaire</t>
        </is>
      </c>
      <c r="Q501" s="9" t="inlineStr">
        <is>
          <t>Généré (octobre)</t>
        </is>
      </c>
      <c r="R501" s="9" t="inlineStr"/>
      <c r="S501" s="44">
        <f>IF($M501="","",IF(SUMPRODUCT(($D$4:$D$704=$D501)*($M$4:$M$704=$M501)*($F$4:$F$704&lt;$G501)*($G$4:$G$704&gt;$F501))&gt;1,"⚠ CONFLIT",""))</f>
        <v/>
      </c>
      <c r="T501" s="44">
        <f>IF($J501="","",IF(SUMPRODUCT(($D$4:$D$704=$D501)*($J$4:$J$704=$J501)*($F$4:$F$704&lt;$G501)*($G$4:$G$704&gt;$F501))&gt;1,"⚠ CONFLIT",""))</f>
        <v/>
      </c>
      <c r="U501" s="44">
        <f>IF(COUNTIFS($D$4:$D$704,$D501,$J$4:$J$704,$J501,$F$4:$F$704,$F501,$K$4:$K$704,$K501)&gt;1,"⚠ DOUBLON","")</f>
        <v/>
      </c>
      <c r="V501" s="44">
        <f>COUNTIFS($A$4:$A501,$A501,$J$4:$J501,$J501,$E$4:$E501,$E501)</f>
        <v/>
      </c>
      <c r="W501" s="45">
        <f>$A501&amp;"|"&amp;$J501&amp;"|"&amp;$E501&amp;"|"&amp;$V501</f>
        <v/>
      </c>
      <c r="X501" s="46">
        <f>TEXT($F501,"hh:mm")&amp;" - "&amp;TEXT($G501,"hh:mm")&amp;IF($P501="Quinzaine A","   ◆ Q-A",IF($P501="Quinzaine B","   ◆ Q-B",IF($P501="Exception","   ◆ PONCTUEL","")))&amp;CHAR(10)&amp;$K501&amp;CHAR(10)&amp;$M501&amp;IF($N501&lt;&gt;"",CHAR(10)&amp;"Salle "&amp;$N501,"")&amp;IF($O501="En ligne",CHAR(10)&amp;"◆ EN LIGNE","")&amp;IF($R501&lt;&gt;"",CHAR(10)&amp;$R501,"")</f>
        <v/>
      </c>
      <c r="Y501" s="45" t="inlineStr"/>
      <c r="Z501" s="45" t="inlineStr">
        <is>
          <t>— généré —</t>
        </is>
      </c>
    </row>
    <row r="502" ht="15" customHeight="1">
      <c r="A502" s="10" t="inlineStr">
        <is>
          <t>S5</t>
        </is>
      </c>
      <c r="B502" s="9" t="inlineStr">
        <is>
          <t>du 12 au 18 octobre 2026</t>
        </is>
      </c>
      <c r="C502" s="10" t="inlineStr">
        <is>
          <t>A</t>
        </is>
      </c>
      <c r="D502" s="41" t="n">
        <v>46313</v>
      </c>
      <c r="E502" s="10" t="inlineStr">
        <is>
          <t>Dimanche</t>
        </is>
      </c>
      <c r="F502" s="42" t="n">
        <v>0.4375</v>
      </c>
      <c r="G502" s="42" t="n">
        <v>0.5</v>
      </c>
      <c r="H502" s="43">
        <f>IF(OR($F502="",$G502=""),"",($G502-$F502)*24)</f>
        <v/>
      </c>
      <c r="I502" s="10" t="inlineStr">
        <is>
          <t>Bac</t>
        </is>
      </c>
      <c r="J502" s="9" t="inlineStr">
        <is>
          <t>Bac Eco</t>
        </is>
      </c>
      <c r="K502" s="9" t="inlineStr">
        <is>
          <t>Math</t>
        </is>
      </c>
      <c r="L502" s="9" t="inlineStr">
        <is>
          <t>Math</t>
        </is>
      </c>
      <c r="M502" s="9" t="inlineStr">
        <is>
          <t>Lotfi</t>
        </is>
      </c>
      <c r="N502" s="10" t="n"/>
      <c r="O502" s="10" t="n"/>
      <c r="P502" s="10" t="inlineStr">
        <is>
          <t>Hebdomadaire</t>
        </is>
      </c>
      <c r="Q502" s="9" t="inlineStr">
        <is>
          <t>Généré (octobre)</t>
        </is>
      </c>
      <c r="R502" s="9" t="inlineStr"/>
      <c r="S502" s="44">
        <f>IF($M502="","",IF(SUMPRODUCT(($D$4:$D$704=$D502)*($M$4:$M$704=$M502)*($F$4:$F$704&lt;$G502)*($G$4:$G$704&gt;$F502))&gt;1,"⚠ CONFLIT",""))</f>
        <v/>
      </c>
      <c r="T502" s="44">
        <f>IF($J502="","",IF(SUMPRODUCT(($D$4:$D$704=$D502)*($J$4:$J$704=$J502)*($F$4:$F$704&lt;$G502)*($G$4:$G$704&gt;$F502))&gt;1,"⚠ CONFLIT",""))</f>
        <v/>
      </c>
      <c r="U502" s="44">
        <f>IF(COUNTIFS($D$4:$D$704,$D502,$J$4:$J$704,$J502,$F$4:$F$704,$F502,$K$4:$K$704,$K502)&gt;1,"⚠ DOUBLON","")</f>
        <v/>
      </c>
      <c r="V502" s="44">
        <f>COUNTIFS($A$4:$A502,$A502,$J$4:$J502,$J502,$E$4:$E502,$E502)</f>
        <v/>
      </c>
      <c r="W502" s="45">
        <f>$A502&amp;"|"&amp;$J502&amp;"|"&amp;$E502&amp;"|"&amp;$V502</f>
        <v/>
      </c>
      <c r="X502" s="46">
        <f>TEXT($F502,"hh:mm")&amp;" - "&amp;TEXT($G502,"hh:mm")&amp;IF($P502="Quinzaine A","   ◆ Q-A",IF($P502="Quinzaine B","   ◆ Q-B",IF($P502="Exception","   ◆ PONCTUEL","")))&amp;CHAR(10)&amp;$K502&amp;CHAR(10)&amp;$M502&amp;IF($N502&lt;&gt;"",CHAR(10)&amp;"Salle "&amp;$N502,"")&amp;IF($O502="En ligne",CHAR(10)&amp;"◆ EN LIGNE","")&amp;IF($R502&lt;&gt;"",CHAR(10)&amp;$R502,"")</f>
        <v/>
      </c>
      <c r="Y502" s="45" t="inlineStr"/>
      <c r="Z502" s="45" t="inlineStr">
        <is>
          <t>— généré —</t>
        </is>
      </c>
    </row>
    <row r="503" ht="15" customHeight="1">
      <c r="A503" s="10" t="inlineStr">
        <is>
          <t>S5</t>
        </is>
      </c>
      <c r="B503" s="9" t="inlineStr">
        <is>
          <t>du 12 au 18 octobre 2026</t>
        </is>
      </c>
      <c r="C503" s="10" t="inlineStr">
        <is>
          <t>A</t>
        </is>
      </c>
      <c r="D503" s="41" t="n">
        <v>46313</v>
      </c>
      <c r="E503" s="10" t="inlineStr">
        <is>
          <t>Dimanche</t>
        </is>
      </c>
      <c r="F503" s="42" t="n">
        <v>0.5208333333333334</v>
      </c>
      <c r="G503" s="42" t="n">
        <v>0.6041666666666666</v>
      </c>
      <c r="H503" s="43">
        <f>IF(OR($F503="",$G503=""),"",($G503-$F503)*24)</f>
        <v/>
      </c>
      <c r="I503" s="10" t="inlineStr">
        <is>
          <t>Bac</t>
        </is>
      </c>
      <c r="J503" s="9" t="inlineStr">
        <is>
          <t>Bac Eco</t>
        </is>
      </c>
      <c r="K503" s="9" t="inlineStr">
        <is>
          <t>Eco</t>
        </is>
      </c>
      <c r="L503" s="9" t="inlineStr">
        <is>
          <t>Eco</t>
        </is>
      </c>
      <c r="M503" s="9" t="inlineStr">
        <is>
          <t>Rym</t>
        </is>
      </c>
      <c r="N503" s="10" t="n"/>
      <c r="O503" s="10" t="n"/>
      <c r="P503" s="10" t="inlineStr">
        <is>
          <t>Hebdomadaire</t>
        </is>
      </c>
      <c r="Q503" s="9" t="inlineStr">
        <is>
          <t>Généré (octobre)</t>
        </is>
      </c>
      <c r="R503" s="9" t="inlineStr"/>
      <c r="S503" s="44">
        <f>IF($M503="","",IF(SUMPRODUCT(($D$4:$D$704=$D503)*($M$4:$M$704=$M503)*($F$4:$F$704&lt;$G503)*($G$4:$G$704&gt;$F503))&gt;1,"⚠ CONFLIT",""))</f>
        <v/>
      </c>
      <c r="T503" s="44">
        <f>IF($J503="","",IF(SUMPRODUCT(($D$4:$D$704=$D503)*($J$4:$J$704=$J503)*($F$4:$F$704&lt;$G503)*($G$4:$G$704&gt;$F503))&gt;1,"⚠ CONFLIT",""))</f>
        <v/>
      </c>
      <c r="U503" s="44">
        <f>IF(COUNTIFS($D$4:$D$704,$D503,$J$4:$J$704,$J503,$F$4:$F$704,$F503,$K$4:$K$704,$K503)&gt;1,"⚠ DOUBLON","")</f>
        <v/>
      </c>
      <c r="V503" s="44">
        <f>COUNTIFS($A$4:$A503,$A503,$J$4:$J503,$J503,$E$4:$E503,$E503)</f>
        <v/>
      </c>
      <c r="W503" s="45">
        <f>$A503&amp;"|"&amp;$J503&amp;"|"&amp;$E503&amp;"|"&amp;$V503</f>
        <v/>
      </c>
      <c r="X503" s="46">
        <f>TEXT($F503,"hh:mm")&amp;" - "&amp;TEXT($G503,"hh:mm")&amp;IF($P503="Quinzaine A","   ◆ Q-A",IF($P503="Quinzaine B","   ◆ Q-B",IF($P503="Exception","   ◆ PONCTUEL","")))&amp;CHAR(10)&amp;$K503&amp;CHAR(10)&amp;$M503&amp;IF($N503&lt;&gt;"",CHAR(10)&amp;"Salle "&amp;$N503,"")&amp;IF($O503="En ligne",CHAR(10)&amp;"◆ EN LIGNE","")&amp;IF($R503&lt;&gt;"",CHAR(10)&amp;$R503,"")</f>
        <v/>
      </c>
      <c r="Y503" s="45" t="inlineStr"/>
      <c r="Z503" s="45" t="inlineStr">
        <is>
          <t>— généré —</t>
        </is>
      </c>
    </row>
    <row r="504" ht="15" customHeight="1">
      <c r="A504" s="10" t="inlineStr">
        <is>
          <t>S5</t>
        </is>
      </c>
      <c r="B504" s="9" t="inlineStr">
        <is>
          <t>du 12 au 18 octobre 2026</t>
        </is>
      </c>
      <c r="C504" s="10" t="inlineStr">
        <is>
          <t>A</t>
        </is>
      </c>
      <c r="D504" s="41" t="n">
        <v>46313</v>
      </c>
      <c r="E504" s="10" t="inlineStr">
        <is>
          <t>Dimanche</t>
        </is>
      </c>
      <c r="F504" s="42" t="n">
        <v>0.6458333333333334</v>
      </c>
      <c r="G504" s="42" t="n">
        <v>0.7083333333333334</v>
      </c>
      <c r="H504" s="43">
        <f>IF(OR($F504="",$G504=""),"",($G504-$F504)*24)</f>
        <v/>
      </c>
      <c r="I504" s="10" t="inlineStr">
        <is>
          <t>Bac</t>
        </is>
      </c>
      <c r="J504" s="9" t="inlineStr">
        <is>
          <t>Bac INFO</t>
        </is>
      </c>
      <c r="K504" s="9" t="inlineStr">
        <is>
          <t>Math</t>
        </is>
      </c>
      <c r="L504" s="9" t="inlineStr">
        <is>
          <t>Math</t>
        </is>
      </c>
      <c r="M504" s="9" t="inlineStr">
        <is>
          <t>Lotfi</t>
        </is>
      </c>
      <c r="N504" s="10" t="n"/>
      <c r="O504" s="10" t="n"/>
      <c r="P504" s="10" t="inlineStr">
        <is>
          <t>Hebdomadaire</t>
        </is>
      </c>
      <c r="Q504" s="9" t="inlineStr">
        <is>
          <t>Généré (octobre)</t>
        </is>
      </c>
      <c r="R504" s="9" t="inlineStr"/>
      <c r="S504" s="44">
        <f>IF($M504="","",IF(SUMPRODUCT(($D$4:$D$704=$D504)*($M$4:$M$704=$M504)*($F$4:$F$704&lt;$G504)*($G$4:$G$704&gt;$F504))&gt;1,"⚠ CONFLIT",""))</f>
        <v/>
      </c>
      <c r="T504" s="44">
        <f>IF($J504="","",IF(SUMPRODUCT(($D$4:$D$704=$D504)*($J$4:$J$704=$J504)*($F$4:$F$704&lt;$G504)*($G$4:$G$704&gt;$F504))&gt;1,"⚠ CONFLIT",""))</f>
        <v/>
      </c>
      <c r="U504" s="44">
        <f>IF(COUNTIFS($D$4:$D$704,$D504,$J$4:$J$704,$J504,$F$4:$F$704,$F504,$K$4:$K$704,$K504)&gt;1,"⚠ DOUBLON","")</f>
        <v/>
      </c>
      <c r="V504" s="44">
        <f>COUNTIFS($A$4:$A504,$A504,$J$4:$J504,$J504,$E$4:$E504,$E504)</f>
        <v/>
      </c>
      <c r="W504" s="45">
        <f>$A504&amp;"|"&amp;$J504&amp;"|"&amp;$E504&amp;"|"&amp;$V504</f>
        <v/>
      </c>
      <c r="X504" s="46">
        <f>TEXT($F504,"hh:mm")&amp;" - "&amp;TEXT($G504,"hh:mm")&amp;IF($P504="Quinzaine A","   ◆ Q-A",IF($P504="Quinzaine B","   ◆ Q-B",IF($P504="Exception","   ◆ PONCTUEL","")))&amp;CHAR(10)&amp;$K504&amp;CHAR(10)&amp;$M504&amp;IF($N504&lt;&gt;"",CHAR(10)&amp;"Salle "&amp;$N504,"")&amp;IF($O504="En ligne",CHAR(10)&amp;"◆ EN LIGNE","")&amp;IF($R504&lt;&gt;"",CHAR(10)&amp;$R504,"")</f>
        <v/>
      </c>
      <c r="Y504" s="45" t="inlineStr"/>
      <c r="Z504" s="45" t="inlineStr">
        <is>
          <t>— généré —</t>
        </is>
      </c>
    </row>
    <row r="505" ht="15" customHeight="1">
      <c r="A505" s="10" t="inlineStr">
        <is>
          <t>S6</t>
        </is>
      </c>
      <c r="B505" s="9" t="inlineStr">
        <is>
          <t>du 19 au 25 octobre 2026</t>
        </is>
      </c>
      <c r="C505" s="10" t="inlineStr">
        <is>
          <t>B</t>
        </is>
      </c>
      <c r="D505" s="41" t="n">
        <v>46314</v>
      </c>
      <c r="E505" s="10" t="inlineStr">
        <is>
          <t>Lundi</t>
        </is>
      </c>
      <c r="F505" s="42" t="n">
        <v>0.7916666666666666</v>
      </c>
      <c r="G505" s="42" t="n">
        <v>0.875</v>
      </c>
      <c r="H505" s="43">
        <f>IF(OR($F505="",$G505=""),"",($G505-$F505)*24)</f>
        <v/>
      </c>
      <c r="I505" s="10" t="inlineStr">
        <is>
          <t>Primaire</t>
        </is>
      </c>
      <c r="J505" s="9" t="inlineStr">
        <is>
          <t>4éme</t>
        </is>
      </c>
      <c r="K505" s="9" t="inlineStr">
        <is>
          <t>عربية</t>
        </is>
      </c>
      <c r="L505" s="9" t="inlineStr">
        <is>
          <t>Arabe</t>
        </is>
      </c>
      <c r="M505" s="9" t="inlineStr">
        <is>
          <t>Lobna</t>
        </is>
      </c>
      <c r="N505" s="10" t="n"/>
      <c r="O505" s="10" t="n"/>
      <c r="P505" s="10" t="inlineStr">
        <is>
          <t>Hebdomadaire</t>
        </is>
      </c>
      <c r="Q505" s="9" t="inlineStr">
        <is>
          <t>Généré (octobre)</t>
        </is>
      </c>
      <c r="R505" s="9" t="inlineStr"/>
      <c r="S505" s="44">
        <f>IF($M505="","",IF(SUMPRODUCT(($D$4:$D$704=$D505)*($M$4:$M$704=$M505)*($F$4:$F$704&lt;$G505)*($G$4:$G$704&gt;$F505))&gt;1,"⚠ CONFLIT",""))</f>
        <v/>
      </c>
      <c r="T505" s="44">
        <f>IF($J505="","",IF(SUMPRODUCT(($D$4:$D$704=$D505)*($J$4:$J$704=$J505)*($F$4:$F$704&lt;$G505)*($G$4:$G$704&gt;$F505))&gt;1,"⚠ CONFLIT",""))</f>
        <v/>
      </c>
      <c r="U505" s="44">
        <f>IF(COUNTIFS($D$4:$D$704,$D505,$J$4:$J$704,$J505,$F$4:$F$704,$F505,$K$4:$K$704,$K505)&gt;1,"⚠ DOUBLON","")</f>
        <v/>
      </c>
      <c r="V505" s="44">
        <f>COUNTIFS($A$4:$A505,$A505,$J$4:$J505,$J505,$E$4:$E505,$E505)</f>
        <v/>
      </c>
      <c r="W505" s="45">
        <f>$A505&amp;"|"&amp;$J505&amp;"|"&amp;$E505&amp;"|"&amp;$V505</f>
        <v/>
      </c>
      <c r="X505" s="46">
        <f>TEXT($F505,"hh:mm")&amp;" - "&amp;TEXT($G505,"hh:mm")&amp;IF($P505="Quinzaine A","   ◆ Q-A",IF($P505="Quinzaine B","   ◆ Q-B",IF($P505="Exception","   ◆ PONCTUEL","")))&amp;CHAR(10)&amp;$K505&amp;CHAR(10)&amp;$M505&amp;IF($N505&lt;&gt;"",CHAR(10)&amp;"Salle "&amp;$N505,"")&amp;IF($O505="En ligne",CHAR(10)&amp;"◆ EN LIGNE","")&amp;IF($R505&lt;&gt;"",CHAR(10)&amp;$R505,"")</f>
        <v/>
      </c>
      <c r="Y505" s="45" t="inlineStr"/>
      <c r="Z505" s="45" t="inlineStr">
        <is>
          <t>— généré —</t>
        </is>
      </c>
    </row>
    <row r="506" ht="15" customHeight="1">
      <c r="A506" s="10" t="inlineStr">
        <is>
          <t>S6</t>
        </is>
      </c>
      <c r="B506" s="9" t="inlineStr">
        <is>
          <t>du 19 au 25 octobre 2026</t>
        </is>
      </c>
      <c r="C506" s="10" t="inlineStr">
        <is>
          <t>B</t>
        </is>
      </c>
      <c r="D506" s="41" t="n">
        <v>46314</v>
      </c>
      <c r="E506" s="10" t="inlineStr">
        <is>
          <t>Lundi</t>
        </is>
      </c>
      <c r="F506" s="42" t="n">
        <v>0.7916666666666666</v>
      </c>
      <c r="G506" s="42" t="n">
        <v>0.8541666666666666</v>
      </c>
      <c r="H506" s="43">
        <f>IF(OR($F506="",$G506=""),"",($G506-$F506)*24)</f>
        <v/>
      </c>
      <c r="I506" s="10" t="inlineStr">
        <is>
          <t>Primaire</t>
        </is>
      </c>
      <c r="J506" s="9" t="inlineStr">
        <is>
          <t>6éme Pilote (A)</t>
        </is>
      </c>
      <c r="K506" s="9" t="inlineStr">
        <is>
          <t>Français</t>
        </is>
      </c>
      <c r="L506" s="9" t="inlineStr">
        <is>
          <t>Français</t>
        </is>
      </c>
      <c r="M506" s="9" t="inlineStr">
        <is>
          <t>Hend</t>
        </is>
      </c>
      <c r="N506" s="10" t="n"/>
      <c r="O506" s="10" t="n"/>
      <c r="P506" s="10" t="inlineStr">
        <is>
          <t>Hebdomadaire</t>
        </is>
      </c>
      <c r="Q506" s="9" t="inlineStr">
        <is>
          <t>Généré (octobre)</t>
        </is>
      </c>
      <c r="R506" s="9" t="inlineStr"/>
      <c r="S506" s="44">
        <f>IF($M506="","",IF(SUMPRODUCT(($D$4:$D$704=$D506)*($M$4:$M$704=$M506)*($F$4:$F$704&lt;$G506)*($G$4:$G$704&gt;$F506))&gt;1,"⚠ CONFLIT",""))</f>
        <v/>
      </c>
      <c r="T506" s="44">
        <f>IF($J506="","",IF(SUMPRODUCT(($D$4:$D$704=$D506)*($J$4:$J$704=$J506)*($F$4:$F$704&lt;$G506)*($G$4:$G$704&gt;$F506))&gt;1,"⚠ CONFLIT",""))</f>
        <v/>
      </c>
      <c r="U506" s="44">
        <f>IF(COUNTIFS($D$4:$D$704,$D506,$J$4:$J$704,$J506,$F$4:$F$704,$F506,$K$4:$K$704,$K506)&gt;1,"⚠ DOUBLON","")</f>
        <v/>
      </c>
      <c r="V506" s="44">
        <f>COUNTIFS($A$4:$A506,$A506,$J$4:$J506,$J506,$E$4:$E506,$E506)</f>
        <v/>
      </c>
      <c r="W506" s="45">
        <f>$A506&amp;"|"&amp;$J506&amp;"|"&amp;$E506&amp;"|"&amp;$V506</f>
        <v/>
      </c>
      <c r="X506" s="46">
        <f>TEXT($F506,"hh:mm")&amp;" - "&amp;TEXT($G506,"hh:mm")&amp;IF($P506="Quinzaine A","   ◆ Q-A",IF($P506="Quinzaine B","   ◆ Q-B",IF($P506="Exception","   ◆ PONCTUEL","")))&amp;CHAR(10)&amp;$K506&amp;CHAR(10)&amp;$M506&amp;IF($N506&lt;&gt;"",CHAR(10)&amp;"Salle "&amp;$N506,"")&amp;IF($O506="En ligne",CHAR(10)&amp;"◆ EN LIGNE","")&amp;IF($R506&lt;&gt;"",CHAR(10)&amp;$R506,"")</f>
        <v/>
      </c>
      <c r="Y506" s="45" t="inlineStr"/>
      <c r="Z506" s="45" t="inlineStr">
        <is>
          <t>— généré —</t>
        </is>
      </c>
    </row>
    <row r="507" ht="15" customHeight="1">
      <c r="A507" s="10" t="inlineStr">
        <is>
          <t>S6</t>
        </is>
      </c>
      <c r="B507" s="9" t="inlineStr">
        <is>
          <t>du 19 au 25 octobre 2026</t>
        </is>
      </c>
      <c r="C507" s="10" t="inlineStr">
        <is>
          <t>B</t>
        </is>
      </c>
      <c r="D507" s="41" t="n">
        <v>46314</v>
      </c>
      <c r="E507" s="10" t="inlineStr">
        <is>
          <t>Lundi</t>
        </is>
      </c>
      <c r="F507" s="42" t="n">
        <v>0.8125</v>
      </c>
      <c r="G507" s="42" t="n">
        <v>0.875</v>
      </c>
      <c r="H507" s="43">
        <f>IF(OR($F507="",$G507=""),"",($G507-$F507)*24)</f>
        <v/>
      </c>
      <c r="I507" s="10" t="inlineStr">
        <is>
          <t>Collège</t>
        </is>
      </c>
      <c r="J507" s="9" t="inlineStr">
        <is>
          <t>7éme (B)</t>
        </is>
      </c>
      <c r="K507" s="9" t="inlineStr">
        <is>
          <t>Arabe</t>
        </is>
      </c>
      <c r="L507" s="9" t="inlineStr">
        <is>
          <t>Arabe</t>
        </is>
      </c>
      <c r="M507" s="9" t="inlineStr">
        <is>
          <t>Yahya</t>
        </is>
      </c>
      <c r="N507" s="10" t="n"/>
      <c r="O507" s="10" t="n"/>
      <c r="P507" s="10" t="inlineStr">
        <is>
          <t>Hebdomadaire</t>
        </is>
      </c>
      <c r="Q507" s="9" t="inlineStr">
        <is>
          <t>Généré (octobre)</t>
        </is>
      </c>
      <c r="R507" s="9" t="inlineStr"/>
      <c r="S507" s="44">
        <f>IF($M507="","",IF(SUMPRODUCT(($D$4:$D$704=$D507)*($M$4:$M$704=$M507)*($F$4:$F$704&lt;$G507)*($G$4:$G$704&gt;$F507))&gt;1,"⚠ CONFLIT",""))</f>
        <v/>
      </c>
      <c r="T507" s="44">
        <f>IF($J507="","",IF(SUMPRODUCT(($D$4:$D$704=$D507)*($J$4:$J$704=$J507)*($F$4:$F$704&lt;$G507)*($G$4:$G$704&gt;$F507))&gt;1,"⚠ CONFLIT",""))</f>
        <v/>
      </c>
      <c r="U507" s="44">
        <f>IF(COUNTIFS($D$4:$D$704,$D507,$J$4:$J$704,$J507,$F$4:$F$704,$F507,$K$4:$K$704,$K507)&gt;1,"⚠ DOUBLON","")</f>
        <v/>
      </c>
      <c r="V507" s="44">
        <f>COUNTIFS($A$4:$A507,$A507,$J$4:$J507,$J507,$E$4:$E507,$E507)</f>
        <v/>
      </c>
      <c r="W507" s="45">
        <f>$A507&amp;"|"&amp;$J507&amp;"|"&amp;$E507&amp;"|"&amp;$V507</f>
        <v/>
      </c>
      <c r="X507" s="46">
        <f>TEXT($F507,"hh:mm")&amp;" - "&amp;TEXT($G507,"hh:mm")&amp;IF($P507="Quinzaine A","   ◆ Q-A",IF($P507="Quinzaine B","   ◆ Q-B",IF($P507="Exception","   ◆ PONCTUEL","")))&amp;CHAR(10)&amp;$K507&amp;CHAR(10)&amp;$M507&amp;IF($N507&lt;&gt;"",CHAR(10)&amp;"Salle "&amp;$N507,"")&amp;IF($O507="En ligne",CHAR(10)&amp;"◆ EN LIGNE","")&amp;IF($R507&lt;&gt;"",CHAR(10)&amp;$R507,"")</f>
        <v/>
      </c>
      <c r="Y507" s="45" t="inlineStr"/>
      <c r="Z507" s="45" t="inlineStr">
        <is>
          <t>— généré —</t>
        </is>
      </c>
    </row>
    <row r="508" ht="15" customHeight="1">
      <c r="A508" s="10" t="inlineStr">
        <is>
          <t>S6</t>
        </is>
      </c>
      <c r="B508" s="9" t="inlineStr">
        <is>
          <t>du 19 au 25 octobre 2026</t>
        </is>
      </c>
      <c r="C508" s="10" t="inlineStr">
        <is>
          <t>B</t>
        </is>
      </c>
      <c r="D508" s="41" t="n">
        <v>46314</v>
      </c>
      <c r="E508" s="10" t="inlineStr">
        <is>
          <t>Lundi</t>
        </is>
      </c>
      <c r="F508" s="42" t="n">
        <v>0.8125</v>
      </c>
      <c r="G508" s="42" t="n">
        <v>0.875</v>
      </c>
      <c r="H508" s="43">
        <f>IF(OR($F508="",$G508=""),"",($G508-$F508)*24)</f>
        <v/>
      </c>
      <c r="I508" s="10" t="inlineStr">
        <is>
          <t>Collège</t>
        </is>
      </c>
      <c r="J508" s="9" t="inlineStr">
        <is>
          <t>9éme (A)</t>
        </is>
      </c>
      <c r="K508" s="9" t="inlineStr">
        <is>
          <t>فيزياء</t>
        </is>
      </c>
      <c r="L508" s="9" t="inlineStr">
        <is>
          <t>Physique</t>
        </is>
      </c>
      <c r="M508" s="9" t="inlineStr">
        <is>
          <t>Melek</t>
        </is>
      </c>
      <c r="N508" s="10" t="n"/>
      <c r="O508" s="10" t="n"/>
      <c r="P508" s="10" t="inlineStr">
        <is>
          <t>Hebdomadaire</t>
        </is>
      </c>
      <c r="Q508" s="9" t="inlineStr">
        <is>
          <t>Généré (octobre)</t>
        </is>
      </c>
      <c r="R508" s="9" t="inlineStr"/>
      <c r="S508" s="44">
        <f>IF($M508="","",IF(SUMPRODUCT(($D$4:$D$704=$D508)*($M$4:$M$704=$M508)*($F$4:$F$704&lt;$G508)*($G$4:$G$704&gt;$F508))&gt;1,"⚠ CONFLIT",""))</f>
        <v/>
      </c>
      <c r="T508" s="44">
        <f>IF($J508="","",IF(SUMPRODUCT(($D$4:$D$704=$D508)*($J$4:$J$704=$J508)*($F$4:$F$704&lt;$G508)*($G$4:$G$704&gt;$F508))&gt;1,"⚠ CONFLIT",""))</f>
        <v/>
      </c>
      <c r="U508" s="44">
        <f>IF(COUNTIFS($D$4:$D$704,$D508,$J$4:$J$704,$J508,$F$4:$F$704,$F508,$K$4:$K$704,$K508)&gt;1,"⚠ DOUBLON","")</f>
        <v/>
      </c>
      <c r="V508" s="44">
        <f>COUNTIFS($A$4:$A508,$A508,$J$4:$J508,$J508,$E$4:$E508,$E508)</f>
        <v/>
      </c>
      <c r="W508" s="45">
        <f>$A508&amp;"|"&amp;$J508&amp;"|"&amp;$E508&amp;"|"&amp;$V508</f>
        <v/>
      </c>
      <c r="X508" s="46">
        <f>TEXT($F508,"hh:mm")&amp;" - "&amp;TEXT($G508,"hh:mm")&amp;IF($P508="Quinzaine A","   ◆ Q-A",IF($P508="Quinzaine B","   ◆ Q-B",IF($P508="Exception","   ◆ PONCTUEL","")))&amp;CHAR(10)&amp;$K508&amp;CHAR(10)&amp;$M508&amp;IF($N508&lt;&gt;"",CHAR(10)&amp;"Salle "&amp;$N508,"")&amp;IF($O508="En ligne",CHAR(10)&amp;"◆ EN LIGNE","")&amp;IF($R508&lt;&gt;"",CHAR(10)&amp;$R508,"")</f>
        <v/>
      </c>
      <c r="Y508" s="45" t="inlineStr"/>
      <c r="Z508" s="45" t="inlineStr">
        <is>
          <t>— généré —</t>
        </is>
      </c>
    </row>
    <row r="509" ht="15" customHeight="1">
      <c r="A509" s="10" t="inlineStr">
        <is>
          <t>S6</t>
        </is>
      </c>
      <c r="B509" s="9" t="inlineStr">
        <is>
          <t>du 19 au 25 octobre 2026</t>
        </is>
      </c>
      <c r="C509" s="10" t="inlineStr">
        <is>
          <t>B</t>
        </is>
      </c>
      <c r="D509" s="41" t="n">
        <v>46314</v>
      </c>
      <c r="E509" s="10" t="inlineStr">
        <is>
          <t>Lundi</t>
        </is>
      </c>
      <c r="F509" s="42" t="n">
        <v>0.8125</v>
      </c>
      <c r="G509" s="42" t="n">
        <v>0.875</v>
      </c>
      <c r="H509" s="43">
        <f>IF(OR($F509="",$G509=""),"",($G509-$F509)*24)</f>
        <v/>
      </c>
      <c r="I509" s="10" t="inlineStr">
        <is>
          <t>Secondaire</t>
        </is>
      </c>
      <c r="J509" s="9" t="inlineStr">
        <is>
          <t>1ére (A)</t>
        </is>
      </c>
      <c r="K509" s="9" t="inlineStr">
        <is>
          <t>Math</t>
        </is>
      </c>
      <c r="L509" s="9" t="inlineStr">
        <is>
          <t>Math</t>
        </is>
      </c>
      <c r="M509" s="9" t="inlineStr">
        <is>
          <t>Haythem</t>
        </is>
      </c>
      <c r="N509" s="10" t="n"/>
      <c r="O509" s="10" t="n"/>
      <c r="P509" s="10" t="inlineStr">
        <is>
          <t>Hebdomadaire</t>
        </is>
      </c>
      <c r="Q509" s="9" t="inlineStr">
        <is>
          <t>Généré (octobre)</t>
        </is>
      </c>
      <c r="R509" s="9" t="inlineStr"/>
      <c r="S509" s="44">
        <f>IF($M509="","",IF(SUMPRODUCT(($D$4:$D$704=$D509)*($M$4:$M$704=$M509)*($F$4:$F$704&lt;$G509)*($G$4:$G$704&gt;$F509))&gt;1,"⚠ CONFLIT",""))</f>
        <v/>
      </c>
      <c r="T509" s="44">
        <f>IF($J509="","",IF(SUMPRODUCT(($D$4:$D$704=$D509)*($J$4:$J$704=$J509)*($F$4:$F$704&lt;$G509)*($G$4:$G$704&gt;$F509))&gt;1,"⚠ CONFLIT",""))</f>
        <v/>
      </c>
      <c r="U509" s="44">
        <f>IF(COUNTIFS($D$4:$D$704,$D509,$J$4:$J$704,$J509,$F$4:$F$704,$F509,$K$4:$K$704,$K509)&gt;1,"⚠ DOUBLON","")</f>
        <v/>
      </c>
      <c r="V509" s="44">
        <f>COUNTIFS($A$4:$A509,$A509,$J$4:$J509,$J509,$E$4:$E509,$E509)</f>
        <v/>
      </c>
      <c r="W509" s="45">
        <f>$A509&amp;"|"&amp;$J509&amp;"|"&amp;$E509&amp;"|"&amp;$V509</f>
        <v/>
      </c>
      <c r="X509" s="46">
        <f>TEXT($F509,"hh:mm")&amp;" - "&amp;TEXT($G509,"hh:mm")&amp;IF($P509="Quinzaine A","   ◆ Q-A",IF($P509="Quinzaine B","   ◆ Q-B",IF($P509="Exception","   ◆ PONCTUEL","")))&amp;CHAR(10)&amp;$K509&amp;CHAR(10)&amp;$M509&amp;IF($N509&lt;&gt;"",CHAR(10)&amp;"Salle "&amp;$N509,"")&amp;IF($O509="En ligne",CHAR(10)&amp;"◆ EN LIGNE","")&amp;IF($R509&lt;&gt;"",CHAR(10)&amp;$R509,"")</f>
        <v/>
      </c>
      <c r="Y509" s="45" t="inlineStr"/>
      <c r="Z509" s="45" t="inlineStr">
        <is>
          <t>— généré —</t>
        </is>
      </c>
    </row>
    <row r="510" ht="15" customHeight="1">
      <c r="A510" s="10" t="inlineStr">
        <is>
          <t>S6</t>
        </is>
      </c>
      <c r="B510" s="9" t="inlineStr">
        <is>
          <t>du 19 au 25 octobre 2026</t>
        </is>
      </c>
      <c r="C510" s="10" t="inlineStr">
        <is>
          <t>B</t>
        </is>
      </c>
      <c r="D510" s="41" t="n">
        <v>46314</v>
      </c>
      <c r="E510" s="10" t="inlineStr">
        <is>
          <t>Lundi</t>
        </is>
      </c>
      <c r="F510" s="42" t="n">
        <v>0.6458333333333334</v>
      </c>
      <c r="G510" s="42" t="n">
        <v>0.7291666666666666</v>
      </c>
      <c r="H510" s="43">
        <f>IF(OR($F510="",$G510=""),"",($G510-$F510)*24)</f>
        <v/>
      </c>
      <c r="I510" s="10" t="inlineStr">
        <is>
          <t>Secondaire</t>
        </is>
      </c>
      <c r="J510" s="9" t="inlineStr">
        <is>
          <t>3éme INFO</t>
        </is>
      </c>
      <c r="K510" s="9" t="inlineStr">
        <is>
          <t>STI</t>
        </is>
      </c>
      <c r="L510" s="9" t="inlineStr">
        <is>
          <t>STI</t>
        </is>
      </c>
      <c r="M510" s="9" t="inlineStr">
        <is>
          <t>Aymen</t>
        </is>
      </c>
      <c r="N510" s="10" t="n"/>
      <c r="O510" s="10" t="n"/>
      <c r="P510" s="10" t="inlineStr">
        <is>
          <t>Hebdomadaire</t>
        </is>
      </c>
      <c r="Q510" s="9" t="inlineStr">
        <is>
          <t>Généré (octobre)</t>
        </is>
      </c>
      <c r="R510" s="9" t="inlineStr"/>
      <c r="S510" s="44">
        <f>IF($M510="","",IF(SUMPRODUCT(($D$4:$D$704=$D510)*($M$4:$M$704=$M510)*($F$4:$F$704&lt;$G510)*($G$4:$G$704&gt;$F510))&gt;1,"⚠ CONFLIT",""))</f>
        <v/>
      </c>
      <c r="T510" s="44">
        <f>IF($J510="","",IF(SUMPRODUCT(($D$4:$D$704=$D510)*($J$4:$J$704=$J510)*($F$4:$F$704&lt;$G510)*($G$4:$G$704&gt;$F510))&gt;1,"⚠ CONFLIT",""))</f>
        <v/>
      </c>
      <c r="U510" s="44">
        <f>IF(COUNTIFS($D$4:$D$704,$D510,$J$4:$J$704,$J510,$F$4:$F$704,$F510,$K$4:$K$704,$K510)&gt;1,"⚠ DOUBLON","")</f>
        <v/>
      </c>
      <c r="V510" s="44">
        <f>COUNTIFS($A$4:$A510,$A510,$J$4:$J510,$J510,$E$4:$E510,$E510)</f>
        <v/>
      </c>
      <c r="W510" s="45">
        <f>$A510&amp;"|"&amp;$J510&amp;"|"&amp;$E510&amp;"|"&amp;$V510</f>
        <v/>
      </c>
      <c r="X510" s="46">
        <f>TEXT($F510,"hh:mm")&amp;" - "&amp;TEXT($G510,"hh:mm")&amp;IF($P510="Quinzaine A","   ◆ Q-A",IF($P510="Quinzaine B","   ◆ Q-B",IF($P510="Exception","   ◆ PONCTUEL","")))&amp;CHAR(10)&amp;$K510&amp;CHAR(10)&amp;$M510&amp;IF($N510&lt;&gt;"",CHAR(10)&amp;"Salle "&amp;$N510,"")&amp;IF($O510="En ligne",CHAR(10)&amp;"◆ EN LIGNE","")&amp;IF($R510&lt;&gt;"",CHAR(10)&amp;$R510,"")</f>
        <v/>
      </c>
      <c r="Y510" s="45" t="inlineStr"/>
      <c r="Z510" s="45" t="inlineStr">
        <is>
          <t>— généré —</t>
        </is>
      </c>
    </row>
    <row r="511" ht="15" customHeight="1">
      <c r="A511" s="10" t="inlineStr">
        <is>
          <t>S6</t>
        </is>
      </c>
      <c r="B511" s="9" t="inlineStr">
        <is>
          <t>du 19 au 25 octobre 2026</t>
        </is>
      </c>
      <c r="C511" s="10" t="inlineStr">
        <is>
          <t>B</t>
        </is>
      </c>
      <c r="D511" s="41" t="n">
        <v>46314</v>
      </c>
      <c r="E511" s="10" t="inlineStr">
        <is>
          <t>Lundi</t>
        </is>
      </c>
      <c r="F511" s="42" t="n">
        <v>0.7916666666666666</v>
      </c>
      <c r="G511" s="42" t="n">
        <v>0.8541666666666666</v>
      </c>
      <c r="H511" s="43">
        <f>IF(OR($F511="",$G511=""),"",($G511-$F511)*24)</f>
        <v/>
      </c>
      <c r="I511" s="10" t="inlineStr">
        <is>
          <t>Secondaire</t>
        </is>
      </c>
      <c r="J511" s="9" t="inlineStr">
        <is>
          <t>3éme SCE</t>
        </is>
      </c>
      <c r="K511" s="9" t="inlineStr">
        <is>
          <t>Math</t>
        </is>
      </c>
      <c r="L511" s="9" t="inlineStr">
        <is>
          <t>Math</t>
        </is>
      </c>
      <c r="M511" s="9" t="inlineStr">
        <is>
          <t>Lotfi</t>
        </is>
      </c>
      <c r="N511" s="10" t="n"/>
      <c r="O511" s="10" t="n"/>
      <c r="P511" s="10" t="inlineStr">
        <is>
          <t>Hebdomadaire</t>
        </is>
      </c>
      <c r="Q511" s="9" t="inlineStr">
        <is>
          <t>Généré (octobre)</t>
        </is>
      </c>
      <c r="R511" s="9" t="inlineStr"/>
      <c r="S511" s="44">
        <f>IF($M511="","",IF(SUMPRODUCT(($D$4:$D$704=$D511)*($M$4:$M$704=$M511)*($F$4:$F$704&lt;$G511)*($G$4:$G$704&gt;$F511))&gt;1,"⚠ CONFLIT",""))</f>
        <v/>
      </c>
      <c r="T511" s="44">
        <f>IF($J511="","",IF(SUMPRODUCT(($D$4:$D$704=$D511)*($J$4:$J$704=$J511)*($F$4:$F$704&lt;$G511)*($G$4:$G$704&gt;$F511))&gt;1,"⚠ CONFLIT",""))</f>
        <v/>
      </c>
      <c r="U511" s="44">
        <f>IF(COUNTIFS($D$4:$D$704,$D511,$J$4:$J$704,$J511,$F$4:$F$704,$F511,$K$4:$K$704,$K511)&gt;1,"⚠ DOUBLON","")</f>
        <v/>
      </c>
      <c r="V511" s="44">
        <f>COUNTIFS($A$4:$A511,$A511,$J$4:$J511,$J511,$E$4:$E511,$E511)</f>
        <v/>
      </c>
      <c r="W511" s="45">
        <f>$A511&amp;"|"&amp;$J511&amp;"|"&amp;$E511&amp;"|"&amp;$V511</f>
        <v/>
      </c>
      <c r="X511" s="46">
        <f>TEXT($F511,"hh:mm")&amp;" - "&amp;TEXT($G511,"hh:mm")&amp;IF($P511="Quinzaine A","   ◆ Q-A",IF($P511="Quinzaine B","   ◆ Q-B",IF($P511="Exception","   ◆ PONCTUEL","")))&amp;CHAR(10)&amp;$K511&amp;CHAR(10)&amp;$M511&amp;IF($N511&lt;&gt;"",CHAR(10)&amp;"Salle "&amp;$N511,"")&amp;IF($O511="En ligne",CHAR(10)&amp;"◆ EN LIGNE","")&amp;IF($R511&lt;&gt;"",CHAR(10)&amp;$R511,"")</f>
        <v/>
      </c>
      <c r="Y511" s="45" t="inlineStr"/>
      <c r="Z511" s="45" t="inlineStr">
        <is>
          <t>— généré —</t>
        </is>
      </c>
    </row>
    <row r="512" ht="15" customHeight="1">
      <c r="A512" s="10" t="inlineStr">
        <is>
          <t>S6</t>
        </is>
      </c>
      <c r="B512" s="9" t="inlineStr">
        <is>
          <t>du 19 au 25 octobre 2026</t>
        </is>
      </c>
      <c r="C512" s="10" t="inlineStr">
        <is>
          <t>B</t>
        </is>
      </c>
      <c r="D512" s="41" t="n">
        <v>46314</v>
      </c>
      <c r="E512" s="10" t="inlineStr">
        <is>
          <t>Lundi</t>
        </is>
      </c>
      <c r="F512" s="42" t="n">
        <v>0.7916666666666666</v>
      </c>
      <c r="G512" s="42" t="n">
        <v>0.875</v>
      </c>
      <c r="H512" s="43">
        <f>IF(OR($F512="",$G512=""),"",($G512-$F512)*24)</f>
        <v/>
      </c>
      <c r="I512" s="10" t="inlineStr">
        <is>
          <t>Bac</t>
        </is>
      </c>
      <c r="J512" s="9" t="inlineStr">
        <is>
          <t>Bac Eco</t>
        </is>
      </c>
      <c r="K512" s="9" t="inlineStr">
        <is>
          <t>Gestion</t>
        </is>
      </c>
      <c r="L512" s="9" t="inlineStr">
        <is>
          <t>Gestion</t>
        </is>
      </c>
      <c r="M512" s="9" t="inlineStr">
        <is>
          <t>Yassine</t>
        </is>
      </c>
      <c r="N512" s="10" t="n"/>
      <c r="O512" s="10" t="n"/>
      <c r="P512" s="10" t="inlineStr">
        <is>
          <t>Hebdomadaire</t>
        </is>
      </c>
      <c r="Q512" s="9" t="inlineStr">
        <is>
          <t>Généré (octobre)</t>
        </is>
      </c>
      <c r="R512" s="9" t="inlineStr"/>
      <c r="S512" s="44">
        <f>IF($M512="","",IF(SUMPRODUCT(($D$4:$D$704=$D512)*($M$4:$M$704=$M512)*($F$4:$F$704&lt;$G512)*($G$4:$G$704&gt;$F512))&gt;1,"⚠ CONFLIT",""))</f>
        <v/>
      </c>
      <c r="T512" s="44">
        <f>IF($J512="","",IF(SUMPRODUCT(($D$4:$D$704=$D512)*($J$4:$J$704=$J512)*($F$4:$F$704&lt;$G512)*($G$4:$G$704&gt;$F512))&gt;1,"⚠ CONFLIT",""))</f>
        <v/>
      </c>
      <c r="U512" s="44">
        <f>IF(COUNTIFS($D$4:$D$704,$D512,$J$4:$J$704,$J512,$F$4:$F$704,$F512,$K$4:$K$704,$K512)&gt;1,"⚠ DOUBLON","")</f>
        <v/>
      </c>
      <c r="V512" s="44">
        <f>COUNTIFS($A$4:$A512,$A512,$J$4:$J512,$J512,$E$4:$E512,$E512)</f>
        <v/>
      </c>
      <c r="W512" s="45">
        <f>$A512&amp;"|"&amp;$J512&amp;"|"&amp;$E512&amp;"|"&amp;$V512</f>
        <v/>
      </c>
      <c r="X512" s="46">
        <f>TEXT($F512,"hh:mm")&amp;" - "&amp;TEXT($G512,"hh:mm")&amp;IF($P512="Quinzaine A","   ◆ Q-A",IF($P512="Quinzaine B","   ◆ Q-B",IF($P512="Exception","   ◆ PONCTUEL","")))&amp;CHAR(10)&amp;$K512&amp;CHAR(10)&amp;$M512&amp;IF($N512&lt;&gt;"",CHAR(10)&amp;"Salle "&amp;$N512,"")&amp;IF($O512="En ligne",CHAR(10)&amp;"◆ EN LIGNE","")&amp;IF($R512&lt;&gt;"",CHAR(10)&amp;$R512,"")</f>
        <v/>
      </c>
      <c r="Y512" s="45" t="inlineStr"/>
      <c r="Z512" s="45" t="inlineStr">
        <is>
          <t>— généré —</t>
        </is>
      </c>
    </row>
    <row r="513" ht="15" customHeight="1">
      <c r="A513" s="10" t="inlineStr">
        <is>
          <t>S6</t>
        </is>
      </c>
      <c r="B513" s="9" t="inlineStr">
        <is>
          <t>du 19 au 25 octobre 2026</t>
        </is>
      </c>
      <c r="C513" s="10" t="inlineStr">
        <is>
          <t>B</t>
        </is>
      </c>
      <c r="D513" s="41" t="n">
        <v>46314</v>
      </c>
      <c r="E513" s="10" t="inlineStr">
        <is>
          <t>Lundi</t>
        </is>
      </c>
      <c r="F513" s="42" t="n">
        <v>0.7916666666666666</v>
      </c>
      <c r="G513" s="42" t="n">
        <v>0.875</v>
      </c>
      <c r="H513" s="43">
        <f>IF(OR($F513="",$G513=""),"",($G513-$F513)*24)</f>
        <v/>
      </c>
      <c r="I513" s="10" t="inlineStr">
        <is>
          <t>Bac</t>
        </is>
      </c>
      <c r="J513" s="9" t="inlineStr">
        <is>
          <t>Bac SCE</t>
        </is>
      </c>
      <c r="K513" s="9" t="inlineStr">
        <is>
          <t>Physique</t>
        </is>
      </c>
      <c r="L513" s="9" t="inlineStr">
        <is>
          <t>Physique</t>
        </is>
      </c>
      <c r="M513" s="9" t="inlineStr">
        <is>
          <t>Sondes</t>
        </is>
      </c>
      <c r="N513" s="10" t="n"/>
      <c r="O513" s="10" t="n"/>
      <c r="P513" s="10" t="inlineStr">
        <is>
          <t>Hebdomadaire</t>
        </is>
      </c>
      <c r="Q513" s="9" t="inlineStr">
        <is>
          <t>Généré (octobre)</t>
        </is>
      </c>
      <c r="R513" s="9" t="inlineStr"/>
      <c r="S513" s="44">
        <f>IF($M513="","",IF(SUMPRODUCT(($D$4:$D$704=$D513)*($M$4:$M$704=$M513)*($F$4:$F$704&lt;$G513)*($G$4:$G$704&gt;$F513))&gt;1,"⚠ CONFLIT",""))</f>
        <v/>
      </c>
      <c r="T513" s="44">
        <f>IF($J513="","",IF(SUMPRODUCT(($D$4:$D$704=$D513)*($J$4:$J$704=$J513)*($F$4:$F$704&lt;$G513)*($G$4:$G$704&gt;$F513))&gt;1,"⚠ CONFLIT",""))</f>
        <v/>
      </c>
      <c r="U513" s="44">
        <f>IF(COUNTIFS($D$4:$D$704,$D513,$J$4:$J$704,$J513,$F$4:$F$704,$F513,$K$4:$K$704,$K513)&gt;1,"⚠ DOUBLON","")</f>
        <v/>
      </c>
      <c r="V513" s="44">
        <f>COUNTIFS($A$4:$A513,$A513,$J$4:$J513,$J513,$E$4:$E513,$E513)</f>
        <v/>
      </c>
      <c r="W513" s="45">
        <f>$A513&amp;"|"&amp;$J513&amp;"|"&amp;$E513&amp;"|"&amp;$V513</f>
        <v/>
      </c>
      <c r="X513" s="46">
        <f>TEXT($F513,"hh:mm")&amp;" - "&amp;TEXT($G513,"hh:mm")&amp;IF($P513="Quinzaine A","   ◆ Q-A",IF($P513="Quinzaine B","   ◆ Q-B",IF($P513="Exception","   ◆ PONCTUEL","")))&amp;CHAR(10)&amp;$K513&amp;CHAR(10)&amp;$M513&amp;IF($N513&lt;&gt;"",CHAR(10)&amp;"Salle "&amp;$N513,"")&amp;IF($O513="En ligne",CHAR(10)&amp;"◆ EN LIGNE","")&amp;IF($R513&lt;&gt;"",CHAR(10)&amp;$R513,"")</f>
        <v/>
      </c>
      <c r="Y513" s="45" t="inlineStr"/>
      <c r="Z513" s="45" t="inlineStr">
        <is>
          <t>— généré —</t>
        </is>
      </c>
    </row>
    <row r="514" ht="15" customHeight="1">
      <c r="A514" s="10" t="inlineStr">
        <is>
          <t>S6</t>
        </is>
      </c>
      <c r="B514" s="9" t="inlineStr">
        <is>
          <t>du 19 au 25 octobre 2026</t>
        </is>
      </c>
      <c r="C514" s="10" t="inlineStr">
        <is>
          <t>B</t>
        </is>
      </c>
      <c r="D514" s="41" t="n">
        <v>46314</v>
      </c>
      <c r="E514" s="10" t="inlineStr">
        <is>
          <t>Lundi</t>
        </is>
      </c>
      <c r="F514" s="42" t="n">
        <v>0.8125</v>
      </c>
      <c r="G514" s="42" t="n">
        <v>0.875</v>
      </c>
      <c r="H514" s="43">
        <f>IF(OR($F514="",$G514=""),"",($G514-$F514)*24)</f>
        <v/>
      </c>
      <c r="I514" s="10" t="inlineStr">
        <is>
          <t>Bac</t>
        </is>
      </c>
      <c r="J514" s="9" t="inlineStr">
        <is>
          <t>Bac INFO</t>
        </is>
      </c>
      <c r="K514" s="9" t="inlineStr">
        <is>
          <t>Physique</t>
        </is>
      </c>
      <c r="L514" s="9" t="inlineStr">
        <is>
          <t>Physique</t>
        </is>
      </c>
      <c r="M514" s="9" t="inlineStr">
        <is>
          <t>Samia</t>
        </is>
      </c>
      <c r="N514" s="10" t="n"/>
      <c r="O514" s="10" t="n"/>
      <c r="P514" s="10" t="inlineStr">
        <is>
          <t>Hebdomadaire</t>
        </is>
      </c>
      <c r="Q514" s="9" t="inlineStr">
        <is>
          <t>Généré (octobre)</t>
        </is>
      </c>
      <c r="R514" s="9" t="inlineStr"/>
      <c r="S514" s="44">
        <f>IF($M514="","",IF(SUMPRODUCT(($D$4:$D$704=$D514)*($M$4:$M$704=$M514)*($F$4:$F$704&lt;$G514)*($G$4:$G$704&gt;$F514))&gt;1,"⚠ CONFLIT",""))</f>
        <v/>
      </c>
      <c r="T514" s="44">
        <f>IF($J514="","",IF(SUMPRODUCT(($D$4:$D$704=$D514)*($J$4:$J$704=$J514)*($F$4:$F$704&lt;$G514)*($G$4:$G$704&gt;$F514))&gt;1,"⚠ CONFLIT",""))</f>
        <v/>
      </c>
      <c r="U514" s="44">
        <f>IF(COUNTIFS($D$4:$D$704,$D514,$J$4:$J$704,$J514,$F$4:$F$704,$F514,$K$4:$K$704,$K514)&gt;1,"⚠ DOUBLON","")</f>
        <v/>
      </c>
      <c r="V514" s="44">
        <f>COUNTIFS($A$4:$A514,$A514,$J$4:$J514,$J514,$E$4:$E514,$E514)</f>
        <v/>
      </c>
      <c r="W514" s="45">
        <f>$A514&amp;"|"&amp;$J514&amp;"|"&amp;$E514&amp;"|"&amp;$V514</f>
        <v/>
      </c>
      <c r="X514" s="46">
        <f>TEXT($F514,"hh:mm")&amp;" - "&amp;TEXT($G514,"hh:mm")&amp;IF($P514="Quinzaine A","   ◆ Q-A",IF($P514="Quinzaine B","   ◆ Q-B",IF($P514="Exception","   ◆ PONCTUEL","")))&amp;CHAR(10)&amp;$K514&amp;CHAR(10)&amp;$M514&amp;IF($N514&lt;&gt;"",CHAR(10)&amp;"Salle "&amp;$N514,"")&amp;IF($O514="En ligne",CHAR(10)&amp;"◆ EN LIGNE","")&amp;IF($R514&lt;&gt;"",CHAR(10)&amp;$R514,"")</f>
        <v/>
      </c>
      <c r="Y514" s="45" t="inlineStr"/>
      <c r="Z514" s="45" t="inlineStr">
        <is>
          <t>— généré —</t>
        </is>
      </c>
    </row>
    <row r="515" ht="15" customHeight="1">
      <c r="A515" s="10" t="inlineStr">
        <is>
          <t>S6</t>
        </is>
      </c>
      <c r="B515" s="9" t="inlineStr">
        <is>
          <t>du 19 au 25 octobre 2026</t>
        </is>
      </c>
      <c r="C515" s="10" t="inlineStr">
        <is>
          <t>B</t>
        </is>
      </c>
      <c r="D515" s="41" t="n">
        <v>46315</v>
      </c>
      <c r="E515" s="10" t="inlineStr">
        <is>
          <t>Mardi</t>
        </is>
      </c>
      <c r="F515" s="42" t="n">
        <v>0.7916666666666666</v>
      </c>
      <c r="G515" s="42" t="n">
        <v>0.875</v>
      </c>
      <c r="H515" s="43">
        <f>IF(OR($F515="",$G515=""),"",($G515-$F515)*24)</f>
        <v/>
      </c>
      <c r="I515" s="10" t="inlineStr">
        <is>
          <t>Primaire</t>
        </is>
      </c>
      <c r="J515" s="9" t="inlineStr">
        <is>
          <t>5éme</t>
        </is>
      </c>
      <c r="K515" s="9" t="inlineStr">
        <is>
          <t>عربية</t>
        </is>
      </c>
      <c r="L515" s="9" t="inlineStr">
        <is>
          <t>Arabe</t>
        </is>
      </c>
      <c r="M515" s="9" t="inlineStr">
        <is>
          <t>Lobna</t>
        </is>
      </c>
      <c r="N515" s="10" t="n"/>
      <c r="O515" s="10" t="n"/>
      <c r="P515" s="10" t="inlineStr">
        <is>
          <t>Hebdomadaire</t>
        </is>
      </c>
      <c r="Q515" s="9" t="inlineStr">
        <is>
          <t>Généré (octobre)</t>
        </is>
      </c>
      <c r="R515" s="9" t="inlineStr"/>
      <c r="S515" s="44">
        <f>IF($M515="","",IF(SUMPRODUCT(($D$4:$D$704=$D515)*($M$4:$M$704=$M515)*($F$4:$F$704&lt;$G515)*($G$4:$G$704&gt;$F515))&gt;1,"⚠ CONFLIT",""))</f>
        <v/>
      </c>
      <c r="T515" s="44">
        <f>IF($J515="","",IF(SUMPRODUCT(($D$4:$D$704=$D515)*($J$4:$J$704=$J515)*($F$4:$F$704&lt;$G515)*($G$4:$G$704&gt;$F515))&gt;1,"⚠ CONFLIT",""))</f>
        <v/>
      </c>
      <c r="U515" s="44">
        <f>IF(COUNTIFS($D$4:$D$704,$D515,$J$4:$J$704,$J515,$F$4:$F$704,$F515,$K$4:$K$704,$K515)&gt;1,"⚠ DOUBLON","")</f>
        <v/>
      </c>
      <c r="V515" s="44">
        <f>COUNTIFS($A$4:$A515,$A515,$J$4:$J515,$J515,$E$4:$E515,$E515)</f>
        <v/>
      </c>
      <c r="W515" s="45">
        <f>$A515&amp;"|"&amp;$J515&amp;"|"&amp;$E515&amp;"|"&amp;$V515</f>
        <v/>
      </c>
      <c r="X515" s="46">
        <f>TEXT($F515,"hh:mm")&amp;" - "&amp;TEXT($G515,"hh:mm")&amp;IF($P515="Quinzaine A","   ◆ Q-A",IF($P515="Quinzaine B","   ◆ Q-B",IF($P515="Exception","   ◆ PONCTUEL","")))&amp;CHAR(10)&amp;$K515&amp;CHAR(10)&amp;$M515&amp;IF($N515&lt;&gt;"",CHAR(10)&amp;"Salle "&amp;$N515,"")&amp;IF($O515="En ligne",CHAR(10)&amp;"◆ EN LIGNE","")&amp;IF($R515&lt;&gt;"",CHAR(10)&amp;$R515,"")</f>
        <v/>
      </c>
      <c r="Y515" s="45" t="inlineStr"/>
      <c r="Z515" s="45" t="inlineStr">
        <is>
          <t>— généré —</t>
        </is>
      </c>
    </row>
    <row r="516" ht="15" customHeight="1">
      <c r="A516" s="10" t="inlineStr">
        <is>
          <t>S6</t>
        </is>
      </c>
      <c r="B516" s="9" t="inlineStr">
        <is>
          <t>du 19 au 25 octobre 2026</t>
        </is>
      </c>
      <c r="C516" s="10" t="inlineStr">
        <is>
          <t>B</t>
        </is>
      </c>
      <c r="D516" s="41" t="n">
        <v>46315</v>
      </c>
      <c r="E516" s="10" t="inlineStr">
        <is>
          <t>Mardi</t>
        </is>
      </c>
      <c r="F516" s="42" t="n">
        <v>0.7916666666666666</v>
      </c>
      <c r="G516" s="42" t="n">
        <v>0.8541666666666666</v>
      </c>
      <c r="H516" s="43">
        <f>IF(OR($F516="",$G516=""),"",($G516-$F516)*24)</f>
        <v/>
      </c>
      <c r="I516" s="10" t="inlineStr">
        <is>
          <t>Primaire</t>
        </is>
      </c>
      <c r="J516" s="9" t="inlineStr">
        <is>
          <t>6éme (B)</t>
        </is>
      </c>
      <c r="K516" s="9" t="inlineStr">
        <is>
          <t>Français</t>
        </is>
      </c>
      <c r="L516" s="9" t="inlineStr">
        <is>
          <t>Français</t>
        </is>
      </c>
      <c r="M516" s="9" t="inlineStr">
        <is>
          <t>Hend</t>
        </is>
      </c>
      <c r="N516" s="10" t="n"/>
      <c r="O516" s="10" t="n"/>
      <c r="P516" s="10" t="inlineStr">
        <is>
          <t>Hebdomadaire</t>
        </is>
      </c>
      <c r="Q516" s="9" t="inlineStr">
        <is>
          <t>Généré (octobre)</t>
        </is>
      </c>
      <c r="R516" s="9" t="inlineStr"/>
      <c r="S516" s="44">
        <f>IF($M516="","",IF(SUMPRODUCT(($D$4:$D$704=$D516)*($M$4:$M$704=$M516)*($F$4:$F$704&lt;$G516)*($G$4:$G$704&gt;$F516))&gt;1,"⚠ CONFLIT",""))</f>
        <v/>
      </c>
      <c r="T516" s="44">
        <f>IF($J516="","",IF(SUMPRODUCT(($D$4:$D$704=$D516)*($J$4:$J$704=$J516)*($F$4:$F$704&lt;$G516)*($G$4:$G$704&gt;$F516))&gt;1,"⚠ CONFLIT",""))</f>
        <v/>
      </c>
      <c r="U516" s="44">
        <f>IF(COUNTIFS($D$4:$D$704,$D516,$J$4:$J$704,$J516,$F$4:$F$704,$F516,$K$4:$K$704,$K516)&gt;1,"⚠ DOUBLON","")</f>
        <v/>
      </c>
      <c r="V516" s="44">
        <f>COUNTIFS($A$4:$A516,$A516,$J$4:$J516,$J516,$E$4:$E516,$E516)</f>
        <v/>
      </c>
      <c r="W516" s="45">
        <f>$A516&amp;"|"&amp;$J516&amp;"|"&amp;$E516&amp;"|"&amp;$V516</f>
        <v/>
      </c>
      <c r="X516" s="46">
        <f>TEXT($F516,"hh:mm")&amp;" - "&amp;TEXT($G516,"hh:mm")&amp;IF($P516="Quinzaine A","   ◆ Q-A",IF($P516="Quinzaine B","   ◆ Q-B",IF($P516="Exception","   ◆ PONCTUEL","")))&amp;CHAR(10)&amp;$K516&amp;CHAR(10)&amp;$M516&amp;IF($N516&lt;&gt;"",CHAR(10)&amp;"Salle "&amp;$N516,"")&amp;IF($O516="En ligne",CHAR(10)&amp;"◆ EN LIGNE","")&amp;IF($R516&lt;&gt;"",CHAR(10)&amp;$R516,"")</f>
        <v/>
      </c>
      <c r="Y516" s="45" t="inlineStr"/>
      <c r="Z516" s="45" t="inlineStr">
        <is>
          <t>— généré —</t>
        </is>
      </c>
    </row>
    <row r="517" ht="15" customHeight="1">
      <c r="A517" s="10" t="inlineStr">
        <is>
          <t>S6</t>
        </is>
      </c>
      <c r="B517" s="9" t="inlineStr">
        <is>
          <t>du 19 au 25 octobre 2026</t>
        </is>
      </c>
      <c r="C517" s="10" t="inlineStr">
        <is>
          <t>B</t>
        </is>
      </c>
      <c r="D517" s="41" t="n">
        <v>46315</v>
      </c>
      <c r="E517" s="10" t="inlineStr">
        <is>
          <t>Mardi</t>
        </is>
      </c>
      <c r="F517" s="42" t="n">
        <v>0.7916666666666666</v>
      </c>
      <c r="G517" s="42" t="n">
        <v>0.8541666666666666</v>
      </c>
      <c r="H517" s="43">
        <f>IF(OR($F517="",$G517=""),"",($G517-$F517)*24)</f>
        <v/>
      </c>
      <c r="I517" s="10" t="inlineStr">
        <is>
          <t>Collège</t>
        </is>
      </c>
      <c r="J517" s="9" t="inlineStr">
        <is>
          <t>7éme (B)</t>
        </is>
      </c>
      <c r="K517" s="9" t="inlineStr">
        <is>
          <t>Anglais</t>
        </is>
      </c>
      <c r="L517" s="9" t="inlineStr">
        <is>
          <t>Anglais</t>
        </is>
      </c>
      <c r="M517" s="9" t="inlineStr">
        <is>
          <t>Imen Ben Lazrak</t>
        </is>
      </c>
      <c r="N517" s="10" t="n"/>
      <c r="O517" s="10" t="n"/>
      <c r="P517" s="10" t="inlineStr">
        <is>
          <t>Quinzaine B</t>
        </is>
      </c>
      <c r="Q517" s="9" t="inlineStr">
        <is>
          <t>Généré (octobre)</t>
        </is>
      </c>
      <c r="R517" s="9" t="inlineStr"/>
      <c r="S517" s="44">
        <f>IF($M517="","",IF(SUMPRODUCT(($D$4:$D$704=$D517)*($M$4:$M$704=$M517)*($F$4:$F$704&lt;$G517)*($G$4:$G$704&gt;$F517))&gt;1,"⚠ CONFLIT",""))</f>
        <v/>
      </c>
      <c r="T517" s="44">
        <f>IF($J517="","",IF(SUMPRODUCT(($D$4:$D$704=$D517)*($J$4:$J$704=$J517)*($F$4:$F$704&lt;$G517)*($G$4:$G$704&gt;$F517))&gt;1,"⚠ CONFLIT",""))</f>
        <v/>
      </c>
      <c r="U517" s="44">
        <f>IF(COUNTIFS($D$4:$D$704,$D517,$J$4:$J$704,$J517,$F$4:$F$704,$F517,$K$4:$K$704,$K517)&gt;1,"⚠ DOUBLON","")</f>
        <v/>
      </c>
      <c r="V517" s="44">
        <f>COUNTIFS($A$4:$A517,$A517,$J$4:$J517,$J517,$E$4:$E517,$E517)</f>
        <v/>
      </c>
      <c r="W517" s="45">
        <f>$A517&amp;"|"&amp;$J517&amp;"|"&amp;$E517&amp;"|"&amp;$V517</f>
        <v/>
      </c>
      <c r="X517" s="46">
        <f>TEXT($F517,"hh:mm")&amp;" - "&amp;TEXT($G517,"hh:mm")&amp;IF($P517="Quinzaine A","   ◆ Q-A",IF($P517="Quinzaine B","   ◆ Q-B",IF($P517="Exception","   ◆ PONCTUEL","")))&amp;CHAR(10)&amp;$K517&amp;CHAR(10)&amp;$M517&amp;IF($N517&lt;&gt;"",CHAR(10)&amp;"Salle "&amp;$N517,"")&amp;IF($O517="En ligne",CHAR(10)&amp;"◆ EN LIGNE","")&amp;IF($R517&lt;&gt;"",CHAR(10)&amp;$R517,"")</f>
        <v/>
      </c>
      <c r="Y517" s="45" t="inlineStr"/>
      <c r="Z517" s="45" t="inlineStr">
        <is>
          <t>— généré —</t>
        </is>
      </c>
    </row>
    <row r="518" ht="15" customHeight="1">
      <c r="A518" s="10" t="inlineStr">
        <is>
          <t>S6</t>
        </is>
      </c>
      <c r="B518" s="9" t="inlineStr">
        <is>
          <t>du 19 au 25 octobre 2026</t>
        </is>
      </c>
      <c r="C518" s="10" t="inlineStr">
        <is>
          <t>B</t>
        </is>
      </c>
      <c r="D518" s="41" t="n">
        <v>46315</v>
      </c>
      <c r="E518" s="10" t="inlineStr">
        <is>
          <t>Mardi</t>
        </is>
      </c>
      <c r="F518" s="42" t="n">
        <v>0.8125</v>
      </c>
      <c r="G518" s="42" t="n">
        <v>0.875</v>
      </c>
      <c r="H518" s="43">
        <f>IF(OR($F518="",$G518=""),"",($G518-$F518)*24)</f>
        <v/>
      </c>
      <c r="I518" s="10" t="inlineStr">
        <is>
          <t>Collège</t>
        </is>
      </c>
      <c r="J518" s="9" t="inlineStr">
        <is>
          <t>8éme (B)</t>
        </is>
      </c>
      <c r="K518" s="9" t="inlineStr">
        <is>
          <t>Arabe</t>
        </is>
      </c>
      <c r="L518" s="9" t="inlineStr">
        <is>
          <t>Arabe</t>
        </is>
      </c>
      <c r="M518" s="9" t="inlineStr">
        <is>
          <t>Yahya</t>
        </is>
      </c>
      <c r="N518" s="10" t="n"/>
      <c r="O518" s="10" t="n"/>
      <c r="P518" s="10" t="inlineStr">
        <is>
          <t>Hebdomadaire</t>
        </is>
      </c>
      <c r="Q518" s="9" t="inlineStr">
        <is>
          <t>Généré (octobre)</t>
        </is>
      </c>
      <c r="R518" s="9" t="inlineStr"/>
      <c r="S518" s="44">
        <f>IF($M518="","",IF(SUMPRODUCT(($D$4:$D$704=$D518)*($M$4:$M$704=$M518)*($F$4:$F$704&lt;$G518)*($G$4:$G$704&gt;$F518))&gt;1,"⚠ CONFLIT",""))</f>
        <v/>
      </c>
      <c r="T518" s="44">
        <f>IF($J518="","",IF(SUMPRODUCT(($D$4:$D$704=$D518)*($J$4:$J$704=$J518)*($F$4:$F$704&lt;$G518)*($G$4:$G$704&gt;$F518))&gt;1,"⚠ CONFLIT",""))</f>
        <v/>
      </c>
      <c r="U518" s="44">
        <f>IF(COUNTIFS($D$4:$D$704,$D518,$J$4:$J$704,$J518,$F$4:$F$704,$F518,$K$4:$K$704,$K518)&gt;1,"⚠ DOUBLON","")</f>
        <v/>
      </c>
      <c r="V518" s="44">
        <f>COUNTIFS($A$4:$A518,$A518,$J$4:$J518,$J518,$E$4:$E518,$E518)</f>
        <v/>
      </c>
      <c r="W518" s="45">
        <f>$A518&amp;"|"&amp;$J518&amp;"|"&amp;$E518&amp;"|"&amp;$V518</f>
        <v/>
      </c>
      <c r="X518" s="46">
        <f>TEXT($F518,"hh:mm")&amp;" - "&amp;TEXT($G518,"hh:mm")&amp;IF($P518="Quinzaine A","   ◆ Q-A",IF($P518="Quinzaine B","   ◆ Q-B",IF($P518="Exception","   ◆ PONCTUEL","")))&amp;CHAR(10)&amp;$K518&amp;CHAR(10)&amp;$M518&amp;IF($N518&lt;&gt;"",CHAR(10)&amp;"Salle "&amp;$N518,"")&amp;IF($O518="En ligne",CHAR(10)&amp;"◆ EN LIGNE","")&amp;IF($R518&lt;&gt;"",CHAR(10)&amp;$R518,"")</f>
        <v/>
      </c>
      <c r="Y518" s="45" t="inlineStr"/>
      <c r="Z518" s="45" t="inlineStr">
        <is>
          <t>— généré —</t>
        </is>
      </c>
    </row>
    <row r="519" ht="15" customHeight="1">
      <c r="A519" s="10" t="inlineStr">
        <is>
          <t>S6</t>
        </is>
      </c>
      <c r="B519" s="9" t="inlineStr">
        <is>
          <t>du 19 au 25 octobre 2026</t>
        </is>
      </c>
      <c r="C519" s="10" t="inlineStr">
        <is>
          <t>B</t>
        </is>
      </c>
      <c r="D519" s="41" t="n">
        <v>46315</v>
      </c>
      <c r="E519" s="10" t="inlineStr">
        <is>
          <t>Mardi</t>
        </is>
      </c>
      <c r="F519" s="42" t="n">
        <v>0.7916666666666666</v>
      </c>
      <c r="G519" s="42" t="n">
        <v>0.8541666666666666</v>
      </c>
      <c r="H519" s="43">
        <f>IF(OR($F519="",$G519=""),"",($G519-$F519)*24)</f>
        <v/>
      </c>
      <c r="I519" s="10" t="inlineStr">
        <is>
          <t>Collège</t>
        </is>
      </c>
      <c r="J519" s="9" t="inlineStr">
        <is>
          <t>9éme (A)</t>
        </is>
      </c>
      <c r="K519" s="9" t="inlineStr">
        <is>
          <t>Math</t>
        </is>
      </c>
      <c r="L519" s="9" t="inlineStr">
        <is>
          <t>Math</t>
        </is>
      </c>
      <c r="M519" s="9" t="inlineStr">
        <is>
          <t>Faouzi</t>
        </is>
      </c>
      <c r="N519" s="10" t="n"/>
      <c r="O519" s="10" t="n"/>
      <c r="P519" s="10" t="inlineStr">
        <is>
          <t>Hebdomadaire</t>
        </is>
      </c>
      <c r="Q519" s="9" t="inlineStr">
        <is>
          <t>Généré (octobre)</t>
        </is>
      </c>
      <c r="R519" s="9" t="inlineStr"/>
      <c r="S519" s="44">
        <f>IF($M519="","",IF(SUMPRODUCT(($D$4:$D$704=$D519)*($M$4:$M$704=$M519)*($F$4:$F$704&lt;$G519)*($G$4:$G$704&gt;$F519))&gt;1,"⚠ CONFLIT",""))</f>
        <v/>
      </c>
      <c r="T519" s="44">
        <f>IF($J519="","",IF(SUMPRODUCT(($D$4:$D$704=$D519)*($J$4:$J$704=$J519)*($F$4:$F$704&lt;$G519)*($G$4:$G$704&gt;$F519))&gt;1,"⚠ CONFLIT",""))</f>
        <v/>
      </c>
      <c r="U519" s="44">
        <f>IF(COUNTIFS($D$4:$D$704,$D519,$J$4:$J$704,$J519,$F$4:$F$704,$F519,$K$4:$K$704,$K519)&gt;1,"⚠ DOUBLON","")</f>
        <v/>
      </c>
      <c r="V519" s="44">
        <f>COUNTIFS($A$4:$A519,$A519,$J$4:$J519,$J519,$E$4:$E519,$E519)</f>
        <v/>
      </c>
      <c r="W519" s="45">
        <f>$A519&amp;"|"&amp;$J519&amp;"|"&amp;$E519&amp;"|"&amp;$V519</f>
        <v/>
      </c>
      <c r="X519" s="46">
        <f>TEXT($F519,"hh:mm")&amp;" - "&amp;TEXT($G519,"hh:mm")&amp;IF($P519="Quinzaine A","   ◆ Q-A",IF($P519="Quinzaine B","   ◆ Q-B",IF($P519="Exception","   ◆ PONCTUEL","")))&amp;CHAR(10)&amp;$K519&amp;CHAR(10)&amp;$M519&amp;IF($N519&lt;&gt;"",CHAR(10)&amp;"Salle "&amp;$N519,"")&amp;IF($O519="En ligne",CHAR(10)&amp;"◆ EN LIGNE","")&amp;IF($R519&lt;&gt;"",CHAR(10)&amp;$R519,"")</f>
        <v/>
      </c>
      <c r="Y519" s="45" t="inlineStr"/>
      <c r="Z519" s="45" t="inlineStr">
        <is>
          <t>— généré —</t>
        </is>
      </c>
    </row>
    <row r="520" ht="15" customHeight="1">
      <c r="A520" s="10" t="inlineStr">
        <is>
          <t>S6</t>
        </is>
      </c>
      <c r="B520" s="9" t="inlineStr">
        <is>
          <t>du 19 au 25 octobre 2026</t>
        </is>
      </c>
      <c r="C520" s="10" t="inlineStr">
        <is>
          <t>B</t>
        </is>
      </c>
      <c r="D520" s="41" t="n">
        <v>46315</v>
      </c>
      <c r="E520" s="10" t="inlineStr">
        <is>
          <t>Mardi</t>
        </is>
      </c>
      <c r="F520" s="42" t="n">
        <v>0.8020833333333334</v>
      </c>
      <c r="G520" s="42" t="n">
        <v>0.8645833333333334</v>
      </c>
      <c r="H520" s="43">
        <f>IF(OR($F520="",$G520=""),"",($G520-$F520)*24)</f>
        <v/>
      </c>
      <c r="I520" s="10" t="inlineStr">
        <is>
          <t>Collège</t>
        </is>
      </c>
      <c r="J520" s="9" t="inlineStr">
        <is>
          <t>9éme (B)</t>
        </is>
      </c>
      <c r="K520" s="9" t="inlineStr">
        <is>
          <t>SVT</t>
        </is>
      </c>
      <c r="L520" s="9" t="inlineStr">
        <is>
          <t>SVT</t>
        </is>
      </c>
      <c r="M520" s="9" t="inlineStr">
        <is>
          <t>Imen Jribi</t>
        </is>
      </c>
      <c r="N520" s="10" t="n"/>
      <c r="O520" s="10" t="n"/>
      <c r="P520" s="10" t="inlineStr">
        <is>
          <t>Hebdomadaire</t>
        </is>
      </c>
      <c r="Q520" s="9" t="inlineStr">
        <is>
          <t>Généré (octobre)</t>
        </is>
      </c>
      <c r="R520" s="9" t="inlineStr"/>
      <c r="S520" s="44">
        <f>IF($M520="","",IF(SUMPRODUCT(($D$4:$D$704=$D520)*($M$4:$M$704=$M520)*($F$4:$F$704&lt;$G520)*($G$4:$G$704&gt;$F520))&gt;1,"⚠ CONFLIT",""))</f>
        <v/>
      </c>
      <c r="T520" s="44">
        <f>IF($J520="","",IF(SUMPRODUCT(($D$4:$D$704=$D520)*($J$4:$J$704=$J520)*($F$4:$F$704&lt;$G520)*($G$4:$G$704&gt;$F520))&gt;1,"⚠ CONFLIT",""))</f>
        <v/>
      </c>
      <c r="U520" s="44">
        <f>IF(COUNTIFS($D$4:$D$704,$D520,$J$4:$J$704,$J520,$F$4:$F$704,$F520,$K$4:$K$704,$K520)&gt;1,"⚠ DOUBLON","")</f>
        <v/>
      </c>
      <c r="V520" s="44">
        <f>COUNTIFS($A$4:$A520,$A520,$J$4:$J520,$J520,$E$4:$E520,$E520)</f>
        <v/>
      </c>
      <c r="W520" s="45">
        <f>$A520&amp;"|"&amp;$J520&amp;"|"&amp;$E520&amp;"|"&amp;$V520</f>
        <v/>
      </c>
      <c r="X520" s="46">
        <f>TEXT($F520,"hh:mm")&amp;" - "&amp;TEXT($G520,"hh:mm")&amp;IF($P520="Quinzaine A","   ◆ Q-A",IF($P520="Quinzaine B","   ◆ Q-B",IF($P520="Exception","   ◆ PONCTUEL","")))&amp;CHAR(10)&amp;$K520&amp;CHAR(10)&amp;$M520&amp;IF($N520&lt;&gt;"",CHAR(10)&amp;"Salle "&amp;$N520,"")&amp;IF($O520="En ligne",CHAR(10)&amp;"◆ EN LIGNE","")&amp;IF($R520&lt;&gt;"",CHAR(10)&amp;$R520,"")</f>
        <v/>
      </c>
      <c r="Y520" s="45" t="inlineStr"/>
      <c r="Z520" s="45" t="inlineStr">
        <is>
          <t>— généré —</t>
        </is>
      </c>
    </row>
    <row r="521" ht="15" customHeight="1">
      <c r="A521" s="10" t="inlineStr">
        <is>
          <t>S6</t>
        </is>
      </c>
      <c r="B521" s="9" t="inlineStr">
        <is>
          <t>du 19 au 25 octobre 2026</t>
        </is>
      </c>
      <c r="C521" s="10" t="inlineStr">
        <is>
          <t>B</t>
        </is>
      </c>
      <c r="D521" s="41" t="n">
        <v>46315</v>
      </c>
      <c r="E521" s="10" t="inlineStr">
        <is>
          <t>Mardi</t>
        </is>
      </c>
      <c r="F521" s="42" t="n">
        <v>0.8020833333333334</v>
      </c>
      <c r="G521" s="42" t="n">
        <v>0.8645833333333334</v>
      </c>
      <c r="H521" s="43">
        <f>IF(OR($F521="",$G521=""),"",($G521-$F521)*24)</f>
        <v/>
      </c>
      <c r="I521" s="10" t="inlineStr">
        <is>
          <t>Secondaire</t>
        </is>
      </c>
      <c r="J521" s="9" t="inlineStr">
        <is>
          <t>1ére (A)</t>
        </is>
      </c>
      <c r="K521" s="9" t="inlineStr">
        <is>
          <t>Français</t>
        </is>
      </c>
      <c r="L521" s="9" t="inlineStr">
        <is>
          <t>Français</t>
        </is>
      </c>
      <c r="M521" s="9" t="inlineStr">
        <is>
          <t>Nassima</t>
        </is>
      </c>
      <c r="N521" s="10" t="n"/>
      <c r="O521" s="10" t="n"/>
      <c r="P521" s="10" t="inlineStr">
        <is>
          <t>Hebdomadaire</t>
        </is>
      </c>
      <c r="Q521" s="9" t="inlineStr">
        <is>
          <t>Généré (octobre)</t>
        </is>
      </c>
      <c r="R521" s="9" t="inlineStr"/>
      <c r="S521" s="44">
        <f>IF($M521="","",IF(SUMPRODUCT(($D$4:$D$704=$D521)*($M$4:$M$704=$M521)*($F$4:$F$704&lt;$G521)*($G$4:$G$704&gt;$F521))&gt;1,"⚠ CONFLIT",""))</f>
        <v/>
      </c>
      <c r="T521" s="44">
        <f>IF($J521="","",IF(SUMPRODUCT(($D$4:$D$704=$D521)*($J$4:$J$704=$J521)*($F$4:$F$704&lt;$G521)*($G$4:$G$704&gt;$F521))&gt;1,"⚠ CONFLIT",""))</f>
        <v/>
      </c>
      <c r="U521" s="44">
        <f>IF(COUNTIFS($D$4:$D$704,$D521,$J$4:$J$704,$J521,$F$4:$F$704,$F521,$K$4:$K$704,$K521)&gt;1,"⚠ DOUBLON","")</f>
        <v/>
      </c>
      <c r="V521" s="44">
        <f>COUNTIFS($A$4:$A521,$A521,$J$4:$J521,$J521,$E$4:$E521,$E521)</f>
        <v/>
      </c>
      <c r="W521" s="45">
        <f>$A521&amp;"|"&amp;$J521&amp;"|"&amp;$E521&amp;"|"&amp;$V521</f>
        <v/>
      </c>
      <c r="X521" s="46">
        <f>TEXT($F521,"hh:mm")&amp;" - "&amp;TEXT($G521,"hh:mm")&amp;IF($P521="Quinzaine A","   ◆ Q-A",IF($P521="Quinzaine B","   ◆ Q-B",IF($P521="Exception","   ◆ PONCTUEL","")))&amp;CHAR(10)&amp;$K521&amp;CHAR(10)&amp;$M521&amp;IF($N521&lt;&gt;"",CHAR(10)&amp;"Salle "&amp;$N521,"")&amp;IF($O521="En ligne",CHAR(10)&amp;"◆ EN LIGNE","")&amp;IF($R521&lt;&gt;"",CHAR(10)&amp;$R521,"")</f>
        <v/>
      </c>
      <c r="Y521" s="45" t="inlineStr"/>
      <c r="Z521" s="45" t="inlineStr">
        <is>
          <t>— généré —</t>
        </is>
      </c>
    </row>
    <row r="522" ht="15" customHeight="1">
      <c r="A522" s="10" t="inlineStr">
        <is>
          <t>S6</t>
        </is>
      </c>
      <c r="B522" s="9" t="inlineStr">
        <is>
          <t>du 19 au 25 octobre 2026</t>
        </is>
      </c>
      <c r="C522" s="10" t="inlineStr">
        <is>
          <t>B</t>
        </is>
      </c>
      <c r="D522" s="41" t="n">
        <v>46315</v>
      </c>
      <c r="E522" s="10" t="inlineStr">
        <is>
          <t>Mardi</t>
        </is>
      </c>
      <c r="F522" s="42" t="n">
        <v>0.8125</v>
      </c>
      <c r="G522" s="42" t="n">
        <v>0.875</v>
      </c>
      <c r="H522" s="43">
        <f>IF(OR($F522="",$G522=""),"",($G522-$F522)*24)</f>
        <v/>
      </c>
      <c r="I522" s="10" t="inlineStr">
        <is>
          <t>Secondaire</t>
        </is>
      </c>
      <c r="J522" s="9" t="inlineStr">
        <is>
          <t>1ére (B)</t>
        </is>
      </c>
      <c r="K522" s="9" t="inlineStr">
        <is>
          <t>Math</t>
        </is>
      </c>
      <c r="L522" s="9" t="inlineStr">
        <is>
          <t>Math</t>
        </is>
      </c>
      <c r="M522" s="9" t="inlineStr">
        <is>
          <t>Haythem</t>
        </is>
      </c>
      <c r="N522" s="10" t="n"/>
      <c r="O522" s="10" t="n"/>
      <c r="P522" s="10" t="inlineStr">
        <is>
          <t>Hebdomadaire</t>
        </is>
      </c>
      <c r="Q522" s="9" t="inlineStr">
        <is>
          <t>Généré (octobre)</t>
        </is>
      </c>
      <c r="R522" s="9" t="inlineStr"/>
      <c r="S522" s="44">
        <f>IF($M522="","",IF(SUMPRODUCT(($D$4:$D$704=$D522)*($M$4:$M$704=$M522)*($F$4:$F$704&lt;$G522)*($G$4:$G$704&gt;$F522))&gt;1,"⚠ CONFLIT",""))</f>
        <v/>
      </c>
      <c r="T522" s="44">
        <f>IF($J522="","",IF(SUMPRODUCT(($D$4:$D$704=$D522)*($J$4:$J$704=$J522)*($F$4:$F$704&lt;$G522)*($G$4:$G$704&gt;$F522))&gt;1,"⚠ CONFLIT",""))</f>
        <v/>
      </c>
      <c r="U522" s="44">
        <f>IF(COUNTIFS($D$4:$D$704,$D522,$J$4:$J$704,$J522,$F$4:$F$704,$F522,$K$4:$K$704,$K522)&gt;1,"⚠ DOUBLON","")</f>
        <v/>
      </c>
      <c r="V522" s="44">
        <f>COUNTIFS($A$4:$A522,$A522,$J$4:$J522,$J522,$E$4:$E522,$E522)</f>
        <v/>
      </c>
      <c r="W522" s="45">
        <f>$A522&amp;"|"&amp;$J522&amp;"|"&amp;$E522&amp;"|"&amp;$V522</f>
        <v/>
      </c>
      <c r="X522" s="46">
        <f>TEXT($F522,"hh:mm")&amp;" - "&amp;TEXT($G522,"hh:mm")&amp;IF($P522="Quinzaine A","   ◆ Q-A",IF($P522="Quinzaine B","   ◆ Q-B",IF($P522="Exception","   ◆ PONCTUEL","")))&amp;CHAR(10)&amp;$K522&amp;CHAR(10)&amp;$M522&amp;IF($N522&lt;&gt;"",CHAR(10)&amp;"Salle "&amp;$N522,"")&amp;IF($O522="En ligne",CHAR(10)&amp;"◆ EN LIGNE","")&amp;IF($R522&lt;&gt;"",CHAR(10)&amp;$R522,"")</f>
        <v/>
      </c>
      <c r="Y522" s="45" t="inlineStr"/>
      <c r="Z522" s="45" t="inlineStr">
        <is>
          <t>— généré —</t>
        </is>
      </c>
    </row>
    <row r="523" ht="15" customHeight="1">
      <c r="A523" s="10" t="inlineStr">
        <is>
          <t>S6</t>
        </is>
      </c>
      <c r="B523" s="9" t="inlineStr">
        <is>
          <t>du 19 au 25 octobre 2026</t>
        </is>
      </c>
      <c r="C523" s="10" t="inlineStr">
        <is>
          <t>B</t>
        </is>
      </c>
      <c r="D523" s="41" t="n">
        <v>46315</v>
      </c>
      <c r="E523" s="10" t="inlineStr">
        <is>
          <t>Mardi</t>
        </is>
      </c>
      <c r="F523" s="42" t="n">
        <v>0.8125</v>
      </c>
      <c r="G523" s="42" t="n">
        <v>0.875</v>
      </c>
      <c r="H523" s="43">
        <f>IF(OR($F523="",$G523=""),"",($G523-$F523)*24)</f>
        <v/>
      </c>
      <c r="I523" s="10" t="inlineStr">
        <is>
          <t>Secondaire</t>
        </is>
      </c>
      <c r="J523" s="9" t="inlineStr">
        <is>
          <t>2éme Eco</t>
        </is>
      </c>
      <c r="K523" s="9" t="inlineStr">
        <is>
          <t>Arabe</t>
        </is>
      </c>
      <c r="L523" s="9" t="inlineStr">
        <is>
          <t>Arabe</t>
        </is>
      </c>
      <c r="M523" s="9" t="inlineStr">
        <is>
          <t>Najet</t>
        </is>
      </c>
      <c r="N523" s="10" t="n"/>
      <c r="O523" s="10" t="n"/>
      <c r="P523" s="10" t="inlineStr">
        <is>
          <t>Quinzaine B</t>
        </is>
      </c>
      <c r="Q523" s="9" t="inlineStr">
        <is>
          <t>Généré (octobre)</t>
        </is>
      </c>
      <c r="R523" s="9" t="inlineStr"/>
      <c r="S523" s="44">
        <f>IF($M523="","",IF(SUMPRODUCT(($D$4:$D$704=$D523)*($M$4:$M$704=$M523)*($F$4:$F$704&lt;$G523)*($G$4:$G$704&gt;$F523))&gt;1,"⚠ CONFLIT",""))</f>
        <v/>
      </c>
      <c r="T523" s="44">
        <f>IF($J523="","",IF(SUMPRODUCT(($D$4:$D$704=$D523)*($J$4:$J$704=$J523)*($F$4:$F$704&lt;$G523)*($G$4:$G$704&gt;$F523))&gt;1,"⚠ CONFLIT",""))</f>
        <v/>
      </c>
      <c r="U523" s="44">
        <f>IF(COUNTIFS($D$4:$D$704,$D523,$J$4:$J$704,$J523,$F$4:$F$704,$F523,$K$4:$K$704,$K523)&gt;1,"⚠ DOUBLON","")</f>
        <v/>
      </c>
      <c r="V523" s="44">
        <f>COUNTIFS($A$4:$A523,$A523,$J$4:$J523,$J523,$E$4:$E523,$E523)</f>
        <v/>
      </c>
      <c r="W523" s="45">
        <f>$A523&amp;"|"&amp;$J523&amp;"|"&amp;$E523&amp;"|"&amp;$V523</f>
        <v/>
      </c>
      <c r="X523" s="46">
        <f>TEXT($F523,"hh:mm")&amp;" - "&amp;TEXT($G523,"hh:mm")&amp;IF($P523="Quinzaine A","   ◆ Q-A",IF($P523="Quinzaine B","   ◆ Q-B",IF($P523="Exception","   ◆ PONCTUEL","")))&amp;CHAR(10)&amp;$K523&amp;CHAR(10)&amp;$M523&amp;IF($N523&lt;&gt;"",CHAR(10)&amp;"Salle "&amp;$N523,"")&amp;IF($O523="En ligne",CHAR(10)&amp;"◆ EN LIGNE","")&amp;IF($R523&lt;&gt;"",CHAR(10)&amp;$R523,"")</f>
        <v/>
      </c>
      <c r="Y523" s="45" t="inlineStr"/>
      <c r="Z523" s="45" t="inlineStr">
        <is>
          <t>— généré —</t>
        </is>
      </c>
    </row>
    <row r="524" ht="15" customHeight="1">
      <c r="A524" s="10" t="inlineStr">
        <is>
          <t>S6</t>
        </is>
      </c>
      <c r="B524" s="9" t="inlineStr">
        <is>
          <t>du 19 au 25 octobre 2026</t>
        </is>
      </c>
      <c r="C524" s="10" t="inlineStr">
        <is>
          <t>B</t>
        </is>
      </c>
      <c r="D524" s="41" t="n">
        <v>46315</v>
      </c>
      <c r="E524" s="10" t="inlineStr">
        <is>
          <t>Mardi</t>
        </is>
      </c>
      <c r="F524" s="42" t="n">
        <v>0.8020833333333334</v>
      </c>
      <c r="G524" s="42" t="n">
        <v>0.8645833333333334</v>
      </c>
      <c r="H524" s="43">
        <f>IF(OR($F524="",$G524=""),"",($G524-$F524)*24)</f>
        <v/>
      </c>
      <c r="I524" s="10" t="inlineStr">
        <is>
          <t>Secondaire</t>
        </is>
      </c>
      <c r="J524" s="9" t="inlineStr">
        <is>
          <t>3éme Eco</t>
        </is>
      </c>
      <c r="K524" s="9" t="inlineStr">
        <is>
          <t>Espagnol</t>
        </is>
      </c>
      <c r="L524" s="9" t="inlineStr">
        <is>
          <t>Espagnol</t>
        </is>
      </c>
      <c r="M524" s="9" t="inlineStr">
        <is>
          <t>Imen</t>
        </is>
      </c>
      <c r="N524" s="10" t="n"/>
      <c r="O524" s="10" t="n"/>
      <c r="P524" s="10" t="inlineStr">
        <is>
          <t>Quinzaine B</t>
        </is>
      </c>
      <c r="Q524" s="9" t="inlineStr">
        <is>
          <t>Généré (octobre)</t>
        </is>
      </c>
      <c r="R524" s="9" t="inlineStr"/>
      <c r="S524" s="44">
        <f>IF($M524="","",IF(SUMPRODUCT(($D$4:$D$704=$D524)*($M$4:$M$704=$M524)*($F$4:$F$704&lt;$G524)*($G$4:$G$704&gt;$F524))&gt;1,"⚠ CONFLIT",""))</f>
        <v/>
      </c>
      <c r="T524" s="44">
        <f>IF($J524="","",IF(SUMPRODUCT(($D$4:$D$704=$D524)*($J$4:$J$704=$J524)*($F$4:$F$704&lt;$G524)*($G$4:$G$704&gt;$F524))&gt;1,"⚠ CONFLIT",""))</f>
        <v/>
      </c>
      <c r="U524" s="44">
        <f>IF(COUNTIFS($D$4:$D$704,$D524,$J$4:$J$704,$J524,$F$4:$F$704,$F524,$K$4:$K$704,$K524)&gt;1,"⚠ DOUBLON","")</f>
        <v/>
      </c>
      <c r="V524" s="44">
        <f>COUNTIFS($A$4:$A524,$A524,$J$4:$J524,$J524,$E$4:$E524,$E524)</f>
        <v/>
      </c>
      <c r="W524" s="45">
        <f>$A524&amp;"|"&amp;$J524&amp;"|"&amp;$E524&amp;"|"&amp;$V524</f>
        <v/>
      </c>
      <c r="X524" s="46">
        <f>TEXT($F524,"hh:mm")&amp;" - "&amp;TEXT($G524,"hh:mm")&amp;IF($P524="Quinzaine A","   ◆ Q-A",IF($P524="Quinzaine B","   ◆ Q-B",IF($P524="Exception","   ◆ PONCTUEL","")))&amp;CHAR(10)&amp;$K524&amp;CHAR(10)&amp;$M524&amp;IF($N524&lt;&gt;"",CHAR(10)&amp;"Salle "&amp;$N524,"")&amp;IF($O524="En ligne",CHAR(10)&amp;"◆ EN LIGNE","")&amp;IF($R524&lt;&gt;"",CHAR(10)&amp;$R524,"")</f>
        <v/>
      </c>
      <c r="Y524" s="45" t="inlineStr"/>
      <c r="Z524" s="45" t="inlineStr">
        <is>
          <t>— généré —</t>
        </is>
      </c>
    </row>
    <row r="525" ht="15" customHeight="1">
      <c r="A525" s="10" t="inlineStr">
        <is>
          <t>S6</t>
        </is>
      </c>
      <c r="B525" s="9" t="inlineStr">
        <is>
          <t>du 19 au 25 octobre 2026</t>
        </is>
      </c>
      <c r="C525" s="10" t="inlineStr">
        <is>
          <t>B</t>
        </is>
      </c>
      <c r="D525" s="41" t="n">
        <v>46315</v>
      </c>
      <c r="E525" s="10" t="inlineStr">
        <is>
          <t>Mardi</t>
        </is>
      </c>
      <c r="F525" s="42" t="n">
        <v>0.8020833333333334</v>
      </c>
      <c r="G525" s="42" t="n">
        <v>0.8645833333333334</v>
      </c>
      <c r="H525" s="43">
        <f>IF(OR($F525="",$G525=""),"",($G525-$F525)*24)</f>
        <v/>
      </c>
      <c r="I525" s="10" t="inlineStr">
        <is>
          <t>Secondaire</t>
        </is>
      </c>
      <c r="J525" s="9" t="inlineStr">
        <is>
          <t>3éme INFO</t>
        </is>
      </c>
      <c r="K525" s="9" t="inlineStr">
        <is>
          <t>Italien</t>
        </is>
      </c>
      <c r="L525" s="9" t="inlineStr">
        <is>
          <t>Italien</t>
        </is>
      </c>
      <c r="M525" s="9" t="inlineStr">
        <is>
          <t>Amel</t>
        </is>
      </c>
      <c r="N525" s="10" t="n"/>
      <c r="O525" s="10" t="n"/>
      <c r="P525" s="10" t="inlineStr">
        <is>
          <t>Quinzaine B</t>
        </is>
      </c>
      <c r="Q525" s="9" t="inlineStr">
        <is>
          <t>Généré (octobre)</t>
        </is>
      </c>
      <c r="R525" s="9" t="inlineStr"/>
      <c r="S525" s="44">
        <f>IF($M525="","",IF(SUMPRODUCT(($D$4:$D$704=$D525)*($M$4:$M$704=$M525)*($F$4:$F$704&lt;$G525)*($G$4:$G$704&gt;$F525))&gt;1,"⚠ CONFLIT",""))</f>
        <v/>
      </c>
      <c r="T525" s="44">
        <f>IF($J525="","",IF(SUMPRODUCT(($D$4:$D$704=$D525)*($J$4:$J$704=$J525)*($F$4:$F$704&lt;$G525)*($G$4:$G$704&gt;$F525))&gt;1,"⚠ CONFLIT",""))</f>
        <v/>
      </c>
      <c r="U525" s="44">
        <f>IF(COUNTIFS($D$4:$D$704,$D525,$J$4:$J$704,$J525,$F$4:$F$704,$F525,$K$4:$K$704,$K525)&gt;1,"⚠ DOUBLON","")</f>
        <v/>
      </c>
      <c r="V525" s="44">
        <f>COUNTIFS($A$4:$A525,$A525,$J$4:$J525,$J525,$E$4:$E525,$E525)</f>
        <v/>
      </c>
      <c r="W525" s="45">
        <f>$A525&amp;"|"&amp;$J525&amp;"|"&amp;$E525&amp;"|"&amp;$V525</f>
        <v/>
      </c>
      <c r="X525" s="46">
        <f>TEXT($F525,"hh:mm")&amp;" - "&amp;TEXT($G525,"hh:mm")&amp;IF($P525="Quinzaine A","   ◆ Q-A",IF($P525="Quinzaine B","   ◆ Q-B",IF($P525="Exception","   ◆ PONCTUEL","")))&amp;CHAR(10)&amp;$K525&amp;CHAR(10)&amp;$M525&amp;IF($N525&lt;&gt;"",CHAR(10)&amp;"Salle "&amp;$N525,"")&amp;IF($O525="En ligne",CHAR(10)&amp;"◆ EN LIGNE","")&amp;IF($R525&lt;&gt;"",CHAR(10)&amp;$R525,"")</f>
        <v/>
      </c>
      <c r="Y525" s="45" t="inlineStr"/>
      <c r="Z525" s="45" t="inlineStr">
        <is>
          <t>— généré —</t>
        </is>
      </c>
    </row>
    <row r="526" ht="15" customHeight="1">
      <c r="A526" s="10" t="inlineStr">
        <is>
          <t>S6</t>
        </is>
      </c>
      <c r="B526" s="9" t="inlineStr">
        <is>
          <t>du 19 au 25 octobre 2026</t>
        </is>
      </c>
      <c r="C526" s="10" t="inlineStr">
        <is>
          <t>B</t>
        </is>
      </c>
      <c r="D526" s="41" t="n">
        <v>46316</v>
      </c>
      <c r="E526" s="10" t="inlineStr">
        <is>
          <t>Mercredi</t>
        </is>
      </c>
      <c r="F526" s="42" t="n">
        <v>0.7916666666666666</v>
      </c>
      <c r="G526" s="42" t="n">
        <v>0.875</v>
      </c>
      <c r="H526" s="43">
        <f>IF(OR($F526="",$G526=""),"",($G526-$F526)*24)</f>
        <v/>
      </c>
      <c r="I526" s="10" t="inlineStr">
        <is>
          <t>Primaire</t>
        </is>
      </c>
      <c r="J526" s="9" t="inlineStr">
        <is>
          <t>4éme</t>
        </is>
      </c>
      <c r="K526" s="9" t="inlineStr">
        <is>
          <t>رياضيات</t>
        </is>
      </c>
      <c r="L526" s="9" t="inlineStr">
        <is>
          <t>Math</t>
        </is>
      </c>
      <c r="M526" s="9" t="inlineStr">
        <is>
          <t>Bassma</t>
        </is>
      </c>
      <c r="N526" s="10" t="n"/>
      <c r="O526" s="10" t="n"/>
      <c r="P526" s="10" t="inlineStr">
        <is>
          <t>Hebdomadaire</t>
        </is>
      </c>
      <c r="Q526" s="9" t="inlineStr">
        <is>
          <t>Généré (octobre)</t>
        </is>
      </c>
      <c r="R526" s="9" t="inlineStr"/>
      <c r="S526" s="44">
        <f>IF($M526="","",IF(SUMPRODUCT(($D$4:$D$704=$D526)*($M$4:$M$704=$M526)*($F$4:$F$704&lt;$G526)*($G$4:$G$704&gt;$F526))&gt;1,"⚠ CONFLIT",""))</f>
        <v/>
      </c>
      <c r="T526" s="44">
        <f>IF($J526="","",IF(SUMPRODUCT(($D$4:$D$704=$D526)*($J$4:$J$704=$J526)*($F$4:$F$704&lt;$G526)*($G$4:$G$704&gt;$F526))&gt;1,"⚠ CONFLIT",""))</f>
        <v/>
      </c>
      <c r="U526" s="44">
        <f>IF(COUNTIFS($D$4:$D$704,$D526,$J$4:$J$704,$J526,$F$4:$F$704,$F526,$K$4:$K$704,$K526)&gt;1,"⚠ DOUBLON","")</f>
        <v/>
      </c>
      <c r="V526" s="44">
        <f>COUNTIFS($A$4:$A526,$A526,$J$4:$J526,$J526,$E$4:$E526,$E526)</f>
        <v/>
      </c>
      <c r="W526" s="45">
        <f>$A526&amp;"|"&amp;$J526&amp;"|"&amp;$E526&amp;"|"&amp;$V526</f>
        <v/>
      </c>
      <c r="X526" s="46">
        <f>TEXT($F526,"hh:mm")&amp;" - "&amp;TEXT($G526,"hh:mm")&amp;IF($P526="Quinzaine A","   ◆ Q-A",IF($P526="Quinzaine B","   ◆ Q-B",IF($P526="Exception","   ◆ PONCTUEL","")))&amp;CHAR(10)&amp;$K526&amp;CHAR(10)&amp;$M526&amp;IF($N526&lt;&gt;"",CHAR(10)&amp;"Salle "&amp;$N526,"")&amp;IF($O526="En ligne",CHAR(10)&amp;"◆ EN LIGNE","")&amp;IF($R526&lt;&gt;"",CHAR(10)&amp;$R526,"")</f>
        <v/>
      </c>
      <c r="Y526" s="45" t="inlineStr"/>
      <c r="Z526" s="45" t="inlineStr">
        <is>
          <t>— généré —</t>
        </is>
      </c>
    </row>
    <row r="527" ht="15" customHeight="1">
      <c r="A527" s="10" t="inlineStr">
        <is>
          <t>S6</t>
        </is>
      </c>
      <c r="B527" s="9" t="inlineStr">
        <is>
          <t>du 19 au 25 octobre 2026</t>
        </is>
      </c>
      <c r="C527" s="10" t="inlineStr">
        <is>
          <t>B</t>
        </is>
      </c>
      <c r="D527" s="41" t="n">
        <v>46316</v>
      </c>
      <c r="E527" s="10" t="inlineStr">
        <is>
          <t>Mercredi</t>
        </is>
      </c>
      <c r="F527" s="42" t="n">
        <v>0.7916666666666666</v>
      </c>
      <c r="G527" s="42" t="n">
        <v>0.875</v>
      </c>
      <c r="H527" s="43">
        <f>IF(OR($F527="",$G527=""),"",($G527-$F527)*24)</f>
        <v/>
      </c>
      <c r="I527" s="10" t="inlineStr">
        <is>
          <t>Primaire</t>
        </is>
      </c>
      <c r="J527" s="9" t="inlineStr">
        <is>
          <t>6éme Pilote (A)</t>
        </is>
      </c>
      <c r="K527" s="9" t="inlineStr">
        <is>
          <t>رياضيات</t>
        </is>
      </c>
      <c r="L527" s="9" t="inlineStr">
        <is>
          <t>Math</t>
        </is>
      </c>
      <c r="M527" s="9" t="inlineStr">
        <is>
          <t>Noura</t>
        </is>
      </c>
      <c r="N527" s="10" t="n"/>
      <c r="O527" s="10" t="n"/>
      <c r="P527" s="10" t="inlineStr">
        <is>
          <t>Hebdomadaire</t>
        </is>
      </c>
      <c r="Q527" s="9" t="inlineStr">
        <is>
          <t>Généré (octobre)</t>
        </is>
      </c>
      <c r="R527" s="9" t="inlineStr"/>
      <c r="S527" s="44">
        <f>IF($M527="","",IF(SUMPRODUCT(($D$4:$D$704=$D527)*($M$4:$M$704=$M527)*($F$4:$F$704&lt;$G527)*($G$4:$G$704&gt;$F527))&gt;1,"⚠ CONFLIT",""))</f>
        <v/>
      </c>
      <c r="T527" s="44">
        <f>IF($J527="","",IF(SUMPRODUCT(($D$4:$D$704=$D527)*($J$4:$J$704=$J527)*($F$4:$F$704&lt;$G527)*($G$4:$G$704&gt;$F527))&gt;1,"⚠ CONFLIT",""))</f>
        <v/>
      </c>
      <c r="U527" s="44">
        <f>IF(COUNTIFS($D$4:$D$704,$D527,$J$4:$J$704,$J527,$F$4:$F$704,$F527,$K$4:$K$704,$K527)&gt;1,"⚠ DOUBLON","")</f>
        <v/>
      </c>
      <c r="V527" s="44">
        <f>COUNTIFS($A$4:$A527,$A527,$J$4:$J527,$J527,$E$4:$E527,$E527)</f>
        <v/>
      </c>
      <c r="W527" s="45">
        <f>$A527&amp;"|"&amp;$J527&amp;"|"&amp;$E527&amp;"|"&amp;$V527</f>
        <v/>
      </c>
      <c r="X527" s="46">
        <f>TEXT($F527,"hh:mm")&amp;" - "&amp;TEXT($G527,"hh:mm")&amp;IF($P527="Quinzaine A","   ◆ Q-A",IF($P527="Quinzaine B","   ◆ Q-B",IF($P527="Exception","   ◆ PONCTUEL","")))&amp;CHAR(10)&amp;$K527&amp;CHAR(10)&amp;$M527&amp;IF($N527&lt;&gt;"",CHAR(10)&amp;"Salle "&amp;$N527,"")&amp;IF($O527="En ligne",CHAR(10)&amp;"◆ EN LIGNE","")&amp;IF($R527&lt;&gt;"",CHAR(10)&amp;$R527,"")</f>
        <v/>
      </c>
      <c r="Y527" s="45" t="inlineStr"/>
      <c r="Z527" s="45" t="inlineStr">
        <is>
          <t>— généré —</t>
        </is>
      </c>
    </row>
    <row r="528" ht="15" customHeight="1">
      <c r="A528" s="10" t="inlineStr">
        <is>
          <t>S6</t>
        </is>
      </c>
      <c r="B528" s="9" t="inlineStr">
        <is>
          <t>du 19 au 25 octobre 2026</t>
        </is>
      </c>
      <c r="C528" s="10" t="inlineStr">
        <is>
          <t>B</t>
        </is>
      </c>
      <c r="D528" s="41" t="n">
        <v>46316</v>
      </c>
      <c r="E528" s="10" t="inlineStr">
        <is>
          <t>Mercredi</t>
        </is>
      </c>
      <c r="F528" s="42" t="n">
        <v>0.8125</v>
      </c>
      <c r="G528" s="42" t="n">
        <v>0.875</v>
      </c>
      <c r="H528" s="43">
        <f>IF(OR($F528="",$G528=""),"",($G528-$F528)*24)</f>
        <v/>
      </c>
      <c r="I528" s="10" t="inlineStr">
        <is>
          <t>Collège</t>
        </is>
      </c>
      <c r="J528" s="9" t="inlineStr">
        <is>
          <t>7éme (A)</t>
        </is>
      </c>
      <c r="K528" s="9" t="inlineStr">
        <is>
          <t>فيزياء</t>
        </is>
      </c>
      <c r="L528" s="9" t="inlineStr">
        <is>
          <t>Physique</t>
        </is>
      </c>
      <c r="M528" s="9" t="inlineStr">
        <is>
          <t>Melek</t>
        </is>
      </c>
      <c r="N528" s="10" t="n"/>
      <c r="O528" s="10" t="n"/>
      <c r="P528" s="10" t="inlineStr">
        <is>
          <t>Hebdomadaire</t>
        </is>
      </c>
      <c r="Q528" s="9" t="inlineStr">
        <is>
          <t>Généré (octobre)</t>
        </is>
      </c>
      <c r="R528" s="9" t="inlineStr"/>
      <c r="S528" s="44">
        <f>IF($M528="","",IF(SUMPRODUCT(($D$4:$D$704=$D528)*($M$4:$M$704=$M528)*($F$4:$F$704&lt;$G528)*($G$4:$G$704&gt;$F528))&gt;1,"⚠ CONFLIT",""))</f>
        <v/>
      </c>
      <c r="T528" s="44">
        <f>IF($J528="","",IF(SUMPRODUCT(($D$4:$D$704=$D528)*($J$4:$J$704=$J528)*($F$4:$F$704&lt;$G528)*($G$4:$G$704&gt;$F528))&gt;1,"⚠ CONFLIT",""))</f>
        <v/>
      </c>
      <c r="U528" s="44">
        <f>IF(COUNTIFS($D$4:$D$704,$D528,$J$4:$J$704,$J528,$F$4:$F$704,$F528,$K$4:$K$704,$K528)&gt;1,"⚠ DOUBLON","")</f>
        <v/>
      </c>
      <c r="V528" s="44">
        <f>COUNTIFS($A$4:$A528,$A528,$J$4:$J528,$J528,$E$4:$E528,$E528)</f>
        <v/>
      </c>
      <c r="W528" s="45">
        <f>$A528&amp;"|"&amp;$J528&amp;"|"&amp;$E528&amp;"|"&amp;$V528</f>
        <v/>
      </c>
      <c r="X528" s="46">
        <f>TEXT($F528,"hh:mm")&amp;" - "&amp;TEXT($G528,"hh:mm")&amp;IF($P528="Quinzaine A","   ◆ Q-A",IF($P528="Quinzaine B","   ◆ Q-B",IF($P528="Exception","   ◆ PONCTUEL","")))&amp;CHAR(10)&amp;$K528&amp;CHAR(10)&amp;$M528&amp;IF($N528&lt;&gt;"",CHAR(10)&amp;"Salle "&amp;$N528,"")&amp;IF($O528="En ligne",CHAR(10)&amp;"◆ EN LIGNE","")&amp;IF($R528&lt;&gt;"",CHAR(10)&amp;$R528,"")</f>
        <v/>
      </c>
      <c r="Y528" s="45" t="inlineStr"/>
      <c r="Z528" s="45" t="inlineStr">
        <is>
          <t>— généré —</t>
        </is>
      </c>
    </row>
    <row r="529" ht="15" customHeight="1">
      <c r="A529" s="10" t="inlineStr">
        <is>
          <t>S6</t>
        </is>
      </c>
      <c r="B529" s="9" t="inlineStr">
        <is>
          <t>du 19 au 25 octobre 2026</t>
        </is>
      </c>
      <c r="C529" s="10" t="inlineStr">
        <is>
          <t>B</t>
        </is>
      </c>
      <c r="D529" s="41" t="n">
        <v>46316</v>
      </c>
      <c r="E529" s="10" t="inlineStr">
        <is>
          <t>Mercredi</t>
        </is>
      </c>
      <c r="F529" s="42" t="n">
        <v>0.7916666666666666</v>
      </c>
      <c r="G529" s="42" t="n">
        <v>0.8541666666666666</v>
      </c>
      <c r="H529" s="43">
        <f>IF(OR($F529="",$G529=""),"",($G529-$F529)*24)</f>
        <v/>
      </c>
      <c r="I529" s="10" t="inlineStr">
        <is>
          <t>Collège</t>
        </is>
      </c>
      <c r="J529" s="9" t="inlineStr">
        <is>
          <t>8éme (A)</t>
        </is>
      </c>
      <c r="K529" s="9" t="inlineStr">
        <is>
          <t>Arabe</t>
        </is>
      </c>
      <c r="L529" s="9" t="inlineStr">
        <is>
          <t>Arabe</t>
        </is>
      </c>
      <c r="M529" s="9" t="inlineStr">
        <is>
          <t>Awatef</t>
        </is>
      </c>
      <c r="N529" s="10" t="n"/>
      <c r="O529" s="10" t="n"/>
      <c r="P529" s="10" t="inlineStr">
        <is>
          <t>Hebdomadaire</t>
        </is>
      </c>
      <c r="Q529" s="9" t="inlineStr">
        <is>
          <t>Généré (octobre)</t>
        </is>
      </c>
      <c r="R529" s="9" t="inlineStr"/>
      <c r="S529" s="44">
        <f>IF($M529="","",IF(SUMPRODUCT(($D$4:$D$704=$D529)*($M$4:$M$704=$M529)*($F$4:$F$704&lt;$G529)*($G$4:$G$704&gt;$F529))&gt;1,"⚠ CONFLIT",""))</f>
        <v/>
      </c>
      <c r="T529" s="44">
        <f>IF($J529="","",IF(SUMPRODUCT(($D$4:$D$704=$D529)*($J$4:$J$704=$J529)*($F$4:$F$704&lt;$G529)*($G$4:$G$704&gt;$F529))&gt;1,"⚠ CONFLIT",""))</f>
        <v/>
      </c>
      <c r="U529" s="44">
        <f>IF(COUNTIFS($D$4:$D$704,$D529,$J$4:$J$704,$J529,$F$4:$F$704,$F529,$K$4:$K$704,$K529)&gt;1,"⚠ DOUBLON","")</f>
        <v/>
      </c>
      <c r="V529" s="44">
        <f>COUNTIFS($A$4:$A529,$A529,$J$4:$J529,$J529,$E$4:$E529,$E529)</f>
        <v/>
      </c>
      <c r="W529" s="45">
        <f>$A529&amp;"|"&amp;$J529&amp;"|"&amp;$E529&amp;"|"&amp;$V529</f>
        <v/>
      </c>
      <c r="X529" s="46">
        <f>TEXT($F529,"hh:mm")&amp;" - "&amp;TEXT($G529,"hh:mm")&amp;IF($P529="Quinzaine A","   ◆ Q-A",IF($P529="Quinzaine B","   ◆ Q-B",IF($P529="Exception","   ◆ PONCTUEL","")))&amp;CHAR(10)&amp;$K529&amp;CHAR(10)&amp;$M529&amp;IF($N529&lt;&gt;"",CHAR(10)&amp;"Salle "&amp;$N529,"")&amp;IF($O529="En ligne",CHAR(10)&amp;"◆ EN LIGNE","")&amp;IF($R529&lt;&gt;"",CHAR(10)&amp;$R529,"")</f>
        <v/>
      </c>
      <c r="Y529" s="45" t="inlineStr"/>
      <c r="Z529" s="45" t="inlineStr">
        <is>
          <t>— généré —</t>
        </is>
      </c>
    </row>
    <row r="530" ht="15" customHeight="1">
      <c r="A530" s="10" t="inlineStr">
        <is>
          <t>S6</t>
        </is>
      </c>
      <c r="B530" s="9" t="inlineStr">
        <is>
          <t>du 19 au 25 octobre 2026</t>
        </is>
      </c>
      <c r="C530" s="10" t="inlineStr">
        <is>
          <t>B</t>
        </is>
      </c>
      <c r="D530" s="41" t="n">
        <v>46316</v>
      </c>
      <c r="E530" s="10" t="inlineStr">
        <is>
          <t>Mercredi</t>
        </is>
      </c>
      <c r="F530" s="42" t="n">
        <v>0.8020833333333334</v>
      </c>
      <c r="G530" s="42" t="n">
        <v>0.8645833333333334</v>
      </c>
      <c r="H530" s="43">
        <f>IF(OR($F530="",$G530=""),"",($G530-$F530)*24)</f>
        <v/>
      </c>
      <c r="I530" s="10" t="inlineStr">
        <is>
          <t>Collège</t>
        </is>
      </c>
      <c r="J530" s="9" t="inlineStr">
        <is>
          <t>8éme (B)</t>
        </is>
      </c>
      <c r="K530" s="9" t="inlineStr">
        <is>
          <t>Math</t>
        </is>
      </c>
      <c r="L530" s="9" t="inlineStr">
        <is>
          <t>Math</t>
        </is>
      </c>
      <c r="M530" s="9" t="inlineStr">
        <is>
          <t>Khouloud</t>
        </is>
      </c>
      <c r="N530" s="10" t="n"/>
      <c r="O530" s="10" t="n"/>
      <c r="P530" s="10" t="inlineStr">
        <is>
          <t>Hebdomadaire</t>
        </is>
      </c>
      <c r="Q530" s="9" t="inlineStr">
        <is>
          <t>Généré (octobre)</t>
        </is>
      </c>
      <c r="R530" s="9" t="inlineStr"/>
      <c r="S530" s="44">
        <f>IF($M530="","",IF(SUMPRODUCT(($D$4:$D$704=$D530)*($M$4:$M$704=$M530)*($F$4:$F$704&lt;$G530)*($G$4:$G$704&gt;$F530))&gt;1,"⚠ CONFLIT",""))</f>
        <v/>
      </c>
      <c r="T530" s="44">
        <f>IF($J530="","",IF(SUMPRODUCT(($D$4:$D$704=$D530)*($J$4:$J$704=$J530)*($F$4:$F$704&lt;$G530)*($G$4:$G$704&gt;$F530))&gt;1,"⚠ CONFLIT",""))</f>
        <v/>
      </c>
      <c r="U530" s="44">
        <f>IF(COUNTIFS($D$4:$D$704,$D530,$J$4:$J$704,$J530,$F$4:$F$704,$F530,$K$4:$K$704,$K530)&gt;1,"⚠ DOUBLON","")</f>
        <v/>
      </c>
      <c r="V530" s="44">
        <f>COUNTIFS($A$4:$A530,$A530,$J$4:$J530,$J530,$E$4:$E530,$E530)</f>
        <v/>
      </c>
      <c r="W530" s="45">
        <f>$A530&amp;"|"&amp;$J530&amp;"|"&amp;$E530&amp;"|"&amp;$V530</f>
        <v/>
      </c>
      <c r="X530" s="46">
        <f>TEXT($F530,"hh:mm")&amp;" - "&amp;TEXT($G530,"hh:mm")&amp;IF($P530="Quinzaine A","   ◆ Q-A",IF($P530="Quinzaine B","   ◆ Q-B",IF($P530="Exception","   ◆ PONCTUEL","")))&amp;CHAR(10)&amp;$K530&amp;CHAR(10)&amp;$M530&amp;IF($N530&lt;&gt;"",CHAR(10)&amp;"Salle "&amp;$N530,"")&amp;IF($O530="En ligne",CHAR(10)&amp;"◆ EN LIGNE","")&amp;IF($R530&lt;&gt;"",CHAR(10)&amp;$R530,"")</f>
        <v/>
      </c>
      <c r="Y530" s="45" t="inlineStr"/>
      <c r="Z530" s="45" t="inlineStr">
        <is>
          <t>— généré —</t>
        </is>
      </c>
    </row>
    <row r="531" ht="15" customHeight="1">
      <c r="A531" s="10" t="inlineStr">
        <is>
          <t>S6</t>
        </is>
      </c>
      <c r="B531" s="9" t="inlineStr">
        <is>
          <t>du 19 au 25 octobre 2026</t>
        </is>
      </c>
      <c r="C531" s="10" t="inlineStr">
        <is>
          <t>B</t>
        </is>
      </c>
      <c r="D531" s="41" t="n">
        <v>46316</v>
      </c>
      <c r="E531" s="10" t="inlineStr">
        <is>
          <t>Mercredi</t>
        </is>
      </c>
      <c r="F531" s="42" t="n">
        <v>0.8125</v>
      </c>
      <c r="G531" s="42" t="n">
        <v>0.875</v>
      </c>
      <c r="H531" s="43">
        <f>IF(OR($F531="",$G531=""),"",($G531-$F531)*24)</f>
        <v/>
      </c>
      <c r="I531" s="10" t="inlineStr">
        <is>
          <t>Collège</t>
        </is>
      </c>
      <c r="J531" s="9" t="inlineStr">
        <is>
          <t>8éme (C)</t>
        </is>
      </c>
      <c r="K531" s="9" t="inlineStr">
        <is>
          <t>Français</t>
        </is>
      </c>
      <c r="L531" s="9" t="inlineStr">
        <is>
          <t>Français</t>
        </is>
      </c>
      <c r="M531" s="9" t="inlineStr">
        <is>
          <t>Nabil</t>
        </is>
      </c>
      <c r="N531" s="10" t="n"/>
      <c r="O531" s="10" t="n"/>
      <c r="P531" s="10" t="inlineStr">
        <is>
          <t>Hebdomadaire</t>
        </is>
      </c>
      <c r="Q531" s="9" t="inlineStr">
        <is>
          <t>Généré (octobre)</t>
        </is>
      </c>
      <c r="R531" s="9" t="inlineStr"/>
      <c r="S531" s="44">
        <f>IF($M531="","",IF(SUMPRODUCT(($D$4:$D$704=$D531)*($M$4:$M$704=$M531)*($F$4:$F$704&lt;$G531)*($G$4:$G$704&gt;$F531))&gt;1,"⚠ CONFLIT",""))</f>
        <v/>
      </c>
      <c r="T531" s="44">
        <f>IF($J531="","",IF(SUMPRODUCT(($D$4:$D$704=$D531)*($J$4:$J$704=$J531)*($F$4:$F$704&lt;$G531)*($G$4:$G$704&gt;$F531))&gt;1,"⚠ CONFLIT",""))</f>
        <v/>
      </c>
      <c r="U531" s="44">
        <f>IF(COUNTIFS($D$4:$D$704,$D531,$J$4:$J$704,$J531,$F$4:$F$704,$F531,$K$4:$K$704,$K531)&gt;1,"⚠ DOUBLON","")</f>
        <v/>
      </c>
      <c r="V531" s="44">
        <f>COUNTIFS($A$4:$A531,$A531,$J$4:$J531,$J531,$E$4:$E531,$E531)</f>
        <v/>
      </c>
      <c r="W531" s="45">
        <f>$A531&amp;"|"&amp;$J531&amp;"|"&amp;$E531&amp;"|"&amp;$V531</f>
        <v/>
      </c>
      <c r="X531" s="46">
        <f>TEXT($F531,"hh:mm")&amp;" - "&amp;TEXT($G531,"hh:mm")&amp;IF($P531="Quinzaine A","   ◆ Q-A",IF($P531="Quinzaine B","   ◆ Q-B",IF($P531="Exception","   ◆ PONCTUEL","")))&amp;CHAR(10)&amp;$K531&amp;CHAR(10)&amp;$M531&amp;IF($N531&lt;&gt;"",CHAR(10)&amp;"Salle "&amp;$N531,"")&amp;IF($O531="En ligne",CHAR(10)&amp;"◆ EN LIGNE","")&amp;IF($R531&lt;&gt;"",CHAR(10)&amp;$R531,"")</f>
        <v/>
      </c>
      <c r="Y531" s="45" t="inlineStr"/>
      <c r="Z531" s="45" t="inlineStr">
        <is>
          <t>— généré —</t>
        </is>
      </c>
    </row>
    <row r="532" ht="15" customHeight="1">
      <c r="A532" s="10" t="inlineStr">
        <is>
          <t>S6</t>
        </is>
      </c>
      <c r="B532" s="9" t="inlineStr">
        <is>
          <t>du 19 au 25 octobre 2026</t>
        </is>
      </c>
      <c r="C532" s="10" t="inlineStr">
        <is>
          <t>B</t>
        </is>
      </c>
      <c r="D532" s="41" t="n">
        <v>46316</v>
      </c>
      <c r="E532" s="10" t="inlineStr">
        <is>
          <t>Mercredi</t>
        </is>
      </c>
      <c r="F532" s="42" t="n">
        <v>0.8125</v>
      </c>
      <c r="G532" s="42" t="n">
        <v>0.875</v>
      </c>
      <c r="H532" s="43">
        <f>IF(OR($F532="",$G532=""),"",($G532-$F532)*24)</f>
        <v/>
      </c>
      <c r="I532" s="10" t="inlineStr">
        <is>
          <t>Collège</t>
        </is>
      </c>
      <c r="J532" s="9" t="inlineStr">
        <is>
          <t>9éme (B)</t>
        </is>
      </c>
      <c r="K532" s="9" t="inlineStr">
        <is>
          <t>Arabe</t>
        </is>
      </c>
      <c r="L532" s="9" t="inlineStr">
        <is>
          <t>Arabe</t>
        </is>
      </c>
      <c r="M532" s="9" t="inlineStr">
        <is>
          <t>Yahya</t>
        </is>
      </c>
      <c r="N532" s="10" t="n"/>
      <c r="O532" s="10" t="n"/>
      <c r="P532" s="10" t="inlineStr">
        <is>
          <t>Hebdomadaire</t>
        </is>
      </c>
      <c r="Q532" s="9" t="inlineStr">
        <is>
          <t>Généré (octobre)</t>
        </is>
      </c>
      <c r="R532" s="9" t="inlineStr"/>
      <c r="S532" s="44">
        <f>IF($M532="","",IF(SUMPRODUCT(($D$4:$D$704=$D532)*($M$4:$M$704=$M532)*($F$4:$F$704&lt;$G532)*($G$4:$G$704&gt;$F532))&gt;1,"⚠ CONFLIT",""))</f>
        <v/>
      </c>
      <c r="T532" s="44">
        <f>IF($J532="","",IF(SUMPRODUCT(($D$4:$D$704=$D532)*($J$4:$J$704=$J532)*($F$4:$F$704&lt;$G532)*($G$4:$G$704&gt;$F532))&gt;1,"⚠ CONFLIT",""))</f>
        <v/>
      </c>
      <c r="U532" s="44">
        <f>IF(COUNTIFS($D$4:$D$704,$D532,$J$4:$J$704,$J532,$F$4:$F$704,$F532,$K$4:$K$704,$K532)&gt;1,"⚠ DOUBLON","")</f>
        <v/>
      </c>
      <c r="V532" s="44">
        <f>COUNTIFS($A$4:$A532,$A532,$J$4:$J532,$J532,$E$4:$E532,$E532)</f>
        <v/>
      </c>
      <c r="W532" s="45">
        <f>$A532&amp;"|"&amp;$J532&amp;"|"&amp;$E532&amp;"|"&amp;$V532</f>
        <v/>
      </c>
      <c r="X532" s="46">
        <f>TEXT($F532,"hh:mm")&amp;" - "&amp;TEXT($G532,"hh:mm")&amp;IF($P532="Quinzaine A","   ◆ Q-A",IF($P532="Quinzaine B","   ◆ Q-B",IF($P532="Exception","   ◆ PONCTUEL","")))&amp;CHAR(10)&amp;$K532&amp;CHAR(10)&amp;$M532&amp;IF($N532&lt;&gt;"",CHAR(10)&amp;"Salle "&amp;$N532,"")&amp;IF($O532="En ligne",CHAR(10)&amp;"◆ EN LIGNE","")&amp;IF($R532&lt;&gt;"",CHAR(10)&amp;$R532,"")</f>
        <v/>
      </c>
      <c r="Y532" s="45" t="inlineStr"/>
      <c r="Z532" s="45" t="inlineStr">
        <is>
          <t>— généré —</t>
        </is>
      </c>
    </row>
    <row r="533" ht="15" customHeight="1">
      <c r="A533" s="10" t="inlineStr">
        <is>
          <t>S6</t>
        </is>
      </c>
      <c r="B533" s="9" t="inlineStr">
        <is>
          <t>du 19 au 25 octobre 2026</t>
        </is>
      </c>
      <c r="C533" s="10" t="inlineStr">
        <is>
          <t>B</t>
        </is>
      </c>
      <c r="D533" s="41" t="n">
        <v>46316</v>
      </c>
      <c r="E533" s="10" t="inlineStr">
        <is>
          <t>Mercredi</t>
        </is>
      </c>
      <c r="F533" s="42" t="n">
        <v>0.8020833333333334</v>
      </c>
      <c r="G533" s="42" t="n">
        <v>0.8645833333333334</v>
      </c>
      <c r="H533" s="43">
        <f>IF(OR($F533="",$G533=""),"",($G533-$F533)*24)</f>
        <v/>
      </c>
      <c r="I533" s="10" t="inlineStr">
        <is>
          <t>Collège</t>
        </is>
      </c>
      <c r="J533" s="9" t="inlineStr">
        <is>
          <t>9éme (C)</t>
        </is>
      </c>
      <c r="K533" s="9" t="inlineStr">
        <is>
          <t>SVT</t>
        </is>
      </c>
      <c r="L533" s="9" t="inlineStr">
        <is>
          <t>SVT</t>
        </is>
      </c>
      <c r="M533" s="9" t="inlineStr">
        <is>
          <t>Imen Jribi</t>
        </is>
      </c>
      <c r="N533" s="10" t="n"/>
      <c r="O533" s="10" t="n"/>
      <c r="P533" s="10" t="inlineStr">
        <is>
          <t>Hebdomadaire</t>
        </is>
      </c>
      <c r="Q533" s="9" t="inlineStr">
        <is>
          <t>Généré (octobre)</t>
        </is>
      </c>
      <c r="R533" s="9" t="inlineStr"/>
      <c r="S533" s="44">
        <f>IF($M533="","",IF(SUMPRODUCT(($D$4:$D$704=$D533)*($M$4:$M$704=$M533)*($F$4:$F$704&lt;$G533)*($G$4:$G$704&gt;$F533))&gt;1,"⚠ CONFLIT",""))</f>
        <v/>
      </c>
      <c r="T533" s="44">
        <f>IF($J533="","",IF(SUMPRODUCT(($D$4:$D$704=$D533)*($J$4:$J$704=$J533)*($F$4:$F$704&lt;$G533)*($G$4:$G$704&gt;$F533))&gt;1,"⚠ CONFLIT",""))</f>
        <v/>
      </c>
      <c r="U533" s="44">
        <f>IF(COUNTIFS($D$4:$D$704,$D533,$J$4:$J$704,$J533,$F$4:$F$704,$F533,$K$4:$K$704,$K533)&gt;1,"⚠ DOUBLON","")</f>
        <v/>
      </c>
      <c r="V533" s="44">
        <f>COUNTIFS($A$4:$A533,$A533,$J$4:$J533,$J533,$E$4:$E533,$E533)</f>
        <v/>
      </c>
      <c r="W533" s="45">
        <f>$A533&amp;"|"&amp;$J533&amp;"|"&amp;$E533&amp;"|"&amp;$V533</f>
        <v/>
      </c>
      <c r="X533" s="46">
        <f>TEXT($F533,"hh:mm")&amp;" - "&amp;TEXT($G533,"hh:mm")&amp;IF($P533="Quinzaine A","   ◆ Q-A",IF($P533="Quinzaine B","   ◆ Q-B",IF($P533="Exception","   ◆ PONCTUEL","")))&amp;CHAR(10)&amp;$K533&amp;CHAR(10)&amp;$M533&amp;IF($N533&lt;&gt;"",CHAR(10)&amp;"Salle "&amp;$N533,"")&amp;IF($O533="En ligne",CHAR(10)&amp;"◆ EN LIGNE","")&amp;IF($R533&lt;&gt;"",CHAR(10)&amp;$R533,"")</f>
        <v/>
      </c>
      <c r="Y533" s="45" t="inlineStr"/>
      <c r="Z533" s="45" t="inlineStr">
        <is>
          <t>— généré —</t>
        </is>
      </c>
    </row>
    <row r="534" ht="15" customHeight="1">
      <c r="A534" s="10" t="inlineStr">
        <is>
          <t>S6</t>
        </is>
      </c>
      <c r="B534" s="9" t="inlineStr">
        <is>
          <t>du 19 au 25 octobre 2026</t>
        </is>
      </c>
      <c r="C534" s="10" t="inlineStr">
        <is>
          <t>B</t>
        </is>
      </c>
      <c r="D534" s="41" t="n">
        <v>46316</v>
      </c>
      <c r="E534" s="10" t="inlineStr">
        <is>
          <t>Mercredi</t>
        </is>
      </c>
      <c r="F534" s="42" t="n">
        <v>0.8020833333333334</v>
      </c>
      <c r="G534" s="42" t="n">
        <v>0.8645833333333334</v>
      </c>
      <c r="H534" s="43">
        <f>IF(OR($F534="",$G534=""),"",($G534-$F534)*24)</f>
        <v/>
      </c>
      <c r="I534" s="10" t="inlineStr">
        <is>
          <t>Secondaire</t>
        </is>
      </c>
      <c r="J534" s="9" t="inlineStr">
        <is>
          <t>1ére (B)</t>
        </is>
      </c>
      <c r="K534" s="9" t="inlineStr">
        <is>
          <t>Français</t>
        </is>
      </c>
      <c r="L534" s="9" t="inlineStr">
        <is>
          <t>Français</t>
        </is>
      </c>
      <c r="M534" s="9" t="inlineStr">
        <is>
          <t>Nassima</t>
        </is>
      </c>
      <c r="N534" s="10" t="n"/>
      <c r="O534" s="10" t="n"/>
      <c r="P534" s="10" t="inlineStr">
        <is>
          <t>Hebdomadaire</t>
        </is>
      </c>
      <c r="Q534" s="9" t="inlineStr">
        <is>
          <t>Généré (octobre)</t>
        </is>
      </c>
      <c r="R534" s="9" t="inlineStr"/>
      <c r="S534" s="44">
        <f>IF($M534="","",IF(SUMPRODUCT(($D$4:$D$704=$D534)*($M$4:$M$704=$M534)*($F$4:$F$704&lt;$G534)*($G$4:$G$704&gt;$F534))&gt;1,"⚠ CONFLIT",""))</f>
        <v/>
      </c>
      <c r="T534" s="44">
        <f>IF($J534="","",IF(SUMPRODUCT(($D$4:$D$704=$D534)*($J$4:$J$704=$J534)*($F$4:$F$704&lt;$G534)*($G$4:$G$704&gt;$F534))&gt;1,"⚠ CONFLIT",""))</f>
        <v/>
      </c>
      <c r="U534" s="44">
        <f>IF(COUNTIFS($D$4:$D$704,$D534,$J$4:$J$704,$J534,$F$4:$F$704,$F534,$K$4:$K$704,$K534)&gt;1,"⚠ DOUBLON","")</f>
        <v/>
      </c>
      <c r="V534" s="44">
        <f>COUNTIFS($A$4:$A534,$A534,$J$4:$J534,$J534,$E$4:$E534,$E534)</f>
        <v/>
      </c>
      <c r="W534" s="45">
        <f>$A534&amp;"|"&amp;$J534&amp;"|"&amp;$E534&amp;"|"&amp;$V534</f>
        <v/>
      </c>
      <c r="X534" s="46">
        <f>TEXT($F534,"hh:mm")&amp;" - "&amp;TEXT($G534,"hh:mm")&amp;IF($P534="Quinzaine A","   ◆ Q-A",IF($P534="Quinzaine B","   ◆ Q-B",IF($P534="Exception","   ◆ PONCTUEL","")))&amp;CHAR(10)&amp;$K534&amp;CHAR(10)&amp;$M534&amp;IF($N534&lt;&gt;"",CHAR(10)&amp;"Salle "&amp;$N534,"")&amp;IF($O534="En ligne",CHAR(10)&amp;"◆ EN LIGNE","")&amp;IF($R534&lt;&gt;"",CHAR(10)&amp;$R534,"")</f>
        <v/>
      </c>
      <c r="Y534" s="45" t="inlineStr"/>
      <c r="Z534" s="45" t="inlineStr">
        <is>
          <t>— généré —</t>
        </is>
      </c>
    </row>
    <row r="535" ht="15" customHeight="1">
      <c r="A535" s="10" t="inlineStr">
        <is>
          <t>S6</t>
        </is>
      </c>
      <c r="B535" s="9" t="inlineStr">
        <is>
          <t>du 19 au 25 octobre 2026</t>
        </is>
      </c>
      <c r="C535" s="10" t="inlineStr">
        <is>
          <t>B</t>
        </is>
      </c>
      <c r="D535" s="41" t="n">
        <v>46316</v>
      </c>
      <c r="E535" s="10" t="inlineStr">
        <is>
          <t>Mercredi</t>
        </is>
      </c>
      <c r="F535" s="42" t="n">
        <v>0.8125</v>
      </c>
      <c r="G535" s="42" t="n">
        <v>0.875</v>
      </c>
      <c r="H535" s="43">
        <f>IF(OR($F535="",$G535=""),"",($G535-$F535)*24)</f>
        <v/>
      </c>
      <c r="I535" s="10" t="inlineStr">
        <is>
          <t>Secondaire</t>
        </is>
      </c>
      <c r="J535" s="9" t="inlineStr">
        <is>
          <t>2éme Eco</t>
        </is>
      </c>
      <c r="K535" s="9" t="inlineStr">
        <is>
          <t>Math</t>
        </is>
      </c>
      <c r="L535" s="9" t="inlineStr">
        <is>
          <t>Math</t>
        </is>
      </c>
      <c r="M535" s="9" t="inlineStr">
        <is>
          <t>Haythem</t>
        </is>
      </c>
      <c r="N535" s="10" t="n"/>
      <c r="O535" s="10" t="n"/>
      <c r="P535" s="10" t="inlineStr">
        <is>
          <t>Hebdomadaire</t>
        </is>
      </c>
      <c r="Q535" s="9" t="inlineStr">
        <is>
          <t>Généré (octobre)</t>
        </is>
      </c>
      <c r="R535" s="9" t="inlineStr"/>
      <c r="S535" s="44">
        <f>IF($M535="","",IF(SUMPRODUCT(($D$4:$D$704=$D535)*($M$4:$M$704=$M535)*($F$4:$F$704&lt;$G535)*($G$4:$G$704&gt;$F535))&gt;1,"⚠ CONFLIT",""))</f>
        <v/>
      </c>
      <c r="T535" s="44">
        <f>IF($J535="","",IF(SUMPRODUCT(($D$4:$D$704=$D535)*($J$4:$J$704=$J535)*($F$4:$F$704&lt;$G535)*($G$4:$G$704&gt;$F535))&gt;1,"⚠ CONFLIT",""))</f>
        <v/>
      </c>
      <c r="U535" s="44">
        <f>IF(COUNTIFS($D$4:$D$704,$D535,$J$4:$J$704,$J535,$F$4:$F$704,$F535,$K$4:$K$704,$K535)&gt;1,"⚠ DOUBLON","")</f>
        <v/>
      </c>
      <c r="V535" s="44">
        <f>COUNTIFS($A$4:$A535,$A535,$J$4:$J535,$J535,$E$4:$E535,$E535)</f>
        <v/>
      </c>
      <c r="W535" s="45">
        <f>$A535&amp;"|"&amp;$J535&amp;"|"&amp;$E535&amp;"|"&amp;$V535</f>
        <v/>
      </c>
      <c r="X535" s="46">
        <f>TEXT($F535,"hh:mm")&amp;" - "&amp;TEXT($G535,"hh:mm")&amp;IF($P535="Quinzaine A","   ◆ Q-A",IF($P535="Quinzaine B","   ◆ Q-B",IF($P535="Exception","   ◆ PONCTUEL","")))&amp;CHAR(10)&amp;$K535&amp;CHAR(10)&amp;$M535&amp;IF($N535&lt;&gt;"",CHAR(10)&amp;"Salle "&amp;$N535,"")&amp;IF($O535="En ligne",CHAR(10)&amp;"◆ EN LIGNE","")&amp;IF($R535&lt;&gt;"",CHAR(10)&amp;$R535,"")</f>
        <v/>
      </c>
      <c r="Y535" s="45" t="inlineStr"/>
      <c r="Z535" s="45" t="inlineStr">
        <is>
          <t>— généré —</t>
        </is>
      </c>
    </row>
    <row r="536" ht="15" customHeight="1">
      <c r="A536" s="10" t="inlineStr">
        <is>
          <t>S6</t>
        </is>
      </c>
      <c r="B536" s="9" t="inlineStr">
        <is>
          <t>du 19 au 25 octobre 2026</t>
        </is>
      </c>
      <c r="C536" s="10" t="inlineStr">
        <is>
          <t>B</t>
        </is>
      </c>
      <c r="D536" s="41" t="n">
        <v>46316</v>
      </c>
      <c r="E536" s="10" t="inlineStr">
        <is>
          <t>Mercredi</t>
        </is>
      </c>
      <c r="F536" s="42" t="n">
        <v>0.7916666666666666</v>
      </c>
      <c r="G536" s="42" t="n">
        <v>0.8541666666666666</v>
      </c>
      <c r="H536" s="43">
        <f>IF(OR($F536="",$G536=""),"",($G536-$F536)*24)</f>
        <v/>
      </c>
      <c r="I536" s="10" t="inlineStr">
        <is>
          <t>Secondaire</t>
        </is>
      </c>
      <c r="J536" s="9" t="inlineStr">
        <is>
          <t>3éme Eco</t>
        </is>
      </c>
      <c r="K536" s="9" t="inlineStr">
        <is>
          <t>Gestion</t>
        </is>
      </c>
      <c r="L536" s="9" t="inlineStr">
        <is>
          <t>Gestion</t>
        </is>
      </c>
      <c r="M536" s="9" t="inlineStr">
        <is>
          <t>Yassine</t>
        </is>
      </c>
      <c r="N536" s="10" t="n"/>
      <c r="O536" s="10" t="n"/>
      <c r="P536" s="10" t="inlineStr">
        <is>
          <t>Hebdomadaire</t>
        </is>
      </c>
      <c r="Q536" s="9" t="inlineStr">
        <is>
          <t>Généré (octobre)</t>
        </is>
      </c>
      <c r="R536" s="9" t="inlineStr"/>
      <c r="S536" s="44">
        <f>IF($M536="","",IF(SUMPRODUCT(($D$4:$D$704=$D536)*($M$4:$M$704=$M536)*($F$4:$F$704&lt;$G536)*($G$4:$G$704&gt;$F536))&gt;1,"⚠ CONFLIT",""))</f>
        <v/>
      </c>
      <c r="T536" s="44">
        <f>IF($J536="","",IF(SUMPRODUCT(($D$4:$D$704=$D536)*($J$4:$J$704=$J536)*($F$4:$F$704&lt;$G536)*($G$4:$G$704&gt;$F536))&gt;1,"⚠ CONFLIT",""))</f>
        <v/>
      </c>
      <c r="U536" s="44">
        <f>IF(COUNTIFS($D$4:$D$704,$D536,$J$4:$J$704,$J536,$F$4:$F$704,$F536,$K$4:$K$704,$K536)&gt;1,"⚠ DOUBLON","")</f>
        <v/>
      </c>
      <c r="V536" s="44">
        <f>COUNTIFS($A$4:$A536,$A536,$J$4:$J536,$J536,$E$4:$E536,$E536)</f>
        <v/>
      </c>
      <c r="W536" s="45">
        <f>$A536&amp;"|"&amp;$J536&amp;"|"&amp;$E536&amp;"|"&amp;$V536</f>
        <v/>
      </c>
      <c r="X536" s="46">
        <f>TEXT($F536,"hh:mm")&amp;" - "&amp;TEXT($G536,"hh:mm")&amp;IF($P536="Quinzaine A","   ◆ Q-A",IF($P536="Quinzaine B","   ◆ Q-B",IF($P536="Exception","   ◆ PONCTUEL","")))&amp;CHAR(10)&amp;$K536&amp;CHAR(10)&amp;$M536&amp;IF($N536&lt;&gt;"",CHAR(10)&amp;"Salle "&amp;$N536,"")&amp;IF($O536="En ligne",CHAR(10)&amp;"◆ EN LIGNE","")&amp;IF($R536&lt;&gt;"",CHAR(10)&amp;$R536,"")</f>
        <v/>
      </c>
      <c r="Y536" s="45" t="inlineStr"/>
      <c r="Z536" s="45" t="inlineStr">
        <is>
          <t>— généré —</t>
        </is>
      </c>
    </row>
    <row r="537" ht="15" customHeight="1">
      <c r="A537" s="10" t="inlineStr">
        <is>
          <t>S6</t>
        </is>
      </c>
      <c r="B537" s="9" t="inlineStr">
        <is>
          <t>du 19 au 25 octobre 2026</t>
        </is>
      </c>
      <c r="C537" s="10" t="inlineStr">
        <is>
          <t>B</t>
        </is>
      </c>
      <c r="D537" s="41" t="n">
        <v>46316</v>
      </c>
      <c r="E537" s="10" t="inlineStr">
        <is>
          <t>Mercredi</t>
        </is>
      </c>
      <c r="F537" s="42" t="n">
        <v>0.8125</v>
      </c>
      <c r="G537" s="42" t="n">
        <v>0.875</v>
      </c>
      <c r="H537" s="43">
        <f>IF(OR($F537="",$G537=""),"",($G537-$F537)*24)</f>
        <v/>
      </c>
      <c r="I537" s="10" t="inlineStr">
        <is>
          <t>Secondaire</t>
        </is>
      </c>
      <c r="J537" s="9" t="inlineStr">
        <is>
          <t>3éme INFO</t>
        </is>
      </c>
      <c r="K537" s="9" t="inlineStr">
        <is>
          <t>Physique</t>
        </is>
      </c>
      <c r="L537" s="9" t="inlineStr">
        <is>
          <t>Physique</t>
        </is>
      </c>
      <c r="M537" s="9" t="inlineStr">
        <is>
          <t>Samia</t>
        </is>
      </c>
      <c r="N537" s="10" t="n"/>
      <c r="O537" s="10" t="n"/>
      <c r="P537" s="10" t="inlineStr">
        <is>
          <t>Hebdomadaire</t>
        </is>
      </c>
      <c r="Q537" s="9" t="inlineStr">
        <is>
          <t>Généré (octobre)</t>
        </is>
      </c>
      <c r="R537" s="9" t="inlineStr"/>
      <c r="S537" s="44">
        <f>IF($M537="","",IF(SUMPRODUCT(($D$4:$D$704=$D537)*($M$4:$M$704=$M537)*($F$4:$F$704&lt;$G537)*($G$4:$G$704&gt;$F537))&gt;1,"⚠ CONFLIT",""))</f>
        <v/>
      </c>
      <c r="T537" s="44">
        <f>IF($J537="","",IF(SUMPRODUCT(($D$4:$D$704=$D537)*($J$4:$J$704=$J537)*($F$4:$F$704&lt;$G537)*($G$4:$G$704&gt;$F537))&gt;1,"⚠ CONFLIT",""))</f>
        <v/>
      </c>
      <c r="U537" s="44">
        <f>IF(COUNTIFS($D$4:$D$704,$D537,$J$4:$J$704,$J537,$F$4:$F$704,$F537,$K$4:$K$704,$K537)&gt;1,"⚠ DOUBLON","")</f>
        <v/>
      </c>
      <c r="V537" s="44">
        <f>COUNTIFS($A$4:$A537,$A537,$J$4:$J537,$J537,$E$4:$E537,$E537)</f>
        <v/>
      </c>
      <c r="W537" s="45">
        <f>$A537&amp;"|"&amp;$J537&amp;"|"&amp;$E537&amp;"|"&amp;$V537</f>
        <v/>
      </c>
      <c r="X537" s="46">
        <f>TEXT($F537,"hh:mm")&amp;" - "&amp;TEXT($G537,"hh:mm")&amp;IF($P537="Quinzaine A","   ◆ Q-A",IF($P537="Quinzaine B","   ◆ Q-B",IF($P537="Exception","   ◆ PONCTUEL","")))&amp;CHAR(10)&amp;$K537&amp;CHAR(10)&amp;$M537&amp;IF($N537&lt;&gt;"",CHAR(10)&amp;"Salle "&amp;$N537,"")&amp;IF($O537="En ligne",CHAR(10)&amp;"◆ EN LIGNE","")&amp;IF($R537&lt;&gt;"",CHAR(10)&amp;$R537,"")</f>
        <v/>
      </c>
      <c r="Y537" s="45" t="inlineStr"/>
      <c r="Z537" s="45" t="inlineStr">
        <is>
          <t>— généré —</t>
        </is>
      </c>
    </row>
    <row r="538" ht="15" customHeight="1">
      <c r="A538" s="10" t="inlineStr">
        <is>
          <t>S6</t>
        </is>
      </c>
      <c r="B538" s="9" t="inlineStr">
        <is>
          <t>du 19 au 25 octobre 2026</t>
        </is>
      </c>
      <c r="C538" s="10" t="inlineStr">
        <is>
          <t>B</t>
        </is>
      </c>
      <c r="D538" s="41" t="n">
        <v>46316</v>
      </c>
      <c r="E538" s="10" t="inlineStr">
        <is>
          <t>Mercredi</t>
        </is>
      </c>
      <c r="F538" s="42" t="n">
        <v>0.7916666666666666</v>
      </c>
      <c r="G538" s="42" t="n">
        <v>0.875</v>
      </c>
      <c r="H538" s="43">
        <f>IF(OR($F538="",$G538=""),"",($G538-$F538)*24)</f>
        <v/>
      </c>
      <c r="I538" s="10" t="inlineStr">
        <is>
          <t>Bac</t>
        </is>
      </c>
      <c r="J538" s="9" t="inlineStr">
        <is>
          <t>Bac SCE</t>
        </is>
      </c>
      <c r="K538" s="9" t="inlineStr">
        <is>
          <t>Math</t>
        </is>
      </c>
      <c r="L538" s="9" t="inlineStr">
        <is>
          <t>Math</t>
        </is>
      </c>
      <c r="M538" s="9" t="inlineStr">
        <is>
          <t>Ahmed</t>
        </is>
      </c>
      <c r="N538" s="10" t="n"/>
      <c r="O538" s="10" t="n"/>
      <c r="P538" s="10" t="inlineStr">
        <is>
          <t>Hebdomadaire</t>
        </is>
      </c>
      <c r="Q538" s="9" t="inlineStr">
        <is>
          <t>Généré (octobre)</t>
        </is>
      </c>
      <c r="R538" s="9" t="inlineStr"/>
      <c r="S538" s="44">
        <f>IF($M538="","",IF(SUMPRODUCT(($D$4:$D$704=$D538)*($M$4:$M$704=$M538)*($F$4:$F$704&lt;$G538)*($G$4:$G$704&gt;$F538))&gt;1,"⚠ CONFLIT",""))</f>
        <v/>
      </c>
      <c r="T538" s="44">
        <f>IF($J538="","",IF(SUMPRODUCT(($D$4:$D$704=$D538)*($J$4:$J$704=$J538)*($F$4:$F$704&lt;$G538)*($G$4:$G$704&gt;$F538))&gt;1,"⚠ CONFLIT",""))</f>
        <v/>
      </c>
      <c r="U538" s="44">
        <f>IF(COUNTIFS($D$4:$D$704,$D538,$J$4:$J$704,$J538,$F$4:$F$704,$F538,$K$4:$K$704,$K538)&gt;1,"⚠ DOUBLON","")</f>
        <v/>
      </c>
      <c r="V538" s="44">
        <f>COUNTIFS($A$4:$A538,$A538,$J$4:$J538,$J538,$E$4:$E538,$E538)</f>
        <v/>
      </c>
      <c r="W538" s="45">
        <f>$A538&amp;"|"&amp;$J538&amp;"|"&amp;$E538&amp;"|"&amp;$V538</f>
        <v/>
      </c>
      <c r="X538" s="46">
        <f>TEXT($F538,"hh:mm")&amp;" - "&amp;TEXT($G538,"hh:mm")&amp;IF($P538="Quinzaine A","   ◆ Q-A",IF($P538="Quinzaine B","   ◆ Q-B",IF($P538="Exception","   ◆ PONCTUEL","")))&amp;CHAR(10)&amp;$K538&amp;CHAR(10)&amp;$M538&amp;IF($N538&lt;&gt;"",CHAR(10)&amp;"Salle "&amp;$N538,"")&amp;IF($O538="En ligne",CHAR(10)&amp;"◆ EN LIGNE","")&amp;IF($R538&lt;&gt;"",CHAR(10)&amp;$R538,"")</f>
        <v/>
      </c>
      <c r="Y538" s="45" t="inlineStr"/>
      <c r="Z538" s="45" t="inlineStr">
        <is>
          <t>— généré —</t>
        </is>
      </c>
    </row>
    <row r="539" ht="15" customHeight="1">
      <c r="A539" s="10" t="inlineStr">
        <is>
          <t>S6</t>
        </is>
      </c>
      <c r="B539" s="9" t="inlineStr">
        <is>
          <t>du 19 au 25 octobre 2026</t>
        </is>
      </c>
      <c r="C539" s="10" t="inlineStr">
        <is>
          <t>B</t>
        </is>
      </c>
      <c r="D539" s="41" t="n">
        <v>46316</v>
      </c>
      <c r="E539" s="10" t="inlineStr">
        <is>
          <t>Mercredi</t>
        </is>
      </c>
      <c r="F539" s="42" t="n">
        <v>0.7916666666666666</v>
      </c>
      <c r="G539" s="42" t="n">
        <v>0.875</v>
      </c>
      <c r="H539" s="43">
        <f>IF(OR($F539="",$G539=""),"",($G539-$F539)*24)</f>
        <v/>
      </c>
      <c r="I539" s="10" t="inlineStr">
        <is>
          <t>Bac</t>
        </is>
      </c>
      <c r="J539" s="9" t="inlineStr">
        <is>
          <t>Bac INFO</t>
        </is>
      </c>
      <c r="K539" s="9" t="inlineStr">
        <is>
          <t>STI</t>
        </is>
      </c>
      <c r="L539" s="9" t="inlineStr">
        <is>
          <t>STI</t>
        </is>
      </c>
      <c r="M539" s="9" t="inlineStr">
        <is>
          <t>Aymen</t>
        </is>
      </c>
      <c r="N539" s="10" t="n"/>
      <c r="O539" s="10" t="n"/>
      <c r="P539" s="10" t="inlineStr">
        <is>
          <t>Hebdomadaire</t>
        </is>
      </c>
      <c r="Q539" s="9" t="inlineStr">
        <is>
          <t>Généré (octobre)</t>
        </is>
      </c>
      <c r="R539" s="9" t="inlineStr"/>
      <c r="S539" s="44">
        <f>IF($M539="","",IF(SUMPRODUCT(($D$4:$D$704=$D539)*($M$4:$M$704=$M539)*($F$4:$F$704&lt;$G539)*($G$4:$G$704&gt;$F539))&gt;1,"⚠ CONFLIT",""))</f>
        <v/>
      </c>
      <c r="T539" s="44">
        <f>IF($J539="","",IF(SUMPRODUCT(($D$4:$D$704=$D539)*($J$4:$J$704=$J539)*($F$4:$F$704&lt;$G539)*($G$4:$G$704&gt;$F539))&gt;1,"⚠ CONFLIT",""))</f>
        <v/>
      </c>
      <c r="U539" s="44">
        <f>IF(COUNTIFS($D$4:$D$704,$D539,$J$4:$J$704,$J539,$F$4:$F$704,$F539,$K$4:$K$704,$K539)&gt;1,"⚠ DOUBLON","")</f>
        <v/>
      </c>
      <c r="V539" s="44">
        <f>COUNTIFS($A$4:$A539,$A539,$J$4:$J539,$J539,$E$4:$E539,$E539)</f>
        <v/>
      </c>
      <c r="W539" s="45">
        <f>$A539&amp;"|"&amp;$J539&amp;"|"&amp;$E539&amp;"|"&amp;$V539</f>
        <v/>
      </c>
      <c r="X539" s="46">
        <f>TEXT($F539,"hh:mm")&amp;" - "&amp;TEXT($G539,"hh:mm")&amp;IF($P539="Quinzaine A","   ◆ Q-A",IF($P539="Quinzaine B","   ◆ Q-B",IF($P539="Exception","   ◆ PONCTUEL","")))&amp;CHAR(10)&amp;$K539&amp;CHAR(10)&amp;$M539&amp;IF($N539&lt;&gt;"",CHAR(10)&amp;"Salle "&amp;$N539,"")&amp;IF($O539="En ligne",CHAR(10)&amp;"◆ EN LIGNE","")&amp;IF($R539&lt;&gt;"",CHAR(10)&amp;$R539,"")</f>
        <v/>
      </c>
      <c r="Y539" s="45" t="inlineStr"/>
      <c r="Z539" s="45" t="inlineStr">
        <is>
          <t>— généré —</t>
        </is>
      </c>
    </row>
    <row r="540" ht="15" customHeight="1">
      <c r="A540" s="10" t="inlineStr">
        <is>
          <t>S6</t>
        </is>
      </c>
      <c r="B540" s="9" t="inlineStr">
        <is>
          <t>du 19 au 25 octobre 2026</t>
        </is>
      </c>
      <c r="C540" s="10" t="inlineStr">
        <is>
          <t>B</t>
        </is>
      </c>
      <c r="D540" s="41" t="n">
        <v>46317</v>
      </c>
      <c r="E540" s="10" t="inlineStr">
        <is>
          <t>Jeudi</t>
        </is>
      </c>
      <c r="F540" s="42" t="n">
        <v>0.7916666666666666</v>
      </c>
      <c r="G540" s="42" t="n">
        <v>0.875</v>
      </c>
      <c r="H540" s="43">
        <f>IF(OR($F540="",$G540=""),"",($G540-$F540)*24)</f>
        <v/>
      </c>
      <c r="I540" s="10" t="inlineStr">
        <is>
          <t>Primaire</t>
        </is>
      </c>
      <c r="J540" s="9" t="inlineStr">
        <is>
          <t>5éme</t>
        </is>
      </c>
      <c r="K540" s="9" t="inlineStr">
        <is>
          <t>رياضيات</t>
        </is>
      </c>
      <c r="L540" s="9" t="inlineStr">
        <is>
          <t>Math</t>
        </is>
      </c>
      <c r="M540" s="9" t="inlineStr">
        <is>
          <t>Bassma</t>
        </is>
      </c>
      <c r="N540" s="10" t="n"/>
      <c r="O540" s="10" t="n"/>
      <c r="P540" s="10" t="inlineStr">
        <is>
          <t>Hebdomadaire</t>
        </is>
      </c>
      <c r="Q540" s="9" t="inlineStr">
        <is>
          <t>Généré (octobre)</t>
        </is>
      </c>
      <c r="R540" s="9" t="inlineStr"/>
      <c r="S540" s="44">
        <f>IF($M540="","",IF(SUMPRODUCT(($D$4:$D$704=$D540)*($M$4:$M$704=$M540)*($F$4:$F$704&lt;$G540)*($G$4:$G$704&gt;$F540))&gt;1,"⚠ CONFLIT",""))</f>
        <v/>
      </c>
      <c r="T540" s="44">
        <f>IF($J540="","",IF(SUMPRODUCT(($D$4:$D$704=$D540)*($J$4:$J$704=$J540)*($F$4:$F$704&lt;$G540)*($G$4:$G$704&gt;$F540))&gt;1,"⚠ CONFLIT",""))</f>
        <v/>
      </c>
      <c r="U540" s="44">
        <f>IF(COUNTIFS($D$4:$D$704,$D540,$J$4:$J$704,$J540,$F$4:$F$704,$F540,$K$4:$K$704,$K540)&gt;1,"⚠ DOUBLON","")</f>
        <v/>
      </c>
      <c r="V540" s="44">
        <f>COUNTIFS($A$4:$A540,$A540,$J$4:$J540,$J540,$E$4:$E540,$E540)</f>
        <v/>
      </c>
      <c r="W540" s="45">
        <f>$A540&amp;"|"&amp;$J540&amp;"|"&amp;$E540&amp;"|"&amp;$V540</f>
        <v/>
      </c>
      <c r="X540" s="46">
        <f>TEXT($F540,"hh:mm")&amp;" - "&amp;TEXT($G540,"hh:mm")&amp;IF($P540="Quinzaine A","   ◆ Q-A",IF($P540="Quinzaine B","   ◆ Q-B",IF($P540="Exception","   ◆ PONCTUEL","")))&amp;CHAR(10)&amp;$K540&amp;CHAR(10)&amp;$M540&amp;IF($N540&lt;&gt;"",CHAR(10)&amp;"Salle "&amp;$N540,"")&amp;IF($O540="En ligne",CHAR(10)&amp;"◆ EN LIGNE","")&amp;IF($R540&lt;&gt;"",CHAR(10)&amp;$R540,"")</f>
        <v/>
      </c>
      <c r="Y540" s="45" t="inlineStr"/>
      <c r="Z540" s="45" t="inlineStr">
        <is>
          <t>— généré —</t>
        </is>
      </c>
    </row>
    <row r="541" ht="15" customHeight="1">
      <c r="A541" s="10" t="inlineStr">
        <is>
          <t>S6</t>
        </is>
      </c>
      <c r="B541" s="9" t="inlineStr">
        <is>
          <t>du 19 au 25 octobre 2026</t>
        </is>
      </c>
      <c r="C541" s="10" t="inlineStr">
        <is>
          <t>B</t>
        </is>
      </c>
      <c r="D541" s="41" t="n">
        <v>46317</v>
      </c>
      <c r="E541" s="10" t="inlineStr">
        <is>
          <t>Jeudi</t>
        </is>
      </c>
      <c r="F541" s="42" t="n">
        <v>0.7916666666666666</v>
      </c>
      <c r="G541" s="42" t="n">
        <v>0.875</v>
      </c>
      <c r="H541" s="43">
        <f>IF(OR($F541="",$G541=""),"",($G541-$F541)*24)</f>
        <v/>
      </c>
      <c r="I541" s="10" t="inlineStr">
        <is>
          <t>Primaire</t>
        </is>
      </c>
      <c r="J541" s="9" t="inlineStr">
        <is>
          <t>6éme (B)</t>
        </is>
      </c>
      <c r="K541" s="9" t="inlineStr">
        <is>
          <t>رياضيات</t>
        </is>
      </c>
      <c r="L541" s="9" t="inlineStr">
        <is>
          <t>Math</t>
        </is>
      </c>
      <c r="M541" s="9" t="inlineStr">
        <is>
          <t>Noura</t>
        </is>
      </c>
      <c r="N541" s="10" t="n"/>
      <c r="O541" s="10" t="n"/>
      <c r="P541" s="10" t="inlineStr">
        <is>
          <t>Hebdomadaire</t>
        </is>
      </c>
      <c r="Q541" s="9" t="inlineStr">
        <is>
          <t>Généré (octobre)</t>
        </is>
      </c>
      <c r="R541" s="9" t="inlineStr"/>
      <c r="S541" s="44">
        <f>IF($M541="","",IF(SUMPRODUCT(($D$4:$D$704=$D541)*($M$4:$M$704=$M541)*($F$4:$F$704&lt;$G541)*($G$4:$G$704&gt;$F541))&gt;1,"⚠ CONFLIT",""))</f>
        <v/>
      </c>
      <c r="T541" s="44">
        <f>IF($J541="","",IF(SUMPRODUCT(($D$4:$D$704=$D541)*($J$4:$J$704=$J541)*($F$4:$F$704&lt;$G541)*($G$4:$G$704&gt;$F541))&gt;1,"⚠ CONFLIT",""))</f>
        <v/>
      </c>
      <c r="U541" s="44">
        <f>IF(COUNTIFS($D$4:$D$704,$D541,$J$4:$J$704,$J541,$F$4:$F$704,$F541,$K$4:$K$704,$K541)&gt;1,"⚠ DOUBLON","")</f>
        <v/>
      </c>
      <c r="V541" s="44">
        <f>COUNTIFS($A$4:$A541,$A541,$J$4:$J541,$J541,$E$4:$E541,$E541)</f>
        <v/>
      </c>
      <c r="W541" s="45">
        <f>$A541&amp;"|"&amp;$J541&amp;"|"&amp;$E541&amp;"|"&amp;$V541</f>
        <v/>
      </c>
      <c r="X541" s="46">
        <f>TEXT($F541,"hh:mm")&amp;" - "&amp;TEXT($G541,"hh:mm")&amp;IF($P541="Quinzaine A","   ◆ Q-A",IF($P541="Quinzaine B","   ◆ Q-B",IF($P541="Exception","   ◆ PONCTUEL","")))&amp;CHAR(10)&amp;$K541&amp;CHAR(10)&amp;$M541&amp;IF($N541&lt;&gt;"",CHAR(10)&amp;"Salle "&amp;$N541,"")&amp;IF($O541="En ligne",CHAR(10)&amp;"◆ EN LIGNE","")&amp;IF($R541&lt;&gt;"",CHAR(10)&amp;$R541,"")</f>
        <v/>
      </c>
      <c r="Y541" s="45" t="inlineStr"/>
      <c r="Z541" s="45" t="inlineStr">
        <is>
          <t>— généré —</t>
        </is>
      </c>
    </row>
    <row r="542" ht="15" customHeight="1">
      <c r="A542" s="10" t="inlineStr">
        <is>
          <t>S6</t>
        </is>
      </c>
      <c r="B542" s="9" t="inlineStr">
        <is>
          <t>du 19 au 25 octobre 2026</t>
        </is>
      </c>
      <c r="C542" s="10" t="inlineStr">
        <is>
          <t>B</t>
        </is>
      </c>
      <c r="D542" s="41" t="n">
        <v>46317</v>
      </c>
      <c r="E542" s="10" t="inlineStr">
        <is>
          <t>Jeudi</t>
        </is>
      </c>
      <c r="F542" s="42" t="n">
        <v>0.8020833333333334</v>
      </c>
      <c r="G542" s="42" t="n">
        <v>0.8645833333333334</v>
      </c>
      <c r="H542" s="43">
        <f>IF(OR($F542="",$G542=""),"",($G542-$F542)*24)</f>
        <v/>
      </c>
      <c r="I542" s="10" t="inlineStr">
        <is>
          <t>Collège</t>
        </is>
      </c>
      <c r="J542" s="9" t="inlineStr">
        <is>
          <t>8éme (A)</t>
        </is>
      </c>
      <c r="K542" s="9" t="inlineStr">
        <is>
          <t>Français</t>
        </is>
      </c>
      <c r="L542" s="9" t="inlineStr">
        <is>
          <t>Français</t>
        </is>
      </c>
      <c r="M542" s="9" t="inlineStr">
        <is>
          <t>Nassima</t>
        </is>
      </c>
      <c r="N542" s="10" t="n"/>
      <c r="O542" s="10" t="n"/>
      <c r="P542" s="10" t="inlineStr">
        <is>
          <t>Hebdomadaire</t>
        </is>
      </c>
      <c r="Q542" s="9" t="inlineStr">
        <is>
          <t>Généré (octobre)</t>
        </is>
      </c>
      <c r="R542" s="9" t="inlineStr"/>
      <c r="S542" s="44">
        <f>IF($M542="","",IF(SUMPRODUCT(($D$4:$D$704=$D542)*($M$4:$M$704=$M542)*($F$4:$F$704&lt;$G542)*($G$4:$G$704&gt;$F542))&gt;1,"⚠ CONFLIT",""))</f>
        <v/>
      </c>
      <c r="T542" s="44">
        <f>IF($J542="","",IF(SUMPRODUCT(($D$4:$D$704=$D542)*($J$4:$J$704=$J542)*($F$4:$F$704&lt;$G542)*($G$4:$G$704&gt;$F542))&gt;1,"⚠ CONFLIT",""))</f>
        <v/>
      </c>
      <c r="U542" s="44">
        <f>IF(COUNTIFS($D$4:$D$704,$D542,$J$4:$J$704,$J542,$F$4:$F$704,$F542,$K$4:$K$704,$K542)&gt;1,"⚠ DOUBLON","")</f>
        <v/>
      </c>
      <c r="V542" s="44">
        <f>COUNTIFS($A$4:$A542,$A542,$J$4:$J542,$J542,$E$4:$E542,$E542)</f>
        <v/>
      </c>
      <c r="W542" s="45">
        <f>$A542&amp;"|"&amp;$J542&amp;"|"&amp;$E542&amp;"|"&amp;$V542</f>
        <v/>
      </c>
      <c r="X542" s="46">
        <f>TEXT($F542,"hh:mm")&amp;" - "&amp;TEXT($G542,"hh:mm")&amp;IF($P542="Quinzaine A","   ◆ Q-A",IF($P542="Quinzaine B","   ◆ Q-B",IF($P542="Exception","   ◆ PONCTUEL","")))&amp;CHAR(10)&amp;$K542&amp;CHAR(10)&amp;$M542&amp;IF($N542&lt;&gt;"",CHAR(10)&amp;"Salle "&amp;$N542,"")&amp;IF($O542="En ligne",CHAR(10)&amp;"◆ EN LIGNE","")&amp;IF($R542&lt;&gt;"",CHAR(10)&amp;$R542,"")</f>
        <v/>
      </c>
      <c r="Y542" s="45" t="inlineStr"/>
      <c r="Z542" s="45" t="inlineStr">
        <is>
          <t>— généré —</t>
        </is>
      </c>
    </row>
    <row r="543" ht="15" customHeight="1">
      <c r="A543" s="10" t="inlineStr">
        <is>
          <t>S6</t>
        </is>
      </c>
      <c r="B543" s="9" t="inlineStr">
        <is>
          <t>du 19 au 25 octobre 2026</t>
        </is>
      </c>
      <c r="C543" s="10" t="inlineStr">
        <is>
          <t>B</t>
        </is>
      </c>
      <c r="D543" s="41" t="n">
        <v>46317</v>
      </c>
      <c r="E543" s="10" t="inlineStr">
        <is>
          <t>Jeudi</t>
        </is>
      </c>
      <c r="F543" s="42" t="n">
        <v>0.8020833333333334</v>
      </c>
      <c r="G543" s="42" t="n">
        <v>0.8645833333333334</v>
      </c>
      <c r="H543" s="43">
        <f>IF(OR($F543="",$G543=""),"",($G543-$F543)*24)</f>
        <v/>
      </c>
      <c r="I543" s="10" t="inlineStr">
        <is>
          <t>Collège</t>
        </is>
      </c>
      <c r="J543" s="9" t="inlineStr">
        <is>
          <t>8éme (C)</t>
        </is>
      </c>
      <c r="K543" s="9" t="inlineStr">
        <is>
          <t>Math</t>
        </is>
      </c>
      <c r="L543" s="9" t="inlineStr">
        <is>
          <t>Math</t>
        </is>
      </c>
      <c r="M543" s="9" t="inlineStr">
        <is>
          <t>Khouloud</t>
        </is>
      </c>
      <c r="N543" s="10" t="n"/>
      <c r="O543" s="10" t="n"/>
      <c r="P543" s="10" t="inlineStr">
        <is>
          <t>Hebdomadaire</t>
        </is>
      </c>
      <c r="Q543" s="9" t="inlineStr">
        <is>
          <t>Généré (octobre)</t>
        </is>
      </c>
      <c r="R543" s="9" t="inlineStr"/>
      <c r="S543" s="44">
        <f>IF($M543="","",IF(SUMPRODUCT(($D$4:$D$704=$D543)*($M$4:$M$704=$M543)*($F$4:$F$704&lt;$G543)*($G$4:$G$704&gt;$F543))&gt;1,"⚠ CONFLIT",""))</f>
        <v/>
      </c>
      <c r="T543" s="44">
        <f>IF($J543="","",IF(SUMPRODUCT(($D$4:$D$704=$D543)*($J$4:$J$704=$J543)*($F$4:$F$704&lt;$G543)*($G$4:$G$704&gt;$F543))&gt;1,"⚠ CONFLIT",""))</f>
        <v/>
      </c>
      <c r="U543" s="44">
        <f>IF(COUNTIFS($D$4:$D$704,$D543,$J$4:$J$704,$J543,$F$4:$F$704,$F543,$K$4:$K$704,$K543)&gt;1,"⚠ DOUBLON","")</f>
        <v/>
      </c>
      <c r="V543" s="44">
        <f>COUNTIFS($A$4:$A543,$A543,$J$4:$J543,$J543,$E$4:$E543,$E543)</f>
        <v/>
      </c>
      <c r="W543" s="45">
        <f>$A543&amp;"|"&amp;$J543&amp;"|"&amp;$E543&amp;"|"&amp;$V543</f>
        <v/>
      </c>
      <c r="X543" s="46">
        <f>TEXT($F543,"hh:mm")&amp;" - "&amp;TEXT($G543,"hh:mm")&amp;IF($P543="Quinzaine A","   ◆ Q-A",IF($P543="Quinzaine B","   ◆ Q-B",IF($P543="Exception","   ◆ PONCTUEL","")))&amp;CHAR(10)&amp;$K543&amp;CHAR(10)&amp;$M543&amp;IF($N543&lt;&gt;"",CHAR(10)&amp;"Salle "&amp;$N543,"")&amp;IF($O543="En ligne",CHAR(10)&amp;"◆ EN LIGNE","")&amp;IF($R543&lt;&gt;"",CHAR(10)&amp;$R543,"")</f>
        <v/>
      </c>
      <c r="Y543" s="45" t="inlineStr"/>
      <c r="Z543" s="45" t="inlineStr">
        <is>
          <t>— généré —</t>
        </is>
      </c>
    </row>
    <row r="544" ht="15" customHeight="1">
      <c r="A544" s="10" t="inlineStr">
        <is>
          <t>S6</t>
        </is>
      </c>
      <c r="B544" s="9" t="inlineStr">
        <is>
          <t>du 19 au 25 octobre 2026</t>
        </is>
      </c>
      <c r="C544" s="10" t="inlineStr">
        <is>
          <t>B</t>
        </is>
      </c>
      <c r="D544" s="41" t="n">
        <v>46317</v>
      </c>
      <c r="E544" s="10" t="inlineStr">
        <is>
          <t>Jeudi</t>
        </is>
      </c>
      <c r="F544" s="42" t="n">
        <v>0.8020833333333334</v>
      </c>
      <c r="G544" s="42" t="n">
        <v>0.8645833333333334</v>
      </c>
      <c r="H544" s="43">
        <f>IF(OR($F544="",$G544=""),"",($G544-$F544)*24)</f>
        <v/>
      </c>
      <c r="I544" s="10" t="inlineStr">
        <is>
          <t>Collège</t>
        </is>
      </c>
      <c r="J544" s="9" t="inlineStr">
        <is>
          <t>9éme (A)</t>
        </is>
      </c>
      <c r="K544" s="9" t="inlineStr">
        <is>
          <t>SVT</t>
        </is>
      </c>
      <c r="L544" s="9" t="inlineStr">
        <is>
          <t>SVT</t>
        </is>
      </c>
      <c r="M544" s="9" t="inlineStr">
        <is>
          <t>Imen Jribi</t>
        </is>
      </c>
      <c r="N544" s="10" t="n"/>
      <c r="O544" s="10" t="n"/>
      <c r="P544" s="10" t="inlineStr">
        <is>
          <t>Hebdomadaire</t>
        </is>
      </c>
      <c r="Q544" s="9" t="inlineStr">
        <is>
          <t>Généré (octobre)</t>
        </is>
      </c>
      <c r="R544" s="9" t="inlineStr"/>
      <c r="S544" s="44">
        <f>IF($M544="","",IF(SUMPRODUCT(($D$4:$D$704=$D544)*($M$4:$M$704=$M544)*($F$4:$F$704&lt;$G544)*($G$4:$G$704&gt;$F544))&gt;1,"⚠ CONFLIT",""))</f>
        <v/>
      </c>
      <c r="T544" s="44">
        <f>IF($J544="","",IF(SUMPRODUCT(($D$4:$D$704=$D544)*($J$4:$J$704=$J544)*($F$4:$F$704&lt;$G544)*($G$4:$G$704&gt;$F544))&gt;1,"⚠ CONFLIT",""))</f>
        <v/>
      </c>
      <c r="U544" s="44">
        <f>IF(COUNTIFS($D$4:$D$704,$D544,$J$4:$J$704,$J544,$F$4:$F$704,$F544,$K$4:$K$704,$K544)&gt;1,"⚠ DOUBLON","")</f>
        <v/>
      </c>
      <c r="V544" s="44">
        <f>COUNTIFS($A$4:$A544,$A544,$J$4:$J544,$J544,$E$4:$E544,$E544)</f>
        <v/>
      </c>
      <c r="W544" s="45">
        <f>$A544&amp;"|"&amp;$J544&amp;"|"&amp;$E544&amp;"|"&amp;$V544</f>
        <v/>
      </c>
      <c r="X544" s="46">
        <f>TEXT($F544,"hh:mm")&amp;" - "&amp;TEXT($G544,"hh:mm")&amp;IF($P544="Quinzaine A","   ◆ Q-A",IF($P544="Quinzaine B","   ◆ Q-B",IF($P544="Exception","   ◆ PONCTUEL","")))&amp;CHAR(10)&amp;$K544&amp;CHAR(10)&amp;$M544&amp;IF($N544&lt;&gt;"",CHAR(10)&amp;"Salle "&amp;$N544,"")&amp;IF($O544="En ligne",CHAR(10)&amp;"◆ EN LIGNE","")&amp;IF($R544&lt;&gt;"",CHAR(10)&amp;$R544,"")</f>
        <v/>
      </c>
      <c r="Y544" s="45" t="inlineStr"/>
      <c r="Z544" s="45" t="inlineStr">
        <is>
          <t>— généré —</t>
        </is>
      </c>
    </row>
    <row r="545" ht="15" customHeight="1">
      <c r="A545" s="10" t="inlineStr">
        <is>
          <t>S6</t>
        </is>
      </c>
      <c r="B545" s="9" t="inlineStr">
        <is>
          <t>du 19 au 25 octobre 2026</t>
        </is>
      </c>
      <c r="C545" s="10" t="inlineStr">
        <is>
          <t>B</t>
        </is>
      </c>
      <c r="D545" s="41" t="n">
        <v>46317</v>
      </c>
      <c r="E545" s="10" t="inlineStr">
        <is>
          <t>Jeudi</t>
        </is>
      </c>
      <c r="F545" s="42" t="n">
        <v>0.8125</v>
      </c>
      <c r="G545" s="42" t="n">
        <v>0.875</v>
      </c>
      <c r="H545" s="43">
        <f>IF(OR($F545="",$G545=""),"",($G545-$F545)*24)</f>
        <v/>
      </c>
      <c r="I545" s="10" t="inlineStr">
        <is>
          <t>Collège</t>
        </is>
      </c>
      <c r="J545" s="9" t="inlineStr">
        <is>
          <t>9éme (C)</t>
        </is>
      </c>
      <c r="K545" s="9" t="inlineStr">
        <is>
          <t>Anglais</t>
        </is>
      </c>
      <c r="L545" s="9" t="inlineStr">
        <is>
          <t>Anglais</t>
        </is>
      </c>
      <c r="M545" s="9" t="inlineStr">
        <is>
          <t>Saber</t>
        </is>
      </c>
      <c r="N545" s="10" t="n"/>
      <c r="O545" s="10" t="n"/>
      <c r="P545" s="10" t="inlineStr">
        <is>
          <t>Hebdomadaire</t>
        </is>
      </c>
      <c r="Q545" s="9" t="inlineStr">
        <is>
          <t>Généré (octobre)</t>
        </is>
      </c>
      <c r="R545" s="9" t="inlineStr"/>
      <c r="S545" s="44">
        <f>IF($M545="","",IF(SUMPRODUCT(($D$4:$D$704=$D545)*($M$4:$M$704=$M545)*($F$4:$F$704&lt;$G545)*($G$4:$G$704&gt;$F545))&gt;1,"⚠ CONFLIT",""))</f>
        <v/>
      </c>
      <c r="T545" s="44">
        <f>IF($J545="","",IF(SUMPRODUCT(($D$4:$D$704=$D545)*($J$4:$J$704=$J545)*($F$4:$F$704&lt;$G545)*($G$4:$G$704&gt;$F545))&gt;1,"⚠ CONFLIT",""))</f>
        <v/>
      </c>
      <c r="U545" s="44">
        <f>IF(COUNTIFS($D$4:$D$704,$D545,$J$4:$J$704,$J545,$F$4:$F$704,$F545,$K$4:$K$704,$K545)&gt;1,"⚠ DOUBLON","")</f>
        <v/>
      </c>
      <c r="V545" s="44">
        <f>COUNTIFS($A$4:$A545,$A545,$J$4:$J545,$J545,$E$4:$E545,$E545)</f>
        <v/>
      </c>
      <c r="W545" s="45">
        <f>$A545&amp;"|"&amp;$J545&amp;"|"&amp;$E545&amp;"|"&amp;$V545</f>
        <v/>
      </c>
      <c r="X545" s="46">
        <f>TEXT($F545,"hh:mm")&amp;" - "&amp;TEXT($G545,"hh:mm")&amp;IF($P545="Quinzaine A","   ◆ Q-A",IF($P545="Quinzaine B","   ◆ Q-B",IF($P545="Exception","   ◆ PONCTUEL","")))&amp;CHAR(10)&amp;$K545&amp;CHAR(10)&amp;$M545&amp;IF($N545&lt;&gt;"",CHAR(10)&amp;"Salle "&amp;$N545,"")&amp;IF($O545="En ligne",CHAR(10)&amp;"◆ EN LIGNE","")&amp;IF($R545&lt;&gt;"",CHAR(10)&amp;$R545,"")</f>
        <v/>
      </c>
      <c r="Y545" s="45" t="inlineStr"/>
      <c r="Z545" s="45" t="inlineStr">
        <is>
          <t>— généré —</t>
        </is>
      </c>
    </row>
    <row r="546" ht="15" customHeight="1">
      <c r="A546" s="10" t="inlineStr">
        <is>
          <t>S6</t>
        </is>
      </c>
      <c r="B546" s="9" t="inlineStr">
        <is>
          <t>du 19 au 25 octobre 2026</t>
        </is>
      </c>
      <c r="C546" s="10" t="inlineStr">
        <is>
          <t>B</t>
        </is>
      </c>
      <c r="D546" s="41" t="n">
        <v>46317</v>
      </c>
      <c r="E546" s="10" t="inlineStr">
        <is>
          <t>Jeudi</t>
        </is>
      </c>
      <c r="F546" s="42" t="n">
        <v>0.8020833333333334</v>
      </c>
      <c r="G546" s="42" t="n">
        <v>0.8645833333333334</v>
      </c>
      <c r="H546" s="43">
        <f>IF(OR($F546="",$G546=""),"",($G546-$F546)*24)</f>
        <v/>
      </c>
      <c r="I546" s="10" t="inlineStr">
        <is>
          <t>Secondaire</t>
        </is>
      </c>
      <c r="J546" s="9" t="inlineStr">
        <is>
          <t>1ére (B)</t>
        </is>
      </c>
      <c r="K546" s="9" t="inlineStr">
        <is>
          <t>Anglais</t>
        </is>
      </c>
      <c r="L546" s="9" t="inlineStr">
        <is>
          <t>Anglais</t>
        </is>
      </c>
      <c r="M546" s="9" t="inlineStr">
        <is>
          <t>Imen Bennour</t>
        </is>
      </c>
      <c r="N546" s="10" t="n"/>
      <c r="O546" s="10" t="n"/>
      <c r="P546" s="10" t="inlineStr">
        <is>
          <t>Quinzaine B</t>
        </is>
      </c>
      <c r="Q546" s="9" t="inlineStr">
        <is>
          <t>Généré (octobre)</t>
        </is>
      </c>
      <c r="R546" s="9" t="inlineStr"/>
      <c r="S546" s="44">
        <f>IF($M546="","",IF(SUMPRODUCT(($D$4:$D$704=$D546)*($M$4:$M$704=$M546)*($F$4:$F$704&lt;$G546)*($G$4:$G$704&gt;$F546))&gt;1,"⚠ CONFLIT",""))</f>
        <v/>
      </c>
      <c r="T546" s="44">
        <f>IF($J546="","",IF(SUMPRODUCT(($D$4:$D$704=$D546)*($J$4:$J$704=$J546)*($F$4:$F$704&lt;$G546)*($G$4:$G$704&gt;$F546))&gt;1,"⚠ CONFLIT",""))</f>
        <v/>
      </c>
      <c r="U546" s="44">
        <f>IF(COUNTIFS($D$4:$D$704,$D546,$J$4:$J$704,$J546,$F$4:$F$704,$F546,$K$4:$K$704,$K546)&gt;1,"⚠ DOUBLON","")</f>
        <v/>
      </c>
      <c r="V546" s="44">
        <f>COUNTIFS($A$4:$A546,$A546,$J$4:$J546,$J546,$E$4:$E546,$E546)</f>
        <v/>
      </c>
      <c r="W546" s="45">
        <f>$A546&amp;"|"&amp;$J546&amp;"|"&amp;$E546&amp;"|"&amp;$V546</f>
        <v/>
      </c>
      <c r="X546" s="46">
        <f>TEXT($F546,"hh:mm")&amp;" - "&amp;TEXT($G546,"hh:mm")&amp;IF($P546="Quinzaine A","   ◆ Q-A",IF($P546="Quinzaine B","   ◆ Q-B",IF($P546="Exception","   ◆ PONCTUEL","")))&amp;CHAR(10)&amp;$K546&amp;CHAR(10)&amp;$M546&amp;IF($N546&lt;&gt;"",CHAR(10)&amp;"Salle "&amp;$N546,"")&amp;IF($O546="En ligne",CHAR(10)&amp;"◆ EN LIGNE","")&amp;IF($R546&lt;&gt;"",CHAR(10)&amp;$R546,"")</f>
        <v/>
      </c>
      <c r="Y546" s="45" t="inlineStr"/>
      <c r="Z546" s="45" t="inlineStr">
        <is>
          <t>— généré —</t>
        </is>
      </c>
    </row>
    <row r="547" ht="15" customHeight="1">
      <c r="A547" s="10" t="inlineStr">
        <is>
          <t>S6</t>
        </is>
      </c>
      <c r="B547" s="9" t="inlineStr">
        <is>
          <t>du 19 au 25 octobre 2026</t>
        </is>
      </c>
      <c r="C547" s="10" t="inlineStr">
        <is>
          <t>B</t>
        </is>
      </c>
      <c r="D547" s="41" t="n">
        <v>46317</v>
      </c>
      <c r="E547" s="10" t="inlineStr">
        <is>
          <t>Jeudi</t>
        </is>
      </c>
      <c r="F547" s="42" t="n">
        <v>0.7916666666666666</v>
      </c>
      <c r="G547" s="42" t="n">
        <v>0.8541666666666666</v>
      </c>
      <c r="H547" s="43">
        <f>IF(OR($F547="",$G547=""),"",($G547-$F547)*24)</f>
        <v/>
      </c>
      <c r="I547" s="10" t="inlineStr">
        <is>
          <t>Secondaire</t>
        </is>
      </c>
      <c r="J547" s="9" t="inlineStr">
        <is>
          <t>2éme Eco</t>
        </is>
      </c>
      <c r="K547" s="9" t="inlineStr">
        <is>
          <t>Gestion</t>
        </is>
      </c>
      <c r="L547" s="9" t="inlineStr">
        <is>
          <t>Gestion</t>
        </is>
      </c>
      <c r="M547" s="9" t="inlineStr">
        <is>
          <t>Yassine</t>
        </is>
      </c>
      <c r="N547" s="10" t="n"/>
      <c r="O547" s="10" t="n"/>
      <c r="P547" s="10" t="inlineStr">
        <is>
          <t>Hebdomadaire</t>
        </is>
      </c>
      <c r="Q547" s="9" t="inlineStr">
        <is>
          <t>Généré (octobre)</t>
        </is>
      </c>
      <c r="R547" s="9" t="inlineStr"/>
      <c r="S547" s="44">
        <f>IF($M547="","",IF(SUMPRODUCT(($D$4:$D$704=$D547)*($M$4:$M$704=$M547)*($F$4:$F$704&lt;$G547)*($G$4:$G$704&gt;$F547))&gt;1,"⚠ CONFLIT",""))</f>
        <v/>
      </c>
      <c r="T547" s="44">
        <f>IF($J547="","",IF(SUMPRODUCT(($D$4:$D$704=$D547)*($J$4:$J$704=$J547)*($F$4:$F$704&lt;$G547)*($G$4:$G$704&gt;$F547))&gt;1,"⚠ CONFLIT",""))</f>
        <v/>
      </c>
      <c r="U547" s="44">
        <f>IF(COUNTIFS($D$4:$D$704,$D547,$J$4:$J$704,$J547,$F$4:$F$704,$F547,$K$4:$K$704,$K547)&gt;1,"⚠ DOUBLON","")</f>
        <v/>
      </c>
      <c r="V547" s="44">
        <f>COUNTIFS($A$4:$A547,$A547,$J$4:$J547,$J547,$E$4:$E547,$E547)</f>
        <v/>
      </c>
      <c r="W547" s="45">
        <f>$A547&amp;"|"&amp;$J547&amp;"|"&amp;$E547&amp;"|"&amp;$V547</f>
        <v/>
      </c>
      <c r="X547" s="46">
        <f>TEXT($F547,"hh:mm")&amp;" - "&amp;TEXT($G547,"hh:mm")&amp;IF($P547="Quinzaine A","   ◆ Q-A",IF($P547="Quinzaine B","   ◆ Q-B",IF($P547="Exception","   ◆ PONCTUEL","")))&amp;CHAR(10)&amp;$K547&amp;CHAR(10)&amp;$M547&amp;IF($N547&lt;&gt;"",CHAR(10)&amp;"Salle "&amp;$N547,"")&amp;IF($O547="En ligne",CHAR(10)&amp;"◆ EN LIGNE","")&amp;IF($R547&lt;&gt;"",CHAR(10)&amp;$R547,"")</f>
        <v/>
      </c>
      <c r="Y547" s="45" t="inlineStr"/>
      <c r="Z547" s="45" t="inlineStr">
        <is>
          <t>— généré —</t>
        </is>
      </c>
    </row>
    <row r="548" ht="15" customHeight="1">
      <c r="A548" s="10" t="inlineStr">
        <is>
          <t>S6</t>
        </is>
      </c>
      <c r="B548" s="9" t="inlineStr">
        <is>
          <t>du 19 au 25 octobre 2026</t>
        </is>
      </c>
      <c r="C548" s="10" t="inlineStr">
        <is>
          <t>B</t>
        </is>
      </c>
      <c r="D548" s="41" t="n">
        <v>46317</v>
      </c>
      <c r="E548" s="10" t="inlineStr">
        <is>
          <t>Jeudi</t>
        </is>
      </c>
      <c r="F548" s="42" t="n">
        <v>0.8125</v>
      </c>
      <c r="G548" s="42" t="n">
        <v>0.875</v>
      </c>
      <c r="H548" s="43">
        <f>IF(OR($F548="",$G548=""),"",($G548-$F548)*24)</f>
        <v/>
      </c>
      <c r="I548" s="10" t="inlineStr">
        <is>
          <t>Secondaire</t>
        </is>
      </c>
      <c r="J548" s="9" t="inlineStr">
        <is>
          <t>2éme SCE</t>
        </is>
      </c>
      <c r="K548" s="9" t="inlineStr">
        <is>
          <t>Math</t>
        </is>
      </c>
      <c r="L548" s="9" t="inlineStr">
        <is>
          <t>Math</t>
        </is>
      </c>
      <c r="M548" s="9" t="inlineStr">
        <is>
          <t>Haythem</t>
        </is>
      </c>
      <c r="N548" s="10" t="n"/>
      <c r="O548" s="10" t="n"/>
      <c r="P548" s="10" t="inlineStr">
        <is>
          <t>Hebdomadaire</t>
        </is>
      </c>
      <c r="Q548" s="9" t="inlineStr">
        <is>
          <t>Généré (octobre)</t>
        </is>
      </c>
      <c r="R548" s="9" t="inlineStr"/>
      <c r="S548" s="44">
        <f>IF($M548="","",IF(SUMPRODUCT(($D$4:$D$704=$D548)*($M$4:$M$704=$M548)*($F$4:$F$704&lt;$G548)*($G$4:$G$704&gt;$F548))&gt;1,"⚠ CONFLIT",""))</f>
        <v/>
      </c>
      <c r="T548" s="44">
        <f>IF($J548="","",IF(SUMPRODUCT(($D$4:$D$704=$D548)*($J$4:$J$704=$J548)*($F$4:$F$704&lt;$G548)*($G$4:$G$704&gt;$F548))&gt;1,"⚠ CONFLIT",""))</f>
        <v/>
      </c>
      <c r="U548" s="44">
        <f>IF(COUNTIFS($D$4:$D$704,$D548,$J$4:$J$704,$J548,$F$4:$F$704,$F548,$K$4:$K$704,$K548)&gt;1,"⚠ DOUBLON","")</f>
        <v/>
      </c>
      <c r="V548" s="44">
        <f>COUNTIFS($A$4:$A548,$A548,$J$4:$J548,$J548,$E$4:$E548,$E548)</f>
        <v/>
      </c>
      <c r="W548" s="45">
        <f>$A548&amp;"|"&amp;$J548&amp;"|"&amp;$E548&amp;"|"&amp;$V548</f>
        <v/>
      </c>
      <c r="X548" s="46">
        <f>TEXT($F548,"hh:mm")&amp;" - "&amp;TEXT($G548,"hh:mm")&amp;IF($P548="Quinzaine A","   ◆ Q-A",IF($P548="Quinzaine B","   ◆ Q-B",IF($P548="Exception","   ◆ PONCTUEL","")))&amp;CHAR(10)&amp;$K548&amp;CHAR(10)&amp;$M548&amp;IF($N548&lt;&gt;"",CHAR(10)&amp;"Salle "&amp;$N548,"")&amp;IF($O548="En ligne",CHAR(10)&amp;"◆ EN LIGNE","")&amp;IF($R548&lt;&gt;"",CHAR(10)&amp;$R548,"")</f>
        <v/>
      </c>
      <c r="Y548" s="45" t="inlineStr"/>
      <c r="Z548" s="45" t="inlineStr">
        <is>
          <t>— généré —</t>
        </is>
      </c>
    </row>
    <row r="549" ht="15" customHeight="1">
      <c r="A549" s="10" t="inlineStr">
        <is>
          <t>S6</t>
        </is>
      </c>
      <c r="B549" s="9" t="inlineStr">
        <is>
          <t>du 19 au 25 octobre 2026</t>
        </is>
      </c>
      <c r="C549" s="10" t="inlineStr">
        <is>
          <t>B</t>
        </is>
      </c>
      <c r="D549" s="41" t="n">
        <v>46317</v>
      </c>
      <c r="E549" s="10" t="inlineStr">
        <is>
          <t>Jeudi</t>
        </is>
      </c>
      <c r="F549" s="42" t="n">
        <v>0.8125</v>
      </c>
      <c r="G549" s="42" t="n">
        <v>0.875</v>
      </c>
      <c r="H549" s="43">
        <f>IF(OR($F549="",$G549=""),"",($G549-$F549)*24)</f>
        <v/>
      </c>
      <c r="I549" s="10" t="inlineStr">
        <is>
          <t>Secondaire</t>
        </is>
      </c>
      <c r="J549" s="9" t="inlineStr">
        <is>
          <t>2éme INFO</t>
        </is>
      </c>
      <c r="K549" s="9" t="inlineStr">
        <is>
          <t>Physique</t>
        </is>
      </c>
      <c r="L549" s="9" t="inlineStr">
        <is>
          <t>Physique</t>
        </is>
      </c>
      <c r="M549" s="9" t="inlineStr">
        <is>
          <t>Samia</t>
        </is>
      </c>
      <c r="N549" s="10" t="n"/>
      <c r="O549" s="10" t="n"/>
      <c r="P549" s="10" t="inlineStr">
        <is>
          <t>Hebdomadaire</t>
        </is>
      </c>
      <c r="Q549" s="9" t="inlineStr">
        <is>
          <t>Généré (octobre)</t>
        </is>
      </c>
      <c r="R549" s="9" t="inlineStr"/>
      <c r="S549" s="44">
        <f>IF($M549="","",IF(SUMPRODUCT(($D$4:$D$704=$D549)*($M$4:$M$704=$M549)*($F$4:$F$704&lt;$G549)*($G$4:$G$704&gt;$F549))&gt;1,"⚠ CONFLIT",""))</f>
        <v/>
      </c>
      <c r="T549" s="44">
        <f>IF($J549="","",IF(SUMPRODUCT(($D$4:$D$704=$D549)*($J$4:$J$704=$J549)*($F$4:$F$704&lt;$G549)*($G$4:$G$704&gt;$F549))&gt;1,"⚠ CONFLIT",""))</f>
        <v/>
      </c>
      <c r="U549" s="44">
        <f>IF(COUNTIFS($D$4:$D$704,$D549,$J$4:$J$704,$J549,$F$4:$F$704,$F549,$K$4:$K$704,$K549)&gt;1,"⚠ DOUBLON","")</f>
        <v/>
      </c>
      <c r="V549" s="44">
        <f>COUNTIFS($A$4:$A549,$A549,$J$4:$J549,$J549,$E$4:$E549,$E549)</f>
        <v/>
      </c>
      <c r="W549" s="45">
        <f>$A549&amp;"|"&amp;$J549&amp;"|"&amp;$E549&amp;"|"&amp;$V549</f>
        <v/>
      </c>
      <c r="X549" s="46">
        <f>TEXT($F549,"hh:mm")&amp;" - "&amp;TEXT($G549,"hh:mm")&amp;IF($P549="Quinzaine A","   ◆ Q-A",IF($P549="Quinzaine B","   ◆ Q-B",IF($P549="Exception","   ◆ PONCTUEL","")))&amp;CHAR(10)&amp;$K549&amp;CHAR(10)&amp;$M549&amp;IF($N549&lt;&gt;"",CHAR(10)&amp;"Salle "&amp;$N549,"")&amp;IF($O549="En ligne",CHAR(10)&amp;"◆ EN LIGNE","")&amp;IF($R549&lt;&gt;"",CHAR(10)&amp;$R549,"")</f>
        <v/>
      </c>
      <c r="Y549" s="45" t="inlineStr"/>
      <c r="Z549" s="45" t="inlineStr">
        <is>
          <t>— généré —</t>
        </is>
      </c>
    </row>
    <row r="550" ht="15" customHeight="1">
      <c r="A550" s="10" t="inlineStr">
        <is>
          <t>S6</t>
        </is>
      </c>
      <c r="B550" s="9" t="inlineStr">
        <is>
          <t>du 19 au 25 octobre 2026</t>
        </is>
      </c>
      <c r="C550" s="10" t="inlineStr">
        <is>
          <t>B</t>
        </is>
      </c>
      <c r="D550" s="41" t="n">
        <v>46317</v>
      </c>
      <c r="E550" s="10" t="inlineStr">
        <is>
          <t>Jeudi</t>
        </is>
      </c>
      <c r="F550" s="42" t="n">
        <v>0.7916666666666666</v>
      </c>
      <c r="G550" s="42" t="n">
        <v>0.8541666666666666</v>
      </c>
      <c r="H550" s="43">
        <f>IF(OR($F550="",$G550=""),"",($G550-$F550)*24)</f>
        <v/>
      </c>
      <c r="I550" s="10" t="inlineStr">
        <is>
          <t>Secondaire</t>
        </is>
      </c>
      <c r="J550" s="9" t="inlineStr">
        <is>
          <t>3éme Eco</t>
        </is>
      </c>
      <c r="K550" s="9" t="inlineStr">
        <is>
          <t>Philo</t>
        </is>
      </c>
      <c r="L550" s="9" t="inlineStr">
        <is>
          <t>Philo</t>
        </is>
      </c>
      <c r="M550" s="9" t="inlineStr">
        <is>
          <t>Fayssel</t>
        </is>
      </c>
      <c r="N550" s="10" t="n"/>
      <c r="O550" s="10" t="n"/>
      <c r="P550" s="10" t="inlineStr">
        <is>
          <t>Quinzaine B</t>
        </is>
      </c>
      <c r="Q550" s="9" t="inlineStr">
        <is>
          <t>Généré (octobre)</t>
        </is>
      </c>
      <c r="R550" s="9" t="inlineStr"/>
      <c r="S550" s="44">
        <f>IF($M550="","",IF(SUMPRODUCT(($D$4:$D$704=$D550)*($M$4:$M$704=$M550)*($F$4:$F$704&lt;$G550)*($G$4:$G$704&gt;$F550))&gt;1,"⚠ CONFLIT",""))</f>
        <v/>
      </c>
      <c r="T550" s="44">
        <f>IF($J550="","",IF(SUMPRODUCT(($D$4:$D$704=$D550)*($J$4:$J$704=$J550)*($F$4:$F$704&lt;$G550)*($G$4:$G$704&gt;$F550))&gt;1,"⚠ CONFLIT",""))</f>
        <v/>
      </c>
      <c r="U550" s="44">
        <f>IF(COUNTIFS($D$4:$D$704,$D550,$J$4:$J$704,$J550,$F$4:$F$704,$F550,$K$4:$K$704,$K550)&gt;1,"⚠ DOUBLON","")</f>
        <v/>
      </c>
      <c r="V550" s="44">
        <f>COUNTIFS($A$4:$A550,$A550,$J$4:$J550,$J550,$E$4:$E550,$E550)</f>
        <v/>
      </c>
      <c r="W550" s="45">
        <f>$A550&amp;"|"&amp;$J550&amp;"|"&amp;$E550&amp;"|"&amp;$V550</f>
        <v/>
      </c>
      <c r="X550" s="46">
        <f>TEXT($F550,"hh:mm")&amp;" - "&amp;TEXT($G550,"hh:mm")&amp;IF($P550="Quinzaine A","   ◆ Q-A",IF($P550="Quinzaine B","   ◆ Q-B",IF($P550="Exception","   ◆ PONCTUEL","")))&amp;CHAR(10)&amp;$K550&amp;CHAR(10)&amp;$M550&amp;IF($N550&lt;&gt;"",CHAR(10)&amp;"Salle "&amp;$N550,"")&amp;IF($O550="En ligne",CHAR(10)&amp;"◆ EN LIGNE","")&amp;IF($R550&lt;&gt;"",CHAR(10)&amp;$R550,"")</f>
        <v/>
      </c>
      <c r="Y550" s="45" t="inlineStr"/>
      <c r="Z550" s="45" t="inlineStr">
        <is>
          <t>— généré —</t>
        </is>
      </c>
    </row>
    <row r="551" ht="15" customHeight="1">
      <c r="A551" s="10" t="inlineStr">
        <is>
          <t>S6</t>
        </is>
      </c>
      <c r="B551" s="9" t="inlineStr">
        <is>
          <t>du 19 au 25 octobre 2026</t>
        </is>
      </c>
      <c r="C551" s="10" t="inlineStr">
        <is>
          <t>B</t>
        </is>
      </c>
      <c r="D551" s="41" t="n">
        <v>46317</v>
      </c>
      <c r="E551" s="10" t="inlineStr">
        <is>
          <t>Jeudi</t>
        </is>
      </c>
      <c r="F551" s="42" t="n">
        <v>0.8125</v>
      </c>
      <c r="G551" s="42" t="n">
        <v>0.875</v>
      </c>
      <c r="H551" s="43">
        <f>IF(OR($F551="",$G551=""),"",($G551-$F551)*24)</f>
        <v/>
      </c>
      <c r="I551" s="10" t="inlineStr">
        <is>
          <t>Bac</t>
        </is>
      </c>
      <c r="J551" s="9" t="inlineStr">
        <is>
          <t>Bac Eco</t>
        </is>
      </c>
      <c r="K551" s="9" t="inlineStr">
        <is>
          <t>Arabe</t>
        </is>
      </c>
      <c r="L551" s="9" t="inlineStr">
        <is>
          <t>Arabe</t>
        </is>
      </c>
      <c r="M551" s="9" t="inlineStr">
        <is>
          <t>Najet</t>
        </is>
      </c>
      <c r="N551" s="10" t="n"/>
      <c r="O551" s="10" t="n"/>
      <c r="P551" s="10" t="inlineStr">
        <is>
          <t>Quinzaine B</t>
        </is>
      </c>
      <c r="Q551" s="9" t="inlineStr">
        <is>
          <t>Généré (octobre)</t>
        </is>
      </c>
      <c r="R551" s="9" t="inlineStr"/>
      <c r="S551" s="44">
        <f>IF($M551="","",IF(SUMPRODUCT(($D$4:$D$704=$D551)*($M$4:$M$704=$M551)*($F$4:$F$704&lt;$G551)*($G$4:$G$704&gt;$F551))&gt;1,"⚠ CONFLIT",""))</f>
        <v/>
      </c>
      <c r="T551" s="44">
        <f>IF($J551="","",IF(SUMPRODUCT(($D$4:$D$704=$D551)*($J$4:$J$704=$J551)*($F$4:$F$704&lt;$G551)*($G$4:$G$704&gt;$F551))&gt;1,"⚠ CONFLIT",""))</f>
        <v/>
      </c>
      <c r="U551" s="44">
        <f>IF(COUNTIFS($D$4:$D$704,$D551,$J$4:$J$704,$J551,$F$4:$F$704,$F551,$K$4:$K$704,$K551)&gt;1,"⚠ DOUBLON","")</f>
        <v/>
      </c>
      <c r="V551" s="44">
        <f>COUNTIFS($A$4:$A551,$A551,$J$4:$J551,$J551,$E$4:$E551,$E551)</f>
        <v/>
      </c>
      <c r="W551" s="45">
        <f>$A551&amp;"|"&amp;$J551&amp;"|"&amp;$E551&amp;"|"&amp;$V551</f>
        <v/>
      </c>
      <c r="X551" s="46">
        <f>TEXT($F551,"hh:mm")&amp;" - "&amp;TEXT($G551,"hh:mm")&amp;IF($P551="Quinzaine A","   ◆ Q-A",IF($P551="Quinzaine B","   ◆ Q-B",IF($P551="Exception","   ◆ PONCTUEL","")))&amp;CHAR(10)&amp;$K551&amp;CHAR(10)&amp;$M551&amp;IF($N551&lt;&gt;"",CHAR(10)&amp;"Salle "&amp;$N551,"")&amp;IF($O551="En ligne",CHAR(10)&amp;"◆ EN LIGNE","")&amp;IF($R551&lt;&gt;"",CHAR(10)&amp;$R551,"")</f>
        <v/>
      </c>
      <c r="Y551" s="45" t="inlineStr"/>
      <c r="Z551" s="45" t="inlineStr">
        <is>
          <t>— généré —</t>
        </is>
      </c>
    </row>
    <row r="552" ht="15" customHeight="1">
      <c r="A552" s="10" t="inlineStr">
        <is>
          <t>S6</t>
        </is>
      </c>
      <c r="B552" s="9" t="inlineStr">
        <is>
          <t>du 19 au 25 octobre 2026</t>
        </is>
      </c>
      <c r="C552" s="10" t="inlineStr">
        <is>
          <t>B</t>
        </is>
      </c>
      <c r="D552" s="41" t="n">
        <v>46318</v>
      </c>
      <c r="E552" s="10" t="inlineStr">
        <is>
          <t>Vendredi</t>
        </is>
      </c>
      <c r="F552" s="42" t="n">
        <v>0.7916666666666666</v>
      </c>
      <c r="G552" s="42" t="n">
        <v>0.8541666666666666</v>
      </c>
      <c r="H552" s="43">
        <f>IF(OR($F552="",$G552=""),"",($G552-$F552)*24)</f>
        <v/>
      </c>
      <c r="I552" s="10" t="inlineStr">
        <is>
          <t>Primaire</t>
        </is>
      </c>
      <c r="J552" s="9" t="inlineStr">
        <is>
          <t>5éme</t>
        </is>
      </c>
      <c r="K552" s="9" t="inlineStr">
        <is>
          <t>إيقاظ علمي</t>
        </is>
      </c>
      <c r="L552" s="9" t="inlineStr">
        <is>
          <t>Éveil scientifique</t>
        </is>
      </c>
      <c r="M552" s="9" t="inlineStr">
        <is>
          <t>Bassma</t>
        </is>
      </c>
      <c r="N552" s="10" t="n"/>
      <c r="O552" s="10" t="n"/>
      <c r="P552" s="10" t="inlineStr">
        <is>
          <t>Quinzaine B</t>
        </is>
      </c>
      <c r="Q552" s="9" t="inlineStr">
        <is>
          <t>Généré (octobre)</t>
        </is>
      </c>
      <c r="R552" s="9" t="inlineStr"/>
      <c r="S552" s="44">
        <f>IF($M552="","",IF(SUMPRODUCT(($D$4:$D$704=$D552)*($M$4:$M$704=$M552)*($F$4:$F$704&lt;$G552)*($G$4:$G$704&gt;$F552))&gt;1,"⚠ CONFLIT",""))</f>
        <v/>
      </c>
      <c r="T552" s="44">
        <f>IF($J552="","",IF(SUMPRODUCT(($D$4:$D$704=$D552)*($J$4:$J$704=$J552)*($F$4:$F$704&lt;$G552)*($G$4:$G$704&gt;$F552))&gt;1,"⚠ CONFLIT",""))</f>
        <v/>
      </c>
      <c r="U552" s="44">
        <f>IF(COUNTIFS($D$4:$D$704,$D552,$J$4:$J$704,$J552,$F$4:$F$704,$F552,$K$4:$K$704,$K552)&gt;1,"⚠ DOUBLON","")</f>
        <v/>
      </c>
      <c r="V552" s="44">
        <f>COUNTIFS($A$4:$A552,$A552,$J$4:$J552,$J552,$E$4:$E552,$E552)</f>
        <v/>
      </c>
      <c r="W552" s="45">
        <f>$A552&amp;"|"&amp;$J552&amp;"|"&amp;$E552&amp;"|"&amp;$V552</f>
        <v/>
      </c>
      <c r="X552" s="46">
        <f>TEXT($F552,"hh:mm")&amp;" - "&amp;TEXT($G552,"hh:mm")&amp;IF($P552="Quinzaine A","   ◆ Q-A",IF($P552="Quinzaine B","   ◆ Q-B",IF($P552="Exception","   ◆ PONCTUEL","")))&amp;CHAR(10)&amp;$K552&amp;CHAR(10)&amp;$M552&amp;IF($N552&lt;&gt;"",CHAR(10)&amp;"Salle "&amp;$N552,"")&amp;IF($O552="En ligne",CHAR(10)&amp;"◆ EN LIGNE","")&amp;IF($R552&lt;&gt;"",CHAR(10)&amp;$R552,"")</f>
        <v/>
      </c>
      <c r="Y552" s="45" t="inlineStr"/>
      <c r="Z552" s="45" t="inlineStr">
        <is>
          <t>— généré —</t>
        </is>
      </c>
    </row>
    <row r="553" ht="15" customHeight="1">
      <c r="A553" s="10" t="inlineStr">
        <is>
          <t>S6</t>
        </is>
      </c>
      <c r="B553" s="9" t="inlineStr">
        <is>
          <t>du 19 au 25 octobre 2026</t>
        </is>
      </c>
      <c r="C553" s="10" t="inlineStr">
        <is>
          <t>B</t>
        </is>
      </c>
      <c r="D553" s="41" t="n">
        <v>46318</v>
      </c>
      <c r="E553" s="10" t="inlineStr">
        <is>
          <t>Vendredi</t>
        </is>
      </c>
      <c r="F553" s="42" t="n">
        <v>0.8125</v>
      </c>
      <c r="G553" s="42" t="n">
        <v>0.875</v>
      </c>
      <c r="H553" s="43">
        <f>IF(OR($F553="",$G553=""),"",($G553-$F553)*24)</f>
        <v/>
      </c>
      <c r="I553" s="10" t="inlineStr">
        <is>
          <t>Primaire</t>
        </is>
      </c>
      <c r="J553" s="9" t="inlineStr">
        <is>
          <t>6éme Pilote (A)</t>
        </is>
      </c>
      <c r="K553" s="9" t="inlineStr">
        <is>
          <t>إيقاظ علمي</t>
        </is>
      </c>
      <c r="L553" s="9" t="inlineStr">
        <is>
          <t>Éveil scientifique</t>
        </is>
      </c>
      <c r="M553" s="9" t="inlineStr">
        <is>
          <t>Noura</t>
        </is>
      </c>
      <c r="N553" s="10" t="n"/>
      <c r="O553" s="10" t="n"/>
      <c r="P553" s="10" t="inlineStr">
        <is>
          <t>Hebdomadaire</t>
        </is>
      </c>
      <c r="Q553" s="9" t="inlineStr">
        <is>
          <t>Généré (octobre)</t>
        </is>
      </c>
      <c r="R553" s="9" t="inlineStr"/>
      <c r="S553" s="44">
        <f>IF($M553="","",IF(SUMPRODUCT(($D$4:$D$704=$D553)*($M$4:$M$704=$M553)*($F$4:$F$704&lt;$G553)*($G$4:$G$704&gt;$F553))&gt;1,"⚠ CONFLIT",""))</f>
        <v/>
      </c>
      <c r="T553" s="44">
        <f>IF($J553="","",IF(SUMPRODUCT(($D$4:$D$704=$D553)*($J$4:$J$704=$J553)*($F$4:$F$704&lt;$G553)*($G$4:$G$704&gt;$F553))&gt;1,"⚠ CONFLIT",""))</f>
        <v/>
      </c>
      <c r="U553" s="44">
        <f>IF(COUNTIFS($D$4:$D$704,$D553,$J$4:$J$704,$J553,$F$4:$F$704,$F553,$K$4:$K$704,$K553)&gt;1,"⚠ DOUBLON","")</f>
        <v/>
      </c>
      <c r="V553" s="44">
        <f>COUNTIFS($A$4:$A553,$A553,$J$4:$J553,$J553,$E$4:$E553,$E553)</f>
        <v/>
      </c>
      <c r="W553" s="45">
        <f>$A553&amp;"|"&amp;$J553&amp;"|"&amp;$E553&amp;"|"&amp;$V553</f>
        <v/>
      </c>
      <c r="X553" s="46">
        <f>TEXT($F553,"hh:mm")&amp;" - "&amp;TEXT($G553,"hh:mm")&amp;IF($P553="Quinzaine A","   ◆ Q-A",IF($P553="Quinzaine B","   ◆ Q-B",IF($P553="Exception","   ◆ PONCTUEL","")))&amp;CHAR(10)&amp;$K553&amp;CHAR(10)&amp;$M553&amp;IF($N553&lt;&gt;"",CHAR(10)&amp;"Salle "&amp;$N553,"")&amp;IF($O553="En ligne",CHAR(10)&amp;"◆ EN LIGNE","")&amp;IF($R553&lt;&gt;"",CHAR(10)&amp;$R553,"")</f>
        <v/>
      </c>
      <c r="Y553" s="45" t="inlineStr"/>
      <c r="Z553" s="45" t="inlineStr">
        <is>
          <t>— généré —</t>
        </is>
      </c>
    </row>
    <row r="554" ht="15" customHeight="1">
      <c r="A554" s="10" t="inlineStr">
        <is>
          <t>S6</t>
        </is>
      </c>
      <c r="B554" s="9" t="inlineStr">
        <is>
          <t>du 19 au 25 octobre 2026</t>
        </is>
      </c>
      <c r="C554" s="10" t="inlineStr">
        <is>
          <t>B</t>
        </is>
      </c>
      <c r="D554" s="41" t="n">
        <v>46318</v>
      </c>
      <c r="E554" s="10" t="inlineStr">
        <is>
          <t>Vendredi</t>
        </is>
      </c>
      <c r="F554" s="42" t="n">
        <v>0.75</v>
      </c>
      <c r="G554" s="42" t="n">
        <v>0.8125</v>
      </c>
      <c r="H554" s="43">
        <f>IF(OR($F554="",$G554=""),"",($G554-$F554)*24)</f>
        <v/>
      </c>
      <c r="I554" s="10" t="inlineStr">
        <is>
          <t>Collège</t>
        </is>
      </c>
      <c r="J554" s="9" t="inlineStr">
        <is>
          <t>7éme (A)</t>
        </is>
      </c>
      <c r="K554" s="9" t="inlineStr">
        <is>
          <t>Math</t>
        </is>
      </c>
      <c r="L554" s="9" t="inlineStr">
        <is>
          <t>Math</t>
        </is>
      </c>
      <c r="M554" s="9" t="inlineStr">
        <is>
          <t>Khouloud</t>
        </is>
      </c>
      <c r="N554" s="10" t="n"/>
      <c r="O554" s="10" t="n"/>
      <c r="P554" s="10" t="inlineStr">
        <is>
          <t>Hebdomadaire</t>
        </is>
      </c>
      <c r="Q554" s="9" t="inlineStr">
        <is>
          <t>Généré (octobre)</t>
        </is>
      </c>
      <c r="R554" s="9" t="inlineStr"/>
      <c r="S554" s="44">
        <f>IF($M554="","",IF(SUMPRODUCT(($D$4:$D$704=$D554)*($M$4:$M$704=$M554)*($F$4:$F$704&lt;$G554)*($G$4:$G$704&gt;$F554))&gt;1,"⚠ CONFLIT",""))</f>
        <v/>
      </c>
      <c r="T554" s="44">
        <f>IF($J554="","",IF(SUMPRODUCT(($D$4:$D$704=$D554)*($J$4:$J$704=$J554)*($F$4:$F$704&lt;$G554)*($G$4:$G$704&gt;$F554))&gt;1,"⚠ CONFLIT",""))</f>
        <v/>
      </c>
      <c r="U554" s="44">
        <f>IF(COUNTIFS($D$4:$D$704,$D554,$J$4:$J$704,$J554,$F$4:$F$704,$F554,$K$4:$K$704,$K554)&gt;1,"⚠ DOUBLON","")</f>
        <v/>
      </c>
      <c r="V554" s="44">
        <f>COUNTIFS($A$4:$A554,$A554,$J$4:$J554,$J554,$E$4:$E554,$E554)</f>
        <v/>
      </c>
      <c r="W554" s="45">
        <f>$A554&amp;"|"&amp;$J554&amp;"|"&amp;$E554&amp;"|"&amp;$V554</f>
        <v/>
      </c>
      <c r="X554" s="46">
        <f>TEXT($F554,"hh:mm")&amp;" - "&amp;TEXT($G554,"hh:mm")&amp;IF($P554="Quinzaine A","   ◆ Q-A",IF($P554="Quinzaine B","   ◆ Q-B",IF($P554="Exception","   ◆ PONCTUEL","")))&amp;CHAR(10)&amp;$K554&amp;CHAR(10)&amp;$M554&amp;IF($N554&lt;&gt;"",CHAR(10)&amp;"Salle "&amp;$N554,"")&amp;IF($O554="En ligne",CHAR(10)&amp;"◆ EN LIGNE","")&amp;IF($R554&lt;&gt;"",CHAR(10)&amp;$R554,"")</f>
        <v/>
      </c>
      <c r="Y554" s="45" t="inlineStr"/>
      <c r="Z554" s="45" t="inlineStr">
        <is>
          <t>— généré —</t>
        </is>
      </c>
    </row>
    <row r="555" ht="15" customHeight="1">
      <c r="A555" s="10" t="inlineStr">
        <is>
          <t>S6</t>
        </is>
      </c>
      <c r="B555" s="9" t="inlineStr">
        <is>
          <t>du 19 au 25 octobre 2026</t>
        </is>
      </c>
      <c r="C555" s="10" t="inlineStr">
        <is>
          <t>B</t>
        </is>
      </c>
      <c r="D555" s="41" t="n">
        <v>46318</v>
      </c>
      <c r="E555" s="10" t="inlineStr">
        <is>
          <t>Vendredi</t>
        </is>
      </c>
      <c r="F555" s="42" t="n">
        <v>0.8125</v>
      </c>
      <c r="G555" s="42" t="n">
        <v>0.875</v>
      </c>
      <c r="H555" s="43">
        <f>IF(OR($F555="",$G555=""),"",($G555-$F555)*24)</f>
        <v/>
      </c>
      <c r="I555" s="10" t="inlineStr">
        <is>
          <t>Collège</t>
        </is>
      </c>
      <c r="J555" s="9" t="inlineStr">
        <is>
          <t>7éme (B)</t>
        </is>
      </c>
      <c r="K555" s="9" t="inlineStr">
        <is>
          <t>Math</t>
        </is>
      </c>
      <c r="L555" s="9" t="inlineStr">
        <is>
          <t>Math</t>
        </is>
      </c>
      <c r="M555" s="9" t="inlineStr">
        <is>
          <t>Khouloud</t>
        </is>
      </c>
      <c r="N555" s="10" t="n"/>
      <c r="O555" s="10" t="n"/>
      <c r="P555" s="10" t="inlineStr">
        <is>
          <t>Hebdomadaire</t>
        </is>
      </c>
      <c r="Q555" s="9" t="inlineStr">
        <is>
          <t>Généré (octobre)</t>
        </is>
      </c>
      <c r="R555" s="9" t="inlineStr"/>
      <c r="S555" s="44">
        <f>IF($M555="","",IF(SUMPRODUCT(($D$4:$D$704=$D555)*($M$4:$M$704=$M555)*($F$4:$F$704&lt;$G555)*($G$4:$G$704&gt;$F555))&gt;1,"⚠ CONFLIT",""))</f>
        <v/>
      </c>
      <c r="T555" s="44">
        <f>IF($J555="","",IF(SUMPRODUCT(($D$4:$D$704=$D555)*($J$4:$J$704=$J555)*($F$4:$F$704&lt;$G555)*($G$4:$G$704&gt;$F555))&gt;1,"⚠ CONFLIT",""))</f>
        <v/>
      </c>
      <c r="U555" s="44">
        <f>IF(COUNTIFS($D$4:$D$704,$D555,$J$4:$J$704,$J555,$F$4:$F$704,$F555,$K$4:$K$704,$K555)&gt;1,"⚠ DOUBLON","")</f>
        <v/>
      </c>
      <c r="V555" s="44">
        <f>COUNTIFS($A$4:$A555,$A555,$J$4:$J555,$J555,$E$4:$E555,$E555)</f>
        <v/>
      </c>
      <c r="W555" s="45">
        <f>$A555&amp;"|"&amp;$J555&amp;"|"&amp;$E555&amp;"|"&amp;$V555</f>
        <v/>
      </c>
      <c r="X555" s="46">
        <f>TEXT($F555,"hh:mm")&amp;" - "&amp;TEXT($G555,"hh:mm")&amp;IF($P555="Quinzaine A","   ◆ Q-A",IF($P555="Quinzaine B","   ◆ Q-B",IF($P555="Exception","   ◆ PONCTUEL","")))&amp;CHAR(10)&amp;$K555&amp;CHAR(10)&amp;$M555&amp;IF($N555&lt;&gt;"",CHAR(10)&amp;"Salle "&amp;$N555,"")&amp;IF($O555="En ligne",CHAR(10)&amp;"◆ EN LIGNE","")&amp;IF($R555&lt;&gt;"",CHAR(10)&amp;$R555,"")</f>
        <v/>
      </c>
      <c r="Y555" s="45" t="inlineStr"/>
      <c r="Z555" s="45" t="inlineStr">
        <is>
          <t>— généré —</t>
        </is>
      </c>
    </row>
    <row r="556" ht="15" customHeight="1">
      <c r="A556" s="10" t="inlineStr">
        <is>
          <t>S6</t>
        </is>
      </c>
      <c r="B556" s="9" t="inlineStr">
        <is>
          <t>du 19 au 25 octobre 2026</t>
        </is>
      </c>
      <c r="C556" s="10" t="inlineStr">
        <is>
          <t>B</t>
        </is>
      </c>
      <c r="D556" s="41" t="n">
        <v>46318</v>
      </c>
      <c r="E556" s="10" t="inlineStr">
        <is>
          <t>Vendredi</t>
        </is>
      </c>
      <c r="F556" s="42" t="n">
        <v>0.8125</v>
      </c>
      <c r="G556" s="42" t="n">
        <v>0.875</v>
      </c>
      <c r="H556" s="43">
        <f>IF(OR($F556="",$G556=""),"",($G556-$F556)*24)</f>
        <v/>
      </c>
      <c r="I556" s="10" t="inlineStr">
        <is>
          <t>Collège</t>
        </is>
      </c>
      <c r="J556" s="9" t="inlineStr">
        <is>
          <t>8éme (A)</t>
        </is>
      </c>
      <c r="K556" s="9" t="inlineStr">
        <is>
          <t>فيزياء</t>
        </is>
      </c>
      <c r="L556" s="9" t="inlineStr">
        <is>
          <t>Physique</t>
        </is>
      </c>
      <c r="M556" s="9" t="inlineStr">
        <is>
          <t>Melek</t>
        </is>
      </c>
      <c r="N556" s="10" t="n"/>
      <c r="O556" s="10" t="n"/>
      <c r="P556" s="10" t="inlineStr">
        <is>
          <t>Hebdomadaire</t>
        </is>
      </c>
      <c r="Q556" s="9" t="inlineStr">
        <is>
          <t>Généré (octobre)</t>
        </is>
      </c>
      <c r="R556" s="9" t="inlineStr"/>
      <c r="S556" s="44">
        <f>IF($M556="","",IF(SUMPRODUCT(($D$4:$D$704=$D556)*($M$4:$M$704=$M556)*($F$4:$F$704&lt;$G556)*($G$4:$G$704&gt;$F556))&gt;1,"⚠ CONFLIT",""))</f>
        <v/>
      </c>
      <c r="T556" s="44">
        <f>IF($J556="","",IF(SUMPRODUCT(($D$4:$D$704=$D556)*($J$4:$J$704=$J556)*($F$4:$F$704&lt;$G556)*($G$4:$G$704&gt;$F556))&gt;1,"⚠ CONFLIT",""))</f>
        <v/>
      </c>
      <c r="U556" s="44">
        <f>IF(COUNTIFS($D$4:$D$704,$D556,$J$4:$J$704,$J556,$F$4:$F$704,$F556,$K$4:$K$704,$K556)&gt;1,"⚠ DOUBLON","")</f>
        <v/>
      </c>
      <c r="V556" s="44">
        <f>COUNTIFS($A$4:$A556,$A556,$J$4:$J556,$J556,$E$4:$E556,$E556)</f>
        <v/>
      </c>
      <c r="W556" s="45">
        <f>$A556&amp;"|"&amp;$J556&amp;"|"&amp;$E556&amp;"|"&amp;$V556</f>
        <v/>
      </c>
      <c r="X556" s="46">
        <f>TEXT($F556,"hh:mm")&amp;" - "&amp;TEXT($G556,"hh:mm")&amp;IF($P556="Quinzaine A","   ◆ Q-A",IF($P556="Quinzaine B","   ◆ Q-B",IF($P556="Exception","   ◆ PONCTUEL","")))&amp;CHAR(10)&amp;$K556&amp;CHAR(10)&amp;$M556&amp;IF($N556&lt;&gt;"",CHAR(10)&amp;"Salle "&amp;$N556,"")&amp;IF($O556="En ligne",CHAR(10)&amp;"◆ EN LIGNE","")&amp;IF($R556&lt;&gt;"",CHAR(10)&amp;$R556,"")</f>
        <v/>
      </c>
      <c r="Y556" s="45" t="inlineStr"/>
      <c r="Z556" s="45" t="inlineStr">
        <is>
          <t>— généré —</t>
        </is>
      </c>
    </row>
    <row r="557" ht="15" customHeight="1">
      <c r="A557" s="10" t="inlineStr">
        <is>
          <t>S6</t>
        </is>
      </c>
      <c r="B557" s="9" t="inlineStr">
        <is>
          <t>du 19 au 25 octobre 2026</t>
        </is>
      </c>
      <c r="C557" s="10" t="inlineStr">
        <is>
          <t>B</t>
        </is>
      </c>
      <c r="D557" s="41" t="n">
        <v>46318</v>
      </c>
      <c r="E557" s="10" t="inlineStr">
        <is>
          <t>Vendredi</t>
        </is>
      </c>
      <c r="F557" s="42" t="n">
        <v>0.8125</v>
      </c>
      <c r="G557" s="42" t="n">
        <v>0.875</v>
      </c>
      <c r="H557" s="43">
        <f>IF(OR($F557="",$G557=""),"",($G557-$F557)*24)</f>
        <v/>
      </c>
      <c r="I557" s="10" t="inlineStr">
        <is>
          <t>Collège</t>
        </is>
      </c>
      <c r="J557" s="9" t="inlineStr">
        <is>
          <t>9éme (C)</t>
        </is>
      </c>
      <c r="K557" s="9" t="inlineStr">
        <is>
          <t>Arabe</t>
        </is>
      </c>
      <c r="L557" s="9" t="inlineStr">
        <is>
          <t>Arabe</t>
        </is>
      </c>
      <c r="M557" s="9" t="inlineStr">
        <is>
          <t>Yahya</t>
        </is>
      </c>
      <c r="N557" s="10" t="n"/>
      <c r="O557" s="10" t="n"/>
      <c r="P557" s="10" t="inlineStr">
        <is>
          <t>Hebdomadaire</t>
        </is>
      </c>
      <c r="Q557" s="9" t="inlineStr">
        <is>
          <t>Généré (octobre)</t>
        </is>
      </c>
      <c r="R557" s="9" t="inlineStr"/>
      <c r="S557" s="44">
        <f>IF($M557="","",IF(SUMPRODUCT(($D$4:$D$704=$D557)*($M$4:$M$704=$M557)*($F$4:$F$704&lt;$G557)*($G$4:$G$704&gt;$F557))&gt;1,"⚠ CONFLIT",""))</f>
        <v/>
      </c>
      <c r="T557" s="44">
        <f>IF($J557="","",IF(SUMPRODUCT(($D$4:$D$704=$D557)*($J$4:$J$704=$J557)*($F$4:$F$704&lt;$G557)*($G$4:$G$704&gt;$F557))&gt;1,"⚠ CONFLIT",""))</f>
        <v/>
      </c>
      <c r="U557" s="44">
        <f>IF(COUNTIFS($D$4:$D$704,$D557,$J$4:$J$704,$J557,$F$4:$F$704,$F557,$K$4:$K$704,$K557)&gt;1,"⚠ DOUBLON","")</f>
        <v/>
      </c>
      <c r="V557" s="44">
        <f>COUNTIFS($A$4:$A557,$A557,$J$4:$J557,$J557,$E$4:$E557,$E557)</f>
        <v/>
      </c>
      <c r="W557" s="45">
        <f>$A557&amp;"|"&amp;$J557&amp;"|"&amp;$E557&amp;"|"&amp;$V557</f>
        <v/>
      </c>
      <c r="X557" s="46">
        <f>TEXT($F557,"hh:mm")&amp;" - "&amp;TEXT($G557,"hh:mm")&amp;IF($P557="Quinzaine A","   ◆ Q-A",IF($P557="Quinzaine B","   ◆ Q-B",IF($P557="Exception","   ◆ PONCTUEL","")))&amp;CHAR(10)&amp;$K557&amp;CHAR(10)&amp;$M557&amp;IF($N557&lt;&gt;"",CHAR(10)&amp;"Salle "&amp;$N557,"")&amp;IF($O557="En ligne",CHAR(10)&amp;"◆ EN LIGNE","")&amp;IF($R557&lt;&gt;"",CHAR(10)&amp;$R557,"")</f>
        <v/>
      </c>
      <c r="Y557" s="45" t="inlineStr"/>
      <c r="Z557" s="45" t="inlineStr">
        <is>
          <t>— généré —</t>
        </is>
      </c>
    </row>
    <row r="558" ht="15" customHeight="1">
      <c r="A558" s="10" t="inlineStr">
        <is>
          <t>S6</t>
        </is>
      </c>
      <c r="B558" s="9" t="inlineStr">
        <is>
          <t>du 19 au 25 octobre 2026</t>
        </is>
      </c>
      <c r="C558" s="10" t="inlineStr">
        <is>
          <t>B</t>
        </is>
      </c>
      <c r="D558" s="41" t="n">
        <v>46318</v>
      </c>
      <c r="E558" s="10" t="inlineStr">
        <is>
          <t>Vendredi</t>
        </is>
      </c>
      <c r="F558" s="42" t="n">
        <v>0.7291666666666666</v>
      </c>
      <c r="G558" s="42" t="n">
        <v>0.7916666666666666</v>
      </c>
      <c r="H558" s="43">
        <f>IF(OR($F558="",$G558=""),"",($G558-$F558)*24)</f>
        <v/>
      </c>
      <c r="I558" s="10" t="inlineStr">
        <is>
          <t>Secondaire</t>
        </is>
      </c>
      <c r="J558" s="9" t="inlineStr">
        <is>
          <t>1ére (A)</t>
        </is>
      </c>
      <c r="K558" s="9" t="inlineStr">
        <is>
          <t>Arabe</t>
        </is>
      </c>
      <c r="L558" s="9" t="inlineStr">
        <is>
          <t>Arabe</t>
        </is>
      </c>
      <c r="M558" s="9" t="inlineStr">
        <is>
          <t>Najet</t>
        </is>
      </c>
      <c r="N558" s="10" t="n"/>
      <c r="O558" s="10" t="n"/>
      <c r="P558" s="10" t="inlineStr">
        <is>
          <t>Hebdomadaire</t>
        </is>
      </c>
      <c r="Q558" s="9" t="inlineStr">
        <is>
          <t>Généré (octobre)</t>
        </is>
      </c>
      <c r="R558" s="9" t="inlineStr"/>
      <c r="S558" s="44">
        <f>IF($M558="","",IF(SUMPRODUCT(($D$4:$D$704=$D558)*($M$4:$M$704=$M558)*($F$4:$F$704&lt;$G558)*($G$4:$G$704&gt;$F558))&gt;1,"⚠ CONFLIT",""))</f>
        <v/>
      </c>
      <c r="T558" s="44">
        <f>IF($J558="","",IF(SUMPRODUCT(($D$4:$D$704=$D558)*($J$4:$J$704=$J558)*($F$4:$F$704&lt;$G558)*($G$4:$G$704&gt;$F558))&gt;1,"⚠ CONFLIT",""))</f>
        <v/>
      </c>
      <c r="U558" s="44">
        <f>IF(COUNTIFS($D$4:$D$704,$D558,$J$4:$J$704,$J558,$F$4:$F$704,$F558,$K$4:$K$704,$K558)&gt;1,"⚠ DOUBLON","")</f>
        <v/>
      </c>
      <c r="V558" s="44">
        <f>COUNTIFS($A$4:$A558,$A558,$J$4:$J558,$J558,$E$4:$E558,$E558)</f>
        <v/>
      </c>
      <c r="W558" s="45">
        <f>$A558&amp;"|"&amp;$J558&amp;"|"&amp;$E558&amp;"|"&amp;$V558</f>
        <v/>
      </c>
      <c r="X558" s="46">
        <f>TEXT($F558,"hh:mm")&amp;" - "&amp;TEXT($G558,"hh:mm")&amp;IF($P558="Quinzaine A","   ◆ Q-A",IF($P558="Quinzaine B","   ◆ Q-B",IF($P558="Exception","   ◆ PONCTUEL","")))&amp;CHAR(10)&amp;$K558&amp;CHAR(10)&amp;$M558&amp;IF($N558&lt;&gt;"",CHAR(10)&amp;"Salle "&amp;$N558,"")&amp;IF($O558="En ligne",CHAR(10)&amp;"◆ EN LIGNE","")&amp;IF($R558&lt;&gt;"",CHAR(10)&amp;$R558,"")</f>
        <v/>
      </c>
      <c r="Y558" s="45" t="inlineStr"/>
      <c r="Z558" s="45" t="inlineStr">
        <is>
          <t>— généré —</t>
        </is>
      </c>
    </row>
    <row r="559" ht="15" customHeight="1">
      <c r="A559" s="10" t="inlineStr">
        <is>
          <t>S6</t>
        </is>
      </c>
      <c r="B559" s="9" t="inlineStr">
        <is>
          <t>du 19 au 25 octobre 2026</t>
        </is>
      </c>
      <c r="C559" s="10" t="inlineStr">
        <is>
          <t>B</t>
        </is>
      </c>
      <c r="D559" s="41" t="n">
        <v>46318</v>
      </c>
      <c r="E559" s="10" t="inlineStr">
        <is>
          <t>Vendredi</t>
        </is>
      </c>
      <c r="F559" s="42" t="n">
        <v>0.7916666666666666</v>
      </c>
      <c r="G559" s="42" t="n">
        <v>0.8541666666666666</v>
      </c>
      <c r="H559" s="43">
        <f>IF(OR($F559="",$G559=""),"",($G559-$F559)*24)</f>
        <v/>
      </c>
      <c r="I559" s="10" t="inlineStr">
        <is>
          <t>Secondaire</t>
        </is>
      </c>
      <c r="J559" s="9" t="inlineStr">
        <is>
          <t>1ére (B)</t>
        </is>
      </c>
      <c r="K559" s="9" t="inlineStr">
        <is>
          <t>Arabe</t>
        </is>
      </c>
      <c r="L559" s="9" t="inlineStr">
        <is>
          <t>Arabe</t>
        </is>
      </c>
      <c r="M559" s="9" t="inlineStr">
        <is>
          <t>Najet</t>
        </is>
      </c>
      <c r="N559" s="10" t="n"/>
      <c r="O559" s="10" t="n"/>
      <c r="P559" s="10" t="inlineStr">
        <is>
          <t>Hebdomadaire</t>
        </is>
      </c>
      <c r="Q559" s="9" t="inlineStr">
        <is>
          <t>Généré (octobre)</t>
        </is>
      </c>
      <c r="R559" s="9" t="inlineStr"/>
      <c r="S559" s="44">
        <f>IF($M559="","",IF(SUMPRODUCT(($D$4:$D$704=$D559)*($M$4:$M$704=$M559)*($F$4:$F$704&lt;$G559)*($G$4:$G$704&gt;$F559))&gt;1,"⚠ CONFLIT",""))</f>
        <v/>
      </c>
      <c r="T559" s="44">
        <f>IF($J559="","",IF(SUMPRODUCT(($D$4:$D$704=$D559)*($J$4:$J$704=$J559)*($F$4:$F$704&lt;$G559)*($G$4:$G$704&gt;$F559))&gt;1,"⚠ CONFLIT",""))</f>
        <v/>
      </c>
      <c r="U559" s="44">
        <f>IF(COUNTIFS($D$4:$D$704,$D559,$J$4:$J$704,$J559,$F$4:$F$704,$F559,$K$4:$K$704,$K559)&gt;1,"⚠ DOUBLON","")</f>
        <v/>
      </c>
      <c r="V559" s="44">
        <f>COUNTIFS($A$4:$A559,$A559,$J$4:$J559,$J559,$E$4:$E559,$E559)</f>
        <v/>
      </c>
      <c r="W559" s="45">
        <f>$A559&amp;"|"&amp;$J559&amp;"|"&amp;$E559&amp;"|"&amp;$V559</f>
        <v/>
      </c>
      <c r="X559" s="46">
        <f>TEXT($F559,"hh:mm")&amp;" - "&amp;TEXT($G559,"hh:mm")&amp;IF($P559="Quinzaine A","   ◆ Q-A",IF($P559="Quinzaine B","   ◆ Q-B",IF($P559="Exception","   ◆ PONCTUEL","")))&amp;CHAR(10)&amp;$K559&amp;CHAR(10)&amp;$M559&amp;IF($N559&lt;&gt;"",CHAR(10)&amp;"Salle "&amp;$N559,"")&amp;IF($O559="En ligne",CHAR(10)&amp;"◆ EN LIGNE","")&amp;IF($R559&lt;&gt;"",CHAR(10)&amp;$R559,"")</f>
        <v/>
      </c>
      <c r="Y559" s="45" t="inlineStr"/>
      <c r="Z559" s="45" t="inlineStr">
        <is>
          <t>— généré —</t>
        </is>
      </c>
    </row>
    <row r="560" ht="15" customHeight="1">
      <c r="A560" s="10" t="inlineStr">
        <is>
          <t>S6</t>
        </is>
      </c>
      <c r="B560" s="9" t="inlineStr">
        <is>
          <t>du 19 au 25 octobre 2026</t>
        </is>
      </c>
      <c r="C560" s="10" t="inlineStr">
        <is>
          <t>B</t>
        </is>
      </c>
      <c r="D560" s="41" t="n">
        <v>46318</v>
      </c>
      <c r="E560" s="10" t="inlineStr">
        <is>
          <t>Vendredi</t>
        </is>
      </c>
      <c r="F560" s="42" t="n">
        <v>0.8125</v>
      </c>
      <c r="G560" s="42" t="n">
        <v>0.875</v>
      </c>
      <c r="H560" s="43">
        <f>IF(OR($F560="",$G560=""),"",($G560-$F560)*24)</f>
        <v/>
      </c>
      <c r="I560" s="10" t="inlineStr">
        <is>
          <t>Secondaire</t>
        </is>
      </c>
      <c r="J560" s="9" t="inlineStr">
        <is>
          <t>2éme INFO</t>
        </is>
      </c>
      <c r="K560" s="9" t="inlineStr">
        <is>
          <t>Math</t>
        </is>
      </c>
      <c r="L560" s="9" t="inlineStr">
        <is>
          <t>Math</t>
        </is>
      </c>
      <c r="M560" s="9" t="inlineStr">
        <is>
          <t>Haythem</t>
        </is>
      </c>
      <c r="N560" s="10" t="n"/>
      <c r="O560" s="10" t="n"/>
      <c r="P560" s="10" t="inlineStr">
        <is>
          <t>Hebdomadaire</t>
        </is>
      </c>
      <c r="Q560" s="9" t="inlineStr">
        <is>
          <t>Généré (octobre)</t>
        </is>
      </c>
      <c r="R560" s="9" t="inlineStr"/>
      <c r="S560" s="44">
        <f>IF($M560="","",IF(SUMPRODUCT(($D$4:$D$704=$D560)*($M$4:$M$704=$M560)*($F$4:$F$704&lt;$G560)*($G$4:$G$704&gt;$F560))&gt;1,"⚠ CONFLIT",""))</f>
        <v/>
      </c>
      <c r="T560" s="44">
        <f>IF($J560="","",IF(SUMPRODUCT(($D$4:$D$704=$D560)*($J$4:$J$704=$J560)*($F$4:$F$704&lt;$G560)*($G$4:$G$704&gt;$F560))&gt;1,"⚠ CONFLIT",""))</f>
        <v/>
      </c>
      <c r="U560" s="44">
        <f>IF(COUNTIFS($D$4:$D$704,$D560,$J$4:$J$704,$J560,$F$4:$F$704,$F560,$K$4:$K$704,$K560)&gt;1,"⚠ DOUBLON","")</f>
        <v/>
      </c>
      <c r="V560" s="44">
        <f>COUNTIFS($A$4:$A560,$A560,$J$4:$J560,$J560,$E$4:$E560,$E560)</f>
        <v/>
      </c>
      <c r="W560" s="45">
        <f>$A560&amp;"|"&amp;$J560&amp;"|"&amp;$E560&amp;"|"&amp;$V560</f>
        <v/>
      </c>
      <c r="X560" s="46">
        <f>TEXT($F560,"hh:mm")&amp;" - "&amp;TEXT($G560,"hh:mm")&amp;IF($P560="Quinzaine A","   ◆ Q-A",IF($P560="Quinzaine B","   ◆ Q-B",IF($P560="Exception","   ◆ PONCTUEL","")))&amp;CHAR(10)&amp;$K560&amp;CHAR(10)&amp;$M560&amp;IF($N560&lt;&gt;"",CHAR(10)&amp;"Salle "&amp;$N560,"")&amp;IF($O560="En ligne",CHAR(10)&amp;"◆ EN LIGNE","")&amp;IF($R560&lt;&gt;"",CHAR(10)&amp;$R560,"")</f>
        <v/>
      </c>
      <c r="Y560" s="45" t="inlineStr"/>
      <c r="Z560" s="45" t="inlineStr">
        <is>
          <t>— généré —</t>
        </is>
      </c>
    </row>
    <row r="561" ht="15" customHeight="1">
      <c r="A561" s="10" t="inlineStr">
        <is>
          <t>S6</t>
        </is>
      </c>
      <c r="B561" s="9" t="inlineStr">
        <is>
          <t>du 19 au 25 octobre 2026</t>
        </is>
      </c>
      <c r="C561" s="10" t="inlineStr">
        <is>
          <t>B</t>
        </is>
      </c>
      <c r="D561" s="41" t="n">
        <v>46318</v>
      </c>
      <c r="E561" s="10" t="inlineStr">
        <is>
          <t>Vendredi</t>
        </is>
      </c>
      <c r="F561" s="42" t="n">
        <v>0.7291666666666666</v>
      </c>
      <c r="G561" s="42" t="n">
        <v>0.7916666666666666</v>
      </c>
      <c r="H561" s="43">
        <f>IF(OR($F561="",$G561=""),"",($G561-$F561)*24)</f>
        <v/>
      </c>
      <c r="I561" s="10" t="inlineStr">
        <is>
          <t>Secondaire</t>
        </is>
      </c>
      <c r="J561" s="9" t="inlineStr">
        <is>
          <t>3éme Eco</t>
        </is>
      </c>
      <c r="K561" s="9" t="inlineStr">
        <is>
          <t>Anglais</t>
        </is>
      </c>
      <c r="L561" s="9" t="inlineStr">
        <is>
          <t>Anglais</t>
        </is>
      </c>
      <c r="M561" s="9" t="inlineStr">
        <is>
          <t>Khaled</t>
        </is>
      </c>
      <c r="N561" s="10" t="n"/>
      <c r="O561" s="10" t="n"/>
      <c r="P561" s="10" t="inlineStr">
        <is>
          <t>Quinzaine B</t>
        </is>
      </c>
      <c r="Q561" s="9" t="inlineStr">
        <is>
          <t>Généré (octobre)</t>
        </is>
      </c>
      <c r="R561" s="9" t="inlineStr"/>
      <c r="S561" s="44">
        <f>IF($M561="","",IF(SUMPRODUCT(($D$4:$D$704=$D561)*($M$4:$M$704=$M561)*($F$4:$F$704&lt;$G561)*($G$4:$G$704&gt;$F561))&gt;1,"⚠ CONFLIT",""))</f>
        <v/>
      </c>
      <c r="T561" s="44">
        <f>IF($J561="","",IF(SUMPRODUCT(($D$4:$D$704=$D561)*($J$4:$J$704=$J561)*($F$4:$F$704&lt;$G561)*($G$4:$G$704&gt;$F561))&gt;1,"⚠ CONFLIT",""))</f>
        <v/>
      </c>
      <c r="U561" s="44">
        <f>IF(COUNTIFS($D$4:$D$704,$D561,$J$4:$J$704,$J561,$F$4:$F$704,$F561,$K$4:$K$704,$K561)&gt;1,"⚠ DOUBLON","")</f>
        <v/>
      </c>
      <c r="V561" s="44">
        <f>COUNTIFS($A$4:$A561,$A561,$J$4:$J561,$J561,$E$4:$E561,$E561)</f>
        <v/>
      </c>
      <c r="W561" s="45">
        <f>$A561&amp;"|"&amp;$J561&amp;"|"&amp;$E561&amp;"|"&amp;$V561</f>
        <v/>
      </c>
      <c r="X561" s="46">
        <f>TEXT($F561,"hh:mm")&amp;" - "&amp;TEXT($G561,"hh:mm")&amp;IF($P561="Quinzaine A","   ◆ Q-A",IF($P561="Quinzaine B","   ◆ Q-B",IF($P561="Exception","   ◆ PONCTUEL","")))&amp;CHAR(10)&amp;$K561&amp;CHAR(10)&amp;$M561&amp;IF($N561&lt;&gt;"",CHAR(10)&amp;"Salle "&amp;$N561,"")&amp;IF($O561="En ligne",CHAR(10)&amp;"◆ EN LIGNE","")&amp;IF($R561&lt;&gt;"",CHAR(10)&amp;$R561,"")</f>
        <v/>
      </c>
      <c r="Y561" s="45" t="inlineStr"/>
      <c r="Z561" s="45" t="inlineStr">
        <is>
          <t>— généré —</t>
        </is>
      </c>
    </row>
    <row r="562" ht="15" customHeight="1">
      <c r="A562" s="10" t="inlineStr">
        <is>
          <t>S6</t>
        </is>
      </c>
      <c r="B562" s="9" t="inlineStr">
        <is>
          <t>du 19 au 25 octobre 2026</t>
        </is>
      </c>
      <c r="C562" s="10" t="inlineStr">
        <is>
          <t>B</t>
        </is>
      </c>
      <c r="D562" s="41" t="n">
        <v>46318</v>
      </c>
      <c r="E562" s="10" t="inlineStr">
        <is>
          <t>Vendredi</t>
        </is>
      </c>
      <c r="F562" s="42" t="n">
        <v>0.7291666666666666</v>
      </c>
      <c r="G562" s="42" t="n">
        <v>0.7916666666666666</v>
      </c>
      <c r="H562" s="43">
        <f>IF(OR($F562="",$G562=""),"",($G562-$F562)*24)</f>
        <v/>
      </c>
      <c r="I562" s="10" t="inlineStr">
        <is>
          <t>Bac</t>
        </is>
      </c>
      <c r="J562" s="9" t="inlineStr">
        <is>
          <t>Bac Eco</t>
        </is>
      </c>
      <c r="K562" s="9" t="inlineStr">
        <is>
          <t>Français</t>
        </is>
      </c>
      <c r="L562" s="9" t="inlineStr">
        <is>
          <t>Français</t>
        </is>
      </c>
      <c r="M562" s="9" t="inlineStr">
        <is>
          <t>Nabil</t>
        </is>
      </c>
      <c r="N562" s="10" t="n"/>
      <c r="O562" s="10" t="n"/>
      <c r="P562" s="10" t="inlineStr">
        <is>
          <t>Quinzaine B</t>
        </is>
      </c>
      <c r="Q562" s="9" t="inlineStr">
        <is>
          <t>Généré (octobre)</t>
        </is>
      </c>
      <c r="R562" s="9" t="inlineStr"/>
      <c r="S562" s="44">
        <f>IF($M562="","",IF(SUMPRODUCT(($D$4:$D$704=$D562)*($M$4:$M$704=$M562)*($F$4:$F$704&lt;$G562)*($G$4:$G$704&gt;$F562))&gt;1,"⚠ CONFLIT",""))</f>
        <v/>
      </c>
      <c r="T562" s="44">
        <f>IF($J562="","",IF(SUMPRODUCT(($D$4:$D$704=$D562)*($J$4:$J$704=$J562)*($F$4:$F$704&lt;$G562)*($G$4:$G$704&gt;$F562))&gt;1,"⚠ CONFLIT",""))</f>
        <v/>
      </c>
      <c r="U562" s="44">
        <f>IF(COUNTIFS($D$4:$D$704,$D562,$J$4:$J$704,$J562,$F$4:$F$704,$F562,$K$4:$K$704,$K562)&gt;1,"⚠ DOUBLON","")</f>
        <v/>
      </c>
      <c r="V562" s="44">
        <f>COUNTIFS($A$4:$A562,$A562,$J$4:$J562,$J562,$E$4:$E562,$E562)</f>
        <v/>
      </c>
      <c r="W562" s="45">
        <f>$A562&amp;"|"&amp;$J562&amp;"|"&amp;$E562&amp;"|"&amp;$V562</f>
        <v/>
      </c>
      <c r="X562" s="46">
        <f>TEXT($F562,"hh:mm")&amp;" - "&amp;TEXT($G562,"hh:mm")&amp;IF($P562="Quinzaine A","   ◆ Q-A",IF($P562="Quinzaine B","   ◆ Q-B",IF($P562="Exception","   ◆ PONCTUEL","")))&amp;CHAR(10)&amp;$K562&amp;CHAR(10)&amp;$M562&amp;IF($N562&lt;&gt;"",CHAR(10)&amp;"Salle "&amp;$N562,"")&amp;IF($O562="En ligne",CHAR(10)&amp;"◆ EN LIGNE","")&amp;IF($R562&lt;&gt;"",CHAR(10)&amp;$R562,"")</f>
        <v/>
      </c>
      <c r="Y562" s="45" t="inlineStr"/>
      <c r="Z562" s="45" t="inlineStr">
        <is>
          <t>— généré —</t>
        </is>
      </c>
    </row>
    <row r="563" ht="15" customHeight="1">
      <c r="A563" s="10" t="inlineStr">
        <is>
          <t>S6</t>
        </is>
      </c>
      <c r="B563" s="9" t="inlineStr">
        <is>
          <t>du 19 au 25 octobre 2026</t>
        </is>
      </c>
      <c r="C563" s="10" t="inlineStr">
        <is>
          <t>B</t>
        </is>
      </c>
      <c r="D563" s="41" t="n">
        <v>46319</v>
      </c>
      <c r="E563" s="10" t="inlineStr">
        <is>
          <t>Samedi</t>
        </is>
      </c>
      <c r="F563" s="42" t="n">
        <v>0.6666666666666666</v>
      </c>
      <c r="G563" s="42" t="n">
        <v>0.7291666666666666</v>
      </c>
      <c r="H563" s="43">
        <f>IF(OR($F563="",$G563=""),"",($G563-$F563)*24)</f>
        <v/>
      </c>
      <c r="I563" s="10" t="inlineStr">
        <is>
          <t>Primaire</t>
        </is>
      </c>
      <c r="J563" s="9" t="inlineStr">
        <is>
          <t>4éme</t>
        </is>
      </c>
      <c r="K563" s="9" t="inlineStr">
        <is>
          <t>Français</t>
        </is>
      </c>
      <c r="L563" s="9" t="inlineStr">
        <is>
          <t>Français</t>
        </is>
      </c>
      <c r="M563" s="9" t="inlineStr">
        <is>
          <t>Hend</t>
        </is>
      </c>
      <c r="N563" s="10" t="n"/>
      <c r="O563" s="10" t="n"/>
      <c r="P563" s="10" t="inlineStr">
        <is>
          <t>Hebdomadaire</t>
        </is>
      </c>
      <c r="Q563" s="9" t="inlineStr">
        <is>
          <t>Généré (octobre)</t>
        </is>
      </c>
      <c r="R563" s="9" t="inlineStr"/>
      <c r="S563" s="44">
        <f>IF($M563="","",IF(SUMPRODUCT(($D$4:$D$704=$D563)*($M$4:$M$704=$M563)*($F$4:$F$704&lt;$G563)*($G$4:$G$704&gt;$F563))&gt;1,"⚠ CONFLIT",""))</f>
        <v/>
      </c>
      <c r="T563" s="44">
        <f>IF($J563="","",IF(SUMPRODUCT(($D$4:$D$704=$D563)*($J$4:$J$704=$J563)*($F$4:$F$704&lt;$G563)*($G$4:$G$704&gt;$F563))&gt;1,"⚠ CONFLIT",""))</f>
        <v/>
      </c>
      <c r="U563" s="44">
        <f>IF(COUNTIFS($D$4:$D$704,$D563,$J$4:$J$704,$J563,$F$4:$F$704,$F563,$K$4:$K$704,$K563)&gt;1,"⚠ DOUBLON","")</f>
        <v/>
      </c>
      <c r="V563" s="44">
        <f>COUNTIFS($A$4:$A563,$A563,$J$4:$J563,$J563,$E$4:$E563,$E563)</f>
        <v/>
      </c>
      <c r="W563" s="45">
        <f>$A563&amp;"|"&amp;$J563&amp;"|"&amp;$E563&amp;"|"&amp;$V563</f>
        <v/>
      </c>
      <c r="X563" s="46">
        <f>TEXT($F563,"hh:mm")&amp;" - "&amp;TEXT($G563,"hh:mm")&amp;IF($P563="Quinzaine A","   ◆ Q-A",IF($P563="Quinzaine B","   ◆ Q-B",IF($P563="Exception","   ◆ PONCTUEL","")))&amp;CHAR(10)&amp;$K563&amp;CHAR(10)&amp;$M563&amp;IF($N563&lt;&gt;"",CHAR(10)&amp;"Salle "&amp;$N563,"")&amp;IF($O563="En ligne",CHAR(10)&amp;"◆ EN LIGNE","")&amp;IF($R563&lt;&gt;"",CHAR(10)&amp;$R563,"")</f>
        <v/>
      </c>
      <c r="Y563" s="45" t="inlineStr"/>
      <c r="Z563" s="45" t="inlineStr">
        <is>
          <t>— généré —</t>
        </is>
      </c>
    </row>
    <row r="564" ht="15" customHeight="1">
      <c r="A564" s="10" t="inlineStr">
        <is>
          <t>S6</t>
        </is>
      </c>
      <c r="B564" s="9" t="inlineStr">
        <is>
          <t>du 19 au 25 octobre 2026</t>
        </is>
      </c>
      <c r="C564" s="10" t="inlineStr">
        <is>
          <t>B</t>
        </is>
      </c>
      <c r="D564" s="41" t="n">
        <v>46319</v>
      </c>
      <c r="E564" s="10" t="inlineStr">
        <is>
          <t>Samedi</t>
        </is>
      </c>
      <c r="F564" s="42" t="n">
        <v>0.75</v>
      </c>
      <c r="G564" s="42" t="n">
        <v>0.8125</v>
      </c>
      <c r="H564" s="43">
        <f>IF(OR($F564="",$G564=""),"",($G564-$F564)*24)</f>
        <v/>
      </c>
      <c r="I564" s="10" t="inlineStr">
        <is>
          <t>Primaire</t>
        </is>
      </c>
      <c r="J564" s="9" t="inlineStr">
        <is>
          <t>5éme</t>
        </is>
      </c>
      <c r="K564" s="9" t="inlineStr">
        <is>
          <t>Français</t>
        </is>
      </c>
      <c r="L564" s="9" t="inlineStr">
        <is>
          <t>Français</t>
        </is>
      </c>
      <c r="M564" s="9" t="inlineStr">
        <is>
          <t>Hend</t>
        </is>
      </c>
      <c r="N564" s="10" t="n"/>
      <c r="O564" s="10" t="n"/>
      <c r="P564" s="10" t="inlineStr">
        <is>
          <t>Hebdomadaire</t>
        </is>
      </c>
      <c r="Q564" s="9" t="inlineStr">
        <is>
          <t>Généré (octobre)</t>
        </is>
      </c>
      <c r="R564" s="9" t="inlineStr"/>
      <c r="S564" s="44">
        <f>IF($M564="","",IF(SUMPRODUCT(($D$4:$D$704=$D564)*($M$4:$M$704=$M564)*($F$4:$F$704&lt;$G564)*($G$4:$G$704&gt;$F564))&gt;1,"⚠ CONFLIT",""))</f>
        <v/>
      </c>
      <c r="T564" s="44">
        <f>IF($J564="","",IF(SUMPRODUCT(($D$4:$D$704=$D564)*($J$4:$J$704=$J564)*($F$4:$F$704&lt;$G564)*($G$4:$G$704&gt;$F564))&gt;1,"⚠ CONFLIT",""))</f>
        <v/>
      </c>
      <c r="U564" s="44">
        <f>IF(COUNTIFS($D$4:$D$704,$D564,$J$4:$J$704,$J564,$F$4:$F$704,$F564,$K$4:$K$704,$K564)&gt;1,"⚠ DOUBLON","")</f>
        <v/>
      </c>
      <c r="V564" s="44">
        <f>COUNTIFS($A$4:$A564,$A564,$J$4:$J564,$J564,$E$4:$E564,$E564)</f>
        <v/>
      </c>
      <c r="W564" s="45">
        <f>$A564&amp;"|"&amp;$J564&amp;"|"&amp;$E564&amp;"|"&amp;$V564</f>
        <v/>
      </c>
      <c r="X564" s="46">
        <f>TEXT($F564,"hh:mm")&amp;" - "&amp;TEXT($G564,"hh:mm")&amp;IF($P564="Quinzaine A","   ◆ Q-A",IF($P564="Quinzaine B","   ◆ Q-B",IF($P564="Exception","   ◆ PONCTUEL","")))&amp;CHAR(10)&amp;$K564&amp;CHAR(10)&amp;$M564&amp;IF($N564&lt;&gt;"",CHAR(10)&amp;"Salle "&amp;$N564,"")&amp;IF($O564="En ligne",CHAR(10)&amp;"◆ EN LIGNE","")&amp;IF($R564&lt;&gt;"",CHAR(10)&amp;$R564,"")</f>
        <v/>
      </c>
      <c r="Y564" s="45" t="inlineStr"/>
      <c r="Z564" s="45" t="inlineStr">
        <is>
          <t>— généré —</t>
        </is>
      </c>
    </row>
    <row r="565" ht="15" customHeight="1">
      <c r="A565" s="10" t="inlineStr">
        <is>
          <t>S6</t>
        </is>
      </c>
      <c r="B565" s="9" t="inlineStr">
        <is>
          <t>du 19 au 25 octobre 2026</t>
        </is>
      </c>
      <c r="C565" s="10" t="inlineStr">
        <is>
          <t>B</t>
        </is>
      </c>
      <c r="D565" s="41" t="n">
        <v>46319</v>
      </c>
      <c r="E565" s="10" t="inlineStr">
        <is>
          <t>Samedi</t>
        </is>
      </c>
      <c r="F565" s="42" t="n">
        <v>0.7916666666666666</v>
      </c>
      <c r="G565" s="42" t="n">
        <v>0.875</v>
      </c>
      <c r="H565" s="43">
        <f>IF(OR($F565="",$G565=""),"",($G565-$F565)*24)</f>
        <v/>
      </c>
      <c r="I565" s="10" t="inlineStr">
        <is>
          <t>Primaire</t>
        </is>
      </c>
      <c r="J565" s="9" t="inlineStr">
        <is>
          <t>6éme Pilote (A)</t>
        </is>
      </c>
      <c r="K565" s="9" t="inlineStr">
        <is>
          <t>عربية</t>
        </is>
      </c>
      <c r="L565" s="9" t="inlineStr">
        <is>
          <t>Arabe</t>
        </is>
      </c>
      <c r="M565" s="9" t="inlineStr">
        <is>
          <t>Lobna</t>
        </is>
      </c>
      <c r="N565" s="10" t="n"/>
      <c r="O565" s="10" t="n"/>
      <c r="P565" s="10" t="inlineStr">
        <is>
          <t>Hebdomadaire</t>
        </is>
      </c>
      <c r="Q565" s="9" t="inlineStr">
        <is>
          <t>Généré (octobre)</t>
        </is>
      </c>
      <c r="R565" s="9" t="inlineStr"/>
      <c r="S565" s="44">
        <f>IF($M565="","",IF(SUMPRODUCT(($D$4:$D$704=$D565)*($M$4:$M$704=$M565)*($F$4:$F$704&lt;$G565)*($G$4:$G$704&gt;$F565))&gt;1,"⚠ CONFLIT",""))</f>
        <v/>
      </c>
      <c r="T565" s="44">
        <f>IF($J565="","",IF(SUMPRODUCT(($D$4:$D$704=$D565)*($J$4:$J$704=$J565)*($F$4:$F$704&lt;$G565)*($G$4:$G$704&gt;$F565))&gt;1,"⚠ CONFLIT",""))</f>
        <v/>
      </c>
      <c r="U565" s="44">
        <f>IF(COUNTIFS($D$4:$D$704,$D565,$J$4:$J$704,$J565,$F$4:$F$704,$F565,$K$4:$K$704,$K565)&gt;1,"⚠ DOUBLON","")</f>
        <v/>
      </c>
      <c r="V565" s="44">
        <f>COUNTIFS($A$4:$A565,$A565,$J$4:$J565,$J565,$E$4:$E565,$E565)</f>
        <v/>
      </c>
      <c r="W565" s="45">
        <f>$A565&amp;"|"&amp;$J565&amp;"|"&amp;$E565&amp;"|"&amp;$V565</f>
        <v/>
      </c>
      <c r="X565" s="46">
        <f>TEXT($F565,"hh:mm")&amp;" - "&amp;TEXT($G565,"hh:mm")&amp;IF($P565="Quinzaine A","   ◆ Q-A",IF($P565="Quinzaine B","   ◆ Q-B",IF($P565="Exception","   ◆ PONCTUEL","")))&amp;CHAR(10)&amp;$K565&amp;CHAR(10)&amp;$M565&amp;IF($N565&lt;&gt;"",CHAR(10)&amp;"Salle "&amp;$N565,"")&amp;IF($O565="En ligne",CHAR(10)&amp;"◆ EN LIGNE","")&amp;IF($R565&lt;&gt;"",CHAR(10)&amp;$R565,"")</f>
        <v/>
      </c>
      <c r="Y565" s="45" t="inlineStr"/>
      <c r="Z565" s="45" t="inlineStr">
        <is>
          <t>— généré —</t>
        </is>
      </c>
    </row>
    <row r="566" ht="15" customHeight="1">
      <c r="A566" s="10" t="inlineStr">
        <is>
          <t>S6</t>
        </is>
      </c>
      <c r="B566" s="9" t="inlineStr">
        <is>
          <t>du 19 au 25 octobre 2026</t>
        </is>
      </c>
      <c r="C566" s="10" t="inlineStr">
        <is>
          <t>B</t>
        </is>
      </c>
      <c r="D566" s="41" t="n">
        <v>46319</v>
      </c>
      <c r="E566" s="10" t="inlineStr">
        <is>
          <t>Samedi</t>
        </is>
      </c>
      <c r="F566" s="42" t="n">
        <v>0.7083333333333334</v>
      </c>
      <c r="G566" s="42" t="n">
        <v>0.7916666666666666</v>
      </c>
      <c r="H566" s="43">
        <f>IF(OR($F566="",$G566=""),"",($G566-$F566)*24)</f>
        <v/>
      </c>
      <c r="I566" s="10" t="inlineStr">
        <is>
          <t>Primaire</t>
        </is>
      </c>
      <c r="J566" s="9" t="inlineStr">
        <is>
          <t>6éme (B)</t>
        </is>
      </c>
      <c r="K566" s="9" t="inlineStr">
        <is>
          <t>عربية</t>
        </is>
      </c>
      <c r="L566" s="9" t="inlineStr">
        <is>
          <t>Arabe</t>
        </is>
      </c>
      <c r="M566" s="9" t="inlineStr">
        <is>
          <t>Lobna</t>
        </is>
      </c>
      <c r="N566" s="10" t="n"/>
      <c r="O566" s="10" t="n"/>
      <c r="P566" s="10" t="inlineStr">
        <is>
          <t>Hebdomadaire</t>
        </is>
      </c>
      <c r="Q566" s="9" t="inlineStr">
        <is>
          <t>Généré (octobre)</t>
        </is>
      </c>
      <c r="R566" s="9" t="inlineStr"/>
      <c r="S566" s="44">
        <f>IF($M566="","",IF(SUMPRODUCT(($D$4:$D$704=$D566)*($M$4:$M$704=$M566)*($F$4:$F$704&lt;$G566)*($G$4:$G$704&gt;$F566))&gt;1,"⚠ CONFLIT",""))</f>
        <v/>
      </c>
      <c r="T566" s="44">
        <f>IF($J566="","",IF(SUMPRODUCT(($D$4:$D$704=$D566)*($J$4:$J$704=$J566)*($F$4:$F$704&lt;$G566)*($G$4:$G$704&gt;$F566))&gt;1,"⚠ CONFLIT",""))</f>
        <v/>
      </c>
      <c r="U566" s="44">
        <f>IF(COUNTIFS($D$4:$D$704,$D566,$J$4:$J$704,$J566,$F$4:$F$704,$F566,$K$4:$K$704,$K566)&gt;1,"⚠ DOUBLON","")</f>
        <v/>
      </c>
      <c r="V566" s="44">
        <f>COUNTIFS($A$4:$A566,$A566,$J$4:$J566,$J566,$E$4:$E566,$E566)</f>
        <v/>
      </c>
      <c r="W566" s="45">
        <f>$A566&amp;"|"&amp;$J566&amp;"|"&amp;$E566&amp;"|"&amp;$V566</f>
        <v/>
      </c>
      <c r="X566" s="46">
        <f>TEXT($F566,"hh:mm")&amp;" - "&amp;TEXT($G566,"hh:mm")&amp;IF($P566="Quinzaine A","   ◆ Q-A",IF($P566="Quinzaine B","   ◆ Q-B",IF($P566="Exception","   ◆ PONCTUEL","")))&amp;CHAR(10)&amp;$K566&amp;CHAR(10)&amp;$M566&amp;IF($N566&lt;&gt;"",CHAR(10)&amp;"Salle "&amp;$N566,"")&amp;IF($O566="En ligne",CHAR(10)&amp;"◆ EN LIGNE","")&amp;IF($R566&lt;&gt;"",CHAR(10)&amp;$R566,"")</f>
        <v/>
      </c>
      <c r="Y566" s="45" t="inlineStr"/>
      <c r="Z566" s="45" t="inlineStr">
        <is>
          <t>— généré —</t>
        </is>
      </c>
    </row>
    <row r="567" ht="15" customHeight="1">
      <c r="A567" s="10" t="inlineStr">
        <is>
          <t>S6</t>
        </is>
      </c>
      <c r="B567" s="9" t="inlineStr">
        <is>
          <t>du 19 au 25 octobre 2026</t>
        </is>
      </c>
      <c r="C567" s="10" t="inlineStr">
        <is>
          <t>B</t>
        </is>
      </c>
      <c r="D567" s="41" t="n">
        <v>46319</v>
      </c>
      <c r="E567" s="10" t="inlineStr">
        <is>
          <t>Samedi</t>
        </is>
      </c>
      <c r="F567" s="42" t="n">
        <v>0.75</v>
      </c>
      <c r="G567" s="42" t="n">
        <v>0.8125</v>
      </c>
      <c r="H567" s="43">
        <f>IF(OR($F567="",$G567=""),"",($G567-$F567)*24)</f>
        <v/>
      </c>
      <c r="I567" s="10" t="inlineStr">
        <is>
          <t>Collège</t>
        </is>
      </c>
      <c r="J567" s="9" t="inlineStr">
        <is>
          <t>7éme (A)</t>
        </is>
      </c>
      <c r="K567" s="9" t="inlineStr">
        <is>
          <t>Arabe</t>
        </is>
      </c>
      <c r="L567" s="9" t="inlineStr">
        <is>
          <t>Arabe</t>
        </is>
      </c>
      <c r="M567" s="9" t="inlineStr">
        <is>
          <t>Awatef</t>
        </is>
      </c>
      <c r="N567" s="10" t="n"/>
      <c r="O567" s="10" t="n"/>
      <c r="P567" s="10" t="inlineStr">
        <is>
          <t>Hebdomadaire</t>
        </is>
      </c>
      <c r="Q567" s="9" t="inlineStr">
        <is>
          <t>Généré (octobre)</t>
        </is>
      </c>
      <c r="R567" s="9" t="inlineStr"/>
      <c r="S567" s="44">
        <f>IF($M567="","",IF(SUMPRODUCT(($D$4:$D$704=$D567)*($M$4:$M$704=$M567)*($F$4:$F$704&lt;$G567)*($G$4:$G$704&gt;$F567))&gt;1,"⚠ CONFLIT",""))</f>
        <v/>
      </c>
      <c r="T567" s="44">
        <f>IF($J567="","",IF(SUMPRODUCT(($D$4:$D$704=$D567)*($J$4:$J$704=$J567)*($F$4:$F$704&lt;$G567)*($G$4:$G$704&gt;$F567))&gt;1,"⚠ CONFLIT",""))</f>
        <v/>
      </c>
      <c r="U567" s="44">
        <f>IF(COUNTIFS($D$4:$D$704,$D567,$J$4:$J$704,$J567,$F$4:$F$704,$F567,$K$4:$K$704,$K567)&gt;1,"⚠ DOUBLON","")</f>
        <v/>
      </c>
      <c r="V567" s="44">
        <f>COUNTIFS($A$4:$A567,$A567,$J$4:$J567,$J567,$E$4:$E567,$E567)</f>
        <v/>
      </c>
      <c r="W567" s="45">
        <f>$A567&amp;"|"&amp;$J567&amp;"|"&amp;$E567&amp;"|"&amp;$V567</f>
        <v/>
      </c>
      <c r="X567" s="46">
        <f>TEXT($F567,"hh:mm")&amp;" - "&amp;TEXT($G567,"hh:mm")&amp;IF($P567="Quinzaine A","   ◆ Q-A",IF($P567="Quinzaine B","   ◆ Q-B",IF($P567="Exception","   ◆ PONCTUEL","")))&amp;CHAR(10)&amp;$K567&amp;CHAR(10)&amp;$M567&amp;IF($N567&lt;&gt;"",CHAR(10)&amp;"Salle "&amp;$N567,"")&amp;IF($O567="En ligne",CHAR(10)&amp;"◆ EN LIGNE","")&amp;IF($R567&lt;&gt;"",CHAR(10)&amp;$R567,"")</f>
        <v/>
      </c>
      <c r="Y567" s="45" t="inlineStr"/>
      <c r="Z567" s="45" t="inlineStr">
        <is>
          <t>— généré —</t>
        </is>
      </c>
    </row>
    <row r="568" ht="15" customHeight="1">
      <c r="A568" s="10" t="inlineStr">
        <is>
          <t>S6</t>
        </is>
      </c>
      <c r="B568" s="9" t="inlineStr">
        <is>
          <t>du 19 au 25 octobre 2026</t>
        </is>
      </c>
      <c r="C568" s="10" t="inlineStr">
        <is>
          <t>B</t>
        </is>
      </c>
      <c r="D568" s="41" t="n">
        <v>46319</v>
      </c>
      <c r="E568" s="10" t="inlineStr">
        <is>
          <t>Samedi</t>
        </is>
      </c>
      <c r="F568" s="42" t="n">
        <v>0.6666666666666666</v>
      </c>
      <c r="G568" s="42" t="n">
        <v>0.7291666666666666</v>
      </c>
      <c r="H568" s="43">
        <f>IF(OR($F568="",$G568=""),"",($G568-$F568)*24)</f>
        <v/>
      </c>
      <c r="I568" s="10" t="inlineStr">
        <is>
          <t>Collège</t>
        </is>
      </c>
      <c r="J568" s="9" t="inlineStr">
        <is>
          <t>7éme (B)</t>
        </is>
      </c>
      <c r="K568" s="9" t="inlineStr">
        <is>
          <t>SVT</t>
        </is>
      </c>
      <c r="L568" s="9" t="inlineStr">
        <is>
          <t>SVT</t>
        </is>
      </c>
      <c r="M568" s="9" t="inlineStr">
        <is>
          <t>Sabrine</t>
        </is>
      </c>
      <c r="N568" s="10" t="n"/>
      <c r="O568" s="10" t="n"/>
      <c r="P568" s="10" t="inlineStr">
        <is>
          <t>Quinzaine B</t>
        </is>
      </c>
      <c r="Q568" s="9" t="inlineStr">
        <is>
          <t>Généré (octobre)</t>
        </is>
      </c>
      <c r="R568" s="9" t="inlineStr"/>
      <c r="S568" s="44">
        <f>IF($M568="","",IF(SUMPRODUCT(($D$4:$D$704=$D568)*($M$4:$M$704=$M568)*($F$4:$F$704&lt;$G568)*($G$4:$G$704&gt;$F568))&gt;1,"⚠ CONFLIT",""))</f>
        <v/>
      </c>
      <c r="T568" s="44">
        <f>IF($J568="","",IF(SUMPRODUCT(($D$4:$D$704=$D568)*($J$4:$J$704=$J568)*($F$4:$F$704&lt;$G568)*($G$4:$G$704&gt;$F568))&gt;1,"⚠ CONFLIT",""))</f>
        <v/>
      </c>
      <c r="U568" s="44">
        <f>IF(COUNTIFS($D$4:$D$704,$D568,$J$4:$J$704,$J568,$F$4:$F$704,$F568,$K$4:$K$704,$K568)&gt;1,"⚠ DOUBLON","")</f>
        <v/>
      </c>
      <c r="V568" s="44">
        <f>COUNTIFS($A$4:$A568,$A568,$J$4:$J568,$J568,$E$4:$E568,$E568)</f>
        <v/>
      </c>
      <c r="W568" s="45">
        <f>$A568&amp;"|"&amp;$J568&amp;"|"&amp;$E568&amp;"|"&amp;$V568</f>
        <v/>
      </c>
      <c r="X568" s="46">
        <f>TEXT($F568,"hh:mm")&amp;" - "&amp;TEXT($G568,"hh:mm")&amp;IF($P568="Quinzaine A","   ◆ Q-A",IF($P568="Quinzaine B","   ◆ Q-B",IF($P568="Exception","   ◆ PONCTUEL","")))&amp;CHAR(10)&amp;$K568&amp;CHAR(10)&amp;$M568&amp;IF($N568&lt;&gt;"",CHAR(10)&amp;"Salle "&amp;$N568,"")&amp;IF($O568="En ligne",CHAR(10)&amp;"◆ EN LIGNE","")&amp;IF($R568&lt;&gt;"",CHAR(10)&amp;$R568,"")</f>
        <v/>
      </c>
      <c r="Y568" s="45" t="inlineStr"/>
      <c r="Z568" s="45" t="inlineStr">
        <is>
          <t>— généré —</t>
        </is>
      </c>
    </row>
    <row r="569" ht="15" customHeight="1">
      <c r="A569" s="10" t="inlineStr">
        <is>
          <t>S6</t>
        </is>
      </c>
      <c r="B569" s="9" t="inlineStr">
        <is>
          <t>du 19 au 25 octobre 2026</t>
        </is>
      </c>
      <c r="C569" s="10" t="inlineStr">
        <is>
          <t>B</t>
        </is>
      </c>
      <c r="D569" s="41" t="n">
        <v>46319</v>
      </c>
      <c r="E569" s="10" t="inlineStr">
        <is>
          <t>Samedi</t>
        </is>
      </c>
      <c r="F569" s="42" t="n">
        <v>0.7291666666666666</v>
      </c>
      <c r="G569" s="42" t="n">
        <v>0.7916666666666666</v>
      </c>
      <c r="H569" s="43">
        <f>IF(OR($F569="",$G569=""),"",($G569-$F569)*24)</f>
        <v/>
      </c>
      <c r="I569" s="10" t="inlineStr">
        <is>
          <t>Collège</t>
        </is>
      </c>
      <c r="J569" s="9" t="inlineStr">
        <is>
          <t>8éme (A)</t>
        </is>
      </c>
      <c r="K569" s="9" t="inlineStr">
        <is>
          <t>Anglais</t>
        </is>
      </c>
      <c r="L569" s="9" t="inlineStr">
        <is>
          <t>Anglais</t>
        </is>
      </c>
      <c r="M569" s="9" t="inlineStr">
        <is>
          <t>Imen Ben Lazrak</t>
        </is>
      </c>
      <c r="N569" s="10" t="n"/>
      <c r="O569" s="10" t="n"/>
      <c r="P569" s="10" t="inlineStr">
        <is>
          <t>Quinzaine B</t>
        </is>
      </c>
      <c r="Q569" s="9" t="inlineStr">
        <is>
          <t>Généré (octobre)</t>
        </is>
      </c>
      <c r="R569" s="9" t="inlineStr"/>
      <c r="S569" s="44">
        <f>IF($M569="","",IF(SUMPRODUCT(($D$4:$D$704=$D569)*($M$4:$M$704=$M569)*($F$4:$F$704&lt;$G569)*($G$4:$G$704&gt;$F569))&gt;1,"⚠ CONFLIT",""))</f>
        <v/>
      </c>
      <c r="T569" s="44">
        <f>IF($J569="","",IF(SUMPRODUCT(($D$4:$D$704=$D569)*($J$4:$J$704=$J569)*($F$4:$F$704&lt;$G569)*($G$4:$G$704&gt;$F569))&gt;1,"⚠ CONFLIT",""))</f>
        <v/>
      </c>
      <c r="U569" s="44">
        <f>IF(COUNTIFS($D$4:$D$704,$D569,$J$4:$J$704,$J569,$F$4:$F$704,$F569,$K$4:$K$704,$K569)&gt;1,"⚠ DOUBLON","")</f>
        <v/>
      </c>
      <c r="V569" s="44">
        <f>COUNTIFS($A$4:$A569,$A569,$J$4:$J569,$J569,$E$4:$E569,$E569)</f>
        <v/>
      </c>
      <c r="W569" s="45">
        <f>$A569&amp;"|"&amp;$J569&amp;"|"&amp;$E569&amp;"|"&amp;$V569</f>
        <v/>
      </c>
      <c r="X569" s="46">
        <f>TEXT($F569,"hh:mm")&amp;" - "&amp;TEXT($G569,"hh:mm")&amp;IF($P569="Quinzaine A","   ◆ Q-A",IF($P569="Quinzaine B","   ◆ Q-B",IF($P569="Exception","   ◆ PONCTUEL","")))&amp;CHAR(10)&amp;$K569&amp;CHAR(10)&amp;$M569&amp;IF($N569&lt;&gt;"",CHAR(10)&amp;"Salle "&amp;$N569,"")&amp;IF($O569="En ligne",CHAR(10)&amp;"◆ EN LIGNE","")&amp;IF($R569&lt;&gt;"",CHAR(10)&amp;$R569,"")</f>
        <v/>
      </c>
      <c r="Y569" s="45" t="inlineStr"/>
      <c r="Z569" s="45" t="inlineStr">
        <is>
          <t>— généré —</t>
        </is>
      </c>
    </row>
    <row r="570" ht="15" customHeight="1">
      <c r="A570" s="10" t="inlineStr">
        <is>
          <t>S6</t>
        </is>
      </c>
      <c r="B570" s="9" t="inlineStr">
        <is>
          <t>du 19 au 25 octobre 2026</t>
        </is>
      </c>
      <c r="C570" s="10" t="inlineStr">
        <is>
          <t>B</t>
        </is>
      </c>
      <c r="D570" s="41" t="n">
        <v>46319</v>
      </c>
      <c r="E570" s="10" t="inlineStr">
        <is>
          <t>Samedi</t>
        </is>
      </c>
      <c r="F570" s="42" t="n">
        <v>0.7291666666666666</v>
      </c>
      <c r="G570" s="42" t="n">
        <v>0.7916666666666666</v>
      </c>
      <c r="H570" s="43">
        <f>IF(OR($F570="",$G570=""),"",($G570-$F570)*24)</f>
        <v/>
      </c>
      <c r="I570" s="10" t="inlineStr">
        <is>
          <t>Collège</t>
        </is>
      </c>
      <c r="J570" s="9" t="inlineStr">
        <is>
          <t>8éme (B)</t>
        </is>
      </c>
      <c r="K570" s="9" t="inlineStr">
        <is>
          <t>SVT</t>
        </is>
      </c>
      <c r="L570" s="9" t="inlineStr">
        <is>
          <t>SVT</t>
        </is>
      </c>
      <c r="M570" s="9" t="inlineStr">
        <is>
          <t>Sabrine</t>
        </is>
      </c>
      <c r="N570" s="10" t="n"/>
      <c r="O570" s="10" t="n"/>
      <c r="P570" s="10" t="inlineStr">
        <is>
          <t>Quinzaine B</t>
        </is>
      </c>
      <c r="Q570" s="9" t="inlineStr">
        <is>
          <t>Généré (octobre)</t>
        </is>
      </c>
      <c r="R570" s="9" t="inlineStr"/>
      <c r="S570" s="44">
        <f>IF($M570="","",IF(SUMPRODUCT(($D$4:$D$704=$D570)*($M$4:$M$704=$M570)*($F$4:$F$704&lt;$G570)*($G$4:$G$704&gt;$F570))&gt;1,"⚠ CONFLIT",""))</f>
        <v/>
      </c>
      <c r="T570" s="44">
        <f>IF($J570="","",IF(SUMPRODUCT(($D$4:$D$704=$D570)*($J$4:$J$704=$J570)*($F$4:$F$704&lt;$G570)*($G$4:$G$704&gt;$F570))&gt;1,"⚠ CONFLIT",""))</f>
        <v/>
      </c>
      <c r="U570" s="44">
        <f>IF(COUNTIFS($D$4:$D$704,$D570,$J$4:$J$704,$J570,$F$4:$F$704,$F570,$K$4:$K$704,$K570)&gt;1,"⚠ DOUBLON","")</f>
        <v/>
      </c>
      <c r="V570" s="44">
        <f>COUNTIFS($A$4:$A570,$A570,$J$4:$J570,$J570,$E$4:$E570,$E570)</f>
        <v/>
      </c>
      <c r="W570" s="45">
        <f>$A570&amp;"|"&amp;$J570&amp;"|"&amp;$E570&amp;"|"&amp;$V570</f>
        <v/>
      </c>
      <c r="X570" s="46">
        <f>TEXT($F570,"hh:mm")&amp;" - "&amp;TEXT($G570,"hh:mm")&amp;IF($P570="Quinzaine A","   ◆ Q-A",IF($P570="Quinzaine B","   ◆ Q-B",IF($P570="Exception","   ◆ PONCTUEL","")))&amp;CHAR(10)&amp;$K570&amp;CHAR(10)&amp;$M570&amp;IF($N570&lt;&gt;"",CHAR(10)&amp;"Salle "&amp;$N570,"")&amp;IF($O570="En ligne",CHAR(10)&amp;"◆ EN LIGNE","")&amp;IF($R570&lt;&gt;"",CHAR(10)&amp;$R570,"")</f>
        <v/>
      </c>
      <c r="Y570" s="45" t="inlineStr"/>
      <c r="Z570" s="45" t="inlineStr">
        <is>
          <t>— généré —</t>
        </is>
      </c>
    </row>
    <row r="571" ht="15" customHeight="1">
      <c r="A571" s="10" t="inlineStr">
        <is>
          <t>S6</t>
        </is>
      </c>
      <c r="B571" s="9" t="inlineStr">
        <is>
          <t>du 19 au 25 octobre 2026</t>
        </is>
      </c>
      <c r="C571" s="10" t="inlineStr">
        <is>
          <t>B</t>
        </is>
      </c>
      <c r="D571" s="41" t="n">
        <v>46319</v>
      </c>
      <c r="E571" s="10" t="inlineStr">
        <is>
          <t>Samedi</t>
        </is>
      </c>
      <c r="F571" s="42" t="n">
        <v>0.6875</v>
      </c>
      <c r="G571" s="42" t="n">
        <v>0.75</v>
      </c>
      <c r="H571" s="43">
        <f>IF(OR($F571="",$G571=""),"",($G571-$F571)*24)</f>
        <v/>
      </c>
      <c r="I571" s="10" t="inlineStr">
        <is>
          <t>Collège</t>
        </is>
      </c>
      <c r="J571" s="9" t="inlineStr">
        <is>
          <t>9éme (A)</t>
        </is>
      </c>
      <c r="K571" s="9" t="inlineStr">
        <is>
          <t>Arabe</t>
        </is>
      </c>
      <c r="L571" s="9" t="inlineStr">
        <is>
          <t>Arabe</t>
        </is>
      </c>
      <c r="M571" s="9" t="inlineStr">
        <is>
          <t>Awatef</t>
        </is>
      </c>
      <c r="N571" s="10" t="n"/>
      <c r="O571" s="10" t="n"/>
      <c r="P571" s="10" t="inlineStr">
        <is>
          <t>Hebdomadaire</t>
        </is>
      </c>
      <c r="Q571" s="9" t="inlineStr">
        <is>
          <t>Généré (octobre)</t>
        </is>
      </c>
      <c r="R571" s="9" t="inlineStr"/>
      <c r="S571" s="44">
        <f>IF($M571="","",IF(SUMPRODUCT(($D$4:$D$704=$D571)*($M$4:$M$704=$M571)*($F$4:$F$704&lt;$G571)*($G$4:$G$704&gt;$F571))&gt;1,"⚠ CONFLIT",""))</f>
        <v/>
      </c>
      <c r="T571" s="44">
        <f>IF($J571="","",IF(SUMPRODUCT(($D$4:$D$704=$D571)*($J$4:$J$704=$J571)*($F$4:$F$704&lt;$G571)*($G$4:$G$704&gt;$F571))&gt;1,"⚠ CONFLIT",""))</f>
        <v/>
      </c>
      <c r="U571" s="44">
        <f>IF(COUNTIFS($D$4:$D$704,$D571,$J$4:$J$704,$J571,$F$4:$F$704,$F571,$K$4:$K$704,$K571)&gt;1,"⚠ DOUBLON","")</f>
        <v/>
      </c>
      <c r="V571" s="44">
        <f>COUNTIFS($A$4:$A571,$A571,$J$4:$J571,$J571,$E$4:$E571,$E571)</f>
        <v/>
      </c>
      <c r="W571" s="45">
        <f>$A571&amp;"|"&amp;$J571&amp;"|"&amp;$E571&amp;"|"&amp;$V571</f>
        <v/>
      </c>
      <c r="X571" s="46">
        <f>TEXT($F571,"hh:mm")&amp;" - "&amp;TEXT($G571,"hh:mm")&amp;IF($P571="Quinzaine A","   ◆ Q-A",IF($P571="Quinzaine B","   ◆ Q-B",IF($P571="Exception","   ◆ PONCTUEL","")))&amp;CHAR(10)&amp;$K571&amp;CHAR(10)&amp;$M571&amp;IF($N571&lt;&gt;"",CHAR(10)&amp;"Salle "&amp;$N571,"")&amp;IF($O571="En ligne",CHAR(10)&amp;"◆ EN LIGNE","")&amp;IF($R571&lt;&gt;"",CHAR(10)&amp;$R571,"")</f>
        <v/>
      </c>
      <c r="Y571" s="45" t="inlineStr"/>
      <c r="Z571" s="45" t="inlineStr">
        <is>
          <t>— généré —</t>
        </is>
      </c>
    </row>
    <row r="572" ht="15" customHeight="1">
      <c r="A572" s="10" t="inlineStr">
        <is>
          <t>S6</t>
        </is>
      </c>
      <c r="B572" s="9" t="inlineStr">
        <is>
          <t>du 19 au 25 octobre 2026</t>
        </is>
      </c>
      <c r="C572" s="10" t="inlineStr">
        <is>
          <t>B</t>
        </is>
      </c>
      <c r="D572" s="41" t="n">
        <v>46319</v>
      </c>
      <c r="E572" s="10" t="inlineStr">
        <is>
          <t>Samedi</t>
        </is>
      </c>
      <c r="F572" s="42" t="n">
        <v>0.7291666666666666</v>
      </c>
      <c r="G572" s="42" t="n">
        <v>0.7916666666666666</v>
      </c>
      <c r="H572" s="43">
        <f>IF(OR($F572="",$G572=""),"",($G572-$F572)*24)</f>
        <v/>
      </c>
      <c r="I572" s="10" t="inlineStr">
        <is>
          <t>Collège</t>
        </is>
      </c>
      <c r="J572" s="9" t="inlineStr">
        <is>
          <t>9éme (B)</t>
        </is>
      </c>
      <c r="K572" s="9" t="inlineStr">
        <is>
          <t>Math</t>
        </is>
      </c>
      <c r="L572" s="9" t="inlineStr">
        <is>
          <t>Math</t>
        </is>
      </c>
      <c r="M572" s="9" t="inlineStr">
        <is>
          <t>Hajer</t>
        </is>
      </c>
      <c r="N572" s="10" t="n"/>
      <c r="O572" s="10" t="n"/>
      <c r="P572" s="10" t="inlineStr">
        <is>
          <t>Hebdomadaire</t>
        </is>
      </c>
      <c r="Q572" s="9" t="inlineStr">
        <is>
          <t>Généré (octobre)</t>
        </is>
      </c>
      <c r="R572" s="9" t="inlineStr"/>
      <c r="S572" s="44">
        <f>IF($M572="","",IF(SUMPRODUCT(($D$4:$D$704=$D572)*($M$4:$M$704=$M572)*($F$4:$F$704&lt;$G572)*($G$4:$G$704&gt;$F572))&gt;1,"⚠ CONFLIT",""))</f>
        <v/>
      </c>
      <c r="T572" s="44">
        <f>IF($J572="","",IF(SUMPRODUCT(($D$4:$D$704=$D572)*($J$4:$J$704=$J572)*($F$4:$F$704&lt;$G572)*($G$4:$G$704&gt;$F572))&gt;1,"⚠ CONFLIT",""))</f>
        <v/>
      </c>
      <c r="U572" s="44">
        <f>IF(COUNTIFS($D$4:$D$704,$D572,$J$4:$J$704,$J572,$F$4:$F$704,$F572,$K$4:$K$704,$K572)&gt;1,"⚠ DOUBLON","")</f>
        <v/>
      </c>
      <c r="V572" s="44">
        <f>COUNTIFS($A$4:$A572,$A572,$J$4:$J572,$J572,$E$4:$E572,$E572)</f>
        <v/>
      </c>
      <c r="W572" s="45">
        <f>$A572&amp;"|"&amp;$J572&amp;"|"&amp;$E572&amp;"|"&amp;$V572</f>
        <v/>
      </c>
      <c r="X572" s="46">
        <f>TEXT($F572,"hh:mm")&amp;" - "&amp;TEXT($G572,"hh:mm")&amp;IF($P572="Quinzaine A","   ◆ Q-A",IF($P572="Quinzaine B","   ◆ Q-B",IF($P572="Exception","   ◆ PONCTUEL","")))&amp;CHAR(10)&amp;$K572&amp;CHAR(10)&amp;$M572&amp;IF($N572&lt;&gt;"",CHAR(10)&amp;"Salle "&amp;$N572,"")&amp;IF($O572="En ligne",CHAR(10)&amp;"◆ EN LIGNE","")&amp;IF($R572&lt;&gt;"",CHAR(10)&amp;$R572,"")</f>
        <v/>
      </c>
      <c r="Y572" s="45" t="inlineStr"/>
      <c r="Z572" s="45" t="inlineStr">
        <is>
          <t>— généré —</t>
        </is>
      </c>
    </row>
    <row r="573" ht="15" customHeight="1">
      <c r="A573" s="10" t="inlineStr">
        <is>
          <t>S6</t>
        </is>
      </c>
      <c r="B573" s="9" t="inlineStr">
        <is>
          <t>du 19 au 25 octobre 2026</t>
        </is>
      </c>
      <c r="C573" s="10" t="inlineStr">
        <is>
          <t>B</t>
        </is>
      </c>
      <c r="D573" s="41" t="n">
        <v>46319</v>
      </c>
      <c r="E573" s="10" t="inlineStr">
        <is>
          <t>Samedi</t>
        </is>
      </c>
      <c r="F573" s="42" t="n">
        <v>0.7916666666666666</v>
      </c>
      <c r="G573" s="42" t="n">
        <v>0.8541666666666666</v>
      </c>
      <c r="H573" s="43">
        <f>IF(OR($F573="",$G573=""),"",($G573-$F573)*24)</f>
        <v/>
      </c>
      <c r="I573" s="10" t="inlineStr">
        <is>
          <t>Collège</t>
        </is>
      </c>
      <c r="J573" s="9" t="inlineStr">
        <is>
          <t>9éme (C)</t>
        </is>
      </c>
      <c r="K573" s="9" t="inlineStr">
        <is>
          <t>Math</t>
        </is>
      </c>
      <c r="L573" s="9" t="inlineStr">
        <is>
          <t>Math</t>
        </is>
      </c>
      <c r="M573" s="9" t="inlineStr">
        <is>
          <t>Hajer</t>
        </is>
      </c>
      <c r="N573" s="10" t="n"/>
      <c r="O573" s="10" t="n"/>
      <c r="P573" s="10" t="inlineStr">
        <is>
          <t>Hebdomadaire</t>
        </is>
      </c>
      <c r="Q573" s="9" t="inlineStr">
        <is>
          <t>Généré (octobre)</t>
        </is>
      </c>
      <c r="R573" s="9" t="inlineStr"/>
      <c r="S573" s="44">
        <f>IF($M573="","",IF(SUMPRODUCT(($D$4:$D$704=$D573)*($M$4:$M$704=$M573)*($F$4:$F$704&lt;$G573)*($G$4:$G$704&gt;$F573))&gt;1,"⚠ CONFLIT",""))</f>
        <v/>
      </c>
      <c r="T573" s="44">
        <f>IF($J573="","",IF(SUMPRODUCT(($D$4:$D$704=$D573)*($J$4:$J$704=$J573)*($F$4:$F$704&lt;$G573)*($G$4:$G$704&gt;$F573))&gt;1,"⚠ CONFLIT",""))</f>
        <v/>
      </c>
      <c r="U573" s="44">
        <f>IF(COUNTIFS($D$4:$D$704,$D573,$J$4:$J$704,$J573,$F$4:$F$704,$F573,$K$4:$K$704,$K573)&gt;1,"⚠ DOUBLON","")</f>
        <v/>
      </c>
      <c r="V573" s="44">
        <f>COUNTIFS($A$4:$A573,$A573,$J$4:$J573,$J573,$E$4:$E573,$E573)</f>
        <v/>
      </c>
      <c r="W573" s="45">
        <f>$A573&amp;"|"&amp;$J573&amp;"|"&amp;$E573&amp;"|"&amp;$V573</f>
        <v/>
      </c>
      <c r="X573" s="46">
        <f>TEXT($F573,"hh:mm")&amp;" - "&amp;TEXT($G573,"hh:mm")&amp;IF($P573="Quinzaine A","   ◆ Q-A",IF($P573="Quinzaine B","   ◆ Q-B",IF($P573="Exception","   ◆ PONCTUEL","")))&amp;CHAR(10)&amp;$K573&amp;CHAR(10)&amp;$M573&amp;IF($N573&lt;&gt;"",CHAR(10)&amp;"Salle "&amp;$N573,"")&amp;IF($O573="En ligne",CHAR(10)&amp;"◆ EN LIGNE","")&amp;IF($R573&lt;&gt;"",CHAR(10)&amp;$R573,"")</f>
        <v/>
      </c>
      <c r="Y573" s="45" t="inlineStr"/>
      <c r="Z573" s="45" t="inlineStr">
        <is>
          <t>— généré —</t>
        </is>
      </c>
    </row>
    <row r="574" ht="15" customHeight="1">
      <c r="A574" s="10" t="inlineStr">
        <is>
          <t>S6</t>
        </is>
      </c>
      <c r="B574" s="9" t="inlineStr">
        <is>
          <t>du 19 au 25 octobre 2026</t>
        </is>
      </c>
      <c r="C574" s="10" t="inlineStr">
        <is>
          <t>B</t>
        </is>
      </c>
      <c r="D574" s="41" t="n">
        <v>46319</v>
      </c>
      <c r="E574" s="10" t="inlineStr">
        <is>
          <t>Samedi</t>
        </is>
      </c>
      <c r="F574" s="42" t="n">
        <v>0.6458333333333334</v>
      </c>
      <c r="G574" s="42" t="n">
        <v>0.7083333333333334</v>
      </c>
      <c r="H574" s="43">
        <f>IF(OR($F574="",$G574=""),"",($G574-$F574)*24)</f>
        <v/>
      </c>
      <c r="I574" s="10" t="inlineStr">
        <is>
          <t>Secondaire</t>
        </is>
      </c>
      <c r="J574" s="9" t="inlineStr">
        <is>
          <t>2éme Eco</t>
        </is>
      </c>
      <c r="K574" s="9" t="inlineStr">
        <is>
          <t>Géographie</t>
        </is>
      </c>
      <c r="L574" s="9" t="inlineStr">
        <is>
          <t>Géographie</t>
        </is>
      </c>
      <c r="M574" s="9" t="inlineStr">
        <is>
          <t>Abdelwaheb</t>
        </is>
      </c>
      <c r="N574" s="10" t="n"/>
      <c r="O574" s="10" t="n"/>
      <c r="P574" s="10" t="inlineStr">
        <is>
          <t>Quinzaine B</t>
        </is>
      </c>
      <c r="Q574" s="9" t="inlineStr">
        <is>
          <t>Généré (octobre)</t>
        </is>
      </c>
      <c r="R574" s="9" t="inlineStr"/>
      <c r="S574" s="44">
        <f>IF($M574="","",IF(SUMPRODUCT(($D$4:$D$704=$D574)*($M$4:$M$704=$M574)*($F$4:$F$704&lt;$G574)*($G$4:$G$704&gt;$F574))&gt;1,"⚠ CONFLIT",""))</f>
        <v/>
      </c>
      <c r="T574" s="44">
        <f>IF($J574="","",IF(SUMPRODUCT(($D$4:$D$704=$D574)*($J$4:$J$704=$J574)*($F$4:$F$704&lt;$G574)*($G$4:$G$704&gt;$F574))&gt;1,"⚠ CONFLIT",""))</f>
        <v/>
      </c>
      <c r="U574" s="44">
        <f>IF(COUNTIFS($D$4:$D$704,$D574,$J$4:$J$704,$J574,$F$4:$F$704,$F574,$K$4:$K$704,$K574)&gt;1,"⚠ DOUBLON","")</f>
        <v/>
      </c>
      <c r="V574" s="44">
        <f>COUNTIFS($A$4:$A574,$A574,$J$4:$J574,$J574,$E$4:$E574,$E574)</f>
        <v/>
      </c>
      <c r="W574" s="45">
        <f>$A574&amp;"|"&amp;$J574&amp;"|"&amp;$E574&amp;"|"&amp;$V574</f>
        <v/>
      </c>
      <c r="X574" s="46">
        <f>TEXT($F574,"hh:mm")&amp;" - "&amp;TEXT($G574,"hh:mm")&amp;IF($P574="Quinzaine A","   ◆ Q-A",IF($P574="Quinzaine B","   ◆ Q-B",IF($P574="Exception","   ◆ PONCTUEL","")))&amp;CHAR(10)&amp;$K574&amp;CHAR(10)&amp;$M574&amp;IF($N574&lt;&gt;"",CHAR(10)&amp;"Salle "&amp;$N574,"")&amp;IF($O574="En ligne",CHAR(10)&amp;"◆ EN LIGNE","")&amp;IF($R574&lt;&gt;"",CHAR(10)&amp;$R574,"")</f>
        <v/>
      </c>
      <c r="Y574" s="45" t="inlineStr"/>
      <c r="Z574" s="45" t="inlineStr">
        <is>
          <t>— généré —</t>
        </is>
      </c>
    </row>
    <row r="575" ht="15" customHeight="1">
      <c r="A575" s="10" t="inlineStr">
        <is>
          <t>S6</t>
        </is>
      </c>
      <c r="B575" s="9" t="inlineStr">
        <is>
          <t>du 19 au 25 octobre 2026</t>
        </is>
      </c>
      <c r="C575" s="10" t="inlineStr">
        <is>
          <t>B</t>
        </is>
      </c>
      <c r="D575" s="41" t="n">
        <v>46319</v>
      </c>
      <c r="E575" s="10" t="inlineStr">
        <is>
          <t>Samedi</t>
        </is>
      </c>
      <c r="F575" s="42" t="n">
        <v>0.6666666666666666</v>
      </c>
      <c r="G575" s="42" t="n">
        <v>0.7291666666666666</v>
      </c>
      <c r="H575" s="43">
        <f>IF(OR($F575="",$G575=""),"",($G575-$F575)*24)</f>
        <v/>
      </c>
      <c r="I575" s="10" t="inlineStr">
        <is>
          <t>Secondaire</t>
        </is>
      </c>
      <c r="J575" s="9" t="inlineStr">
        <is>
          <t>2éme SCE</t>
        </is>
      </c>
      <c r="K575" s="9" t="inlineStr">
        <is>
          <t>SVT</t>
        </is>
      </c>
      <c r="L575" s="9" t="inlineStr">
        <is>
          <t>SVT</t>
        </is>
      </c>
      <c r="M575" s="9" t="inlineStr">
        <is>
          <t>Rym</t>
        </is>
      </c>
      <c r="N575" s="10" t="n"/>
      <c r="O575" s="10" t="n"/>
      <c r="P575" s="10" t="inlineStr">
        <is>
          <t>Hebdomadaire</t>
        </is>
      </c>
      <c r="Q575" s="9" t="inlineStr">
        <is>
          <t>Généré (octobre)</t>
        </is>
      </c>
      <c r="R575" s="9" t="inlineStr"/>
      <c r="S575" s="44">
        <f>IF($M575="","",IF(SUMPRODUCT(($D$4:$D$704=$D575)*($M$4:$M$704=$M575)*($F$4:$F$704&lt;$G575)*($G$4:$G$704&gt;$F575))&gt;1,"⚠ CONFLIT",""))</f>
        <v/>
      </c>
      <c r="T575" s="44">
        <f>IF($J575="","",IF(SUMPRODUCT(($D$4:$D$704=$D575)*($J$4:$J$704=$J575)*($F$4:$F$704&lt;$G575)*($G$4:$G$704&gt;$F575))&gt;1,"⚠ CONFLIT",""))</f>
        <v/>
      </c>
      <c r="U575" s="44">
        <f>IF(COUNTIFS($D$4:$D$704,$D575,$J$4:$J$704,$J575,$F$4:$F$704,$F575,$K$4:$K$704,$K575)&gt;1,"⚠ DOUBLON","")</f>
        <v/>
      </c>
      <c r="V575" s="44">
        <f>COUNTIFS($A$4:$A575,$A575,$J$4:$J575,$J575,$E$4:$E575,$E575)</f>
        <v/>
      </c>
      <c r="W575" s="45">
        <f>$A575&amp;"|"&amp;$J575&amp;"|"&amp;$E575&amp;"|"&amp;$V575</f>
        <v/>
      </c>
      <c r="X575" s="46">
        <f>TEXT($F575,"hh:mm")&amp;" - "&amp;TEXT($G575,"hh:mm")&amp;IF($P575="Quinzaine A","   ◆ Q-A",IF($P575="Quinzaine B","   ◆ Q-B",IF($P575="Exception","   ◆ PONCTUEL","")))&amp;CHAR(10)&amp;$K575&amp;CHAR(10)&amp;$M575&amp;IF($N575&lt;&gt;"",CHAR(10)&amp;"Salle "&amp;$N575,"")&amp;IF($O575="En ligne",CHAR(10)&amp;"◆ EN LIGNE","")&amp;IF($R575&lt;&gt;"",CHAR(10)&amp;$R575,"")</f>
        <v/>
      </c>
      <c r="Y575" s="45" t="inlineStr"/>
      <c r="Z575" s="45" t="inlineStr">
        <is>
          <t>— généré —</t>
        </is>
      </c>
    </row>
    <row r="576" ht="15" customHeight="1">
      <c r="A576" s="10" t="inlineStr">
        <is>
          <t>S6</t>
        </is>
      </c>
      <c r="B576" s="9" t="inlineStr">
        <is>
          <t>du 19 au 25 octobre 2026</t>
        </is>
      </c>
      <c r="C576" s="10" t="inlineStr">
        <is>
          <t>B</t>
        </is>
      </c>
      <c r="D576" s="41" t="n">
        <v>46319</v>
      </c>
      <c r="E576" s="10" t="inlineStr">
        <is>
          <t>Samedi</t>
        </is>
      </c>
      <c r="F576" s="42" t="n">
        <v>0.7083333333333334</v>
      </c>
      <c r="G576" s="42" t="n">
        <v>0.7916666666666666</v>
      </c>
      <c r="H576" s="43">
        <f>IF(OR($F576="",$G576=""),"",($G576-$F576)*24)</f>
        <v/>
      </c>
      <c r="I576" s="10" t="inlineStr">
        <is>
          <t>Secondaire</t>
        </is>
      </c>
      <c r="J576" s="9" t="inlineStr">
        <is>
          <t>2éme INFO</t>
        </is>
      </c>
      <c r="K576" s="9" t="inlineStr">
        <is>
          <t>Informatique</t>
        </is>
      </c>
      <c r="L576" s="9" t="inlineStr">
        <is>
          <t>Informatique</t>
        </is>
      </c>
      <c r="M576" s="9" t="inlineStr">
        <is>
          <t>Aymen</t>
        </is>
      </c>
      <c r="N576" s="10" t="n"/>
      <c r="O576" s="10" t="n"/>
      <c r="P576" s="10" t="inlineStr">
        <is>
          <t>Hebdomadaire</t>
        </is>
      </c>
      <c r="Q576" s="9" t="inlineStr">
        <is>
          <t>Généré (octobre)</t>
        </is>
      </c>
      <c r="R576" s="9" t="inlineStr"/>
      <c r="S576" s="44">
        <f>IF($M576="","",IF(SUMPRODUCT(($D$4:$D$704=$D576)*($M$4:$M$704=$M576)*($F$4:$F$704&lt;$G576)*($G$4:$G$704&gt;$F576))&gt;1,"⚠ CONFLIT",""))</f>
        <v/>
      </c>
      <c r="T576" s="44">
        <f>IF($J576="","",IF(SUMPRODUCT(($D$4:$D$704=$D576)*($J$4:$J$704=$J576)*($F$4:$F$704&lt;$G576)*($G$4:$G$704&gt;$F576))&gt;1,"⚠ CONFLIT",""))</f>
        <v/>
      </c>
      <c r="U576" s="44">
        <f>IF(COUNTIFS($D$4:$D$704,$D576,$J$4:$J$704,$J576,$F$4:$F$704,$F576,$K$4:$K$704,$K576)&gt;1,"⚠ DOUBLON","")</f>
        <v/>
      </c>
      <c r="V576" s="44">
        <f>COUNTIFS($A$4:$A576,$A576,$J$4:$J576,$J576,$E$4:$E576,$E576)</f>
        <v/>
      </c>
      <c r="W576" s="45">
        <f>$A576&amp;"|"&amp;$J576&amp;"|"&amp;$E576&amp;"|"&amp;$V576</f>
        <v/>
      </c>
      <c r="X576" s="46">
        <f>TEXT($F576,"hh:mm")&amp;" - "&amp;TEXT($G576,"hh:mm")&amp;IF($P576="Quinzaine A","   ◆ Q-A",IF($P576="Quinzaine B","   ◆ Q-B",IF($P576="Exception","   ◆ PONCTUEL","")))&amp;CHAR(10)&amp;$K576&amp;CHAR(10)&amp;$M576&amp;IF($N576&lt;&gt;"",CHAR(10)&amp;"Salle "&amp;$N576,"")&amp;IF($O576="En ligne",CHAR(10)&amp;"◆ EN LIGNE","")&amp;IF($R576&lt;&gt;"",CHAR(10)&amp;$R576,"")</f>
        <v/>
      </c>
      <c r="Y576" s="45" t="inlineStr"/>
      <c r="Z576" s="45" t="inlineStr">
        <is>
          <t>— généré —</t>
        </is>
      </c>
    </row>
    <row r="577" ht="15" customHeight="1">
      <c r="A577" s="10" t="inlineStr">
        <is>
          <t>S6</t>
        </is>
      </c>
      <c r="B577" s="9" t="inlineStr">
        <is>
          <t>du 19 au 25 octobre 2026</t>
        </is>
      </c>
      <c r="C577" s="10" t="inlineStr">
        <is>
          <t>B</t>
        </is>
      </c>
      <c r="D577" s="41" t="n">
        <v>46319</v>
      </c>
      <c r="E577" s="10" t="inlineStr">
        <is>
          <t>Samedi</t>
        </is>
      </c>
      <c r="F577" s="42" t="n">
        <v>0.7083333333333334</v>
      </c>
      <c r="G577" s="42" t="n">
        <v>0.7708333333333334</v>
      </c>
      <c r="H577" s="43">
        <f>IF(OR($F577="",$G577=""),"",($G577-$F577)*24)</f>
        <v/>
      </c>
      <c r="I577" s="10" t="inlineStr">
        <is>
          <t>Secondaire</t>
        </is>
      </c>
      <c r="J577" s="9" t="inlineStr">
        <is>
          <t>3éme Eco</t>
        </is>
      </c>
      <c r="K577" s="9" t="inlineStr">
        <is>
          <t>Géographie</t>
        </is>
      </c>
      <c r="L577" s="9" t="inlineStr">
        <is>
          <t>Géographie</t>
        </is>
      </c>
      <c r="M577" s="9" t="inlineStr">
        <is>
          <t>Abdelwaheb</t>
        </is>
      </c>
      <c r="N577" s="10" t="n"/>
      <c r="O577" s="10" t="n"/>
      <c r="P577" s="10" t="inlineStr">
        <is>
          <t>Quinzaine B</t>
        </is>
      </c>
      <c r="Q577" s="9" t="inlineStr">
        <is>
          <t>Généré (octobre)</t>
        </is>
      </c>
      <c r="R577" s="9" t="inlineStr"/>
      <c r="S577" s="44">
        <f>IF($M577="","",IF(SUMPRODUCT(($D$4:$D$704=$D577)*($M$4:$M$704=$M577)*($F$4:$F$704&lt;$G577)*($G$4:$G$704&gt;$F577))&gt;1,"⚠ CONFLIT",""))</f>
        <v/>
      </c>
      <c r="T577" s="44">
        <f>IF($J577="","",IF(SUMPRODUCT(($D$4:$D$704=$D577)*($J$4:$J$704=$J577)*($F$4:$F$704&lt;$G577)*($G$4:$G$704&gt;$F577))&gt;1,"⚠ CONFLIT",""))</f>
        <v/>
      </c>
      <c r="U577" s="44">
        <f>IF(COUNTIFS($D$4:$D$704,$D577,$J$4:$J$704,$J577,$F$4:$F$704,$F577,$K$4:$K$704,$K577)&gt;1,"⚠ DOUBLON","")</f>
        <v/>
      </c>
      <c r="V577" s="44">
        <f>COUNTIFS($A$4:$A577,$A577,$J$4:$J577,$J577,$E$4:$E577,$E577)</f>
        <v/>
      </c>
      <c r="W577" s="45">
        <f>$A577&amp;"|"&amp;$J577&amp;"|"&amp;$E577&amp;"|"&amp;$V577</f>
        <v/>
      </c>
      <c r="X577" s="46">
        <f>TEXT($F577,"hh:mm")&amp;" - "&amp;TEXT($G577,"hh:mm")&amp;IF($P577="Quinzaine A","   ◆ Q-A",IF($P577="Quinzaine B","   ◆ Q-B",IF($P577="Exception","   ◆ PONCTUEL","")))&amp;CHAR(10)&amp;$K577&amp;CHAR(10)&amp;$M577&amp;IF($N577&lt;&gt;"",CHAR(10)&amp;"Salle "&amp;$N577,"")&amp;IF($O577="En ligne",CHAR(10)&amp;"◆ EN LIGNE","")&amp;IF($R577&lt;&gt;"",CHAR(10)&amp;$R577,"")</f>
        <v/>
      </c>
      <c r="Y577" s="45" t="inlineStr"/>
      <c r="Z577" s="45" t="inlineStr">
        <is>
          <t>— généré —</t>
        </is>
      </c>
    </row>
    <row r="578" ht="15" customHeight="1">
      <c r="A578" s="10" t="inlineStr">
        <is>
          <t>S6</t>
        </is>
      </c>
      <c r="B578" s="9" t="inlineStr">
        <is>
          <t>du 19 au 25 octobre 2026</t>
        </is>
      </c>
      <c r="C578" s="10" t="inlineStr">
        <is>
          <t>B</t>
        </is>
      </c>
      <c r="D578" s="41" t="n">
        <v>46319</v>
      </c>
      <c r="E578" s="10" t="inlineStr">
        <is>
          <t>Samedi</t>
        </is>
      </c>
      <c r="F578" s="42" t="n">
        <v>0.625</v>
      </c>
      <c r="G578" s="42" t="n">
        <v>0.7083333333333334</v>
      </c>
      <c r="H578" s="43">
        <f>IF(OR($F578="",$G578=""),"",($G578-$F578)*24)</f>
        <v/>
      </c>
      <c r="I578" s="10" t="inlineStr">
        <is>
          <t>Secondaire</t>
        </is>
      </c>
      <c r="J578" s="9" t="inlineStr">
        <is>
          <t>3éme INFO</t>
        </is>
      </c>
      <c r="K578" s="9" t="inlineStr">
        <is>
          <t>ALGO</t>
        </is>
      </c>
      <c r="L578" s="9" t="inlineStr">
        <is>
          <t>ALGO</t>
        </is>
      </c>
      <c r="M578" s="9" t="inlineStr">
        <is>
          <t>Aymen</t>
        </is>
      </c>
      <c r="N578" s="10" t="n"/>
      <c r="O578" s="10" t="n"/>
      <c r="P578" s="10" t="inlineStr">
        <is>
          <t>Hebdomadaire</t>
        </is>
      </c>
      <c r="Q578" s="9" t="inlineStr">
        <is>
          <t>Généré (octobre)</t>
        </is>
      </c>
      <c r="R578" s="9" t="inlineStr"/>
      <c r="S578" s="44">
        <f>IF($M578="","",IF(SUMPRODUCT(($D$4:$D$704=$D578)*($M$4:$M$704=$M578)*($F$4:$F$704&lt;$G578)*($G$4:$G$704&gt;$F578))&gt;1,"⚠ CONFLIT",""))</f>
        <v/>
      </c>
      <c r="T578" s="44">
        <f>IF($J578="","",IF(SUMPRODUCT(($D$4:$D$704=$D578)*($J$4:$J$704=$J578)*($F$4:$F$704&lt;$G578)*($G$4:$G$704&gt;$F578))&gt;1,"⚠ CONFLIT",""))</f>
        <v/>
      </c>
      <c r="U578" s="44">
        <f>IF(COUNTIFS($D$4:$D$704,$D578,$J$4:$J$704,$J578,$F$4:$F$704,$F578,$K$4:$K$704,$K578)&gt;1,"⚠ DOUBLON","")</f>
        <v/>
      </c>
      <c r="V578" s="44">
        <f>COUNTIFS($A$4:$A578,$A578,$J$4:$J578,$J578,$E$4:$E578,$E578)</f>
        <v/>
      </c>
      <c r="W578" s="45">
        <f>$A578&amp;"|"&amp;$J578&amp;"|"&amp;$E578&amp;"|"&amp;$V578</f>
        <v/>
      </c>
      <c r="X578" s="46">
        <f>TEXT($F578,"hh:mm")&amp;" - "&amp;TEXT($G578,"hh:mm")&amp;IF($P578="Quinzaine A","   ◆ Q-A",IF($P578="Quinzaine B","   ◆ Q-B",IF($P578="Exception","   ◆ PONCTUEL","")))&amp;CHAR(10)&amp;$K578&amp;CHAR(10)&amp;$M578&amp;IF($N578&lt;&gt;"",CHAR(10)&amp;"Salle "&amp;$N578,"")&amp;IF($O578="En ligne",CHAR(10)&amp;"◆ EN LIGNE","")&amp;IF($R578&lt;&gt;"",CHAR(10)&amp;$R578,"")</f>
        <v/>
      </c>
      <c r="Y578" s="45" t="inlineStr"/>
      <c r="Z578" s="45" t="inlineStr">
        <is>
          <t>— généré —</t>
        </is>
      </c>
    </row>
    <row r="579" ht="15" customHeight="1">
      <c r="A579" s="10" t="inlineStr">
        <is>
          <t>S6</t>
        </is>
      </c>
      <c r="B579" s="9" t="inlineStr">
        <is>
          <t>du 19 au 25 octobre 2026</t>
        </is>
      </c>
      <c r="C579" s="10" t="inlineStr">
        <is>
          <t>B</t>
        </is>
      </c>
      <c r="D579" s="41" t="n">
        <v>46319</v>
      </c>
      <c r="E579" s="10" t="inlineStr">
        <is>
          <t>Samedi</t>
        </is>
      </c>
      <c r="F579" s="42" t="n">
        <v>0.7291666666666666</v>
      </c>
      <c r="G579" s="42" t="n">
        <v>0.7916666666666666</v>
      </c>
      <c r="H579" s="43">
        <f>IF(OR($F579="",$G579=""),"",($G579-$F579)*24)</f>
        <v/>
      </c>
      <c r="I579" s="10" t="inlineStr">
        <is>
          <t>Secondaire</t>
        </is>
      </c>
      <c r="J579" s="9" t="inlineStr">
        <is>
          <t>3éme SCE</t>
        </is>
      </c>
      <c r="K579" s="9" t="inlineStr">
        <is>
          <t>SVT</t>
        </is>
      </c>
      <c r="L579" s="9" t="inlineStr">
        <is>
          <t>SVT</t>
        </is>
      </c>
      <c r="M579" s="9" t="inlineStr">
        <is>
          <t>Rym</t>
        </is>
      </c>
      <c r="N579" s="10" t="n"/>
      <c r="O579" s="10" t="n"/>
      <c r="P579" s="10" t="inlineStr">
        <is>
          <t>Hebdomadaire</t>
        </is>
      </c>
      <c r="Q579" s="9" t="inlineStr">
        <is>
          <t>Généré (octobre)</t>
        </is>
      </c>
      <c r="R579" s="9" t="inlineStr"/>
      <c r="S579" s="44">
        <f>IF($M579="","",IF(SUMPRODUCT(($D$4:$D$704=$D579)*($M$4:$M$704=$M579)*($F$4:$F$704&lt;$G579)*($G$4:$G$704&gt;$F579))&gt;1,"⚠ CONFLIT",""))</f>
        <v/>
      </c>
      <c r="T579" s="44">
        <f>IF($J579="","",IF(SUMPRODUCT(($D$4:$D$704=$D579)*($J$4:$J$704=$J579)*($F$4:$F$704&lt;$G579)*($G$4:$G$704&gt;$F579))&gt;1,"⚠ CONFLIT",""))</f>
        <v/>
      </c>
      <c r="U579" s="44">
        <f>IF(COUNTIFS($D$4:$D$704,$D579,$J$4:$J$704,$J579,$F$4:$F$704,$F579,$K$4:$K$704,$K579)&gt;1,"⚠ DOUBLON","")</f>
        <v/>
      </c>
      <c r="V579" s="44">
        <f>COUNTIFS($A$4:$A579,$A579,$J$4:$J579,$J579,$E$4:$E579,$E579)</f>
        <v/>
      </c>
      <c r="W579" s="45">
        <f>$A579&amp;"|"&amp;$J579&amp;"|"&amp;$E579&amp;"|"&amp;$V579</f>
        <v/>
      </c>
      <c r="X579" s="46">
        <f>TEXT($F579,"hh:mm")&amp;" - "&amp;TEXT($G579,"hh:mm")&amp;IF($P579="Quinzaine A","   ◆ Q-A",IF($P579="Quinzaine B","   ◆ Q-B",IF($P579="Exception","   ◆ PONCTUEL","")))&amp;CHAR(10)&amp;$K579&amp;CHAR(10)&amp;$M579&amp;IF($N579&lt;&gt;"",CHAR(10)&amp;"Salle "&amp;$N579,"")&amp;IF($O579="En ligne",CHAR(10)&amp;"◆ EN LIGNE","")&amp;IF($R579&lt;&gt;"",CHAR(10)&amp;$R579,"")</f>
        <v/>
      </c>
      <c r="Y579" s="45" t="inlineStr"/>
      <c r="Z579" s="45" t="inlineStr">
        <is>
          <t>— généré —</t>
        </is>
      </c>
    </row>
    <row r="580" ht="15" customHeight="1">
      <c r="A580" s="10" t="inlineStr">
        <is>
          <t>S6</t>
        </is>
      </c>
      <c r="B580" s="9" t="inlineStr">
        <is>
          <t>du 19 au 25 octobre 2026</t>
        </is>
      </c>
      <c r="C580" s="10" t="inlineStr">
        <is>
          <t>B</t>
        </is>
      </c>
      <c r="D580" s="41" t="n">
        <v>46319</v>
      </c>
      <c r="E580" s="10" t="inlineStr">
        <is>
          <t>Samedi</t>
        </is>
      </c>
      <c r="F580" s="42" t="n">
        <v>0.7708333333333334</v>
      </c>
      <c r="G580" s="42" t="n">
        <v>0.8333333333333334</v>
      </c>
      <c r="H580" s="43">
        <f>IF(OR($F580="",$G580=""),"",($G580-$F580)*24)</f>
        <v/>
      </c>
      <c r="I580" s="10" t="inlineStr">
        <is>
          <t>Bac</t>
        </is>
      </c>
      <c r="J580" s="9" t="inlineStr">
        <is>
          <t>Bac Eco</t>
        </is>
      </c>
      <c r="K580" s="9" t="inlineStr">
        <is>
          <t>Géographie</t>
        </is>
      </c>
      <c r="L580" s="9" t="inlineStr">
        <is>
          <t>Géographie</t>
        </is>
      </c>
      <c r="M580" s="9" t="inlineStr">
        <is>
          <t>Abdelwaheb</t>
        </is>
      </c>
      <c r="N580" s="10" t="n"/>
      <c r="O580" s="10" t="n"/>
      <c r="P580" s="10" t="inlineStr">
        <is>
          <t>Quinzaine B</t>
        </is>
      </c>
      <c r="Q580" s="9" t="inlineStr">
        <is>
          <t>Généré (octobre)</t>
        </is>
      </c>
      <c r="R580" s="9" t="inlineStr"/>
      <c r="S580" s="44">
        <f>IF($M580="","",IF(SUMPRODUCT(($D$4:$D$704=$D580)*($M$4:$M$704=$M580)*($F$4:$F$704&lt;$G580)*($G$4:$G$704&gt;$F580))&gt;1,"⚠ CONFLIT",""))</f>
        <v/>
      </c>
      <c r="T580" s="44">
        <f>IF($J580="","",IF(SUMPRODUCT(($D$4:$D$704=$D580)*($J$4:$J$704=$J580)*($F$4:$F$704&lt;$G580)*($G$4:$G$704&gt;$F580))&gt;1,"⚠ CONFLIT",""))</f>
        <v/>
      </c>
      <c r="U580" s="44">
        <f>IF(COUNTIFS($D$4:$D$704,$D580,$J$4:$J$704,$J580,$F$4:$F$704,$F580,$K$4:$K$704,$K580)&gt;1,"⚠ DOUBLON","")</f>
        <v/>
      </c>
      <c r="V580" s="44">
        <f>COUNTIFS($A$4:$A580,$A580,$J$4:$J580,$J580,$E$4:$E580,$E580)</f>
        <v/>
      </c>
      <c r="W580" s="45">
        <f>$A580&amp;"|"&amp;$J580&amp;"|"&amp;$E580&amp;"|"&amp;$V580</f>
        <v/>
      </c>
      <c r="X580" s="46">
        <f>TEXT($F580,"hh:mm")&amp;" - "&amp;TEXT($G580,"hh:mm")&amp;IF($P580="Quinzaine A","   ◆ Q-A",IF($P580="Quinzaine B","   ◆ Q-B",IF($P580="Exception","   ◆ PONCTUEL","")))&amp;CHAR(10)&amp;$K580&amp;CHAR(10)&amp;$M580&amp;IF($N580&lt;&gt;"",CHAR(10)&amp;"Salle "&amp;$N580,"")&amp;IF($O580="En ligne",CHAR(10)&amp;"◆ EN LIGNE","")&amp;IF($R580&lt;&gt;"",CHAR(10)&amp;$R580,"")</f>
        <v/>
      </c>
      <c r="Y580" s="45" t="inlineStr"/>
      <c r="Z580" s="45" t="inlineStr">
        <is>
          <t>— généré —</t>
        </is>
      </c>
    </row>
    <row r="581" ht="15" customHeight="1">
      <c r="A581" s="10" t="inlineStr">
        <is>
          <t>S6</t>
        </is>
      </c>
      <c r="B581" s="9" t="inlineStr">
        <is>
          <t>du 19 au 25 octobre 2026</t>
        </is>
      </c>
      <c r="C581" s="10" t="inlineStr">
        <is>
          <t>B</t>
        </is>
      </c>
      <c r="D581" s="41" t="n">
        <v>46319</v>
      </c>
      <c r="E581" s="10" t="inlineStr">
        <is>
          <t>Samedi</t>
        </is>
      </c>
      <c r="F581" s="42" t="n">
        <v>0.7916666666666666</v>
      </c>
      <c r="G581" s="42" t="n">
        <v>0.8541666666666666</v>
      </c>
      <c r="H581" s="43">
        <f>IF(OR($F581="",$G581=""),"",($G581-$F581)*24)</f>
        <v/>
      </c>
      <c r="I581" s="10" t="inlineStr">
        <is>
          <t>Bac</t>
        </is>
      </c>
      <c r="J581" s="9" t="inlineStr">
        <is>
          <t>Bac SCE</t>
        </is>
      </c>
      <c r="K581" s="9" t="inlineStr">
        <is>
          <t>SVT</t>
        </is>
      </c>
      <c r="L581" s="9" t="inlineStr">
        <is>
          <t>SVT</t>
        </is>
      </c>
      <c r="M581" s="9" t="inlineStr">
        <is>
          <t>Rym</t>
        </is>
      </c>
      <c r="N581" s="10" t="n"/>
      <c r="O581" s="10" t="n"/>
      <c r="P581" s="10" t="inlineStr">
        <is>
          <t>Hebdomadaire</t>
        </is>
      </c>
      <c r="Q581" s="9" t="inlineStr">
        <is>
          <t>Généré (octobre)</t>
        </is>
      </c>
      <c r="R581" s="9" t="inlineStr"/>
      <c r="S581" s="44">
        <f>IF($M581="","",IF(SUMPRODUCT(($D$4:$D$704=$D581)*($M$4:$M$704=$M581)*($F$4:$F$704&lt;$G581)*($G$4:$G$704&gt;$F581))&gt;1,"⚠ CONFLIT",""))</f>
        <v/>
      </c>
      <c r="T581" s="44">
        <f>IF($J581="","",IF(SUMPRODUCT(($D$4:$D$704=$D581)*($J$4:$J$704=$J581)*($F$4:$F$704&lt;$G581)*($G$4:$G$704&gt;$F581))&gt;1,"⚠ CONFLIT",""))</f>
        <v/>
      </c>
      <c r="U581" s="44">
        <f>IF(COUNTIFS($D$4:$D$704,$D581,$J$4:$J$704,$J581,$F$4:$F$704,$F581,$K$4:$K$704,$K581)&gt;1,"⚠ DOUBLON","")</f>
        <v/>
      </c>
      <c r="V581" s="44">
        <f>COUNTIFS($A$4:$A581,$A581,$J$4:$J581,$J581,$E$4:$E581,$E581)</f>
        <v/>
      </c>
      <c r="W581" s="45">
        <f>$A581&amp;"|"&amp;$J581&amp;"|"&amp;$E581&amp;"|"&amp;$V581</f>
        <v/>
      </c>
      <c r="X581" s="46">
        <f>TEXT($F581,"hh:mm")&amp;" - "&amp;TEXT($G581,"hh:mm")&amp;IF($P581="Quinzaine A","   ◆ Q-A",IF($P581="Quinzaine B","   ◆ Q-B",IF($P581="Exception","   ◆ PONCTUEL","")))&amp;CHAR(10)&amp;$K581&amp;CHAR(10)&amp;$M581&amp;IF($N581&lt;&gt;"",CHAR(10)&amp;"Salle "&amp;$N581,"")&amp;IF($O581="En ligne",CHAR(10)&amp;"◆ EN LIGNE","")&amp;IF($R581&lt;&gt;"",CHAR(10)&amp;$R581,"")</f>
        <v/>
      </c>
      <c r="Y581" s="45" t="inlineStr"/>
      <c r="Z581" s="45" t="inlineStr">
        <is>
          <t>— généré —</t>
        </is>
      </c>
    </row>
    <row r="582" ht="15" customHeight="1">
      <c r="A582" s="10" t="inlineStr">
        <is>
          <t>S6</t>
        </is>
      </c>
      <c r="B582" s="9" t="inlineStr">
        <is>
          <t>du 19 au 25 octobre 2026</t>
        </is>
      </c>
      <c r="C582" s="10" t="inlineStr">
        <is>
          <t>B</t>
        </is>
      </c>
      <c r="D582" s="41" t="n">
        <v>46319</v>
      </c>
      <c r="E582" s="10" t="inlineStr">
        <is>
          <t>Samedi</t>
        </is>
      </c>
      <c r="F582" s="42" t="n">
        <v>0.7916666666666666</v>
      </c>
      <c r="G582" s="42" t="n">
        <v>0.875</v>
      </c>
      <c r="H582" s="43">
        <f>IF(OR($F582="",$G582=""),"",($G582-$F582)*24)</f>
        <v/>
      </c>
      <c r="I582" s="10" t="inlineStr">
        <is>
          <t>Bac</t>
        </is>
      </c>
      <c r="J582" s="9" t="inlineStr">
        <is>
          <t>Bac INFO</t>
        </is>
      </c>
      <c r="K582" s="9" t="inlineStr">
        <is>
          <t>ALGO</t>
        </is>
      </c>
      <c r="L582" s="9" t="inlineStr">
        <is>
          <t>ALGO</t>
        </is>
      </c>
      <c r="M582" s="9" t="inlineStr">
        <is>
          <t>Heni</t>
        </is>
      </c>
      <c r="N582" s="10" t="n"/>
      <c r="O582" s="10" t="n"/>
      <c r="P582" s="10" t="inlineStr">
        <is>
          <t>Hebdomadaire</t>
        </is>
      </c>
      <c r="Q582" s="9" t="inlineStr">
        <is>
          <t>Généré (octobre)</t>
        </is>
      </c>
      <c r="R582" s="9" t="inlineStr"/>
      <c r="S582" s="44">
        <f>IF($M582="","",IF(SUMPRODUCT(($D$4:$D$704=$D582)*($M$4:$M$704=$M582)*($F$4:$F$704&lt;$G582)*($G$4:$G$704&gt;$F582))&gt;1,"⚠ CONFLIT",""))</f>
        <v/>
      </c>
      <c r="T582" s="44">
        <f>IF($J582="","",IF(SUMPRODUCT(($D$4:$D$704=$D582)*($J$4:$J$704=$J582)*($F$4:$F$704&lt;$G582)*($G$4:$G$704&gt;$F582))&gt;1,"⚠ CONFLIT",""))</f>
        <v/>
      </c>
      <c r="U582" s="44">
        <f>IF(COUNTIFS($D$4:$D$704,$D582,$J$4:$J$704,$J582,$F$4:$F$704,$F582,$K$4:$K$704,$K582)&gt;1,"⚠ DOUBLON","")</f>
        <v/>
      </c>
      <c r="V582" s="44">
        <f>COUNTIFS($A$4:$A582,$A582,$J$4:$J582,$J582,$E$4:$E582,$E582)</f>
        <v/>
      </c>
      <c r="W582" s="45">
        <f>$A582&amp;"|"&amp;$J582&amp;"|"&amp;$E582&amp;"|"&amp;$V582</f>
        <v/>
      </c>
      <c r="X582" s="46">
        <f>TEXT($F582,"hh:mm")&amp;" - "&amp;TEXT($G582,"hh:mm")&amp;IF($P582="Quinzaine A","   ◆ Q-A",IF($P582="Quinzaine B","   ◆ Q-B",IF($P582="Exception","   ◆ PONCTUEL","")))&amp;CHAR(10)&amp;$K582&amp;CHAR(10)&amp;$M582&amp;IF($N582&lt;&gt;"",CHAR(10)&amp;"Salle "&amp;$N582,"")&amp;IF($O582="En ligne",CHAR(10)&amp;"◆ EN LIGNE","")&amp;IF($R582&lt;&gt;"",CHAR(10)&amp;$R582,"")</f>
        <v/>
      </c>
      <c r="Y582" s="45" t="inlineStr"/>
      <c r="Z582" s="45" t="inlineStr">
        <is>
          <t>— généré —</t>
        </is>
      </c>
    </row>
    <row r="583" ht="15" customHeight="1">
      <c r="A583" s="10" t="inlineStr">
        <is>
          <t>S6</t>
        </is>
      </c>
      <c r="B583" s="9" t="inlineStr">
        <is>
          <t>du 19 au 25 octobre 2026</t>
        </is>
      </c>
      <c r="C583" s="10" t="inlineStr">
        <is>
          <t>B</t>
        </is>
      </c>
      <c r="D583" s="41" t="n">
        <v>46320</v>
      </c>
      <c r="E583" s="10" t="inlineStr">
        <is>
          <t>Dimanche</t>
        </is>
      </c>
      <c r="F583" s="42" t="n">
        <v>0.4375</v>
      </c>
      <c r="G583" s="42" t="n">
        <v>0.5</v>
      </c>
      <c r="H583" s="43">
        <f>IF(OR($F583="",$G583=""),"",($G583-$F583)*24)</f>
        <v/>
      </c>
      <c r="I583" s="10" t="inlineStr">
        <is>
          <t>Primaire</t>
        </is>
      </c>
      <c r="J583" s="9" t="inlineStr">
        <is>
          <t>5éme</t>
        </is>
      </c>
      <c r="K583" s="9" t="inlineStr">
        <is>
          <t>Anglais</t>
        </is>
      </c>
      <c r="L583" s="9" t="inlineStr">
        <is>
          <t>Anglais</t>
        </is>
      </c>
      <c r="M583" s="9" t="inlineStr">
        <is>
          <t>Samar</t>
        </is>
      </c>
      <c r="N583" s="10" t="n"/>
      <c r="O583" s="10" t="n"/>
      <c r="P583" s="10" t="inlineStr">
        <is>
          <t>Quinzaine B</t>
        </is>
      </c>
      <c r="Q583" s="9" t="inlineStr">
        <is>
          <t>Généré (octobre)</t>
        </is>
      </c>
      <c r="R583" s="9" t="inlineStr"/>
      <c r="S583" s="44">
        <f>IF($M583="","",IF(SUMPRODUCT(($D$4:$D$704=$D583)*($M$4:$M$704=$M583)*($F$4:$F$704&lt;$G583)*($G$4:$G$704&gt;$F583))&gt;1,"⚠ CONFLIT",""))</f>
        <v/>
      </c>
      <c r="T583" s="44">
        <f>IF($J583="","",IF(SUMPRODUCT(($D$4:$D$704=$D583)*($J$4:$J$704=$J583)*($F$4:$F$704&lt;$G583)*($G$4:$G$704&gt;$F583))&gt;1,"⚠ CONFLIT",""))</f>
        <v/>
      </c>
      <c r="U583" s="44">
        <f>IF(COUNTIFS($D$4:$D$704,$D583,$J$4:$J$704,$J583,$F$4:$F$704,$F583,$K$4:$K$704,$K583)&gt;1,"⚠ DOUBLON","")</f>
        <v/>
      </c>
      <c r="V583" s="44">
        <f>COUNTIFS($A$4:$A583,$A583,$J$4:$J583,$J583,$E$4:$E583,$E583)</f>
        <v/>
      </c>
      <c r="W583" s="45">
        <f>$A583&amp;"|"&amp;$J583&amp;"|"&amp;$E583&amp;"|"&amp;$V583</f>
        <v/>
      </c>
      <c r="X583" s="46">
        <f>TEXT($F583,"hh:mm")&amp;" - "&amp;TEXT($G583,"hh:mm")&amp;IF($P583="Quinzaine A","   ◆ Q-A",IF($P583="Quinzaine B","   ◆ Q-B",IF($P583="Exception","   ◆ PONCTUEL","")))&amp;CHAR(10)&amp;$K583&amp;CHAR(10)&amp;$M583&amp;IF($N583&lt;&gt;"",CHAR(10)&amp;"Salle "&amp;$N583,"")&amp;IF($O583="En ligne",CHAR(10)&amp;"◆ EN LIGNE","")&amp;IF($R583&lt;&gt;"",CHAR(10)&amp;$R583,"")</f>
        <v/>
      </c>
      <c r="Y583" s="45" t="inlineStr"/>
      <c r="Z583" s="45" t="inlineStr">
        <is>
          <t>— généré —</t>
        </is>
      </c>
    </row>
    <row r="584" ht="15" customHeight="1">
      <c r="A584" s="10" t="inlineStr">
        <is>
          <t>S6</t>
        </is>
      </c>
      <c r="B584" s="9" t="inlineStr">
        <is>
          <t>du 19 au 25 octobre 2026</t>
        </is>
      </c>
      <c r="C584" s="10" t="inlineStr">
        <is>
          <t>B</t>
        </is>
      </c>
      <c r="D584" s="41" t="n">
        <v>46320</v>
      </c>
      <c r="E584" s="10" t="inlineStr">
        <is>
          <t>Dimanche</t>
        </is>
      </c>
      <c r="F584" s="42" t="n">
        <v>0.5833333333333334</v>
      </c>
      <c r="G584" s="42" t="n">
        <v>0.6458333333333334</v>
      </c>
      <c r="H584" s="43">
        <f>IF(OR($F584="",$G584=""),"",($G584-$F584)*24)</f>
        <v/>
      </c>
      <c r="I584" s="10" t="inlineStr">
        <is>
          <t>Collège</t>
        </is>
      </c>
      <c r="J584" s="9" t="inlineStr">
        <is>
          <t>7éme (A)</t>
        </is>
      </c>
      <c r="K584" s="9" t="inlineStr">
        <is>
          <t>Français</t>
        </is>
      </c>
      <c r="L584" s="9" t="inlineStr">
        <is>
          <t>Français</t>
        </is>
      </c>
      <c r="M584" s="9" t="inlineStr">
        <is>
          <t>Marwa</t>
        </is>
      </c>
      <c r="N584" s="10" t="n"/>
      <c r="O584" s="10" t="n"/>
      <c r="P584" s="10" t="inlineStr">
        <is>
          <t>Hebdomadaire</t>
        </is>
      </c>
      <c r="Q584" s="9" t="inlineStr">
        <is>
          <t>Généré (octobre)</t>
        </is>
      </c>
      <c r="R584" s="9" t="inlineStr"/>
      <c r="S584" s="44">
        <f>IF($M584="","",IF(SUMPRODUCT(($D$4:$D$704=$D584)*($M$4:$M$704=$M584)*($F$4:$F$704&lt;$G584)*($G$4:$G$704&gt;$F584))&gt;1,"⚠ CONFLIT",""))</f>
        <v/>
      </c>
      <c r="T584" s="44">
        <f>IF($J584="","",IF(SUMPRODUCT(($D$4:$D$704=$D584)*($J$4:$J$704=$J584)*($F$4:$F$704&lt;$G584)*($G$4:$G$704&gt;$F584))&gt;1,"⚠ CONFLIT",""))</f>
        <v/>
      </c>
      <c r="U584" s="44">
        <f>IF(COUNTIFS($D$4:$D$704,$D584,$J$4:$J$704,$J584,$F$4:$F$704,$F584,$K$4:$K$704,$K584)&gt;1,"⚠ DOUBLON","")</f>
        <v/>
      </c>
      <c r="V584" s="44">
        <f>COUNTIFS($A$4:$A584,$A584,$J$4:$J584,$J584,$E$4:$E584,$E584)</f>
        <v/>
      </c>
      <c r="W584" s="45">
        <f>$A584&amp;"|"&amp;$J584&amp;"|"&amp;$E584&amp;"|"&amp;$V584</f>
        <v/>
      </c>
      <c r="X584" s="46">
        <f>TEXT($F584,"hh:mm")&amp;" - "&amp;TEXT($G584,"hh:mm")&amp;IF($P584="Quinzaine A","   ◆ Q-A",IF($P584="Quinzaine B","   ◆ Q-B",IF($P584="Exception","   ◆ PONCTUEL","")))&amp;CHAR(10)&amp;$K584&amp;CHAR(10)&amp;$M584&amp;IF($N584&lt;&gt;"",CHAR(10)&amp;"Salle "&amp;$N584,"")&amp;IF($O584="En ligne",CHAR(10)&amp;"◆ EN LIGNE","")&amp;IF($R584&lt;&gt;"",CHAR(10)&amp;$R584,"")</f>
        <v/>
      </c>
      <c r="Y584" s="45" t="inlineStr"/>
      <c r="Z584" s="45" t="inlineStr">
        <is>
          <t>— généré —</t>
        </is>
      </c>
    </row>
    <row r="585" ht="15" customHeight="1">
      <c r="A585" s="10" t="inlineStr">
        <is>
          <t>S6</t>
        </is>
      </c>
      <c r="B585" s="9" t="inlineStr">
        <is>
          <t>du 19 au 25 octobre 2026</t>
        </is>
      </c>
      <c r="C585" s="10" t="inlineStr">
        <is>
          <t>B</t>
        </is>
      </c>
      <c r="D585" s="41" t="n">
        <v>46320</v>
      </c>
      <c r="E585" s="10" t="inlineStr">
        <is>
          <t>Dimanche</t>
        </is>
      </c>
      <c r="F585" s="42" t="n">
        <v>0.6458333333333334</v>
      </c>
      <c r="G585" s="42" t="n">
        <v>0.7083333333333334</v>
      </c>
      <c r="H585" s="43">
        <f>IF(OR($F585="",$G585=""),"",($G585-$F585)*24)</f>
        <v/>
      </c>
      <c r="I585" s="10" t="inlineStr">
        <is>
          <t>Collège</t>
        </is>
      </c>
      <c r="J585" s="9" t="inlineStr">
        <is>
          <t>7éme (B)</t>
        </is>
      </c>
      <c r="K585" s="9" t="inlineStr">
        <is>
          <t>Français</t>
        </is>
      </c>
      <c r="L585" s="9" t="inlineStr">
        <is>
          <t>Français</t>
        </is>
      </c>
      <c r="M585" s="9" t="inlineStr">
        <is>
          <t>Marwa</t>
        </is>
      </c>
      <c r="N585" s="10" t="n"/>
      <c r="O585" s="10" t="n"/>
      <c r="P585" s="10" t="inlineStr">
        <is>
          <t>Hebdomadaire</t>
        </is>
      </c>
      <c r="Q585" s="9" t="inlineStr">
        <is>
          <t>Généré (octobre)</t>
        </is>
      </c>
      <c r="R585" s="9" t="inlineStr"/>
      <c r="S585" s="44">
        <f>IF($M585="","",IF(SUMPRODUCT(($D$4:$D$704=$D585)*($M$4:$M$704=$M585)*($F$4:$F$704&lt;$G585)*($G$4:$G$704&gt;$F585))&gt;1,"⚠ CONFLIT",""))</f>
        <v/>
      </c>
      <c r="T585" s="44">
        <f>IF($J585="","",IF(SUMPRODUCT(($D$4:$D$704=$D585)*($J$4:$J$704=$J585)*($F$4:$F$704&lt;$G585)*($G$4:$G$704&gt;$F585))&gt;1,"⚠ CONFLIT",""))</f>
        <v/>
      </c>
      <c r="U585" s="44">
        <f>IF(COUNTIFS($D$4:$D$704,$D585,$J$4:$J$704,$J585,$F$4:$F$704,$F585,$K$4:$K$704,$K585)&gt;1,"⚠ DOUBLON","")</f>
        <v/>
      </c>
      <c r="V585" s="44">
        <f>COUNTIFS($A$4:$A585,$A585,$J$4:$J585,$J585,$E$4:$E585,$E585)</f>
        <v/>
      </c>
      <c r="W585" s="45">
        <f>$A585&amp;"|"&amp;$J585&amp;"|"&amp;$E585&amp;"|"&amp;$V585</f>
        <v/>
      </c>
      <c r="X585" s="46">
        <f>TEXT($F585,"hh:mm")&amp;" - "&amp;TEXT($G585,"hh:mm")&amp;IF($P585="Quinzaine A","   ◆ Q-A",IF($P585="Quinzaine B","   ◆ Q-B",IF($P585="Exception","   ◆ PONCTUEL","")))&amp;CHAR(10)&amp;$K585&amp;CHAR(10)&amp;$M585&amp;IF($N585&lt;&gt;"",CHAR(10)&amp;"Salle "&amp;$N585,"")&amp;IF($O585="En ligne",CHAR(10)&amp;"◆ EN LIGNE","")&amp;IF($R585&lt;&gt;"",CHAR(10)&amp;$R585,"")</f>
        <v/>
      </c>
      <c r="Y585" s="45" t="inlineStr"/>
      <c r="Z585" s="45" t="inlineStr">
        <is>
          <t>— généré —</t>
        </is>
      </c>
    </row>
    <row r="586" ht="15" customHeight="1">
      <c r="A586" s="10" t="inlineStr">
        <is>
          <t>S6</t>
        </is>
      </c>
      <c r="B586" s="9" t="inlineStr">
        <is>
          <t>du 19 au 25 octobre 2026</t>
        </is>
      </c>
      <c r="C586" s="10" t="inlineStr">
        <is>
          <t>B</t>
        </is>
      </c>
      <c r="D586" s="41" t="n">
        <v>46320</v>
      </c>
      <c r="E586" s="10" t="inlineStr">
        <is>
          <t>Dimanche</t>
        </is>
      </c>
      <c r="F586" s="42" t="n">
        <v>0.5729166666666666</v>
      </c>
      <c r="G586" s="42" t="n">
        <v>0.6354166666666666</v>
      </c>
      <c r="H586" s="43">
        <f>IF(OR($F586="",$G586=""),"",($G586-$F586)*24)</f>
        <v/>
      </c>
      <c r="I586" s="10" t="inlineStr">
        <is>
          <t>Collège</t>
        </is>
      </c>
      <c r="J586" s="9" t="inlineStr">
        <is>
          <t>8éme (A)</t>
        </is>
      </c>
      <c r="K586" s="9" t="inlineStr">
        <is>
          <t>Math</t>
        </is>
      </c>
      <c r="L586" s="9" t="inlineStr">
        <is>
          <t>Math</t>
        </is>
      </c>
      <c r="M586" s="9" t="inlineStr">
        <is>
          <t>Hajer</t>
        </is>
      </c>
      <c r="N586" s="10" t="n"/>
      <c r="O586" s="10" t="n"/>
      <c r="P586" s="10" t="inlineStr">
        <is>
          <t>Hebdomadaire</t>
        </is>
      </c>
      <c r="Q586" s="9" t="inlineStr">
        <is>
          <t>Généré (octobre)</t>
        </is>
      </c>
      <c r="R586" s="9" t="inlineStr"/>
      <c r="S586" s="44">
        <f>IF($M586="","",IF(SUMPRODUCT(($D$4:$D$704=$D586)*($M$4:$M$704=$M586)*($F$4:$F$704&lt;$G586)*($G$4:$G$704&gt;$F586))&gt;1,"⚠ CONFLIT",""))</f>
        <v/>
      </c>
      <c r="T586" s="44">
        <f>IF($J586="","",IF(SUMPRODUCT(($D$4:$D$704=$D586)*($J$4:$J$704=$J586)*($F$4:$F$704&lt;$G586)*($G$4:$G$704&gt;$F586))&gt;1,"⚠ CONFLIT",""))</f>
        <v/>
      </c>
      <c r="U586" s="44">
        <f>IF(COUNTIFS($D$4:$D$704,$D586,$J$4:$J$704,$J586,$F$4:$F$704,$F586,$K$4:$K$704,$K586)&gt;1,"⚠ DOUBLON","")</f>
        <v/>
      </c>
      <c r="V586" s="44">
        <f>COUNTIFS($A$4:$A586,$A586,$J$4:$J586,$J586,$E$4:$E586,$E586)</f>
        <v/>
      </c>
      <c r="W586" s="45">
        <f>$A586&amp;"|"&amp;$J586&amp;"|"&amp;$E586&amp;"|"&amp;$V586</f>
        <v/>
      </c>
      <c r="X586" s="46">
        <f>TEXT($F586,"hh:mm")&amp;" - "&amp;TEXT($G586,"hh:mm")&amp;IF($P586="Quinzaine A","   ◆ Q-A",IF($P586="Quinzaine B","   ◆ Q-B",IF($P586="Exception","   ◆ PONCTUEL","")))&amp;CHAR(10)&amp;$K586&amp;CHAR(10)&amp;$M586&amp;IF($N586&lt;&gt;"",CHAR(10)&amp;"Salle "&amp;$N586,"")&amp;IF($O586="En ligne",CHAR(10)&amp;"◆ EN LIGNE","")&amp;IF($R586&lt;&gt;"",CHAR(10)&amp;$R586,"")</f>
        <v/>
      </c>
      <c r="Y586" s="45" t="inlineStr"/>
      <c r="Z586" s="45" t="inlineStr">
        <is>
          <t>— généré —</t>
        </is>
      </c>
    </row>
    <row r="587" ht="15" customHeight="1">
      <c r="A587" s="10" t="inlineStr">
        <is>
          <t>S6</t>
        </is>
      </c>
      <c r="B587" s="9" t="inlineStr">
        <is>
          <t>du 19 au 25 octobre 2026</t>
        </is>
      </c>
      <c r="C587" s="10" t="inlineStr">
        <is>
          <t>B</t>
        </is>
      </c>
      <c r="D587" s="41" t="n">
        <v>46320</v>
      </c>
      <c r="E587" s="10" t="inlineStr">
        <is>
          <t>Dimanche</t>
        </is>
      </c>
      <c r="F587" s="42" t="n">
        <v>0.7083333333333334</v>
      </c>
      <c r="G587" s="42" t="n">
        <v>0.7708333333333334</v>
      </c>
      <c r="H587" s="43">
        <f>IF(OR($F587="",$G587=""),"",($G587-$F587)*24)</f>
        <v/>
      </c>
      <c r="I587" s="10" t="inlineStr">
        <is>
          <t>Collège</t>
        </is>
      </c>
      <c r="J587" s="9" t="inlineStr">
        <is>
          <t>8éme (B)</t>
        </is>
      </c>
      <c r="K587" s="9" t="inlineStr">
        <is>
          <t>Français</t>
        </is>
      </c>
      <c r="L587" s="9" t="inlineStr">
        <is>
          <t>Français</t>
        </is>
      </c>
      <c r="M587" s="9" t="inlineStr">
        <is>
          <t>Marwa</t>
        </is>
      </c>
      <c r="N587" s="10" t="n"/>
      <c r="O587" s="10" t="n"/>
      <c r="P587" s="10" t="inlineStr">
        <is>
          <t>Hebdomadaire</t>
        </is>
      </c>
      <c r="Q587" s="9" t="inlineStr">
        <is>
          <t>Généré (octobre)</t>
        </is>
      </c>
      <c r="R587" s="9" t="inlineStr"/>
      <c r="S587" s="44">
        <f>IF($M587="","",IF(SUMPRODUCT(($D$4:$D$704=$D587)*($M$4:$M$704=$M587)*($F$4:$F$704&lt;$G587)*($G$4:$G$704&gt;$F587))&gt;1,"⚠ CONFLIT",""))</f>
        <v/>
      </c>
      <c r="T587" s="44">
        <f>IF($J587="","",IF(SUMPRODUCT(($D$4:$D$704=$D587)*($J$4:$J$704=$J587)*($F$4:$F$704&lt;$G587)*($G$4:$G$704&gt;$F587))&gt;1,"⚠ CONFLIT",""))</f>
        <v/>
      </c>
      <c r="U587" s="44">
        <f>IF(COUNTIFS($D$4:$D$704,$D587,$J$4:$J$704,$J587,$F$4:$F$704,$F587,$K$4:$K$704,$K587)&gt;1,"⚠ DOUBLON","")</f>
        <v/>
      </c>
      <c r="V587" s="44">
        <f>COUNTIFS($A$4:$A587,$A587,$J$4:$J587,$J587,$E$4:$E587,$E587)</f>
        <v/>
      </c>
      <c r="W587" s="45">
        <f>$A587&amp;"|"&amp;$J587&amp;"|"&amp;$E587&amp;"|"&amp;$V587</f>
        <v/>
      </c>
      <c r="X587" s="46">
        <f>TEXT($F587,"hh:mm")&amp;" - "&amp;TEXT($G587,"hh:mm")&amp;IF($P587="Quinzaine A","   ◆ Q-A",IF($P587="Quinzaine B","   ◆ Q-B",IF($P587="Exception","   ◆ PONCTUEL","")))&amp;CHAR(10)&amp;$K587&amp;CHAR(10)&amp;$M587&amp;IF($N587&lt;&gt;"",CHAR(10)&amp;"Salle "&amp;$N587,"")&amp;IF($O587="En ligne",CHAR(10)&amp;"◆ EN LIGNE","")&amp;IF($R587&lt;&gt;"",CHAR(10)&amp;$R587,"")</f>
        <v/>
      </c>
      <c r="Y587" s="45" t="inlineStr"/>
      <c r="Z587" s="45" t="inlineStr">
        <is>
          <t>— généré —</t>
        </is>
      </c>
    </row>
    <row r="588" ht="15" customHeight="1">
      <c r="A588" s="10" t="inlineStr">
        <is>
          <t>S6</t>
        </is>
      </c>
      <c r="B588" s="9" t="inlineStr">
        <is>
          <t>du 19 au 25 octobre 2026</t>
        </is>
      </c>
      <c r="C588" s="10" t="inlineStr">
        <is>
          <t>B</t>
        </is>
      </c>
      <c r="D588" s="41" t="n">
        <v>46320</v>
      </c>
      <c r="E588" s="10" t="inlineStr">
        <is>
          <t>Dimanche</t>
        </is>
      </c>
      <c r="F588" s="42" t="n">
        <v>0.4375</v>
      </c>
      <c r="G588" s="42" t="n">
        <v>0.5</v>
      </c>
      <c r="H588" s="43">
        <f>IF(OR($F588="",$G588=""),"",($G588-$F588)*24)</f>
        <v/>
      </c>
      <c r="I588" s="10" t="inlineStr">
        <is>
          <t>Collège</t>
        </is>
      </c>
      <c r="J588" s="9" t="inlineStr">
        <is>
          <t>9éme (A)</t>
        </is>
      </c>
      <c r="K588" s="9" t="inlineStr">
        <is>
          <t>Anglais</t>
        </is>
      </c>
      <c r="L588" s="9" t="inlineStr">
        <is>
          <t>Anglais</t>
        </is>
      </c>
      <c r="M588" s="9" t="inlineStr">
        <is>
          <t>Bassma</t>
        </is>
      </c>
      <c r="N588" s="10" t="n"/>
      <c r="O588" s="10" t="n"/>
      <c r="P588" s="10" t="inlineStr">
        <is>
          <t>Hebdomadaire</t>
        </is>
      </c>
      <c r="Q588" s="9" t="inlineStr">
        <is>
          <t>Généré (octobre)</t>
        </is>
      </c>
      <c r="R588" s="9" t="inlineStr"/>
      <c r="S588" s="44">
        <f>IF($M588="","",IF(SUMPRODUCT(($D$4:$D$704=$D588)*($M$4:$M$704=$M588)*($F$4:$F$704&lt;$G588)*($G$4:$G$704&gt;$F588))&gt;1,"⚠ CONFLIT",""))</f>
        <v/>
      </c>
      <c r="T588" s="44">
        <f>IF($J588="","",IF(SUMPRODUCT(($D$4:$D$704=$D588)*($J$4:$J$704=$J588)*($F$4:$F$704&lt;$G588)*($G$4:$G$704&gt;$F588))&gt;1,"⚠ CONFLIT",""))</f>
        <v/>
      </c>
      <c r="U588" s="44">
        <f>IF(COUNTIFS($D$4:$D$704,$D588,$J$4:$J$704,$J588,$F$4:$F$704,$F588,$K$4:$K$704,$K588)&gt;1,"⚠ DOUBLON","")</f>
        <v/>
      </c>
      <c r="V588" s="44">
        <f>COUNTIFS($A$4:$A588,$A588,$J$4:$J588,$J588,$E$4:$E588,$E588)</f>
        <v/>
      </c>
      <c r="W588" s="45">
        <f>$A588&amp;"|"&amp;$J588&amp;"|"&amp;$E588&amp;"|"&amp;$V588</f>
        <v/>
      </c>
      <c r="X588" s="46">
        <f>TEXT($F588,"hh:mm")&amp;" - "&amp;TEXT($G588,"hh:mm")&amp;IF($P588="Quinzaine A","   ◆ Q-A",IF($P588="Quinzaine B","   ◆ Q-B",IF($P588="Exception","   ◆ PONCTUEL","")))&amp;CHAR(10)&amp;$K588&amp;CHAR(10)&amp;$M588&amp;IF($N588&lt;&gt;"",CHAR(10)&amp;"Salle "&amp;$N588,"")&amp;IF($O588="En ligne",CHAR(10)&amp;"◆ EN LIGNE","")&amp;IF($R588&lt;&gt;"",CHAR(10)&amp;$R588,"")</f>
        <v/>
      </c>
      <c r="Y588" s="45" t="inlineStr"/>
      <c r="Z588" s="45" t="inlineStr">
        <is>
          <t>— généré —</t>
        </is>
      </c>
    </row>
    <row r="589" ht="15" customHeight="1">
      <c r="A589" s="10" t="inlineStr">
        <is>
          <t>S6</t>
        </is>
      </c>
      <c r="B589" s="9" t="inlineStr">
        <is>
          <t>du 19 au 25 octobre 2026</t>
        </is>
      </c>
      <c r="C589" s="10" t="inlineStr">
        <is>
          <t>B</t>
        </is>
      </c>
      <c r="D589" s="41" t="n">
        <v>46320</v>
      </c>
      <c r="E589" s="10" t="inlineStr">
        <is>
          <t>Dimanche</t>
        </is>
      </c>
      <c r="F589" s="42" t="n">
        <v>0.6458333333333334</v>
      </c>
      <c r="G589" s="42" t="n">
        <v>0.7083333333333334</v>
      </c>
      <c r="H589" s="43">
        <f>IF(OR($F589="",$G589=""),"",($G589-$F589)*24)</f>
        <v/>
      </c>
      <c r="I589" s="10" t="inlineStr">
        <is>
          <t>Collège</t>
        </is>
      </c>
      <c r="J589" s="9" t="inlineStr">
        <is>
          <t>9éme (A)</t>
        </is>
      </c>
      <c r="K589" s="9" t="inlineStr">
        <is>
          <t>Français</t>
        </is>
      </c>
      <c r="L589" s="9" t="inlineStr">
        <is>
          <t>Français</t>
        </is>
      </c>
      <c r="M589" s="9" t="inlineStr">
        <is>
          <t>Nassima</t>
        </is>
      </c>
      <c r="N589" s="10" t="n"/>
      <c r="O589" s="10" t="n"/>
      <c r="P589" s="10" t="inlineStr">
        <is>
          <t>Hebdomadaire</t>
        </is>
      </c>
      <c r="Q589" s="9" t="inlineStr">
        <is>
          <t>Généré (octobre)</t>
        </is>
      </c>
      <c r="R589" s="9" t="inlineStr"/>
      <c r="S589" s="44">
        <f>IF($M589="","",IF(SUMPRODUCT(($D$4:$D$704=$D589)*($M$4:$M$704=$M589)*($F$4:$F$704&lt;$G589)*($G$4:$G$704&gt;$F589))&gt;1,"⚠ CONFLIT",""))</f>
        <v/>
      </c>
      <c r="T589" s="44">
        <f>IF($J589="","",IF(SUMPRODUCT(($D$4:$D$704=$D589)*($J$4:$J$704=$J589)*($F$4:$F$704&lt;$G589)*($G$4:$G$704&gt;$F589))&gt;1,"⚠ CONFLIT",""))</f>
        <v/>
      </c>
      <c r="U589" s="44">
        <f>IF(COUNTIFS($D$4:$D$704,$D589,$J$4:$J$704,$J589,$F$4:$F$704,$F589,$K$4:$K$704,$K589)&gt;1,"⚠ DOUBLON","")</f>
        <v/>
      </c>
      <c r="V589" s="44">
        <f>COUNTIFS($A$4:$A589,$A589,$J$4:$J589,$J589,$E$4:$E589,$E589)</f>
        <v/>
      </c>
      <c r="W589" s="45">
        <f>$A589&amp;"|"&amp;$J589&amp;"|"&amp;$E589&amp;"|"&amp;$V589</f>
        <v/>
      </c>
      <c r="X589" s="46">
        <f>TEXT($F589,"hh:mm")&amp;" - "&amp;TEXT($G589,"hh:mm")&amp;IF($P589="Quinzaine A","   ◆ Q-A",IF($P589="Quinzaine B","   ◆ Q-B",IF($P589="Exception","   ◆ PONCTUEL","")))&amp;CHAR(10)&amp;$K589&amp;CHAR(10)&amp;$M589&amp;IF($N589&lt;&gt;"",CHAR(10)&amp;"Salle "&amp;$N589,"")&amp;IF($O589="En ligne",CHAR(10)&amp;"◆ EN LIGNE","")&amp;IF($R589&lt;&gt;"",CHAR(10)&amp;$R589,"")</f>
        <v/>
      </c>
      <c r="Y589" s="45" t="inlineStr"/>
      <c r="Z589" s="45" t="inlineStr">
        <is>
          <t>— généré —</t>
        </is>
      </c>
    </row>
    <row r="590" ht="15" customHeight="1">
      <c r="A590" s="10" t="inlineStr">
        <is>
          <t>S6</t>
        </is>
      </c>
      <c r="B590" s="9" t="inlineStr">
        <is>
          <t>du 19 au 25 octobre 2026</t>
        </is>
      </c>
      <c r="C590" s="10" t="inlineStr">
        <is>
          <t>B</t>
        </is>
      </c>
      <c r="D590" s="41" t="n">
        <v>46320</v>
      </c>
      <c r="E590" s="10" t="inlineStr">
        <is>
          <t>Dimanche</t>
        </is>
      </c>
      <c r="F590" s="42" t="n">
        <v>0.375</v>
      </c>
      <c r="G590" s="42" t="n">
        <v>0.4375</v>
      </c>
      <c r="H590" s="43">
        <f>IF(OR($F590="",$G590=""),"",($G590-$F590)*24)</f>
        <v/>
      </c>
      <c r="I590" s="10" t="inlineStr">
        <is>
          <t>Collège</t>
        </is>
      </c>
      <c r="J590" s="9" t="inlineStr">
        <is>
          <t>9éme (B)</t>
        </is>
      </c>
      <c r="K590" s="9" t="inlineStr">
        <is>
          <t>Anglais</t>
        </is>
      </c>
      <c r="L590" s="9" t="inlineStr">
        <is>
          <t>Anglais</t>
        </is>
      </c>
      <c r="M590" s="9" t="inlineStr">
        <is>
          <t>Bassma</t>
        </is>
      </c>
      <c r="N590" s="10" t="n"/>
      <c r="O590" s="10" t="n"/>
      <c r="P590" s="10" t="inlineStr">
        <is>
          <t>Hebdomadaire</t>
        </is>
      </c>
      <c r="Q590" s="9" t="inlineStr">
        <is>
          <t>Généré (octobre)</t>
        </is>
      </c>
      <c r="R590" s="9" t="inlineStr"/>
      <c r="S590" s="44">
        <f>IF($M590="","",IF(SUMPRODUCT(($D$4:$D$704=$D590)*($M$4:$M$704=$M590)*($F$4:$F$704&lt;$G590)*($G$4:$G$704&gt;$F590))&gt;1,"⚠ CONFLIT",""))</f>
        <v/>
      </c>
      <c r="T590" s="44">
        <f>IF($J590="","",IF(SUMPRODUCT(($D$4:$D$704=$D590)*($J$4:$J$704=$J590)*($F$4:$F$704&lt;$G590)*($G$4:$G$704&gt;$F590))&gt;1,"⚠ CONFLIT",""))</f>
        <v/>
      </c>
      <c r="U590" s="44">
        <f>IF(COUNTIFS($D$4:$D$704,$D590,$J$4:$J$704,$J590,$F$4:$F$704,$F590,$K$4:$K$704,$K590)&gt;1,"⚠ DOUBLON","")</f>
        <v/>
      </c>
      <c r="V590" s="44">
        <f>COUNTIFS($A$4:$A590,$A590,$J$4:$J590,$J590,$E$4:$E590,$E590)</f>
        <v/>
      </c>
      <c r="W590" s="45">
        <f>$A590&amp;"|"&amp;$J590&amp;"|"&amp;$E590&amp;"|"&amp;$V590</f>
        <v/>
      </c>
      <c r="X590" s="46">
        <f>TEXT($F590,"hh:mm")&amp;" - "&amp;TEXT($G590,"hh:mm")&amp;IF($P590="Quinzaine A","   ◆ Q-A",IF($P590="Quinzaine B","   ◆ Q-B",IF($P590="Exception","   ◆ PONCTUEL","")))&amp;CHAR(10)&amp;$K590&amp;CHAR(10)&amp;$M590&amp;IF($N590&lt;&gt;"",CHAR(10)&amp;"Salle "&amp;$N590,"")&amp;IF($O590="En ligne",CHAR(10)&amp;"◆ EN LIGNE","")&amp;IF($R590&lt;&gt;"",CHAR(10)&amp;$R590,"")</f>
        <v/>
      </c>
      <c r="Y590" s="45" t="inlineStr"/>
      <c r="Z590" s="45" t="inlineStr">
        <is>
          <t>— généré —</t>
        </is>
      </c>
    </row>
    <row r="591" ht="15" customHeight="1">
      <c r="A591" s="10" t="inlineStr">
        <is>
          <t>S6</t>
        </is>
      </c>
      <c r="B591" s="9" t="inlineStr">
        <is>
          <t>du 19 au 25 octobre 2026</t>
        </is>
      </c>
      <c r="C591" s="10" t="inlineStr">
        <is>
          <t>B</t>
        </is>
      </c>
      <c r="D591" s="41" t="n">
        <v>46320</v>
      </c>
      <c r="E591" s="10" t="inlineStr">
        <is>
          <t>Dimanche</t>
        </is>
      </c>
      <c r="F591" s="42" t="n">
        <v>0.7083333333333334</v>
      </c>
      <c r="G591" s="42" t="n">
        <v>0.7708333333333334</v>
      </c>
      <c r="H591" s="43">
        <f>IF(OR($F591="",$G591=""),"",($G591-$F591)*24)</f>
        <v/>
      </c>
      <c r="I591" s="10" t="inlineStr">
        <is>
          <t>Collège</t>
        </is>
      </c>
      <c r="J591" s="9" t="inlineStr">
        <is>
          <t>9éme (B)</t>
        </is>
      </c>
      <c r="K591" s="9" t="inlineStr">
        <is>
          <t>Français</t>
        </is>
      </c>
      <c r="L591" s="9" t="inlineStr">
        <is>
          <t>Français</t>
        </is>
      </c>
      <c r="M591" s="9" t="inlineStr">
        <is>
          <t>Nassima</t>
        </is>
      </c>
      <c r="N591" s="10" t="n"/>
      <c r="O591" s="10" t="n"/>
      <c r="P591" s="10" t="inlineStr">
        <is>
          <t>Hebdomadaire</t>
        </is>
      </c>
      <c r="Q591" s="9" t="inlineStr">
        <is>
          <t>Généré (octobre)</t>
        </is>
      </c>
      <c r="R591" s="9" t="inlineStr"/>
      <c r="S591" s="44">
        <f>IF($M591="","",IF(SUMPRODUCT(($D$4:$D$704=$D591)*($M$4:$M$704=$M591)*($F$4:$F$704&lt;$G591)*($G$4:$G$704&gt;$F591))&gt;1,"⚠ CONFLIT",""))</f>
        <v/>
      </c>
      <c r="T591" s="44">
        <f>IF($J591="","",IF(SUMPRODUCT(($D$4:$D$704=$D591)*($J$4:$J$704=$J591)*($F$4:$F$704&lt;$G591)*($G$4:$G$704&gt;$F591))&gt;1,"⚠ CONFLIT",""))</f>
        <v/>
      </c>
      <c r="U591" s="44">
        <f>IF(COUNTIFS($D$4:$D$704,$D591,$J$4:$J$704,$J591,$F$4:$F$704,$F591,$K$4:$K$704,$K591)&gt;1,"⚠ DOUBLON","")</f>
        <v/>
      </c>
      <c r="V591" s="44">
        <f>COUNTIFS($A$4:$A591,$A591,$J$4:$J591,$J591,$E$4:$E591,$E591)</f>
        <v/>
      </c>
      <c r="W591" s="45">
        <f>$A591&amp;"|"&amp;$J591&amp;"|"&amp;$E591&amp;"|"&amp;$V591</f>
        <v/>
      </c>
      <c r="X591" s="46">
        <f>TEXT($F591,"hh:mm")&amp;" - "&amp;TEXT($G591,"hh:mm")&amp;IF($P591="Quinzaine A","   ◆ Q-A",IF($P591="Quinzaine B","   ◆ Q-B",IF($P591="Exception","   ◆ PONCTUEL","")))&amp;CHAR(10)&amp;$K591&amp;CHAR(10)&amp;$M591&amp;IF($N591&lt;&gt;"",CHAR(10)&amp;"Salle "&amp;$N591,"")&amp;IF($O591="En ligne",CHAR(10)&amp;"◆ EN LIGNE","")&amp;IF($R591&lt;&gt;"",CHAR(10)&amp;$R591,"")</f>
        <v/>
      </c>
      <c r="Y591" s="45" t="inlineStr"/>
      <c r="Z591" s="45" t="inlineStr">
        <is>
          <t>— généré —</t>
        </is>
      </c>
    </row>
    <row r="592" ht="15" customHeight="1">
      <c r="A592" s="10" t="inlineStr">
        <is>
          <t>S6</t>
        </is>
      </c>
      <c r="B592" s="9" t="inlineStr">
        <is>
          <t>du 19 au 25 octobre 2026</t>
        </is>
      </c>
      <c r="C592" s="10" t="inlineStr">
        <is>
          <t>B</t>
        </is>
      </c>
      <c r="D592" s="41" t="n">
        <v>46320</v>
      </c>
      <c r="E592" s="10" t="inlineStr">
        <is>
          <t>Dimanche</t>
        </is>
      </c>
      <c r="F592" s="42" t="n">
        <v>0.375</v>
      </c>
      <c r="G592" s="42" t="n">
        <v>0.4375</v>
      </c>
      <c r="H592" s="43">
        <f>IF(OR($F592="",$G592=""),"",($G592-$F592)*24)</f>
        <v/>
      </c>
      <c r="I592" s="10" t="inlineStr">
        <is>
          <t>Secondaire</t>
        </is>
      </c>
      <c r="J592" s="9" t="inlineStr">
        <is>
          <t>1ére (A)</t>
        </is>
      </c>
      <c r="K592" s="9" t="inlineStr">
        <is>
          <t>Physique</t>
        </is>
      </c>
      <c r="L592" s="9" t="inlineStr">
        <is>
          <t>Physique</t>
        </is>
      </c>
      <c r="M592" s="9" t="inlineStr">
        <is>
          <t>Refka</t>
        </is>
      </c>
      <c r="N592" s="10" t="n"/>
      <c r="O592" s="10" t="n"/>
      <c r="P592" s="10" t="inlineStr">
        <is>
          <t>Hebdomadaire</t>
        </is>
      </c>
      <c r="Q592" s="9" t="inlineStr">
        <is>
          <t>Généré (octobre)</t>
        </is>
      </c>
      <c r="R592" s="9" t="inlineStr"/>
      <c r="S592" s="44">
        <f>IF($M592="","",IF(SUMPRODUCT(($D$4:$D$704=$D592)*($M$4:$M$704=$M592)*($F$4:$F$704&lt;$G592)*($G$4:$G$704&gt;$F592))&gt;1,"⚠ CONFLIT",""))</f>
        <v/>
      </c>
      <c r="T592" s="44">
        <f>IF($J592="","",IF(SUMPRODUCT(($D$4:$D$704=$D592)*($J$4:$J$704=$J592)*($F$4:$F$704&lt;$G592)*($G$4:$G$704&gt;$F592))&gt;1,"⚠ CONFLIT",""))</f>
        <v/>
      </c>
      <c r="U592" s="44">
        <f>IF(COUNTIFS($D$4:$D$704,$D592,$J$4:$J$704,$J592,$F$4:$F$704,$F592,$K$4:$K$704,$K592)&gt;1,"⚠ DOUBLON","")</f>
        <v/>
      </c>
      <c r="V592" s="44">
        <f>COUNTIFS($A$4:$A592,$A592,$J$4:$J592,$J592,$E$4:$E592,$E592)</f>
        <v/>
      </c>
      <c r="W592" s="45">
        <f>$A592&amp;"|"&amp;$J592&amp;"|"&amp;$E592&amp;"|"&amp;$V592</f>
        <v/>
      </c>
      <c r="X592" s="46">
        <f>TEXT($F592,"hh:mm")&amp;" - "&amp;TEXT($G592,"hh:mm")&amp;IF($P592="Quinzaine A","   ◆ Q-A",IF($P592="Quinzaine B","   ◆ Q-B",IF($P592="Exception","   ◆ PONCTUEL","")))&amp;CHAR(10)&amp;$K592&amp;CHAR(10)&amp;$M592&amp;IF($N592&lt;&gt;"",CHAR(10)&amp;"Salle "&amp;$N592,"")&amp;IF($O592="En ligne",CHAR(10)&amp;"◆ EN LIGNE","")&amp;IF($R592&lt;&gt;"",CHAR(10)&amp;$R592,"")</f>
        <v/>
      </c>
      <c r="Y592" s="45" t="inlineStr"/>
      <c r="Z592" s="45" t="inlineStr">
        <is>
          <t>— généré —</t>
        </is>
      </c>
    </row>
    <row r="593" ht="15" customHeight="1">
      <c r="A593" s="10" t="inlineStr">
        <is>
          <t>S6</t>
        </is>
      </c>
      <c r="B593" s="9" t="inlineStr">
        <is>
          <t>du 19 au 25 octobre 2026</t>
        </is>
      </c>
      <c r="C593" s="10" t="inlineStr">
        <is>
          <t>B</t>
        </is>
      </c>
      <c r="D593" s="41" t="n">
        <v>46320</v>
      </c>
      <c r="E593" s="10" t="inlineStr">
        <is>
          <t>Dimanche</t>
        </is>
      </c>
      <c r="F593" s="42" t="n">
        <v>0.4375</v>
      </c>
      <c r="G593" s="42" t="n">
        <v>0.5</v>
      </c>
      <c r="H593" s="43">
        <f>IF(OR($F593="",$G593=""),"",($G593-$F593)*24)</f>
        <v/>
      </c>
      <c r="I593" s="10" t="inlineStr">
        <is>
          <t>Secondaire</t>
        </is>
      </c>
      <c r="J593" s="9" t="inlineStr">
        <is>
          <t>1ére (B)</t>
        </is>
      </c>
      <c r="K593" s="9" t="inlineStr">
        <is>
          <t>Physique</t>
        </is>
      </c>
      <c r="L593" s="9" t="inlineStr">
        <is>
          <t>Physique</t>
        </is>
      </c>
      <c r="M593" s="9" t="inlineStr">
        <is>
          <t>Refka</t>
        </is>
      </c>
      <c r="N593" s="10" t="n"/>
      <c r="O593" s="10" t="n"/>
      <c r="P593" s="10" t="inlineStr">
        <is>
          <t>Hebdomadaire</t>
        </is>
      </c>
      <c r="Q593" s="9" t="inlineStr">
        <is>
          <t>Généré (octobre)</t>
        </is>
      </c>
      <c r="R593" s="9" t="inlineStr"/>
      <c r="S593" s="44">
        <f>IF($M593="","",IF(SUMPRODUCT(($D$4:$D$704=$D593)*($M$4:$M$704=$M593)*($F$4:$F$704&lt;$G593)*($G$4:$G$704&gt;$F593))&gt;1,"⚠ CONFLIT",""))</f>
        <v/>
      </c>
      <c r="T593" s="44">
        <f>IF($J593="","",IF(SUMPRODUCT(($D$4:$D$704=$D593)*($J$4:$J$704=$J593)*($F$4:$F$704&lt;$G593)*($G$4:$G$704&gt;$F593))&gt;1,"⚠ CONFLIT",""))</f>
        <v/>
      </c>
      <c r="U593" s="44">
        <f>IF(COUNTIFS($D$4:$D$704,$D593,$J$4:$J$704,$J593,$F$4:$F$704,$F593,$K$4:$K$704,$K593)&gt;1,"⚠ DOUBLON","")</f>
        <v/>
      </c>
      <c r="V593" s="44">
        <f>COUNTIFS($A$4:$A593,$A593,$J$4:$J593,$J593,$E$4:$E593,$E593)</f>
        <v/>
      </c>
      <c r="W593" s="45">
        <f>$A593&amp;"|"&amp;$J593&amp;"|"&amp;$E593&amp;"|"&amp;$V593</f>
        <v/>
      </c>
      <c r="X593" s="46">
        <f>TEXT($F593,"hh:mm")&amp;" - "&amp;TEXT($G593,"hh:mm")&amp;IF($P593="Quinzaine A","   ◆ Q-A",IF($P593="Quinzaine B","   ◆ Q-B",IF($P593="Exception","   ◆ PONCTUEL","")))&amp;CHAR(10)&amp;$K593&amp;CHAR(10)&amp;$M593&amp;IF($N593&lt;&gt;"",CHAR(10)&amp;"Salle "&amp;$N593,"")&amp;IF($O593="En ligne",CHAR(10)&amp;"◆ EN LIGNE","")&amp;IF($R593&lt;&gt;"",CHAR(10)&amp;$R593,"")</f>
        <v/>
      </c>
      <c r="Y593" s="45" t="inlineStr"/>
      <c r="Z593" s="45" t="inlineStr">
        <is>
          <t>— généré —</t>
        </is>
      </c>
    </row>
    <row r="594" ht="15" customHeight="1">
      <c r="A594" s="10" t="inlineStr">
        <is>
          <t>S6</t>
        </is>
      </c>
      <c r="B594" s="9" t="inlineStr">
        <is>
          <t>du 19 au 25 octobre 2026</t>
        </is>
      </c>
      <c r="C594" s="10" t="inlineStr">
        <is>
          <t>B</t>
        </is>
      </c>
      <c r="D594" s="41" t="n">
        <v>46320</v>
      </c>
      <c r="E594" s="10" t="inlineStr">
        <is>
          <t>Dimanche</t>
        </is>
      </c>
      <c r="F594" s="42" t="n">
        <v>0.5416666666666666</v>
      </c>
      <c r="G594" s="42" t="n">
        <v>0.6041666666666666</v>
      </c>
      <c r="H594" s="43">
        <f>IF(OR($F594="",$G594=""),"",($G594-$F594)*24)</f>
        <v/>
      </c>
      <c r="I594" s="10" t="inlineStr">
        <is>
          <t>Secondaire</t>
        </is>
      </c>
      <c r="J594" s="9" t="inlineStr">
        <is>
          <t>1ére (B)</t>
        </is>
      </c>
      <c r="K594" s="9" t="inlineStr">
        <is>
          <t>SVT</t>
        </is>
      </c>
      <c r="L594" s="9" t="inlineStr">
        <is>
          <t>SVT</t>
        </is>
      </c>
      <c r="M594" s="9" t="inlineStr">
        <is>
          <t>Imen Ghoumeme</t>
        </is>
      </c>
      <c r="N594" s="10" t="n"/>
      <c r="O594" s="10" t="n"/>
      <c r="P594" s="10" t="inlineStr">
        <is>
          <t>Quinzaine B</t>
        </is>
      </c>
      <c r="Q594" s="9" t="inlineStr">
        <is>
          <t>Généré (octobre)</t>
        </is>
      </c>
      <c r="R594" s="9" t="inlineStr"/>
      <c r="S594" s="44">
        <f>IF($M594="","",IF(SUMPRODUCT(($D$4:$D$704=$D594)*($M$4:$M$704=$M594)*($F$4:$F$704&lt;$G594)*($G$4:$G$704&gt;$F594))&gt;1,"⚠ CONFLIT",""))</f>
        <v/>
      </c>
      <c r="T594" s="44">
        <f>IF($J594="","",IF(SUMPRODUCT(($D$4:$D$704=$D594)*($J$4:$J$704=$J594)*($F$4:$F$704&lt;$G594)*($G$4:$G$704&gt;$F594))&gt;1,"⚠ CONFLIT",""))</f>
        <v/>
      </c>
      <c r="U594" s="44">
        <f>IF(COUNTIFS($D$4:$D$704,$D594,$J$4:$J$704,$J594,$F$4:$F$704,$F594,$K$4:$K$704,$K594)&gt;1,"⚠ DOUBLON","")</f>
        <v/>
      </c>
      <c r="V594" s="44">
        <f>COUNTIFS($A$4:$A594,$A594,$J$4:$J594,$J594,$E$4:$E594,$E594)</f>
        <v/>
      </c>
      <c r="W594" s="45">
        <f>$A594&amp;"|"&amp;$J594&amp;"|"&amp;$E594&amp;"|"&amp;$V594</f>
        <v/>
      </c>
      <c r="X594" s="46">
        <f>TEXT($F594,"hh:mm")&amp;" - "&amp;TEXT($G594,"hh:mm")&amp;IF($P594="Quinzaine A","   ◆ Q-A",IF($P594="Quinzaine B","   ◆ Q-B",IF($P594="Exception","   ◆ PONCTUEL","")))&amp;CHAR(10)&amp;$K594&amp;CHAR(10)&amp;$M594&amp;IF($N594&lt;&gt;"",CHAR(10)&amp;"Salle "&amp;$N594,"")&amp;IF($O594="En ligne",CHAR(10)&amp;"◆ EN LIGNE","")&amp;IF($R594&lt;&gt;"",CHAR(10)&amp;$R594,"")</f>
        <v/>
      </c>
      <c r="Y594" s="45" t="inlineStr"/>
      <c r="Z594" s="45" t="inlineStr">
        <is>
          <t>— généré —</t>
        </is>
      </c>
    </row>
    <row r="595" ht="15" customHeight="1">
      <c r="A595" s="10" t="inlineStr">
        <is>
          <t>S6</t>
        </is>
      </c>
      <c r="B595" s="9" t="inlineStr">
        <is>
          <t>du 19 au 25 octobre 2026</t>
        </is>
      </c>
      <c r="C595" s="10" t="inlineStr">
        <is>
          <t>B</t>
        </is>
      </c>
      <c r="D595" s="41" t="n">
        <v>46320</v>
      </c>
      <c r="E595" s="10" t="inlineStr">
        <is>
          <t>Dimanche</t>
        </is>
      </c>
      <c r="F595" s="42" t="n">
        <v>0.375</v>
      </c>
      <c r="G595" s="42" t="n">
        <v>0.4375</v>
      </c>
      <c r="H595" s="43">
        <f>IF(OR($F595="",$G595=""),"",($G595-$F595)*24)</f>
        <v/>
      </c>
      <c r="I595" s="10" t="inlineStr">
        <is>
          <t>Secondaire</t>
        </is>
      </c>
      <c r="J595" s="9" t="inlineStr">
        <is>
          <t>2éme Eco</t>
        </is>
      </c>
      <c r="K595" s="9" t="inlineStr">
        <is>
          <t>Eco</t>
        </is>
      </c>
      <c r="L595" s="9" t="inlineStr">
        <is>
          <t>Eco</t>
        </is>
      </c>
      <c r="M595" s="9" t="inlineStr">
        <is>
          <t>Rym</t>
        </is>
      </c>
      <c r="N595" s="10" t="n"/>
      <c r="O595" s="10" t="n"/>
      <c r="P595" s="10" t="inlineStr">
        <is>
          <t>Hebdomadaire</t>
        </is>
      </c>
      <c r="Q595" s="9" t="inlineStr">
        <is>
          <t>Généré (octobre)</t>
        </is>
      </c>
      <c r="R595" s="9" t="inlineStr"/>
      <c r="S595" s="44">
        <f>IF($M595="","",IF(SUMPRODUCT(($D$4:$D$704=$D595)*($M$4:$M$704=$M595)*($F$4:$F$704&lt;$G595)*($G$4:$G$704&gt;$F595))&gt;1,"⚠ CONFLIT",""))</f>
        <v/>
      </c>
      <c r="T595" s="44">
        <f>IF($J595="","",IF(SUMPRODUCT(($D$4:$D$704=$D595)*($J$4:$J$704=$J595)*($F$4:$F$704&lt;$G595)*($G$4:$G$704&gt;$F595))&gt;1,"⚠ CONFLIT",""))</f>
        <v/>
      </c>
      <c r="U595" s="44">
        <f>IF(COUNTIFS($D$4:$D$704,$D595,$J$4:$J$704,$J595,$F$4:$F$704,$F595,$K$4:$K$704,$K595)&gt;1,"⚠ DOUBLON","")</f>
        <v/>
      </c>
      <c r="V595" s="44">
        <f>COUNTIFS($A$4:$A595,$A595,$J$4:$J595,$J595,$E$4:$E595,$E595)</f>
        <v/>
      </c>
      <c r="W595" s="45">
        <f>$A595&amp;"|"&amp;$J595&amp;"|"&amp;$E595&amp;"|"&amp;$V595</f>
        <v/>
      </c>
      <c r="X595" s="46">
        <f>TEXT($F595,"hh:mm")&amp;" - "&amp;TEXT($G595,"hh:mm")&amp;IF($P595="Quinzaine A","   ◆ Q-A",IF($P595="Quinzaine B","   ◆ Q-B",IF($P595="Exception","   ◆ PONCTUEL","")))&amp;CHAR(10)&amp;$K595&amp;CHAR(10)&amp;$M595&amp;IF($N595&lt;&gt;"",CHAR(10)&amp;"Salle "&amp;$N595,"")&amp;IF($O595="En ligne",CHAR(10)&amp;"◆ EN LIGNE","")&amp;IF($R595&lt;&gt;"",CHAR(10)&amp;$R595,"")</f>
        <v/>
      </c>
      <c r="Y595" s="45" t="inlineStr"/>
      <c r="Z595" s="45" t="inlineStr">
        <is>
          <t>— généré —</t>
        </is>
      </c>
    </row>
    <row r="596" ht="15" customHeight="1">
      <c r="A596" s="10" t="inlineStr">
        <is>
          <t>S6</t>
        </is>
      </c>
      <c r="B596" s="9" t="inlineStr">
        <is>
          <t>du 19 au 25 octobre 2026</t>
        </is>
      </c>
      <c r="C596" s="10" t="inlineStr">
        <is>
          <t>B</t>
        </is>
      </c>
      <c r="D596" s="41" t="n">
        <v>46320</v>
      </c>
      <c r="E596" s="10" t="inlineStr">
        <is>
          <t>Dimanche</t>
        </is>
      </c>
      <c r="F596" s="42" t="n">
        <v>0.5</v>
      </c>
      <c r="G596" s="42" t="n">
        <v>0.5625</v>
      </c>
      <c r="H596" s="43">
        <f>IF(OR($F596="",$G596=""),"",($G596-$F596)*24)</f>
        <v/>
      </c>
      <c r="I596" s="10" t="inlineStr">
        <is>
          <t>Secondaire</t>
        </is>
      </c>
      <c r="J596" s="9" t="inlineStr">
        <is>
          <t>2éme SCE</t>
        </is>
      </c>
      <c r="K596" s="9" t="inlineStr">
        <is>
          <t>Physique</t>
        </is>
      </c>
      <c r="L596" s="9" t="inlineStr">
        <is>
          <t>Physique</t>
        </is>
      </c>
      <c r="M596" s="9" t="inlineStr">
        <is>
          <t>Refka</t>
        </is>
      </c>
      <c r="N596" s="10" t="n"/>
      <c r="O596" s="10" t="n"/>
      <c r="P596" s="10" t="inlineStr">
        <is>
          <t>Hebdomadaire</t>
        </is>
      </c>
      <c r="Q596" s="9" t="inlineStr">
        <is>
          <t>Généré (octobre)</t>
        </is>
      </c>
      <c r="R596" s="9" t="inlineStr"/>
      <c r="S596" s="44">
        <f>IF($M596="","",IF(SUMPRODUCT(($D$4:$D$704=$D596)*($M$4:$M$704=$M596)*($F$4:$F$704&lt;$G596)*($G$4:$G$704&gt;$F596))&gt;1,"⚠ CONFLIT",""))</f>
        <v/>
      </c>
      <c r="T596" s="44">
        <f>IF($J596="","",IF(SUMPRODUCT(($D$4:$D$704=$D596)*($J$4:$J$704=$J596)*($F$4:$F$704&lt;$G596)*($G$4:$G$704&gt;$F596))&gt;1,"⚠ CONFLIT",""))</f>
        <v/>
      </c>
      <c r="U596" s="44">
        <f>IF(COUNTIFS($D$4:$D$704,$D596,$J$4:$J$704,$J596,$F$4:$F$704,$F596,$K$4:$K$704,$K596)&gt;1,"⚠ DOUBLON","")</f>
        <v/>
      </c>
      <c r="V596" s="44">
        <f>COUNTIFS($A$4:$A596,$A596,$J$4:$J596,$J596,$E$4:$E596,$E596)</f>
        <v/>
      </c>
      <c r="W596" s="45">
        <f>$A596&amp;"|"&amp;$J596&amp;"|"&amp;$E596&amp;"|"&amp;$V596</f>
        <v/>
      </c>
      <c r="X596" s="46">
        <f>TEXT($F596,"hh:mm")&amp;" - "&amp;TEXT($G596,"hh:mm")&amp;IF($P596="Quinzaine A","   ◆ Q-A",IF($P596="Quinzaine B","   ◆ Q-B",IF($P596="Exception","   ◆ PONCTUEL","")))&amp;CHAR(10)&amp;$K596&amp;CHAR(10)&amp;$M596&amp;IF($N596&lt;&gt;"",CHAR(10)&amp;"Salle "&amp;$N596,"")&amp;IF($O596="En ligne",CHAR(10)&amp;"◆ EN LIGNE","")&amp;IF($R596&lt;&gt;"",CHAR(10)&amp;$R596,"")</f>
        <v/>
      </c>
      <c r="Y596" s="45" t="inlineStr"/>
      <c r="Z596" s="45" t="inlineStr">
        <is>
          <t>— généré —</t>
        </is>
      </c>
    </row>
    <row r="597" ht="15" customHeight="1">
      <c r="A597" s="10" t="inlineStr">
        <is>
          <t>S6</t>
        </is>
      </c>
      <c r="B597" s="9" t="inlineStr">
        <is>
          <t>du 19 au 25 octobre 2026</t>
        </is>
      </c>
      <c r="C597" s="10" t="inlineStr">
        <is>
          <t>B</t>
        </is>
      </c>
      <c r="D597" s="41" t="n">
        <v>46320</v>
      </c>
      <c r="E597" s="10" t="inlineStr">
        <is>
          <t>Dimanche</t>
        </is>
      </c>
      <c r="F597" s="42" t="n">
        <v>0.4375</v>
      </c>
      <c r="G597" s="42" t="n">
        <v>0.5</v>
      </c>
      <c r="H597" s="43">
        <f>IF(OR($F597="",$G597=""),"",($G597-$F597)*24)</f>
        <v/>
      </c>
      <c r="I597" s="10" t="inlineStr">
        <is>
          <t>Secondaire</t>
        </is>
      </c>
      <c r="J597" s="9" t="inlineStr">
        <is>
          <t>3éme Eco</t>
        </is>
      </c>
      <c r="K597" s="9" t="inlineStr">
        <is>
          <t>Eco</t>
        </is>
      </c>
      <c r="L597" s="9" t="inlineStr">
        <is>
          <t>Eco</t>
        </is>
      </c>
      <c r="M597" s="9" t="inlineStr">
        <is>
          <t>Rym</t>
        </is>
      </c>
      <c r="N597" s="10" t="n"/>
      <c r="O597" s="10" t="n"/>
      <c r="P597" s="10" t="inlineStr">
        <is>
          <t>Hebdomadaire</t>
        </is>
      </c>
      <c r="Q597" s="9" t="inlineStr">
        <is>
          <t>Généré (octobre)</t>
        </is>
      </c>
      <c r="R597" s="9" t="inlineStr"/>
      <c r="S597" s="44">
        <f>IF($M597="","",IF(SUMPRODUCT(($D$4:$D$704=$D597)*($M$4:$M$704=$M597)*($F$4:$F$704&lt;$G597)*($G$4:$G$704&gt;$F597))&gt;1,"⚠ CONFLIT",""))</f>
        <v/>
      </c>
      <c r="T597" s="44">
        <f>IF($J597="","",IF(SUMPRODUCT(($D$4:$D$704=$D597)*($J$4:$J$704=$J597)*($F$4:$F$704&lt;$G597)*($G$4:$G$704&gt;$F597))&gt;1,"⚠ CONFLIT",""))</f>
        <v/>
      </c>
      <c r="U597" s="44">
        <f>IF(COUNTIFS($D$4:$D$704,$D597,$J$4:$J$704,$J597,$F$4:$F$704,$F597,$K$4:$K$704,$K597)&gt;1,"⚠ DOUBLON","")</f>
        <v/>
      </c>
      <c r="V597" s="44">
        <f>COUNTIFS($A$4:$A597,$A597,$J$4:$J597,$J597,$E$4:$E597,$E597)</f>
        <v/>
      </c>
      <c r="W597" s="45">
        <f>$A597&amp;"|"&amp;$J597&amp;"|"&amp;$E597&amp;"|"&amp;$V597</f>
        <v/>
      </c>
      <c r="X597" s="46">
        <f>TEXT($F597,"hh:mm")&amp;" - "&amp;TEXT($G597,"hh:mm")&amp;IF($P597="Quinzaine A","   ◆ Q-A",IF($P597="Quinzaine B","   ◆ Q-B",IF($P597="Exception","   ◆ PONCTUEL","")))&amp;CHAR(10)&amp;$K597&amp;CHAR(10)&amp;$M597&amp;IF($N597&lt;&gt;"",CHAR(10)&amp;"Salle "&amp;$N597,"")&amp;IF($O597="En ligne",CHAR(10)&amp;"◆ EN LIGNE","")&amp;IF($R597&lt;&gt;"",CHAR(10)&amp;$R597,"")</f>
        <v/>
      </c>
      <c r="Y597" s="45" t="inlineStr"/>
      <c r="Z597" s="45" t="inlineStr">
        <is>
          <t>— généré —</t>
        </is>
      </c>
    </row>
    <row r="598" ht="15" customHeight="1">
      <c r="A598" s="10" t="inlineStr">
        <is>
          <t>S6</t>
        </is>
      </c>
      <c r="B598" s="9" t="inlineStr">
        <is>
          <t>du 19 au 25 octobre 2026</t>
        </is>
      </c>
      <c r="C598" s="10" t="inlineStr">
        <is>
          <t>B</t>
        </is>
      </c>
      <c r="D598" s="41" t="n">
        <v>46320</v>
      </c>
      <c r="E598" s="10" t="inlineStr">
        <is>
          <t>Dimanche</t>
        </is>
      </c>
      <c r="F598" s="42" t="n">
        <v>0.5833333333333334</v>
      </c>
      <c r="G598" s="42" t="n">
        <v>0.6458333333333334</v>
      </c>
      <c r="H598" s="43">
        <f>IF(OR($F598="",$G598=""),"",($G598-$F598)*24)</f>
        <v/>
      </c>
      <c r="I598" s="10" t="inlineStr">
        <is>
          <t>Secondaire</t>
        </is>
      </c>
      <c r="J598" s="9" t="inlineStr">
        <is>
          <t>3éme Eco</t>
        </is>
      </c>
      <c r="K598" s="9" t="inlineStr">
        <is>
          <t>Math</t>
        </is>
      </c>
      <c r="L598" s="9" t="inlineStr">
        <is>
          <t>Math</t>
        </is>
      </c>
      <c r="M598" s="9" t="inlineStr">
        <is>
          <t>Lotfi</t>
        </is>
      </c>
      <c r="N598" s="10" t="n"/>
      <c r="O598" s="10" t="n"/>
      <c r="P598" s="10" t="inlineStr">
        <is>
          <t>Hebdomadaire</t>
        </is>
      </c>
      <c r="Q598" s="9" t="inlineStr">
        <is>
          <t>Généré (octobre)</t>
        </is>
      </c>
      <c r="R598" s="9" t="inlineStr"/>
      <c r="S598" s="44">
        <f>IF($M598="","",IF(SUMPRODUCT(($D$4:$D$704=$D598)*($M$4:$M$704=$M598)*($F$4:$F$704&lt;$G598)*($G$4:$G$704&gt;$F598))&gt;1,"⚠ CONFLIT",""))</f>
        <v/>
      </c>
      <c r="T598" s="44">
        <f>IF($J598="","",IF(SUMPRODUCT(($D$4:$D$704=$D598)*($J$4:$J$704=$J598)*($F$4:$F$704&lt;$G598)*($G$4:$G$704&gt;$F598))&gt;1,"⚠ CONFLIT",""))</f>
        <v/>
      </c>
      <c r="U598" s="44">
        <f>IF(COUNTIFS($D$4:$D$704,$D598,$J$4:$J$704,$J598,$F$4:$F$704,$F598,$K$4:$K$704,$K598)&gt;1,"⚠ DOUBLON","")</f>
        <v/>
      </c>
      <c r="V598" s="44">
        <f>COUNTIFS($A$4:$A598,$A598,$J$4:$J598,$J598,$E$4:$E598,$E598)</f>
        <v/>
      </c>
      <c r="W598" s="45">
        <f>$A598&amp;"|"&amp;$J598&amp;"|"&amp;$E598&amp;"|"&amp;$V598</f>
        <v/>
      </c>
      <c r="X598" s="46">
        <f>TEXT($F598,"hh:mm")&amp;" - "&amp;TEXT($G598,"hh:mm")&amp;IF($P598="Quinzaine A","   ◆ Q-A",IF($P598="Quinzaine B","   ◆ Q-B",IF($P598="Exception","   ◆ PONCTUEL","")))&amp;CHAR(10)&amp;$K598&amp;CHAR(10)&amp;$M598&amp;IF($N598&lt;&gt;"",CHAR(10)&amp;"Salle "&amp;$N598,"")&amp;IF($O598="En ligne",CHAR(10)&amp;"◆ EN LIGNE","")&amp;IF($R598&lt;&gt;"",CHAR(10)&amp;$R598,"")</f>
        <v/>
      </c>
      <c r="Y598" s="45" t="inlineStr"/>
      <c r="Z598" s="45" t="inlineStr">
        <is>
          <t>— généré —</t>
        </is>
      </c>
    </row>
    <row r="599" ht="15" customHeight="1">
      <c r="A599" s="10" t="inlineStr">
        <is>
          <t>S6</t>
        </is>
      </c>
      <c r="B599" s="9" t="inlineStr">
        <is>
          <t>du 19 au 25 octobre 2026</t>
        </is>
      </c>
      <c r="C599" s="10" t="inlineStr">
        <is>
          <t>B</t>
        </is>
      </c>
      <c r="D599" s="41" t="n">
        <v>46320</v>
      </c>
      <c r="E599" s="10" t="inlineStr">
        <is>
          <t>Dimanche</t>
        </is>
      </c>
      <c r="F599" s="42" t="n">
        <v>0.5</v>
      </c>
      <c r="G599" s="42" t="n">
        <v>0.5625</v>
      </c>
      <c r="H599" s="43">
        <f>IF(OR($F599="",$G599=""),"",($G599-$F599)*24)</f>
        <v/>
      </c>
      <c r="I599" s="10" t="inlineStr">
        <is>
          <t>Secondaire</t>
        </is>
      </c>
      <c r="J599" s="9" t="inlineStr">
        <is>
          <t>3éme INFO</t>
        </is>
      </c>
      <c r="K599" s="9" t="inlineStr">
        <is>
          <t>Math</t>
        </is>
      </c>
      <c r="L599" s="9" t="inlineStr">
        <is>
          <t>Math</t>
        </is>
      </c>
      <c r="M599" s="9" t="inlineStr">
        <is>
          <t>Lotfi</t>
        </is>
      </c>
      <c r="N599" s="10" t="n"/>
      <c r="O599" s="10" t="n"/>
      <c r="P599" s="10" t="inlineStr">
        <is>
          <t>Hebdomadaire</t>
        </is>
      </c>
      <c r="Q599" s="9" t="inlineStr">
        <is>
          <t>Généré (octobre)</t>
        </is>
      </c>
      <c r="R599" s="9" t="inlineStr"/>
      <c r="S599" s="44">
        <f>IF($M599="","",IF(SUMPRODUCT(($D$4:$D$704=$D599)*($M$4:$M$704=$M599)*($F$4:$F$704&lt;$G599)*($G$4:$G$704&gt;$F599))&gt;1,"⚠ CONFLIT",""))</f>
        <v/>
      </c>
      <c r="T599" s="44">
        <f>IF($J599="","",IF(SUMPRODUCT(($D$4:$D$704=$D599)*($J$4:$J$704=$J599)*($F$4:$F$704&lt;$G599)*($G$4:$G$704&gt;$F599))&gt;1,"⚠ CONFLIT",""))</f>
        <v/>
      </c>
      <c r="U599" s="44">
        <f>IF(COUNTIFS($D$4:$D$704,$D599,$J$4:$J$704,$J599,$F$4:$F$704,$F599,$K$4:$K$704,$K599)&gt;1,"⚠ DOUBLON","")</f>
        <v/>
      </c>
      <c r="V599" s="44">
        <f>COUNTIFS($A$4:$A599,$A599,$J$4:$J599,$J599,$E$4:$E599,$E599)</f>
        <v/>
      </c>
      <c r="W599" s="45">
        <f>$A599&amp;"|"&amp;$J599&amp;"|"&amp;$E599&amp;"|"&amp;$V599</f>
        <v/>
      </c>
      <c r="X599" s="46">
        <f>TEXT($F599,"hh:mm")&amp;" - "&amp;TEXT($G599,"hh:mm")&amp;IF($P599="Quinzaine A","   ◆ Q-A",IF($P599="Quinzaine B","   ◆ Q-B",IF($P599="Exception","   ◆ PONCTUEL","")))&amp;CHAR(10)&amp;$K599&amp;CHAR(10)&amp;$M599&amp;IF($N599&lt;&gt;"",CHAR(10)&amp;"Salle "&amp;$N599,"")&amp;IF($O599="En ligne",CHAR(10)&amp;"◆ EN LIGNE","")&amp;IF($R599&lt;&gt;"",CHAR(10)&amp;$R599,"")</f>
        <v/>
      </c>
      <c r="Y599" s="45" t="inlineStr"/>
      <c r="Z599" s="45" t="inlineStr">
        <is>
          <t>— généré —</t>
        </is>
      </c>
    </row>
    <row r="600" ht="15" customHeight="1">
      <c r="A600" s="10" t="inlineStr">
        <is>
          <t>S6</t>
        </is>
      </c>
      <c r="B600" s="9" t="inlineStr">
        <is>
          <t>du 19 au 25 octobre 2026</t>
        </is>
      </c>
      <c r="C600" s="10" t="inlineStr">
        <is>
          <t>B</t>
        </is>
      </c>
      <c r="D600" s="41" t="n">
        <v>46320</v>
      </c>
      <c r="E600" s="10" t="inlineStr">
        <is>
          <t>Dimanche</t>
        </is>
      </c>
      <c r="F600" s="42" t="n">
        <v>0.4375</v>
      </c>
      <c r="G600" s="42" t="n">
        <v>0.5</v>
      </c>
      <c r="H600" s="43">
        <f>IF(OR($F600="",$G600=""),"",($G600-$F600)*24)</f>
        <v/>
      </c>
      <c r="I600" s="10" t="inlineStr">
        <is>
          <t>Secondaire</t>
        </is>
      </c>
      <c r="J600" s="9" t="inlineStr">
        <is>
          <t>3éme SCE</t>
        </is>
      </c>
      <c r="K600" s="9" t="inlineStr">
        <is>
          <t>Physique</t>
        </is>
      </c>
      <c r="L600" s="9" t="inlineStr">
        <is>
          <t>Physique</t>
        </is>
      </c>
      <c r="M600" s="9" t="inlineStr">
        <is>
          <t>Sondes</t>
        </is>
      </c>
      <c r="N600" s="10" t="n"/>
      <c r="O600" s="10" t="n"/>
      <c r="P600" s="10" t="inlineStr">
        <is>
          <t>Hebdomadaire</t>
        </is>
      </c>
      <c r="Q600" s="9" t="inlineStr">
        <is>
          <t>Généré (octobre)</t>
        </is>
      </c>
      <c r="R600" s="9" t="inlineStr"/>
      <c r="S600" s="44">
        <f>IF($M600="","",IF(SUMPRODUCT(($D$4:$D$704=$D600)*($M$4:$M$704=$M600)*($F$4:$F$704&lt;$G600)*($G$4:$G$704&gt;$F600))&gt;1,"⚠ CONFLIT",""))</f>
        <v/>
      </c>
      <c r="T600" s="44">
        <f>IF($J600="","",IF(SUMPRODUCT(($D$4:$D$704=$D600)*($J$4:$J$704=$J600)*($F$4:$F$704&lt;$G600)*($G$4:$G$704&gt;$F600))&gt;1,"⚠ CONFLIT",""))</f>
        <v/>
      </c>
      <c r="U600" s="44">
        <f>IF(COUNTIFS($D$4:$D$704,$D600,$J$4:$J$704,$J600,$F$4:$F$704,$F600,$K$4:$K$704,$K600)&gt;1,"⚠ DOUBLON","")</f>
        <v/>
      </c>
      <c r="V600" s="44">
        <f>COUNTIFS($A$4:$A600,$A600,$J$4:$J600,$J600,$E$4:$E600,$E600)</f>
        <v/>
      </c>
      <c r="W600" s="45">
        <f>$A600&amp;"|"&amp;$J600&amp;"|"&amp;$E600&amp;"|"&amp;$V600</f>
        <v/>
      </c>
      <c r="X600" s="46">
        <f>TEXT($F600,"hh:mm")&amp;" - "&amp;TEXT($G600,"hh:mm")&amp;IF($P600="Quinzaine A","   ◆ Q-A",IF($P600="Quinzaine B","   ◆ Q-B",IF($P600="Exception","   ◆ PONCTUEL","")))&amp;CHAR(10)&amp;$K600&amp;CHAR(10)&amp;$M600&amp;IF($N600&lt;&gt;"",CHAR(10)&amp;"Salle "&amp;$N600,"")&amp;IF($O600="En ligne",CHAR(10)&amp;"◆ EN LIGNE","")&amp;IF($R600&lt;&gt;"",CHAR(10)&amp;$R600,"")</f>
        <v/>
      </c>
      <c r="Y600" s="45" t="inlineStr"/>
      <c r="Z600" s="45" t="inlineStr">
        <is>
          <t>— généré —</t>
        </is>
      </c>
    </row>
    <row r="601" ht="15" customHeight="1">
      <c r="A601" s="10" t="inlineStr">
        <is>
          <t>S6</t>
        </is>
      </c>
      <c r="B601" s="9" t="inlineStr">
        <is>
          <t>du 19 au 25 octobre 2026</t>
        </is>
      </c>
      <c r="C601" s="10" t="inlineStr">
        <is>
          <t>B</t>
        </is>
      </c>
      <c r="D601" s="41" t="n">
        <v>46320</v>
      </c>
      <c r="E601" s="10" t="inlineStr">
        <is>
          <t>Dimanche</t>
        </is>
      </c>
      <c r="F601" s="42" t="n">
        <v>0.4375</v>
      </c>
      <c r="G601" s="42" t="n">
        <v>0.5</v>
      </c>
      <c r="H601" s="43">
        <f>IF(OR($F601="",$G601=""),"",($G601-$F601)*24)</f>
        <v/>
      </c>
      <c r="I601" s="10" t="inlineStr">
        <is>
          <t>Bac</t>
        </is>
      </c>
      <c r="J601" s="9" t="inlineStr">
        <is>
          <t>Bac Eco</t>
        </is>
      </c>
      <c r="K601" s="9" t="inlineStr">
        <is>
          <t>Math</t>
        </is>
      </c>
      <c r="L601" s="9" t="inlineStr">
        <is>
          <t>Math</t>
        </is>
      </c>
      <c r="M601" s="9" t="inlineStr">
        <is>
          <t>Lotfi</t>
        </is>
      </c>
      <c r="N601" s="10" t="n"/>
      <c r="O601" s="10" t="n"/>
      <c r="P601" s="10" t="inlineStr">
        <is>
          <t>Hebdomadaire</t>
        </is>
      </c>
      <c r="Q601" s="9" t="inlineStr">
        <is>
          <t>Généré (octobre)</t>
        </is>
      </c>
      <c r="R601" s="9" t="inlineStr"/>
      <c r="S601" s="44">
        <f>IF($M601="","",IF(SUMPRODUCT(($D$4:$D$704=$D601)*($M$4:$M$704=$M601)*($F$4:$F$704&lt;$G601)*($G$4:$G$704&gt;$F601))&gt;1,"⚠ CONFLIT",""))</f>
        <v/>
      </c>
      <c r="T601" s="44">
        <f>IF($J601="","",IF(SUMPRODUCT(($D$4:$D$704=$D601)*($J$4:$J$704=$J601)*($F$4:$F$704&lt;$G601)*($G$4:$G$704&gt;$F601))&gt;1,"⚠ CONFLIT",""))</f>
        <v/>
      </c>
      <c r="U601" s="44">
        <f>IF(COUNTIFS($D$4:$D$704,$D601,$J$4:$J$704,$J601,$F$4:$F$704,$F601,$K$4:$K$704,$K601)&gt;1,"⚠ DOUBLON","")</f>
        <v/>
      </c>
      <c r="V601" s="44">
        <f>COUNTIFS($A$4:$A601,$A601,$J$4:$J601,$J601,$E$4:$E601,$E601)</f>
        <v/>
      </c>
      <c r="W601" s="45">
        <f>$A601&amp;"|"&amp;$J601&amp;"|"&amp;$E601&amp;"|"&amp;$V601</f>
        <v/>
      </c>
      <c r="X601" s="46">
        <f>TEXT($F601,"hh:mm")&amp;" - "&amp;TEXT($G601,"hh:mm")&amp;IF($P601="Quinzaine A","   ◆ Q-A",IF($P601="Quinzaine B","   ◆ Q-B",IF($P601="Exception","   ◆ PONCTUEL","")))&amp;CHAR(10)&amp;$K601&amp;CHAR(10)&amp;$M601&amp;IF($N601&lt;&gt;"",CHAR(10)&amp;"Salle "&amp;$N601,"")&amp;IF($O601="En ligne",CHAR(10)&amp;"◆ EN LIGNE","")&amp;IF($R601&lt;&gt;"",CHAR(10)&amp;$R601,"")</f>
        <v/>
      </c>
      <c r="Y601" s="45" t="inlineStr"/>
      <c r="Z601" s="45" t="inlineStr">
        <is>
          <t>— généré —</t>
        </is>
      </c>
    </row>
    <row r="602" ht="15" customHeight="1">
      <c r="A602" s="10" t="inlineStr">
        <is>
          <t>S6</t>
        </is>
      </c>
      <c r="B602" s="9" t="inlineStr">
        <is>
          <t>du 19 au 25 octobre 2026</t>
        </is>
      </c>
      <c r="C602" s="10" t="inlineStr">
        <is>
          <t>B</t>
        </is>
      </c>
      <c r="D602" s="41" t="n">
        <v>46320</v>
      </c>
      <c r="E602" s="10" t="inlineStr">
        <is>
          <t>Dimanche</t>
        </is>
      </c>
      <c r="F602" s="42" t="n">
        <v>0.5208333333333334</v>
      </c>
      <c r="G602" s="42" t="n">
        <v>0.6041666666666666</v>
      </c>
      <c r="H602" s="43">
        <f>IF(OR($F602="",$G602=""),"",($G602-$F602)*24)</f>
        <v/>
      </c>
      <c r="I602" s="10" t="inlineStr">
        <is>
          <t>Bac</t>
        </is>
      </c>
      <c r="J602" s="9" t="inlineStr">
        <is>
          <t>Bac Eco</t>
        </is>
      </c>
      <c r="K602" s="9" t="inlineStr">
        <is>
          <t>Eco</t>
        </is>
      </c>
      <c r="L602" s="9" t="inlineStr">
        <is>
          <t>Eco</t>
        </is>
      </c>
      <c r="M602" s="9" t="inlineStr">
        <is>
          <t>Rym</t>
        </is>
      </c>
      <c r="N602" s="10" t="n"/>
      <c r="O602" s="10" t="n"/>
      <c r="P602" s="10" t="inlineStr">
        <is>
          <t>Hebdomadaire</t>
        </is>
      </c>
      <c r="Q602" s="9" t="inlineStr">
        <is>
          <t>Généré (octobre)</t>
        </is>
      </c>
      <c r="R602" s="9" t="inlineStr"/>
      <c r="S602" s="44">
        <f>IF($M602="","",IF(SUMPRODUCT(($D$4:$D$704=$D602)*($M$4:$M$704=$M602)*($F$4:$F$704&lt;$G602)*($G$4:$G$704&gt;$F602))&gt;1,"⚠ CONFLIT",""))</f>
        <v/>
      </c>
      <c r="T602" s="44">
        <f>IF($J602="","",IF(SUMPRODUCT(($D$4:$D$704=$D602)*($J$4:$J$704=$J602)*($F$4:$F$704&lt;$G602)*($G$4:$G$704&gt;$F602))&gt;1,"⚠ CONFLIT",""))</f>
        <v/>
      </c>
      <c r="U602" s="44">
        <f>IF(COUNTIFS($D$4:$D$704,$D602,$J$4:$J$704,$J602,$F$4:$F$704,$F602,$K$4:$K$704,$K602)&gt;1,"⚠ DOUBLON","")</f>
        <v/>
      </c>
      <c r="V602" s="44">
        <f>COUNTIFS($A$4:$A602,$A602,$J$4:$J602,$J602,$E$4:$E602,$E602)</f>
        <v/>
      </c>
      <c r="W602" s="45">
        <f>$A602&amp;"|"&amp;$J602&amp;"|"&amp;$E602&amp;"|"&amp;$V602</f>
        <v/>
      </c>
      <c r="X602" s="46">
        <f>TEXT($F602,"hh:mm")&amp;" - "&amp;TEXT($G602,"hh:mm")&amp;IF($P602="Quinzaine A","   ◆ Q-A",IF($P602="Quinzaine B","   ◆ Q-B",IF($P602="Exception","   ◆ PONCTUEL","")))&amp;CHAR(10)&amp;$K602&amp;CHAR(10)&amp;$M602&amp;IF($N602&lt;&gt;"",CHAR(10)&amp;"Salle "&amp;$N602,"")&amp;IF($O602="En ligne",CHAR(10)&amp;"◆ EN LIGNE","")&amp;IF($R602&lt;&gt;"",CHAR(10)&amp;$R602,"")</f>
        <v/>
      </c>
      <c r="Y602" s="45" t="inlineStr"/>
      <c r="Z602" s="45" t="inlineStr">
        <is>
          <t>— généré —</t>
        </is>
      </c>
    </row>
    <row r="603" ht="15" customHeight="1">
      <c r="A603" s="10" t="inlineStr">
        <is>
          <t>S6</t>
        </is>
      </c>
      <c r="B603" s="9" t="inlineStr">
        <is>
          <t>du 19 au 25 octobre 2026</t>
        </is>
      </c>
      <c r="C603" s="10" t="inlineStr">
        <is>
          <t>B</t>
        </is>
      </c>
      <c r="D603" s="41" t="n">
        <v>46320</v>
      </c>
      <c r="E603" s="10" t="inlineStr">
        <is>
          <t>Dimanche</t>
        </is>
      </c>
      <c r="F603" s="42" t="n">
        <v>0.6458333333333334</v>
      </c>
      <c r="G603" s="42" t="n">
        <v>0.7083333333333334</v>
      </c>
      <c r="H603" s="43">
        <f>IF(OR($F603="",$G603=""),"",($G603-$F603)*24)</f>
        <v/>
      </c>
      <c r="I603" s="10" t="inlineStr">
        <is>
          <t>Bac</t>
        </is>
      </c>
      <c r="J603" s="9" t="inlineStr">
        <is>
          <t>Bac INFO</t>
        </is>
      </c>
      <c r="K603" s="9" t="inlineStr">
        <is>
          <t>Math</t>
        </is>
      </c>
      <c r="L603" s="9" t="inlineStr">
        <is>
          <t>Math</t>
        </is>
      </c>
      <c r="M603" s="9" t="inlineStr">
        <is>
          <t>Lotfi</t>
        </is>
      </c>
      <c r="N603" s="10" t="n"/>
      <c r="O603" s="10" t="n"/>
      <c r="P603" s="10" t="inlineStr">
        <is>
          <t>Hebdomadaire</t>
        </is>
      </c>
      <c r="Q603" s="9" t="inlineStr">
        <is>
          <t>Généré (octobre)</t>
        </is>
      </c>
      <c r="R603" s="9" t="inlineStr"/>
      <c r="S603" s="44">
        <f>IF($M603="","",IF(SUMPRODUCT(($D$4:$D$704=$D603)*($M$4:$M$704=$M603)*($F$4:$F$704&lt;$G603)*($G$4:$G$704&gt;$F603))&gt;1,"⚠ CONFLIT",""))</f>
        <v/>
      </c>
      <c r="T603" s="44">
        <f>IF($J603="","",IF(SUMPRODUCT(($D$4:$D$704=$D603)*($J$4:$J$704=$J603)*($F$4:$F$704&lt;$G603)*($G$4:$G$704&gt;$F603))&gt;1,"⚠ CONFLIT",""))</f>
        <v/>
      </c>
      <c r="U603" s="44">
        <f>IF(COUNTIFS($D$4:$D$704,$D603,$J$4:$J$704,$J603,$F$4:$F$704,$F603,$K$4:$K$704,$K603)&gt;1,"⚠ DOUBLON","")</f>
        <v/>
      </c>
      <c r="V603" s="44">
        <f>COUNTIFS($A$4:$A603,$A603,$J$4:$J603,$J603,$E$4:$E603,$E603)</f>
        <v/>
      </c>
      <c r="W603" s="45">
        <f>$A603&amp;"|"&amp;$J603&amp;"|"&amp;$E603&amp;"|"&amp;$V603</f>
        <v/>
      </c>
      <c r="X603" s="46">
        <f>TEXT($F603,"hh:mm")&amp;" - "&amp;TEXT($G603,"hh:mm")&amp;IF($P603="Quinzaine A","   ◆ Q-A",IF($P603="Quinzaine B","   ◆ Q-B",IF($P603="Exception","   ◆ PONCTUEL","")))&amp;CHAR(10)&amp;$K603&amp;CHAR(10)&amp;$M603&amp;IF($N603&lt;&gt;"",CHAR(10)&amp;"Salle "&amp;$N603,"")&amp;IF($O603="En ligne",CHAR(10)&amp;"◆ EN LIGNE","")&amp;IF($R603&lt;&gt;"",CHAR(10)&amp;$R603,"")</f>
        <v/>
      </c>
      <c r="Y603" s="45" t="inlineStr"/>
      <c r="Z603" s="45" t="inlineStr">
        <is>
          <t>— généré —</t>
        </is>
      </c>
    </row>
    <row r="604" ht="15" customHeight="1">
      <c r="A604" s="10" t="inlineStr">
        <is>
          <t>S7</t>
        </is>
      </c>
      <c r="B604" s="9" t="inlineStr">
        <is>
          <t>du 26 octobre au 1er novembre 2026</t>
        </is>
      </c>
      <c r="C604" s="10" t="inlineStr">
        <is>
          <t>A</t>
        </is>
      </c>
      <c r="D604" s="41" t="n">
        <v>46321</v>
      </c>
      <c r="E604" s="10" t="inlineStr">
        <is>
          <t>Lundi</t>
        </is>
      </c>
      <c r="F604" s="42" t="n">
        <v>0.7916666666666666</v>
      </c>
      <c r="G604" s="42" t="n">
        <v>0.875</v>
      </c>
      <c r="H604" s="43">
        <f>IF(OR($F604="",$G604=""),"",($G604-$F604)*24)</f>
        <v/>
      </c>
      <c r="I604" s="10" t="inlineStr">
        <is>
          <t>Primaire</t>
        </is>
      </c>
      <c r="J604" s="9" t="inlineStr">
        <is>
          <t>4éme</t>
        </is>
      </c>
      <c r="K604" s="9" t="inlineStr">
        <is>
          <t>عربية</t>
        </is>
      </c>
      <c r="L604" s="9" t="inlineStr">
        <is>
          <t>Arabe</t>
        </is>
      </c>
      <c r="M604" s="9" t="inlineStr">
        <is>
          <t>Lobna</t>
        </is>
      </c>
      <c r="N604" s="10" t="n"/>
      <c r="O604" s="10" t="n"/>
      <c r="P604" s="10" t="inlineStr">
        <is>
          <t>Hebdomadaire</t>
        </is>
      </c>
      <c r="Q604" s="9" t="inlineStr">
        <is>
          <t>Généré (octobre)</t>
        </is>
      </c>
      <c r="R604" s="9" t="inlineStr"/>
      <c r="S604" s="44">
        <f>IF($M604="","",IF(SUMPRODUCT(($D$4:$D$704=$D604)*($M$4:$M$704=$M604)*($F$4:$F$704&lt;$G604)*($G$4:$G$704&gt;$F604))&gt;1,"⚠ CONFLIT",""))</f>
        <v/>
      </c>
      <c r="T604" s="44">
        <f>IF($J604="","",IF(SUMPRODUCT(($D$4:$D$704=$D604)*($J$4:$J$704=$J604)*($F$4:$F$704&lt;$G604)*($G$4:$G$704&gt;$F604))&gt;1,"⚠ CONFLIT",""))</f>
        <v/>
      </c>
      <c r="U604" s="44">
        <f>IF(COUNTIFS($D$4:$D$704,$D604,$J$4:$J$704,$J604,$F$4:$F$704,$F604,$K$4:$K$704,$K604)&gt;1,"⚠ DOUBLON","")</f>
        <v/>
      </c>
      <c r="V604" s="44">
        <f>COUNTIFS($A$4:$A604,$A604,$J$4:$J604,$J604,$E$4:$E604,$E604)</f>
        <v/>
      </c>
      <c r="W604" s="45">
        <f>$A604&amp;"|"&amp;$J604&amp;"|"&amp;$E604&amp;"|"&amp;$V604</f>
        <v/>
      </c>
      <c r="X604" s="46">
        <f>TEXT($F604,"hh:mm")&amp;" - "&amp;TEXT($G604,"hh:mm")&amp;IF($P604="Quinzaine A","   ◆ Q-A",IF($P604="Quinzaine B","   ◆ Q-B",IF($P604="Exception","   ◆ PONCTUEL","")))&amp;CHAR(10)&amp;$K604&amp;CHAR(10)&amp;$M604&amp;IF($N604&lt;&gt;"",CHAR(10)&amp;"Salle "&amp;$N604,"")&amp;IF($O604="En ligne",CHAR(10)&amp;"◆ EN LIGNE","")&amp;IF($R604&lt;&gt;"",CHAR(10)&amp;$R604,"")</f>
        <v/>
      </c>
      <c r="Y604" s="45" t="inlineStr"/>
      <c r="Z604" s="45" t="inlineStr">
        <is>
          <t>— généré —</t>
        </is>
      </c>
    </row>
    <row r="605" ht="15" customHeight="1">
      <c r="A605" s="10" t="inlineStr">
        <is>
          <t>S7</t>
        </is>
      </c>
      <c r="B605" s="9" t="inlineStr">
        <is>
          <t>du 26 octobre au 1er novembre 2026</t>
        </is>
      </c>
      <c r="C605" s="10" t="inlineStr">
        <is>
          <t>A</t>
        </is>
      </c>
      <c r="D605" s="41" t="n">
        <v>46321</v>
      </c>
      <c r="E605" s="10" t="inlineStr">
        <is>
          <t>Lundi</t>
        </is>
      </c>
      <c r="F605" s="42" t="n">
        <v>0.7916666666666666</v>
      </c>
      <c r="G605" s="42" t="n">
        <v>0.8541666666666666</v>
      </c>
      <c r="H605" s="43">
        <f>IF(OR($F605="",$G605=""),"",($G605-$F605)*24)</f>
        <v/>
      </c>
      <c r="I605" s="10" t="inlineStr">
        <is>
          <t>Primaire</t>
        </is>
      </c>
      <c r="J605" s="9" t="inlineStr">
        <is>
          <t>6éme Pilote (A)</t>
        </is>
      </c>
      <c r="K605" s="9" t="inlineStr">
        <is>
          <t>Français</t>
        </is>
      </c>
      <c r="L605" s="9" t="inlineStr">
        <is>
          <t>Français</t>
        </is>
      </c>
      <c r="M605" s="9" t="inlineStr">
        <is>
          <t>Hend</t>
        </is>
      </c>
      <c r="N605" s="10" t="n"/>
      <c r="O605" s="10" t="n"/>
      <c r="P605" s="10" t="inlineStr">
        <is>
          <t>Hebdomadaire</t>
        </is>
      </c>
      <c r="Q605" s="9" t="inlineStr">
        <is>
          <t>Généré (octobre)</t>
        </is>
      </c>
      <c r="R605" s="9" t="inlineStr"/>
      <c r="S605" s="44">
        <f>IF($M605="","",IF(SUMPRODUCT(($D$4:$D$704=$D605)*($M$4:$M$704=$M605)*($F$4:$F$704&lt;$G605)*($G$4:$G$704&gt;$F605))&gt;1,"⚠ CONFLIT",""))</f>
        <v/>
      </c>
      <c r="T605" s="44">
        <f>IF($J605="","",IF(SUMPRODUCT(($D$4:$D$704=$D605)*($J$4:$J$704=$J605)*($F$4:$F$704&lt;$G605)*($G$4:$G$704&gt;$F605))&gt;1,"⚠ CONFLIT",""))</f>
        <v/>
      </c>
      <c r="U605" s="44">
        <f>IF(COUNTIFS($D$4:$D$704,$D605,$J$4:$J$704,$J605,$F$4:$F$704,$F605,$K$4:$K$704,$K605)&gt;1,"⚠ DOUBLON","")</f>
        <v/>
      </c>
      <c r="V605" s="44">
        <f>COUNTIFS($A$4:$A605,$A605,$J$4:$J605,$J605,$E$4:$E605,$E605)</f>
        <v/>
      </c>
      <c r="W605" s="45">
        <f>$A605&amp;"|"&amp;$J605&amp;"|"&amp;$E605&amp;"|"&amp;$V605</f>
        <v/>
      </c>
      <c r="X605" s="46">
        <f>TEXT($F605,"hh:mm")&amp;" - "&amp;TEXT($G605,"hh:mm")&amp;IF($P605="Quinzaine A","   ◆ Q-A",IF($P605="Quinzaine B","   ◆ Q-B",IF($P605="Exception","   ◆ PONCTUEL","")))&amp;CHAR(10)&amp;$K605&amp;CHAR(10)&amp;$M605&amp;IF($N605&lt;&gt;"",CHAR(10)&amp;"Salle "&amp;$N605,"")&amp;IF($O605="En ligne",CHAR(10)&amp;"◆ EN LIGNE","")&amp;IF($R605&lt;&gt;"",CHAR(10)&amp;$R605,"")</f>
        <v/>
      </c>
      <c r="Y605" s="45" t="inlineStr"/>
      <c r="Z605" s="45" t="inlineStr">
        <is>
          <t>— généré —</t>
        </is>
      </c>
    </row>
    <row r="606" ht="15" customHeight="1">
      <c r="A606" s="10" t="inlineStr">
        <is>
          <t>S7</t>
        </is>
      </c>
      <c r="B606" s="9" t="inlineStr">
        <is>
          <t>du 26 octobre au 1er novembre 2026</t>
        </is>
      </c>
      <c r="C606" s="10" t="inlineStr">
        <is>
          <t>A</t>
        </is>
      </c>
      <c r="D606" s="41" t="n">
        <v>46321</v>
      </c>
      <c r="E606" s="10" t="inlineStr">
        <is>
          <t>Lundi</t>
        </is>
      </c>
      <c r="F606" s="42" t="n">
        <v>0.8125</v>
      </c>
      <c r="G606" s="42" t="n">
        <v>0.875</v>
      </c>
      <c r="H606" s="43">
        <f>IF(OR($F606="",$G606=""),"",($G606-$F606)*24)</f>
        <v/>
      </c>
      <c r="I606" s="10" t="inlineStr">
        <is>
          <t>Collège</t>
        </is>
      </c>
      <c r="J606" s="9" t="inlineStr">
        <is>
          <t>7éme (B)</t>
        </is>
      </c>
      <c r="K606" s="9" t="inlineStr">
        <is>
          <t>Arabe</t>
        </is>
      </c>
      <c r="L606" s="9" t="inlineStr">
        <is>
          <t>Arabe</t>
        </is>
      </c>
      <c r="M606" s="9" t="inlineStr">
        <is>
          <t>Yahya</t>
        </is>
      </c>
      <c r="N606" s="10" t="n"/>
      <c r="O606" s="10" t="n"/>
      <c r="P606" s="10" t="inlineStr">
        <is>
          <t>Hebdomadaire</t>
        </is>
      </c>
      <c r="Q606" s="9" t="inlineStr">
        <is>
          <t>Généré (octobre)</t>
        </is>
      </c>
      <c r="R606" s="9" t="inlineStr"/>
      <c r="S606" s="44">
        <f>IF($M606="","",IF(SUMPRODUCT(($D$4:$D$704=$D606)*($M$4:$M$704=$M606)*($F$4:$F$704&lt;$G606)*($G$4:$G$704&gt;$F606))&gt;1,"⚠ CONFLIT",""))</f>
        <v/>
      </c>
      <c r="T606" s="44">
        <f>IF($J606="","",IF(SUMPRODUCT(($D$4:$D$704=$D606)*($J$4:$J$704=$J606)*($F$4:$F$704&lt;$G606)*($G$4:$G$704&gt;$F606))&gt;1,"⚠ CONFLIT",""))</f>
        <v/>
      </c>
      <c r="U606" s="44">
        <f>IF(COUNTIFS($D$4:$D$704,$D606,$J$4:$J$704,$J606,$F$4:$F$704,$F606,$K$4:$K$704,$K606)&gt;1,"⚠ DOUBLON","")</f>
        <v/>
      </c>
      <c r="V606" s="44">
        <f>COUNTIFS($A$4:$A606,$A606,$J$4:$J606,$J606,$E$4:$E606,$E606)</f>
        <v/>
      </c>
      <c r="W606" s="45">
        <f>$A606&amp;"|"&amp;$J606&amp;"|"&amp;$E606&amp;"|"&amp;$V606</f>
        <v/>
      </c>
      <c r="X606" s="46">
        <f>TEXT($F606,"hh:mm")&amp;" - "&amp;TEXT($G606,"hh:mm")&amp;IF($P606="Quinzaine A","   ◆ Q-A",IF($P606="Quinzaine B","   ◆ Q-B",IF($P606="Exception","   ◆ PONCTUEL","")))&amp;CHAR(10)&amp;$K606&amp;CHAR(10)&amp;$M606&amp;IF($N606&lt;&gt;"",CHAR(10)&amp;"Salle "&amp;$N606,"")&amp;IF($O606="En ligne",CHAR(10)&amp;"◆ EN LIGNE","")&amp;IF($R606&lt;&gt;"",CHAR(10)&amp;$R606,"")</f>
        <v/>
      </c>
      <c r="Y606" s="45" t="inlineStr"/>
      <c r="Z606" s="45" t="inlineStr">
        <is>
          <t>— généré —</t>
        </is>
      </c>
    </row>
    <row r="607" ht="15" customHeight="1">
      <c r="A607" s="10" t="inlineStr">
        <is>
          <t>S7</t>
        </is>
      </c>
      <c r="B607" s="9" t="inlineStr">
        <is>
          <t>du 26 octobre au 1er novembre 2026</t>
        </is>
      </c>
      <c r="C607" s="10" t="inlineStr">
        <is>
          <t>A</t>
        </is>
      </c>
      <c r="D607" s="41" t="n">
        <v>46321</v>
      </c>
      <c r="E607" s="10" t="inlineStr">
        <is>
          <t>Lundi</t>
        </is>
      </c>
      <c r="F607" s="42" t="n">
        <v>0.8125</v>
      </c>
      <c r="G607" s="42" t="n">
        <v>0.875</v>
      </c>
      <c r="H607" s="43">
        <f>IF(OR($F607="",$G607=""),"",($G607-$F607)*24)</f>
        <v/>
      </c>
      <c r="I607" s="10" t="inlineStr">
        <is>
          <t>Collège</t>
        </is>
      </c>
      <c r="J607" s="9" t="inlineStr">
        <is>
          <t>9éme (A)</t>
        </is>
      </c>
      <c r="K607" s="9" t="inlineStr">
        <is>
          <t>فيزياء</t>
        </is>
      </c>
      <c r="L607" s="9" t="inlineStr">
        <is>
          <t>Physique</t>
        </is>
      </c>
      <c r="M607" s="9" t="inlineStr">
        <is>
          <t>Melek</t>
        </is>
      </c>
      <c r="N607" s="10" t="n"/>
      <c r="O607" s="10" t="n"/>
      <c r="P607" s="10" t="inlineStr">
        <is>
          <t>Hebdomadaire</t>
        </is>
      </c>
      <c r="Q607" s="9" t="inlineStr">
        <is>
          <t>Généré (octobre)</t>
        </is>
      </c>
      <c r="R607" s="9" t="inlineStr"/>
      <c r="S607" s="44">
        <f>IF($M607="","",IF(SUMPRODUCT(($D$4:$D$704=$D607)*($M$4:$M$704=$M607)*($F$4:$F$704&lt;$G607)*($G$4:$G$704&gt;$F607))&gt;1,"⚠ CONFLIT",""))</f>
        <v/>
      </c>
      <c r="T607" s="44">
        <f>IF($J607="","",IF(SUMPRODUCT(($D$4:$D$704=$D607)*($J$4:$J$704=$J607)*($F$4:$F$704&lt;$G607)*($G$4:$G$704&gt;$F607))&gt;1,"⚠ CONFLIT",""))</f>
        <v/>
      </c>
      <c r="U607" s="44">
        <f>IF(COUNTIFS($D$4:$D$704,$D607,$J$4:$J$704,$J607,$F$4:$F$704,$F607,$K$4:$K$704,$K607)&gt;1,"⚠ DOUBLON","")</f>
        <v/>
      </c>
      <c r="V607" s="44">
        <f>COUNTIFS($A$4:$A607,$A607,$J$4:$J607,$J607,$E$4:$E607,$E607)</f>
        <v/>
      </c>
      <c r="W607" s="45">
        <f>$A607&amp;"|"&amp;$J607&amp;"|"&amp;$E607&amp;"|"&amp;$V607</f>
        <v/>
      </c>
      <c r="X607" s="46">
        <f>TEXT($F607,"hh:mm")&amp;" - "&amp;TEXT($G607,"hh:mm")&amp;IF($P607="Quinzaine A","   ◆ Q-A",IF($P607="Quinzaine B","   ◆ Q-B",IF($P607="Exception","   ◆ PONCTUEL","")))&amp;CHAR(10)&amp;$K607&amp;CHAR(10)&amp;$M607&amp;IF($N607&lt;&gt;"",CHAR(10)&amp;"Salle "&amp;$N607,"")&amp;IF($O607="En ligne",CHAR(10)&amp;"◆ EN LIGNE","")&amp;IF($R607&lt;&gt;"",CHAR(10)&amp;$R607,"")</f>
        <v/>
      </c>
      <c r="Y607" s="45" t="inlineStr"/>
      <c r="Z607" s="45" t="inlineStr">
        <is>
          <t>— généré —</t>
        </is>
      </c>
    </row>
    <row r="608" ht="15" customHeight="1">
      <c r="A608" s="10" t="inlineStr">
        <is>
          <t>S7</t>
        </is>
      </c>
      <c r="B608" s="9" t="inlineStr">
        <is>
          <t>du 26 octobre au 1er novembre 2026</t>
        </is>
      </c>
      <c r="C608" s="10" t="inlineStr">
        <is>
          <t>A</t>
        </is>
      </c>
      <c r="D608" s="41" t="n">
        <v>46321</v>
      </c>
      <c r="E608" s="10" t="inlineStr">
        <is>
          <t>Lundi</t>
        </is>
      </c>
      <c r="F608" s="42" t="n">
        <v>0.8125</v>
      </c>
      <c r="G608" s="42" t="n">
        <v>0.875</v>
      </c>
      <c r="H608" s="43">
        <f>IF(OR($F608="",$G608=""),"",($G608-$F608)*24)</f>
        <v/>
      </c>
      <c r="I608" s="10" t="inlineStr">
        <is>
          <t>Secondaire</t>
        </is>
      </c>
      <c r="J608" s="9" t="inlineStr">
        <is>
          <t>1ére (A)</t>
        </is>
      </c>
      <c r="K608" s="9" t="inlineStr">
        <is>
          <t>Math</t>
        </is>
      </c>
      <c r="L608" s="9" t="inlineStr">
        <is>
          <t>Math</t>
        </is>
      </c>
      <c r="M608" s="9" t="inlineStr">
        <is>
          <t>Haythem</t>
        </is>
      </c>
      <c r="N608" s="10" t="n"/>
      <c r="O608" s="10" t="n"/>
      <c r="P608" s="10" t="inlineStr">
        <is>
          <t>Hebdomadaire</t>
        </is>
      </c>
      <c r="Q608" s="9" t="inlineStr">
        <is>
          <t>Généré (octobre)</t>
        </is>
      </c>
      <c r="R608" s="9" t="inlineStr"/>
      <c r="S608" s="44">
        <f>IF($M608="","",IF(SUMPRODUCT(($D$4:$D$704=$D608)*($M$4:$M$704=$M608)*($F$4:$F$704&lt;$G608)*($G$4:$G$704&gt;$F608))&gt;1,"⚠ CONFLIT",""))</f>
        <v/>
      </c>
      <c r="T608" s="44">
        <f>IF($J608="","",IF(SUMPRODUCT(($D$4:$D$704=$D608)*($J$4:$J$704=$J608)*($F$4:$F$704&lt;$G608)*($G$4:$G$704&gt;$F608))&gt;1,"⚠ CONFLIT",""))</f>
        <v/>
      </c>
      <c r="U608" s="44">
        <f>IF(COUNTIFS($D$4:$D$704,$D608,$J$4:$J$704,$J608,$F$4:$F$704,$F608,$K$4:$K$704,$K608)&gt;1,"⚠ DOUBLON","")</f>
        <v/>
      </c>
      <c r="V608" s="44">
        <f>COUNTIFS($A$4:$A608,$A608,$J$4:$J608,$J608,$E$4:$E608,$E608)</f>
        <v/>
      </c>
      <c r="W608" s="45">
        <f>$A608&amp;"|"&amp;$J608&amp;"|"&amp;$E608&amp;"|"&amp;$V608</f>
        <v/>
      </c>
      <c r="X608" s="46">
        <f>TEXT($F608,"hh:mm")&amp;" - "&amp;TEXT($G608,"hh:mm")&amp;IF($P608="Quinzaine A","   ◆ Q-A",IF($P608="Quinzaine B","   ◆ Q-B",IF($P608="Exception","   ◆ PONCTUEL","")))&amp;CHAR(10)&amp;$K608&amp;CHAR(10)&amp;$M608&amp;IF($N608&lt;&gt;"",CHAR(10)&amp;"Salle "&amp;$N608,"")&amp;IF($O608="En ligne",CHAR(10)&amp;"◆ EN LIGNE","")&amp;IF($R608&lt;&gt;"",CHAR(10)&amp;$R608,"")</f>
        <v/>
      </c>
      <c r="Y608" s="45" t="inlineStr"/>
      <c r="Z608" s="45" t="inlineStr">
        <is>
          <t>— généré —</t>
        </is>
      </c>
    </row>
    <row r="609" ht="15" customHeight="1">
      <c r="A609" s="10" t="inlineStr">
        <is>
          <t>S7</t>
        </is>
      </c>
      <c r="B609" s="9" t="inlineStr">
        <is>
          <t>du 26 octobre au 1er novembre 2026</t>
        </is>
      </c>
      <c r="C609" s="10" t="inlineStr">
        <is>
          <t>A</t>
        </is>
      </c>
      <c r="D609" s="41" t="n">
        <v>46321</v>
      </c>
      <c r="E609" s="10" t="inlineStr">
        <is>
          <t>Lundi</t>
        </is>
      </c>
      <c r="F609" s="42" t="n">
        <v>0.6458333333333334</v>
      </c>
      <c r="G609" s="42" t="n">
        <v>0.7291666666666666</v>
      </c>
      <c r="H609" s="43">
        <f>IF(OR($F609="",$G609=""),"",($G609-$F609)*24)</f>
        <v/>
      </c>
      <c r="I609" s="10" t="inlineStr">
        <is>
          <t>Secondaire</t>
        </is>
      </c>
      <c r="J609" s="9" t="inlineStr">
        <is>
          <t>3éme INFO</t>
        </is>
      </c>
      <c r="K609" s="9" t="inlineStr">
        <is>
          <t>STI</t>
        </is>
      </c>
      <c r="L609" s="9" t="inlineStr">
        <is>
          <t>STI</t>
        </is>
      </c>
      <c r="M609" s="9" t="inlineStr">
        <is>
          <t>Aymen</t>
        </is>
      </c>
      <c r="N609" s="10" t="n"/>
      <c r="O609" s="10" t="n"/>
      <c r="P609" s="10" t="inlineStr">
        <is>
          <t>Hebdomadaire</t>
        </is>
      </c>
      <c r="Q609" s="9" t="inlineStr">
        <is>
          <t>Généré (octobre)</t>
        </is>
      </c>
      <c r="R609" s="9" t="inlineStr"/>
      <c r="S609" s="44">
        <f>IF($M609="","",IF(SUMPRODUCT(($D$4:$D$704=$D609)*($M$4:$M$704=$M609)*($F$4:$F$704&lt;$G609)*($G$4:$G$704&gt;$F609))&gt;1,"⚠ CONFLIT",""))</f>
        <v/>
      </c>
      <c r="T609" s="44">
        <f>IF($J609="","",IF(SUMPRODUCT(($D$4:$D$704=$D609)*($J$4:$J$704=$J609)*($F$4:$F$704&lt;$G609)*($G$4:$G$704&gt;$F609))&gt;1,"⚠ CONFLIT",""))</f>
        <v/>
      </c>
      <c r="U609" s="44">
        <f>IF(COUNTIFS($D$4:$D$704,$D609,$J$4:$J$704,$J609,$F$4:$F$704,$F609,$K$4:$K$704,$K609)&gt;1,"⚠ DOUBLON","")</f>
        <v/>
      </c>
      <c r="V609" s="44">
        <f>COUNTIFS($A$4:$A609,$A609,$J$4:$J609,$J609,$E$4:$E609,$E609)</f>
        <v/>
      </c>
      <c r="W609" s="45">
        <f>$A609&amp;"|"&amp;$J609&amp;"|"&amp;$E609&amp;"|"&amp;$V609</f>
        <v/>
      </c>
      <c r="X609" s="46">
        <f>TEXT($F609,"hh:mm")&amp;" - "&amp;TEXT($G609,"hh:mm")&amp;IF($P609="Quinzaine A","   ◆ Q-A",IF($P609="Quinzaine B","   ◆ Q-B",IF($P609="Exception","   ◆ PONCTUEL","")))&amp;CHAR(10)&amp;$K609&amp;CHAR(10)&amp;$M609&amp;IF($N609&lt;&gt;"",CHAR(10)&amp;"Salle "&amp;$N609,"")&amp;IF($O609="En ligne",CHAR(10)&amp;"◆ EN LIGNE","")&amp;IF($R609&lt;&gt;"",CHAR(10)&amp;$R609,"")</f>
        <v/>
      </c>
      <c r="Y609" s="45" t="inlineStr"/>
      <c r="Z609" s="45" t="inlineStr">
        <is>
          <t>— généré —</t>
        </is>
      </c>
    </row>
    <row r="610" ht="15" customHeight="1">
      <c r="A610" s="10" t="inlineStr">
        <is>
          <t>S7</t>
        </is>
      </c>
      <c r="B610" s="9" t="inlineStr">
        <is>
          <t>du 26 octobre au 1er novembre 2026</t>
        </is>
      </c>
      <c r="C610" s="10" t="inlineStr">
        <is>
          <t>A</t>
        </is>
      </c>
      <c r="D610" s="41" t="n">
        <v>46321</v>
      </c>
      <c r="E610" s="10" t="inlineStr">
        <is>
          <t>Lundi</t>
        </is>
      </c>
      <c r="F610" s="42" t="n">
        <v>0.7916666666666666</v>
      </c>
      <c r="G610" s="42" t="n">
        <v>0.8541666666666666</v>
      </c>
      <c r="H610" s="43">
        <f>IF(OR($F610="",$G610=""),"",($G610-$F610)*24)</f>
        <v/>
      </c>
      <c r="I610" s="10" t="inlineStr">
        <is>
          <t>Secondaire</t>
        </is>
      </c>
      <c r="J610" s="9" t="inlineStr">
        <is>
          <t>3éme SCE</t>
        </is>
      </c>
      <c r="K610" s="9" t="inlineStr">
        <is>
          <t>Math</t>
        </is>
      </c>
      <c r="L610" s="9" t="inlineStr">
        <is>
          <t>Math</t>
        </is>
      </c>
      <c r="M610" s="9" t="inlineStr">
        <is>
          <t>Lotfi</t>
        </is>
      </c>
      <c r="N610" s="10" t="n"/>
      <c r="O610" s="10" t="n"/>
      <c r="P610" s="10" t="inlineStr">
        <is>
          <t>Hebdomadaire</t>
        </is>
      </c>
      <c r="Q610" s="9" t="inlineStr">
        <is>
          <t>Généré (octobre)</t>
        </is>
      </c>
      <c r="R610" s="9" t="inlineStr"/>
      <c r="S610" s="44">
        <f>IF($M610="","",IF(SUMPRODUCT(($D$4:$D$704=$D610)*($M$4:$M$704=$M610)*($F$4:$F$704&lt;$G610)*($G$4:$G$704&gt;$F610))&gt;1,"⚠ CONFLIT",""))</f>
        <v/>
      </c>
      <c r="T610" s="44">
        <f>IF($J610="","",IF(SUMPRODUCT(($D$4:$D$704=$D610)*($J$4:$J$704=$J610)*($F$4:$F$704&lt;$G610)*($G$4:$G$704&gt;$F610))&gt;1,"⚠ CONFLIT",""))</f>
        <v/>
      </c>
      <c r="U610" s="44">
        <f>IF(COUNTIFS($D$4:$D$704,$D610,$J$4:$J$704,$J610,$F$4:$F$704,$F610,$K$4:$K$704,$K610)&gt;1,"⚠ DOUBLON","")</f>
        <v/>
      </c>
      <c r="V610" s="44">
        <f>COUNTIFS($A$4:$A610,$A610,$J$4:$J610,$J610,$E$4:$E610,$E610)</f>
        <v/>
      </c>
      <c r="W610" s="45">
        <f>$A610&amp;"|"&amp;$J610&amp;"|"&amp;$E610&amp;"|"&amp;$V610</f>
        <v/>
      </c>
      <c r="X610" s="46">
        <f>TEXT($F610,"hh:mm")&amp;" - "&amp;TEXT($G610,"hh:mm")&amp;IF($P610="Quinzaine A","   ◆ Q-A",IF($P610="Quinzaine B","   ◆ Q-B",IF($P610="Exception","   ◆ PONCTUEL","")))&amp;CHAR(10)&amp;$K610&amp;CHAR(10)&amp;$M610&amp;IF($N610&lt;&gt;"",CHAR(10)&amp;"Salle "&amp;$N610,"")&amp;IF($O610="En ligne",CHAR(10)&amp;"◆ EN LIGNE","")&amp;IF($R610&lt;&gt;"",CHAR(10)&amp;$R610,"")</f>
        <v/>
      </c>
      <c r="Y610" s="45" t="inlineStr"/>
      <c r="Z610" s="45" t="inlineStr">
        <is>
          <t>— généré —</t>
        </is>
      </c>
    </row>
    <row r="611" ht="15" customHeight="1">
      <c r="A611" s="10" t="inlineStr">
        <is>
          <t>S7</t>
        </is>
      </c>
      <c r="B611" s="9" t="inlineStr">
        <is>
          <t>du 26 octobre au 1er novembre 2026</t>
        </is>
      </c>
      <c r="C611" s="10" t="inlineStr">
        <is>
          <t>A</t>
        </is>
      </c>
      <c r="D611" s="41" t="n">
        <v>46321</v>
      </c>
      <c r="E611" s="10" t="inlineStr">
        <is>
          <t>Lundi</t>
        </is>
      </c>
      <c r="F611" s="42" t="n">
        <v>0.7916666666666666</v>
      </c>
      <c r="G611" s="42" t="n">
        <v>0.875</v>
      </c>
      <c r="H611" s="43">
        <f>IF(OR($F611="",$G611=""),"",($G611-$F611)*24)</f>
        <v/>
      </c>
      <c r="I611" s="10" t="inlineStr">
        <is>
          <t>Bac</t>
        </is>
      </c>
      <c r="J611" s="9" t="inlineStr">
        <is>
          <t>Bac Eco</t>
        </is>
      </c>
      <c r="K611" s="9" t="inlineStr">
        <is>
          <t>Gestion</t>
        </is>
      </c>
      <c r="L611" s="9" t="inlineStr">
        <is>
          <t>Gestion</t>
        </is>
      </c>
      <c r="M611" s="9" t="inlineStr">
        <is>
          <t>Yassine</t>
        </is>
      </c>
      <c r="N611" s="10" t="n"/>
      <c r="O611" s="10" t="n"/>
      <c r="P611" s="10" t="inlineStr">
        <is>
          <t>Hebdomadaire</t>
        </is>
      </c>
      <c r="Q611" s="9" t="inlineStr">
        <is>
          <t>Généré (octobre)</t>
        </is>
      </c>
      <c r="R611" s="9" t="inlineStr"/>
      <c r="S611" s="44">
        <f>IF($M611="","",IF(SUMPRODUCT(($D$4:$D$704=$D611)*($M$4:$M$704=$M611)*($F$4:$F$704&lt;$G611)*($G$4:$G$704&gt;$F611))&gt;1,"⚠ CONFLIT",""))</f>
        <v/>
      </c>
      <c r="T611" s="44">
        <f>IF($J611="","",IF(SUMPRODUCT(($D$4:$D$704=$D611)*($J$4:$J$704=$J611)*($F$4:$F$704&lt;$G611)*($G$4:$G$704&gt;$F611))&gt;1,"⚠ CONFLIT",""))</f>
        <v/>
      </c>
      <c r="U611" s="44">
        <f>IF(COUNTIFS($D$4:$D$704,$D611,$J$4:$J$704,$J611,$F$4:$F$704,$F611,$K$4:$K$704,$K611)&gt;1,"⚠ DOUBLON","")</f>
        <v/>
      </c>
      <c r="V611" s="44">
        <f>COUNTIFS($A$4:$A611,$A611,$J$4:$J611,$J611,$E$4:$E611,$E611)</f>
        <v/>
      </c>
      <c r="W611" s="45">
        <f>$A611&amp;"|"&amp;$J611&amp;"|"&amp;$E611&amp;"|"&amp;$V611</f>
        <v/>
      </c>
      <c r="X611" s="46">
        <f>TEXT($F611,"hh:mm")&amp;" - "&amp;TEXT($G611,"hh:mm")&amp;IF($P611="Quinzaine A","   ◆ Q-A",IF($P611="Quinzaine B","   ◆ Q-B",IF($P611="Exception","   ◆ PONCTUEL","")))&amp;CHAR(10)&amp;$K611&amp;CHAR(10)&amp;$M611&amp;IF($N611&lt;&gt;"",CHAR(10)&amp;"Salle "&amp;$N611,"")&amp;IF($O611="En ligne",CHAR(10)&amp;"◆ EN LIGNE","")&amp;IF($R611&lt;&gt;"",CHAR(10)&amp;$R611,"")</f>
        <v/>
      </c>
      <c r="Y611" s="45" t="inlineStr"/>
      <c r="Z611" s="45" t="inlineStr">
        <is>
          <t>— généré —</t>
        </is>
      </c>
    </row>
    <row r="612" ht="15" customHeight="1">
      <c r="A612" s="10" t="inlineStr">
        <is>
          <t>S7</t>
        </is>
      </c>
      <c r="B612" s="9" t="inlineStr">
        <is>
          <t>du 26 octobre au 1er novembre 2026</t>
        </is>
      </c>
      <c r="C612" s="10" t="inlineStr">
        <is>
          <t>A</t>
        </is>
      </c>
      <c r="D612" s="41" t="n">
        <v>46321</v>
      </c>
      <c r="E612" s="10" t="inlineStr">
        <is>
          <t>Lundi</t>
        </is>
      </c>
      <c r="F612" s="42" t="n">
        <v>0.7916666666666666</v>
      </c>
      <c r="G612" s="42" t="n">
        <v>0.875</v>
      </c>
      <c r="H612" s="43">
        <f>IF(OR($F612="",$G612=""),"",($G612-$F612)*24)</f>
        <v/>
      </c>
      <c r="I612" s="10" t="inlineStr">
        <is>
          <t>Bac</t>
        </is>
      </c>
      <c r="J612" s="9" t="inlineStr">
        <is>
          <t>Bac SCE</t>
        </is>
      </c>
      <c r="K612" s="9" t="inlineStr">
        <is>
          <t>Physique</t>
        </is>
      </c>
      <c r="L612" s="9" t="inlineStr">
        <is>
          <t>Physique</t>
        </is>
      </c>
      <c r="M612" s="9" t="inlineStr">
        <is>
          <t>Sondes</t>
        </is>
      </c>
      <c r="N612" s="10" t="n"/>
      <c r="O612" s="10" t="n"/>
      <c r="P612" s="10" t="inlineStr">
        <is>
          <t>Hebdomadaire</t>
        </is>
      </c>
      <c r="Q612" s="9" t="inlineStr">
        <is>
          <t>Généré (octobre)</t>
        </is>
      </c>
      <c r="R612" s="9" t="inlineStr"/>
      <c r="S612" s="44">
        <f>IF($M612="","",IF(SUMPRODUCT(($D$4:$D$704=$D612)*($M$4:$M$704=$M612)*($F$4:$F$704&lt;$G612)*($G$4:$G$704&gt;$F612))&gt;1,"⚠ CONFLIT",""))</f>
        <v/>
      </c>
      <c r="T612" s="44">
        <f>IF($J612="","",IF(SUMPRODUCT(($D$4:$D$704=$D612)*($J$4:$J$704=$J612)*($F$4:$F$704&lt;$G612)*($G$4:$G$704&gt;$F612))&gt;1,"⚠ CONFLIT",""))</f>
        <v/>
      </c>
      <c r="U612" s="44">
        <f>IF(COUNTIFS($D$4:$D$704,$D612,$J$4:$J$704,$J612,$F$4:$F$704,$F612,$K$4:$K$704,$K612)&gt;1,"⚠ DOUBLON","")</f>
        <v/>
      </c>
      <c r="V612" s="44">
        <f>COUNTIFS($A$4:$A612,$A612,$J$4:$J612,$J612,$E$4:$E612,$E612)</f>
        <v/>
      </c>
      <c r="W612" s="45">
        <f>$A612&amp;"|"&amp;$J612&amp;"|"&amp;$E612&amp;"|"&amp;$V612</f>
        <v/>
      </c>
      <c r="X612" s="46">
        <f>TEXT($F612,"hh:mm")&amp;" - "&amp;TEXT($G612,"hh:mm")&amp;IF($P612="Quinzaine A","   ◆ Q-A",IF($P612="Quinzaine B","   ◆ Q-B",IF($P612="Exception","   ◆ PONCTUEL","")))&amp;CHAR(10)&amp;$K612&amp;CHAR(10)&amp;$M612&amp;IF($N612&lt;&gt;"",CHAR(10)&amp;"Salle "&amp;$N612,"")&amp;IF($O612="En ligne",CHAR(10)&amp;"◆ EN LIGNE","")&amp;IF($R612&lt;&gt;"",CHAR(10)&amp;$R612,"")</f>
        <v/>
      </c>
      <c r="Y612" s="45" t="inlineStr"/>
      <c r="Z612" s="45" t="inlineStr">
        <is>
          <t>— généré —</t>
        </is>
      </c>
    </row>
    <row r="613" ht="15" customHeight="1">
      <c r="A613" s="10" t="inlineStr">
        <is>
          <t>S7</t>
        </is>
      </c>
      <c r="B613" s="9" t="inlineStr">
        <is>
          <t>du 26 octobre au 1er novembre 2026</t>
        </is>
      </c>
      <c r="C613" s="10" t="inlineStr">
        <is>
          <t>A</t>
        </is>
      </c>
      <c r="D613" s="41" t="n">
        <v>46321</v>
      </c>
      <c r="E613" s="10" t="inlineStr">
        <is>
          <t>Lundi</t>
        </is>
      </c>
      <c r="F613" s="42" t="n">
        <v>0.8125</v>
      </c>
      <c r="G613" s="42" t="n">
        <v>0.875</v>
      </c>
      <c r="H613" s="43">
        <f>IF(OR($F613="",$G613=""),"",($G613-$F613)*24)</f>
        <v/>
      </c>
      <c r="I613" s="10" t="inlineStr">
        <is>
          <t>Bac</t>
        </is>
      </c>
      <c r="J613" s="9" t="inlineStr">
        <is>
          <t>Bac INFO</t>
        </is>
      </c>
      <c r="K613" s="9" t="inlineStr">
        <is>
          <t>Physique</t>
        </is>
      </c>
      <c r="L613" s="9" t="inlineStr">
        <is>
          <t>Physique</t>
        </is>
      </c>
      <c r="M613" s="9" t="inlineStr">
        <is>
          <t>Samia</t>
        </is>
      </c>
      <c r="N613" s="10" t="n"/>
      <c r="O613" s="10" t="n"/>
      <c r="P613" s="10" t="inlineStr">
        <is>
          <t>Hebdomadaire</t>
        </is>
      </c>
      <c r="Q613" s="9" t="inlineStr">
        <is>
          <t>Généré (octobre)</t>
        </is>
      </c>
      <c r="R613" s="9" t="inlineStr"/>
      <c r="S613" s="44">
        <f>IF($M613="","",IF(SUMPRODUCT(($D$4:$D$704=$D613)*($M$4:$M$704=$M613)*($F$4:$F$704&lt;$G613)*($G$4:$G$704&gt;$F613))&gt;1,"⚠ CONFLIT",""))</f>
        <v/>
      </c>
      <c r="T613" s="44">
        <f>IF($J613="","",IF(SUMPRODUCT(($D$4:$D$704=$D613)*($J$4:$J$704=$J613)*($F$4:$F$704&lt;$G613)*($G$4:$G$704&gt;$F613))&gt;1,"⚠ CONFLIT",""))</f>
        <v/>
      </c>
      <c r="U613" s="44">
        <f>IF(COUNTIFS($D$4:$D$704,$D613,$J$4:$J$704,$J613,$F$4:$F$704,$F613,$K$4:$K$704,$K613)&gt;1,"⚠ DOUBLON","")</f>
        <v/>
      </c>
      <c r="V613" s="44">
        <f>COUNTIFS($A$4:$A613,$A613,$J$4:$J613,$J613,$E$4:$E613,$E613)</f>
        <v/>
      </c>
      <c r="W613" s="45">
        <f>$A613&amp;"|"&amp;$J613&amp;"|"&amp;$E613&amp;"|"&amp;$V613</f>
        <v/>
      </c>
      <c r="X613" s="46">
        <f>TEXT($F613,"hh:mm")&amp;" - "&amp;TEXT($G613,"hh:mm")&amp;IF($P613="Quinzaine A","   ◆ Q-A",IF($P613="Quinzaine B","   ◆ Q-B",IF($P613="Exception","   ◆ PONCTUEL","")))&amp;CHAR(10)&amp;$K613&amp;CHAR(10)&amp;$M613&amp;IF($N613&lt;&gt;"",CHAR(10)&amp;"Salle "&amp;$N613,"")&amp;IF($O613="En ligne",CHAR(10)&amp;"◆ EN LIGNE","")&amp;IF($R613&lt;&gt;"",CHAR(10)&amp;$R613,"")</f>
        <v/>
      </c>
      <c r="Y613" s="45" t="inlineStr"/>
      <c r="Z613" s="45" t="inlineStr">
        <is>
          <t>— généré —</t>
        </is>
      </c>
    </row>
    <row r="614" ht="15" customHeight="1">
      <c r="A614" s="10" t="inlineStr">
        <is>
          <t>S7</t>
        </is>
      </c>
      <c r="B614" s="9" t="inlineStr">
        <is>
          <t>du 26 octobre au 1er novembre 2026</t>
        </is>
      </c>
      <c r="C614" s="10" t="inlineStr">
        <is>
          <t>A</t>
        </is>
      </c>
      <c r="D614" s="41" t="n">
        <v>46322</v>
      </c>
      <c r="E614" s="10" t="inlineStr">
        <is>
          <t>Mardi</t>
        </is>
      </c>
      <c r="F614" s="42" t="n">
        <v>0.7916666666666666</v>
      </c>
      <c r="G614" s="42" t="n">
        <v>0.875</v>
      </c>
      <c r="H614" s="43">
        <f>IF(OR($F614="",$G614=""),"",($G614-$F614)*24)</f>
        <v/>
      </c>
      <c r="I614" s="10" t="inlineStr">
        <is>
          <t>Primaire</t>
        </is>
      </c>
      <c r="J614" s="9" t="inlineStr">
        <is>
          <t>5éme</t>
        </is>
      </c>
      <c r="K614" s="9" t="inlineStr">
        <is>
          <t>عربية</t>
        </is>
      </c>
      <c r="L614" s="9" t="inlineStr">
        <is>
          <t>Arabe</t>
        </is>
      </c>
      <c r="M614" s="9" t="inlineStr">
        <is>
          <t>Lobna</t>
        </is>
      </c>
      <c r="N614" s="10" t="n"/>
      <c r="O614" s="10" t="n"/>
      <c r="P614" s="10" t="inlineStr">
        <is>
          <t>Hebdomadaire</t>
        </is>
      </c>
      <c r="Q614" s="9" t="inlineStr">
        <is>
          <t>Généré (octobre)</t>
        </is>
      </c>
      <c r="R614" s="9" t="inlineStr"/>
      <c r="S614" s="44">
        <f>IF($M614="","",IF(SUMPRODUCT(($D$4:$D$704=$D614)*($M$4:$M$704=$M614)*($F$4:$F$704&lt;$G614)*($G$4:$G$704&gt;$F614))&gt;1,"⚠ CONFLIT",""))</f>
        <v/>
      </c>
      <c r="T614" s="44">
        <f>IF($J614="","",IF(SUMPRODUCT(($D$4:$D$704=$D614)*($J$4:$J$704=$J614)*($F$4:$F$704&lt;$G614)*($G$4:$G$704&gt;$F614))&gt;1,"⚠ CONFLIT",""))</f>
        <v/>
      </c>
      <c r="U614" s="44">
        <f>IF(COUNTIFS($D$4:$D$704,$D614,$J$4:$J$704,$J614,$F$4:$F$704,$F614,$K$4:$K$704,$K614)&gt;1,"⚠ DOUBLON","")</f>
        <v/>
      </c>
      <c r="V614" s="44">
        <f>COUNTIFS($A$4:$A614,$A614,$J$4:$J614,$J614,$E$4:$E614,$E614)</f>
        <v/>
      </c>
      <c r="W614" s="45">
        <f>$A614&amp;"|"&amp;$J614&amp;"|"&amp;$E614&amp;"|"&amp;$V614</f>
        <v/>
      </c>
      <c r="X614" s="46">
        <f>TEXT($F614,"hh:mm")&amp;" - "&amp;TEXT($G614,"hh:mm")&amp;IF($P614="Quinzaine A","   ◆ Q-A",IF($P614="Quinzaine B","   ◆ Q-B",IF($P614="Exception","   ◆ PONCTUEL","")))&amp;CHAR(10)&amp;$K614&amp;CHAR(10)&amp;$M614&amp;IF($N614&lt;&gt;"",CHAR(10)&amp;"Salle "&amp;$N614,"")&amp;IF($O614="En ligne",CHAR(10)&amp;"◆ EN LIGNE","")&amp;IF($R614&lt;&gt;"",CHAR(10)&amp;$R614,"")</f>
        <v/>
      </c>
      <c r="Y614" s="45" t="inlineStr"/>
      <c r="Z614" s="45" t="inlineStr">
        <is>
          <t>— généré —</t>
        </is>
      </c>
    </row>
    <row r="615" ht="15" customHeight="1">
      <c r="A615" s="10" t="inlineStr">
        <is>
          <t>S7</t>
        </is>
      </c>
      <c r="B615" s="9" t="inlineStr">
        <is>
          <t>du 26 octobre au 1er novembre 2026</t>
        </is>
      </c>
      <c r="C615" s="10" t="inlineStr">
        <is>
          <t>A</t>
        </is>
      </c>
      <c r="D615" s="41" t="n">
        <v>46322</v>
      </c>
      <c r="E615" s="10" t="inlineStr">
        <is>
          <t>Mardi</t>
        </is>
      </c>
      <c r="F615" s="42" t="n">
        <v>0.7916666666666666</v>
      </c>
      <c r="G615" s="42" t="n">
        <v>0.8541666666666666</v>
      </c>
      <c r="H615" s="43">
        <f>IF(OR($F615="",$G615=""),"",($G615-$F615)*24)</f>
        <v/>
      </c>
      <c r="I615" s="10" t="inlineStr">
        <is>
          <t>Primaire</t>
        </is>
      </c>
      <c r="J615" s="9" t="inlineStr">
        <is>
          <t>6éme (B)</t>
        </is>
      </c>
      <c r="K615" s="9" t="inlineStr">
        <is>
          <t>Français</t>
        </is>
      </c>
      <c r="L615" s="9" t="inlineStr">
        <is>
          <t>Français</t>
        </is>
      </c>
      <c r="M615" s="9" t="inlineStr">
        <is>
          <t>Hend</t>
        </is>
      </c>
      <c r="N615" s="10" t="n"/>
      <c r="O615" s="10" t="n"/>
      <c r="P615" s="10" t="inlineStr">
        <is>
          <t>Hebdomadaire</t>
        </is>
      </c>
      <c r="Q615" s="9" t="inlineStr">
        <is>
          <t>Généré (octobre)</t>
        </is>
      </c>
      <c r="R615" s="9" t="inlineStr"/>
      <c r="S615" s="44">
        <f>IF($M615="","",IF(SUMPRODUCT(($D$4:$D$704=$D615)*($M$4:$M$704=$M615)*($F$4:$F$704&lt;$G615)*($G$4:$G$704&gt;$F615))&gt;1,"⚠ CONFLIT",""))</f>
        <v/>
      </c>
      <c r="T615" s="44">
        <f>IF($J615="","",IF(SUMPRODUCT(($D$4:$D$704=$D615)*($J$4:$J$704=$J615)*($F$4:$F$704&lt;$G615)*($G$4:$G$704&gt;$F615))&gt;1,"⚠ CONFLIT",""))</f>
        <v/>
      </c>
      <c r="U615" s="44">
        <f>IF(COUNTIFS($D$4:$D$704,$D615,$J$4:$J$704,$J615,$F$4:$F$704,$F615,$K$4:$K$704,$K615)&gt;1,"⚠ DOUBLON","")</f>
        <v/>
      </c>
      <c r="V615" s="44">
        <f>COUNTIFS($A$4:$A615,$A615,$J$4:$J615,$J615,$E$4:$E615,$E615)</f>
        <v/>
      </c>
      <c r="W615" s="45">
        <f>$A615&amp;"|"&amp;$J615&amp;"|"&amp;$E615&amp;"|"&amp;$V615</f>
        <v/>
      </c>
      <c r="X615" s="46">
        <f>TEXT($F615,"hh:mm")&amp;" - "&amp;TEXT($G615,"hh:mm")&amp;IF($P615="Quinzaine A","   ◆ Q-A",IF($P615="Quinzaine B","   ◆ Q-B",IF($P615="Exception","   ◆ PONCTUEL","")))&amp;CHAR(10)&amp;$K615&amp;CHAR(10)&amp;$M615&amp;IF($N615&lt;&gt;"",CHAR(10)&amp;"Salle "&amp;$N615,"")&amp;IF($O615="En ligne",CHAR(10)&amp;"◆ EN LIGNE","")&amp;IF($R615&lt;&gt;"",CHAR(10)&amp;$R615,"")</f>
        <v/>
      </c>
      <c r="Y615" s="45" t="inlineStr"/>
      <c r="Z615" s="45" t="inlineStr">
        <is>
          <t>— généré —</t>
        </is>
      </c>
    </row>
    <row r="616" ht="15" customHeight="1">
      <c r="A616" s="10" t="inlineStr">
        <is>
          <t>S7</t>
        </is>
      </c>
      <c r="B616" s="9" t="inlineStr">
        <is>
          <t>du 26 octobre au 1er novembre 2026</t>
        </is>
      </c>
      <c r="C616" s="10" t="inlineStr">
        <is>
          <t>A</t>
        </is>
      </c>
      <c r="D616" s="41" t="n">
        <v>46322</v>
      </c>
      <c r="E616" s="10" t="inlineStr">
        <is>
          <t>Mardi</t>
        </is>
      </c>
      <c r="F616" s="42" t="n">
        <v>0.7916666666666666</v>
      </c>
      <c r="G616" s="42" t="n">
        <v>0.8541666666666666</v>
      </c>
      <c r="H616" s="43">
        <f>IF(OR($F616="",$G616=""),"",($G616-$F616)*24)</f>
        <v/>
      </c>
      <c r="I616" s="10" t="inlineStr">
        <is>
          <t>Collège</t>
        </is>
      </c>
      <c r="J616" s="9" t="inlineStr">
        <is>
          <t>7éme (A)</t>
        </is>
      </c>
      <c r="K616" s="9" t="inlineStr">
        <is>
          <t>Anglais</t>
        </is>
      </c>
      <c r="L616" s="9" t="inlineStr">
        <is>
          <t>Anglais</t>
        </is>
      </c>
      <c r="M616" s="9" t="inlineStr">
        <is>
          <t>Imen Ben Lazrak</t>
        </is>
      </c>
      <c r="N616" s="10" t="n"/>
      <c r="O616" s="10" t="n"/>
      <c r="P616" s="10" t="inlineStr">
        <is>
          <t>Quinzaine A</t>
        </is>
      </c>
      <c r="Q616" s="9" t="inlineStr">
        <is>
          <t>Généré (octobre)</t>
        </is>
      </c>
      <c r="R616" s="9" t="inlineStr"/>
      <c r="S616" s="44">
        <f>IF($M616="","",IF(SUMPRODUCT(($D$4:$D$704=$D616)*($M$4:$M$704=$M616)*($F$4:$F$704&lt;$G616)*($G$4:$G$704&gt;$F616))&gt;1,"⚠ CONFLIT",""))</f>
        <v/>
      </c>
      <c r="T616" s="44">
        <f>IF($J616="","",IF(SUMPRODUCT(($D$4:$D$704=$D616)*($J$4:$J$704=$J616)*($F$4:$F$704&lt;$G616)*($G$4:$G$704&gt;$F616))&gt;1,"⚠ CONFLIT",""))</f>
        <v/>
      </c>
      <c r="U616" s="44">
        <f>IF(COUNTIFS($D$4:$D$704,$D616,$J$4:$J$704,$J616,$F$4:$F$704,$F616,$K$4:$K$704,$K616)&gt;1,"⚠ DOUBLON","")</f>
        <v/>
      </c>
      <c r="V616" s="44">
        <f>COUNTIFS($A$4:$A616,$A616,$J$4:$J616,$J616,$E$4:$E616,$E616)</f>
        <v/>
      </c>
      <c r="W616" s="45">
        <f>$A616&amp;"|"&amp;$J616&amp;"|"&amp;$E616&amp;"|"&amp;$V616</f>
        <v/>
      </c>
      <c r="X616" s="46">
        <f>TEXT($F616,"hh:mm")&amp;" - "&amp;TEXT($G616,"hh:mm")&amp;IF($P616="Quinzaine A","   ◆ Q-A",IF($P616="Quinzaine B","   ◆ Q-B",IF($P616="Exception","   ◆ PONCTUEL","")))&amp;CHAR(10)&amp;$K616&amp;CHAR(10)&amp;$M616&amp;IF($N616&lt;&gt;"",CHAR(10)&amp;"Salle "&amp;$N616,"")&amp;IF($O616="En ligne",CHAR(10)&amp;"◆ EN LIGNE","")&amp;IF($R616&lt;&gt;"",CHAR(10)&amp;$R616,"")</f>
        <v/>
      </c>
      <c r="Y616" s="45" t="inlineStr"/>
      <c r="Z616" s="45" t="inlineStr">
        <is>
          <t>— généré —</t>
        </is>
      </c>
    </row>
    <row r="617" ht="15" customHeight="1">
      <c r="A617" s="10" t="inlineStr">
        <is>
          <t>S7</t>
        </is>
      </c>
      <c r="B617" s="9" t="inlineStr">
        <is>
          <t>du 26 octobre au 1er novembre 2026</t>
        </is>
      </c>
      <c r="C617" s="10" t="inlineStr">
        <is>
          <t>A</t>
        </is>
      </c>
      <c r="D617" s="41" t="n">
        <v>46322</v>
      </c>
      <c r="E617" s="10" t="inlineStr">
        <is>
          <t>Mardi</t>
        </is>
      </c>
      <c r="F617" s="42" t="n">
        <v>0.8125</v>
      </c>
      <c r="G617" s="42" t="n">
        <v>0.875</v>
      </c>
      <c r="H617" s="43">
        <f>IF(OR($F617="",$G617=""),"",($G617-$F617)*24)</f>
        <v/>
      </c>
      <c r="I617" s="10" t="inlineStr">
        <is>
          <t>Collège</t>
        </is>
      </c>
      <c r="J617" s="9" t="inlineStr">
        <is>
          <t>8éme (B)</t>
        </is>
      </c>
      <c r="K617" s="9" t="inlineStr">
        <is>
          <t>Arabe</t>
        </is>
      </c>
      <c r="L617" s="9" t="inlineStr">
        <is>
          <t>Arabe</t>
        </is>
      </c>
      <c r="M617" s="9" t="inlineStr">
        <is>
          <t>Yahya</t>
        </is>
      </c>
      <c r="N617" s="10" t="n"/>
      <c r="O617" s="10" t="n"/>
      <c r="P617" s="10" t="inlineStr">
        <is>
          <t>Hebdomadaire</t>
        </is>
      </c>
      <c r="Q617" s="9" t="inlineStr">
        <is>
          <t>Généré (octobre)</t>
        </is>
      </c>
      <c r="R617" s="9" t="inlineStr"/>
      <c r="S617" s="44">
        <f>IF($M617="","",IF(SUMPRODUCT(($D$4:$D$704=$D617)*($M$4:$M$704=$M617)*($F$4:$F$704&lt;$G617)*($G$4:$G$704&gt;$F617))&gt;1,"⚠ CONFLIT",""))</f>
        <v/>
      </c>
      <c r="T617" s="44">
        <f>IF($J617="","",IF(SUMPRODUCT(($D$4:$D$704=$D617)*($J$4:$J$704=$J617)*($F$4:$F$704&lt;$G617)*($G$4:$G$704&gt;$F617))&gt;1,"⚠ CONFLIT",""))</f>
        <v/>
      </c>
      <c r="U617" s="44">
        <f>IF(COUNTIFS($D$4:$D$704,$D617,$J$4:$J$704,$J617,$F$4:$F$704,$F617,$K$4:$K$704,$K617)&gt;1,"⚠ DOUBLON","")</f>
        <v/>
      </c>
      <c r="V617" s="44">
        <f>COUNTIFS($A$4:$A617,$A617,$J$4:$J617,$J617,$E$4:$E617,$E617)</f>
        <v/>
      </c>
      <c r="W617" s="45">
        <f>$A617&amp;"|"&amp;$J617&amp;"|"&amp;$E617&amp;"|"&amp;$V617</f>
        <v/>
      </c>
      <c r="X617" s="46">
        <f>TEXT($F617,"hh:mm")&amp;" - "&amp;TEXT($G617,"hh:mm")&amp;IF($P617="Quinzaine A","   ◆ Q-A",IF($P617="Quinzaine B","   ◆ Q-B",IF($P617="Exception","   ◆ PONCTUEL","")))&amp;CHAR(10)&amp;$K617&amp;CHAR(10)&amp;$M617&amp;IF($N617&lt;&gt;"",CHAR(10)&amp;"Salle "&amp;$N617,"")&amp;IF($O617="En ligne",CHAR(10)&amp;"◆ EN LIGNE","")&amp;IF($R617&lt;&gt;"",CHAR(10)&amp;$R617,"")</f>
        <v/>
      </c>
      <c r="Y617" s="45" t="inlineStr"/>
      <c r="Z617" s="45" t="inlineStr">
        <is>
          <t>— généré —</t>
        </is>
      </c>
    </row>
    <row r="618" ht="15" customHeight="1">
      <c r="A618" s="10" t="inlineStr">
        <is>
          <t>S7</t>
        </is>
      </c>
      <c r="B618" s="9" t="inlineStr">
        <is>
          <t>du 26 octobre au 1er novembre 2026</t>
        </is>
      </c>
      <c r="C618" s="10" t="inlineStr">
        <is>
          <t>A</t>
        </is>
      </c>
      <c r="D618" s="41" t="n">
        <v>46322</v>
      </c>
      <c r="E618" s="10" t="inlineStr">
        <is>
          <t>Mardi</t>
        </is>
      </c>
      <c r="F618" s="42" t="n">
        <v>0.7916666666666666</v>
      </c>
      <c r="G618" s="42" t="n">
        <v>0.8541666666666666</v>
      </c>
      <c r="H618" s="43">
        <f>IF(OR($F618="",$G618=""),"",($G618-$F618)*24)</f>
        <v/>
      </c>
      <c r="I618" s="10" t="inlineStr">
        <is>
          <t>Collège</t>
        </is>
      </c>
      <c r="J618" s="9" t="inlineStr">
        <is>
          <t>9éme (A)</t>
        </is>
      </c>
      <c r="K618" s="9" t="inlineStr">
        <is>
          <t>Math</t>
        </is>
      </c>
      <c r="L618" s="9" t="inlineStr">
        <is>
          <t>Math</t>
        </is>
      </c>
      <c r="M618" s="9" t="inlineStr">
        <is>
          <t>Faouzi</t>
        </is>
      </c>
      <c r="N618" s="10" t="n"/>
      <c r="O618" s="10" t="n"/>
      <c r="P618" s="10" t="inlineStr">
        <is>
          <t>Hebdomadaire</t>
        </is>
      </c>
      <c r="Q618" s="9" t="inlineStr">
        <is>
          <t>Généré (octobre)</t>
        </is>
      </c>
      <c r="R618" s="9" t="inlineStr"/>
      <c r="S618" s="44">
        <f>IF($M618="","",IF(SUMPRODUCT(($D$4:$D$704=$D618)*($M$4:$M$704=$M618)*($F$4:$F$704&lt;$G618)*($G$4:$G$704&gt;$F618))&gt;1,"⚠ CONFLIT",""))</f>
        <v/>
      </c>
      <c r="T618" s="44">
        <f>IF($J618="","",IF(SUMPRODUCT(($D$4:$D$704=$D618)*($J$4:$J$704=$J618)*($F$4:$F$704&lt;$G618)*($G$4:$G$704&gt;$F618))&gt;1,"⚠ CONFLIT",""))</f>
        <v/>
      </c>
      <c r="U618" s="44">
        <f>IF(COUNTIFS($D$4:$D$704,$D618,$J$4:$J$704,$J618,$F$4:$F$704,$F618,$K$4:$K$704,$K618)&gt;1,"⚠ DOUBLON","")</f>
        <v/>
      </c>
      <c r="V618" s="44">
        <f>COUNTIFS($A$4:$A618,$A618,$J$4:$J618,$J618,$E$4:$E618,$E618)</f>
        <v/>
      </c>
      <c r="W618" s="45">
        <f>$A618&amp;"|"&amp;$J618&amp;"|"&amp;$E618&amp;"|"&amp;$V618</f>
        <v/>
      </c>
      <c r="X618" s="46">
        <f>TEXT($F618,"hh:mm")&amp;" - "&amp;TEXT($G618,"hh:mm")&amp;IF($P618="Quinzaine A","   ◆ Q-A",IF($P618="Quinzaine B","   ◆ Q-B",IF($P618="Exception","   ◆ PONCTUEL","")))&amp;CHAR(10)&amp;$K618&amp;CHAR(10)&amp;$M618&amp;IF($N618&lt;&gt;"",CHAR(10)&amp;"Salle "&amp;$N618,"")&amp;IF($O618="En ligne",CHAR(10)&amp;"◆ EN LIGNE","")&amp;IF($R618&lt;&gt;"",CHAR(10)&amp;$R618,"")</f>
        <v/>
      </c>
      <c r="Y618" s="45" t="inlineStr"/>
      <c r="Z618" s="45" t="inlineStr">
        <is>
          <t>— généré —</t>
        </is>
      </c>
    </row>
    <row r="619" ht="15" customHeight="1">
      <c r="A619" s="10" t="inlineStr">
        <is>
          <t>S7</t>
        </is>
      </c>
      <c r="B619" s="9" t="inlineStr">
        <is>
          <t>du 26 octobre au 1er novembre 2026</t>
        </is>
      </c>
      <c r="C619" s="10" t="inlineStr">
        <is>
          <t>A</t>
        </is>
      </c>
      <c r="D619" s="41" t="n">
        <v>46322</v>
      </c>
      <c r="E619" s="10" t="inlineStr">
        <is>
          <t>Mardi</t>
        </is>
      </c>
      <c r="F619" s="42" t="n">
        <v>0.8020833333333334</v>
      </c>
      <c r="G619" s="42" t="n">
        <v>0.8645833333333334</v>
      </c>
      <c r="H619" s="43">
        <f>IF(OR($F619="",$G619=""),"",($G619-$F619)*24)</f>
        <v/>
      </c>
      <c r="I619" s="10" t="inlineStr">
        <is>
          <t>Collège</t>
        </is>
      </c>
      <c r="J619" s="9" t="inlineStr">
        <is>
          <t>9éme (B)</t>
        </is>
      </c>
      <c r="K619" s="9" t="inlineStr">
        <is>
          <t>SVT</t>
        </is>
      </c>
      <c r="L619" s="9" t="inlineStr">
        <is>
          <t>SVT</t>
        </is>
      </c>
      <c r="M619" s="9" t="inlineStr">
        <is>
          <t>Imen Jribi</t>
        </is>
      </c>
      <c r="N619" s="10" t="n"/>
      <c r="O619" s="10" t="n"/>
      <c r="P619" s="10" t="inlineStr">
        <is>
          <t>Hebdomadaire</t>
        </is>
      </c>
      <c r="Q619" s="9" t="inlineStr">
        <is>
          <t>Généré (octobre)</t>
        </is>
      </c>
      <c r="R619" s="9" t="inlineStr"/>
      <c r="S619" s="44">
        <f>IF($M619="","",IF(SUMPRODUCT(($D$4:$D$704=$D619)*($M$4:$M$704=$M619)*($F$4:$F$704&lt;$G619)*($G$4:$G$704&gt;$F619))&gt;1,"⚠ CONFLIT",""))</f>
        <v/>
      </c>
      <c r="T619" s="44">
        <f>IF($J619="","",IF(SUMPRODUCT(($D$4:$D$704=$D619)*($J$4:$J$704=$J619)*($F$4:$F$704&lt;$G619)*($G$4:$G$704&gt;$F619))&gt;1,"⚠ CONFLIT",""))</f>
        <v/>
      </c>
      <c r="U619" s="44">
        <f>IF(COUNTIFS($D$4:$D$704,$D619,$J$4:$J$704,$J619,$F$4:$F$704,$F619,$K$4:$K$704,$K619)&gt;1,"⚠ DOUBLON","")</f>
        <v/>
      </c>
      <c r="V619" s="44">
        <f>COUNTIFS($A$4:$A619,$A619,$J$4:$J619,$J619,$E$4:$E619,$E619)</f>
        <v/>
      </c>
      <c r="W619" s="45">
        <f>$A619&amp;"|"&amp;$J619&amp;"|"&amp;$E619&amp;"|"&amp;$V619</f>
        <v/>
      </c>
      <c r="X619" s="46">
        <f>TEXT($F619,"hh:mm")&amp;" - "&amp;TEXT($G619,"hh:mm")&amp;IF($P619="Quinzaine A","   ◆ Q-A",IF($P619="Quinzaine B","   ◆ Q-B",IF($P619="Exception","   ◆ PONCTUEL","")))&amp;CHAR(10)&amp;$K619&amp;CHAR(10)&amp;$M619&amp;IF($N619&lt;&gt;"",CHAR(10)&amp;"Salle "&amp;$N619,"")&amp;IF($O619="En ligne",CHAR(10)&amp;"◆ EN LIGNE","")&amp;IF($R619&lt;&gt;"",CHAR(10)&amp;$R619,"")</f>
        <v/>
      </c>
      <c r="Y619" s="45" t="inlineStr"/>
      <c r="Z619" s="45" t="inlineStr">
        <is>
          <t>— généré —</t>
        </is>
      </c>
    </row>
    <row r="620" ht="15" customHeight="1">
      <c r="A620" s="10" t="inlineStr">
        <is>
          <t>S7</t>
        </is>
      </c>
      <c r="B620" s="9" t="inlineStr">
        <is>
          <t>du 26 octobre au 1er novembre 2026</t>
        </is>
      </c>
      <c r="C620" s="10" t="inlineStr">
        <is>
          <t>A</t>
        </is>
      </c>
      <c r="D620" s="41" t="n">
        <v>46322</v>
      </c>
      <c r="E620" s="10" t="inlineStr">
        <is>
          <t>Mardi</t>
        </is>
      </c>
      <c r="F620" s="42" t="n">
        <v>0.8020833333333334</v>
      </c>
      <c r="G620" s="42" t="n">
        <v>0.8645833333333334</v>
      </c>
      <c r="H620" s="43">
        <f>IF(OR($F620="",$G620=""),"",($G620-$F620)*24)</f>
        <v/>
      </c>
      <c r="I620" s="10" t="inlineStr">
        <is>
          <t>Secondaire</t>
        </is>
      </c>
      <c r="J620" s="9" t="inlineStr">
        <is>
          <t>1ére (A)</t>
        </is>
      </c>
      <c r="K620" s="9" t="inlineStr">
        <is>
          <t>Français</t>
        </is>
      </c>
      <c r="L620" s="9" t="inlineStr">
        <is>
          <t>Français</t>
        </is>
      </c>
      <c r="M620" s="9" t="inlineStr">
        <is>
          <t>Nassima</t>
        </is>
      </c>
      <c r="N620" s="10" t="n"/>
      <c r="O620" s="10" t="n"/>
      <c r="P620" s="10" t="inlineStr">
        <is>
          <t>Hebdomadaire</t>
        </is>
      </c>
      <c r="Q620" s="9" t="inlineStr">
        <is>
          <t>Généré (octobre)</t>
        </is>
      </c>
      <c r="R620" s="9" t="inlineStr"/>
      <c r="S620" s="44">
        <f>IF($M620="","",IF(SUMPRODUCT(($D$4:$D$704=$D620)*($M$4:$M$704=$M620)*($F$4:$F$704&lt;$G620)*($G$4:$G$704&gt;$F620))&gt;1,"⚠ CONFLIT",""))</f>
        <v/>
      </c>
      <c r="T620" s="44">
        <f>IF($J620="","",IF(SUMPRODUCT(($D$4:$D$704=$D620)*($J$4:$J$704=$J620)*($F$4:$F$704&lt;$G620)*($G$4:$G$704&gt;$F620))&gt;1,"⚠ CONFLIT",""))</f>
        <v/>
      </c>
      <c r="U620" s="44">
        <f>IF(COUNTIFS($D$4:$D$704,$D620,$J$4:$J$704,$J620,$F$4:$F$704,$F620,$K$4:$K$704,$K620)&gt;1,"⚠ DOUBLON","")</f>
        <v/>
      </c>
      <c r="V620" s="44">
        <f>COUNTIFS($A$4:$A620,$A620,$J$4:$J620,$J620,$E$4:$E620,$E620)</f>
        <v/>
      </c>
      <c r="W620" s="45">
        <f>$A620&amp;"|"&amp;$J620&amp;"|"&amp;$E620&amp;"|"&amp;$V620</f>
        <v/>
      </c>
      <c r="X620" s="46">
        <f>TEXT($F620,"hh:mm")&amp;" - "&amp;TEXT($G620,"hh:mm")&amp;IF($P620="Quinzaine A","   ◆ Q-A",IF($P620="Quinzaine B","   ◆ Q-B",IF($P620="Exception","   ◆ PONCTUEL","")))&amp;CHAR(10)&amp;$K620&amp;CHAR(10)&amp;$M620&amp;IF($N620&lt;&gt;"",CHAR(10)&amp;"Salle "&amp;$N620,"")&amp;IF($O620="En ligne",CHAR(10)&amp;"◆ EN LIGNE","")&amp;IF($R620&lt;&gt;"",CHAR(10)&amp;$R620,"")</f>
        <v/>
      </c>
      <c r="Y620" s="45" t="inlineStr"/>
      <c r="Z620" s="45" t="inlineStr">
        <is>
          <t>— généré —</t>
        </is>
      </c>
    </row>
    <row r="621" ht="15" customHeight="1">
      <c r="A621" s="10" t="inlineStr">
        <is>
          <t>S7</t>
        </is>
      </c>
      <c r="B621" s="9" t="inlineStr">
        <is>
          <t>du 26 octobre au 1er novembre 2026</t>
        </is>
      </c>
      <c r="C621" s="10" t="inlineStr">
        <is>
          <t>A</t>
        </is>
      </c>
      <c r="D621" s="41" t="n">
        <v>46322</v>
      </c>
      <c r="E621" s="10" t="inlineStr">
        <is>
          <t>Mardi</t>
        </is>
      </c>
      <c r="F621" s="42" t="n">
        <v>0.8125</v>
      </c>
      <c r="G621" s="42" t="n">
        <v>0.875</v>
      </c>
      <c r="H621" s="43">
        <f>IF(OR($F621="",$G621=""),"",($G621-$F621)*24)</f>
        <v/>
      </c>
      <c r="I621" s="10" t="inlineStr">
        <is>
          <t>Secondaire</t>
        </is>
      </c>
      <c r="J621" s="9" t="inlineStr">
        <is>
          <t>1ére (B)</t>
        </is>
      </c>
      <c r="K621" s="9" t="inlineStr">
        <is>
          <t>Math</t>
        </is>
      </c>
      <c r="L621" s="9" t="inlineStr">
        <is>
          <t>Math</t>
        </is>
      </c>
      <c r="M621" s="9" t="inlineStr">
        <is>
          <t>Haythem</t>
        </is>
      </c>
      <c r="N621" s="10" t="n"/>
      <c r="O621" s="10" t="n"/>
      <c r="P621" s="10" t="inlineStr">
        <is>
          <t>Hebdomadaire</t>
        </is>
      </c>
      <c r="Q621" s="9" t="inlineStr">
        <is>
          <t>Généré (octobre)</t>
        </is>
      </c>
      <c r="R621" s="9" t="inlineStr"/>
      <c r="S621" s="44">
        <f>IF($M621="","",IF(SUMPRODUCT(($D$4:$D$704=$D621)*($M$4:$M$704=$M621)*($F$4:$F$704&lt;$G621)*($G$4:$G$704&gt;$F621))&gt;1,"⚠ CONFLIT",""))</f>
        <v/>
      </c>
      <c r="T621" s="44">
        <f>IF($J621="","",IF(SUMPRODUCT(($D$4:$D$704=$D621)*($J$4:$J$704=$J621)*($F$4:$F$704&lt;$G621)*($G$4:$G$704&gt;$F621))&gt;1,"⚠ CONFLIT",""))</f>
        <v/>
      </c>
      <c r="U621" s="44">
        <f>IF(COUNTIFS($D$4:$D$704,$D621,$J$4:$J$704,$J621,$F$4:$F$704,$F621,$K$4:$K$704,$K621)&gt;1,"⚠ DOUBLON","")</f>
        <v/>
      </c>
      <c r="V621" s="44">
        <f>COUNTIFS($A$4:$A621,$A621,$J$4:$J621,$J621,$E$4:$E621,$E621)</f>
        <v/>
      </c>
      <c r="W621" s="45">
        <f>$A621&amp;"|"&amp;$J621&amp;"|"&amp;$E621&amp;"|"&amp;$V621</f>
        <v/>
      </c>
      <c r="X621" s="46">
        <f>TEXT($F621,"hh:mm")&amp;" - "&amp;TEXT($G621,"hh:mm")&amp;IF($P621="Quinzaine A","   ◆ Q-A",IF($P621="Quinzaine B","   ◆ Q-B",IF($P621="Exception","   ◆ PONCTUEL","")))&amp;CHAR(10)&amp;$K621&amp;CHAR(10)&amp;$M621&amp;IF($N621&lt;&gt;"",CHAR(10)&amp;"Salle "&amp;$N621,"")&amp;IF($O621="En ligne",CHAR(10)&amp;"◆ EN LIGNE","")&amp;IF($R621&lt;&gt;"",CHAR(10)&amp;$R621,"")</f>
        <v/>
      </c>
      <c r="Y621" s="45" t="inlineStr"/>
      <c r="Z621" s="45" t="inlineStr">
        <is>
          <t>— généré —</t>
        </is>
      </c>
    </row>
    <row r="622" ht="15" customHeight="1">
      <c r="A622" s="10" t="inlineStr">
        <is>
          <t>S7</t>
        </is>
      </c>
      <c r="B622" s="9" t="inlineStr">
        <is>
          <t>du 26 octobre au 1er novembre 2026</t>
        </is>
      </c>
      <c r="C622" s="10" t="inlineStr">
        <is>
          <t>A</t>
        </is>
      </c>
      <c r="D622" s="41" t="n">
        <v>46322</v>
      </c>
      <c r="E622" s="10" t="inlineStr">
        <is>
          <t>Mardi</t>
        </is>
      </c>
      <c r="F622" s="42" t="n">
        <v>0.8020833333333334</v>
      </c>
      <c r="G622" s="42" t="n">
        <v>0.8645833333333334</v>
      </c>
      <c r="H622" s="43">
        <f>IF(OR($F622="",$G622=""),"",($G622-$F622)*24)</f>
        <v/>
      </c>
      <c r="I622" s="10" t="inlineStr">
        <is>
          <t>Secondaire</t>
        </is>
      </c>
      <c r="J622" s="9" t="inlineStr">
        <is>
          <t>2éme Eco</t>
        </is>
      </c>
      <c r="K622" s="9" t="inlineStr">
        <is>
          <t>Anglais</t>
        </is>
      </c>
      <c r="L622" s="9" t="inlineStr">
        <is>
          <t>Anglais</t>
        </is>
      </c>
      <c r="M622" s="9" t="inlineStr">
        <is>
          <t>Imen Bennour</t>
        </is>
      </c>
      <c r="N622" s="10" t="n"/>
      <c r="O622" s="10" t="n"/>
      <c r="P622" s="10" t="inlineStr">
        <is>
          <t>Quinzaine A</t>
        </is>
      </c>
      <c r="Q622" s="9" t="inlineStr">
        <is>
          <t>Généré (octobre)</t>
        </is>
      </c>
      <c r="R622" s="9" t="inlineStr"/>
      <c r="S622" s="44">
        <f>IF($M622="","",IF(SUMPRODUCT(($D$4:$D$704=$D622)*($M$4:$M$704=$M622)*($F$4:$F$704&lt;$G622)*($G$4:$G$704&gt;$F622))&gt;1,"⚠ CONFLIT",""))</f>
        <v/>
      </c>
      <c r="T622" s="44">
        <f>IF($J622="","",IF(SUMPRODUCT(($D$4:$D$704=$D622)*($J$4:$J$704=$J622)*($F$4:$F$704&lt;$G622)*($G$4:$G$704&gt;$F622))&gt;1,"⚠ CONFLIT",""))</f>
        <v/>
      </c>
      <c r="U622" s="44">
        <f>IF(COUNTIFS($D$4:$D$704,$D622,$J$4:$J$704,$J622,$F$4:$F$704,$F622,$K$4:$K$704,$K622)&gt;1,"⚠ DOUBLON","")</f>
        <v/>
      </c>
      <c r="V622" s="44">
        <f>COUNTIFS($A$4:$A622,$A622,$J$4:$J622,$J622,$E$4:$E622,$E622)</f>
        <v/>
      </c>
      <c r="W622" s="45">
        <f>$A622&amp;"|"&amp;$J622&amp;"|"&amp;$E622&amp;"|"&amp;$V622</f>
        <v/>
      </c>
      <c r="X622" s="46">
        <f>TEXT($F622,"hh:mm")&amp;" - "&amp;TEXT($G622,"hh:mm")&amp;IF($P622="Quinzaine A","   ◆ Q-A",IF($P622="Quinzaine B","   ◆ Q-B",IF($P622="Exception","   ◆ PONCTUEL","")))&amp;CHAR(10)&amp;$K622&amp;CHAR(10)&amp;$M622&amp;IF($N622&lt;&gt;"",CHAR(10)&amp;"Salle "&amp;$N622,"")&amp;IF($O622="En ligne",CHAR(10)&amp;"◆ EN LIGNE","")&amp;IF($R622&lt;&gt;"",CHAR(10)&amp;$R622,"")</f>
        <v/>
      </c>
      <c r="Y622" s="45" t="inlineStr"/>
      <c r="Z622" s="45" t="inlineStr">
        <is>
          <t>— généré —</t>
        </is>
      </c>
    </row>
    <row r="623" ht="15" customHeight="1">
      <c r="A623" s="10" t="inlineStr">
        <is>
          <t>S7</t>
        </is>
      </c>
      <c r="B623" s="9" t="inlineStr">
        <is>
          <t>du 26 octobre au 1er novembre 2026</t>
        </is>
      </c>
      <c r="C623" s="10" t="inlineStr">
        <is>
          <t>A</t>
        </is>
      </c>
      <c r="D623" s="41" t="n">
        <v>46322</v>
      </c>
      <c r="E623" s="10" t="inlineStr">
        <is>
          <t>Mardi</t>
        </is>
      </c>
      <c r="F623" s="42" t="n">
        <v>0.8020833333333334</v>
      </c>
      <c r="G623" s="42" t="n">
        <v>0.8645833333333334</v>
      </c>
      <c r="H623" s="43">
        <f>IF(OR($F623="",$G623=""),"",($G623-$F623)*24)</f>
        <v/>
      </c>
      <c r="I623" s="10" t="inlineStr">
        <is>
          <t>Bac</t>
        </is>
      </c>
      <c r="J623" s="9" t="inlineStr">
        <is>
          <t>Bac Eco</t>
        </is>
      </c>
      <c r="K623" s="9" t="inlineStr">
        <is>
          <t>Espagnol</t>
        </is>
      </c>
      <c r="L623" s="9" t="inlineStr">
        <is>
          <t>Espagnol</t>
        </is>
      </c>
      <c r="M623" s="9" t="inlineStr">
        <is>
          <t>Imen</t>
        </is>
      </c>
      <c r="N623" s="10" t="n"/>
      <c r="O623" s="10" t="n"/>
      <c r="P623" s="10" t="inlineStr">
        <is>
          <t>Quinzaine A</t>
        </is>
      </c>
      <c r="Q623" s="9" t="inlineStr">
        <is>
          <t>Généré (octobre)</t>
        </is>
      </c>
      <c r="R623" s="9" t="inlineStr"/>
      <c r="S623" s="44">
        <f>IF($M623="","",IF(SUMPRODUCT(($D$4:$D$704=$D623)*($M$4:$M$704=$M623)*($F$4:$F$704&lt;$G623)*($G$4:$G$704&gt;$F623))&gt;1,"⚠ CONFLIT",""))</f>
        <v/>
      </c>
      <c r="T623" s="44">
        <f>IF($J623="","",IF(SUMPRODUCT(($D$4:$D$704=$D623)*($J$4:$J$704=$J623)*($F$4:$F$704&lt;$G623)*($G$4:$G$704&gt;$F623))&gt;1,"⚠ CONFLIT",""))</f>
        <v/>
      </c>
      <c r="U623" s="44">
        <f>IF(COUNTIFS($D$4:$D$704,$D623,$J$4:$J$704,$J623,$F$4:$F$704,$F623,$K$4:$K$704,$K623)&gt;1,"⚠ DOUBLON","")</f>
        <v/>
      </c>
      <c r="V623" s="44">
        <f>COUNTIFS($A$4:$A623,$A623,$J$4:$J623,$J623,$E$4:$E623,$E623)</f>
        <v/>
      </c>
      <c r="W623" s="45">
        <f>$A623&amp;"|"&amp;$J623&amp;"|"&amp;$E623&amp;"|"&amp;$V623</f>
        <v/>
      </c>
      <c r="X623" s="46">
        <f>TEXT($F623,"hh:mm")&amp;" - "&amp;TEXT($G623,"hh:mm")&amp;IF($P623="Quinzaine A","   ◆ Q-A",IF($P623="Quinzaine B","   ◆ Q-B",IF($P623="Exception","   ◆ PONCTUEL","")))&amp;CHAR(10)&amp;$K623&amp;CHAR(10)&amp;$M623&amp;IF($N623&lt;&gt;"",CHAR(10)&amp;"Salle "&amp;$N623,"")&amp;IF($O623="En ligne",CHAR(10)&amp;"◆ EN LIGNE","")&amp;IF($R623&lt;&gt;"",CHAR(10)&amp;$R623,"")</f>
        <v/>
      </c>
      <c r="Y623" s="45" t="inlineStr"/>
      <c r="Z623" s="45" t="inlineStr">
        <is>
          <t>— généré —</t>
        </is>
      </c>
    </row>
    <row r="624" ht="15" customHeight="1">
      <c r="A624" s="10" t="inlineStr">
        <is>
          <t>S7</t>
        </is>
      </c>
      <c r="B624" s="9" t="inlineStr">
        <is>
          <t>du 26 octobre au 1er novembre 2026</t>
        </is>
      </c>
      <c r="C624" s="10" t="inlineStr">
        <is>
          <t>A</t>
        </is>
      </c>
      <c r="D624" s="41" t="n">
        <v>46322</v>
      </c>
      <c r="E624" s="10" t="inlineStr">
        <is>
          <t>Mardi</t>
        </is>
      </c>
      <c r="F624" s="42" t="n">
        <v>0.8020833333333334</v>
      </c>
      <c r="G624" s="42" t="n">
        <v>0.8645833333333334</v>
      </c>
      <c r="H624" s="43">
        <f>IF(OR($F624="",$G624=""),"",($G624-$F624)*24)</f>
        <v/>
      </c>
      <c r="I624" s="10" t="inlineStr">
        <is>
          <t>Bac</t>
        </is>
      </c>
      <c r="J624" s="9" t="inlineStr">
        <is>
          <t>Bac SCE</t>
        </is>
      </c>
      <c r="K624" s="9" t="inlineStr">
        <is>
          <t>Italien</t>
        </is>
      </c>
      <c r="L624" s="9" t="inlineStr">
        <is>
          <t>Italien</t>
        </is>
      </c>
      <c r="M624" s="9" t="inlineStr">
        <is>
          <t>Amel</t>
        </is>
      </c>
      <c r="N624" s="10" t="n"/>
      <c r="O624" s="10" t="n"/>
      <c r="P624" s="10" t="inlineStr">
        <is>
          <t>Quinzaine A</t>
        </is>
      </c>
      <c r="Q624" s="9" t="inlineStr">
        <is>
          <t>Généré (octobre)</t>
        </is>
      </c>
      <c r="R624" s="9" t="inlineStr"/>
      <c r="S624" s="44">
        <f>IF($M624="","",IF(SUMPRODUCT(($D$4:$D$704=$D624)*($M$4:$M$704=$M624)*($F$4:$F$704&lt;$G624)*($G$4:$G$704&gt;$F624))&gt;1,"⚠ CONFLIT",""))</f>
        <v/>
      </c>
      <c r="T624" s="44">
        <f>IF($J624="","",IF(SUMPRODUCT(($D$4:$D$704=$D624)*($J$4:$J$704=$J624)*($F$4:$F$704&lt;$G624)*($G$4:$G$704&gt;$F624))&gt;1,"⚠ CONFLIT",""))</f>
        <v/>
      </c>
      <c r="U624" s="44">
        <f>IF(COUNTIFS($D$4:$D$704,$D624,$J$4:$J$704,$J624,$F$4:$F$704,$F624,$K$4:$K$704,$K624)&gt;1,"⚠ DOUBLON","")</f>
        <v/>
      </c>
      <c r="V624" s="44">
        <f>COUNTIFS($A$4:$A624,$A624,$J$4:$J624,$J624,$E$4:$E624,$E624)</f>
        <v/>
      </c>
      <c r="W624" s="45">
        <f>$A624&amp;"|"&amp;$J624&amp;"|"&amp;$E624&amp;"|"&amp;$V624</f>
        <v/>
      </c>
      <c r="X624" s="46">
        <f>TEXT($F624,"hh:mm")&amp;" - "&amp;TEXT($G624,"hh:mm")&amp;IF($P624="Quinzaine A","   ◆ Q-A",IF($P624="Quinzaine B","   ◆ Q-B",IF($P624="Exception","   ◆ PONCTUEL","")))&amp;CHAR(10)&amp;$K624&amp;CHAR(10)&amp;$M624&amp;IF($N624&lt;&gt;"",CHAR(10)&amp;"Salle "&amp;$N624,"")&amp;IF($O624="En ligne",CHAR(10)&amp;"◆ EN LIGNE","")&amp;IF($R624&lt;&gt;"",CHAR(10)&amp;$R624,"")</f>
        <v/>
      </c>
      <c r="Y624" s="45" t="inlineStr"/>
      <c r="Z624" s="45" t="inlineStr">
        <is>
          <t>— généré —</t>
        </is>
      </c>
    </row>
    <row r="625" ht="15" customHeight="1">
      <c r="A625" s="10" t="inlineStr">
        <is>
          <t>S7</t>
        </is>
      </c>
      <c r="B625" s="9" t="inlineStr">
        <is>
          <t>du 26 octobre au 1er novembre 2026</t>
        </is>
      </c>
      <c r="C625" s="10" t="inlineStr">
        <is>
          <t>A</t>
        </is>
      </c>
      <c r="D625" s="41" t="n">
        <v>46323</v>
      </c>
      <c r="E625" s="10" t="inlineStr">
        <is>
          <t>Mercredi</t>
        </is>
      </c>
      <c r="F625" s="42" t="n">
        <v>0.7916666666666666</v>
      </c>
      <c r="G625" s="42" t="n">
        <v>0.875</v>
      </c>
      <c r="H625" s="43">
        <f>IF(OR($F625="",$G625=""),"",($G625-$F625)*24)</f>
        <v/>
      </c>
      <c r="I625" s="10" t="inlineStr">
        <is>
          <t>Primaire</t>
        </is>
      </c>
      <c r="J625" s="9" t="inlineStr">
        <is>
          <t>4éme</t>
        </is>
      </c>
      <c r="K625" s="9" t="inlineStr">
        <is>
          <t>رياضيات</t>
        </is>
      </c>
      <c r="L625" s="9" t="inlineStr">
        <is>
          <t>Math</t>
        </is>
      </c>
      <c r="M625" s="9" t="inlineStr">
        <is>
          <t>Bassma</t>
        </is>
      </c>
      <c r="N625" s="10" t="n"/>
      <c r="O625" s="10" t="n"/>
      <c r="P625" s="10" t="inlineStr">
        <is>
          <t>Hebdomadaire</t>
        </is>
      </c>
      <c r="Q625" s="9" t="inlineStr">
        <is>
          <t>Généré (octobre)</t>
        </is>
      </c>
      <c r="R625" s="9" t="inlineStr"/>
      <c r="S625" s="44">
        <f>IF($M625="","",IF(SUMPRODUCT(($D$4:$D$704=$D625)*($M$4:$M$704=$M625)*($F$4:$F$704&lt;$G625)*($G$4:$G$704&gt;$F625))&gt;1,"⚠ CONFLIT",""))</f>
        <v/>
      </c>
      <c r="T625" s="44">
        <f>IF($J625="","",IF(SUMPRODUCT(($D$4:$D$704=$D625)*($J$4:$J$704=$J625)*($F$4:$F$704&lt;$G625)*($G$4:$G$704&gt;$F625))&gt;1,"⚠ CONFLIT",""))</f>
        <v/>
      </c>
      <c r="U625" s="44">
        <f>IF(COUNTIFS($D$4:$D$704,$D625,$J$4:$J$704,$J625,$F$4:$F$704,$F625,$K$4:$K$704,$K625)&gt;1,"⚠ DOUBLON","")</f>
        <v/>
      </c>
      <c r="V625" s="44">
        <f>COUNTIFS($A$4:$A625,$A625,$J$4:$J625,$J625,$E$4:$E625,$E625)</f>
        <v/>
      </c>
      <c r="W625" s="45">
        <f>$A625&amp;"|"&amp;$J625&amp;"|"&amp;$E625&amp;"|"&amp;$V625</f>
        <v/>
      </c>
      <c r="X625" s="46">
        <f>TEXT($F625,"hh:mm")&amp;" - "&amp;TEXT($G625,"hh:mm")&amp;IF($P625="Quinzaine A","   ◆ Q-A",IF($P625="Quinzaine B","   ◆ Q-B",IF($P625="Exception","   ◆ PONCTUEL","")))&amp;CHAR(10)&amp;$K625&amp;CHAR(10)&amp;$M625&amp;IF($N625&lt;&gt;"",CHAR(10)&amp;"Salle "&amp;$N625,"")&amp;IF($O625="En ligne",CHAR(10)&amp;"◆ EN LIGNE","")&amp;IF($R625&lt;&gt;"",CHAR(10)&amp;$R625,"")</f>
        <v/>
      </c>
      <c r="Y625" s="45" t="inlineStr"/>
      <c r="Z625" s="45" t="inlineStr">
        <is>
          <t>— généré —</t>
        </is>
      </c>
    </row>
    <row r="626" ht="15" customHeight="1">
      <c r="A626" s="10" t="inlineStr">
        <is>
          <t>S7</t>
        </is>
      </c>
      <c r="B626" s="9" t="inlineStr">
        <is>
          <t>du 26 octobre au 1er novembre 2026</t>
        </is>
      </c>
      <c r="C626" s="10" t="inlineStr">
        <is>
          <t>A</t>
        </is>
      </c>
      <c r="D626" s="41" t="n">
        <v>46323</v>
      </c>
      <c r="E626" s="10" t="inlineStr">
        <is>
          <t>Mercredi</t>
        </is>
      </c>
      <c r="F626" s="42" t="n">
        <v>0.7916666666666666</v>
      </c>
      <c r="G626" s="42" t="n">
        <v>0.875</v>
      </c>
      <c r="H626" s="43">
        <f>IF(OR($F626="",$G626=""),"",($G626-$F626)*24)</f>
        <v/>
      </c>
      <c r="I626" s="10" t="inlineStr">
        <is>
          <t>Primaire</t>
        </is>
      </c>
      <c r="J626" s="9" t="inlineStr">
        <is>
          <t>6éme Pilote (A)</t>
        </is>
      </c>
      <c r="K626" s="9" t="inlineStr">
        <is>
          <t>رياضيات</t>
        </is>
      </c>
      <c r="L626" s="9" t="inlineStr">
        <is>
          <t>Math</t>
        </is>
      </c>
      <c r="M626" s="9" t="inlineStr">
        <is>
          <t>Noura</t>
        </is>
      </c>
      <c r="N626" s="10" t="n"/>
      <c r="O626" s="10" t="n"/>
      <c r="P626" s="10" t="inlineStr">
        <is>
          <t>Hebdomadaire</t>
        </is>
      </c>
      <c r="Q626" s="9" t="inlineStr">
        <is>
          <t>Généré (octobre)</t>
        </is>
      </c>
      <c r="R626" s="9" t="inlineStr"/>
      <c r="S626" s="44">
        <f>IF($M626="","",IF(SUMPRODUCT(($D$4:$D$704=$D626)*($M$4:$M$704=$M626)*($F$4:$F$704&lt;$G626)*($G$4:$G$704&gt;$F626))&gt;1,"⚠ CONFLIT",""))</f>
        <v/>
      </c>
      <c r="T626" s="44">
        <f>IF($J626="","",IF(SUMPRODUCT(($D$4:$D$704=$D626)*($J$4:$J$704=$J626)*($F$4:$F$704&lt;$G626)*($G$4:$G$704&gt;$F626))&gt;1,"⚠ CONFLIT",""))</f>
        <v/>
      </c>
      <c r="U626" s="44">
        <f>IF(COUNTIFS($D$4:$D$704,$D626,$J$4:$J$704,$J626,$F$4:$F$704,$F626,$K$4:$K$704,$K626)&gt;1,"⚠ DOUBLON","")</f>
        <v/>
      </c>
      <c r="V626" s="44">
        <f>COUNTIFS($A$4:$A626,$A626,$J$4:$J626,$J626,$E$4:$E626,$E626)</f>
        <v/>
      </c>
      <c r="W626" s="45">
        <f>$A626&amp;"|"&amp;$J626&amp;"|"&amp;$E626&amp;"|"&amp;$V626</f>
        <v/>
      </c>
      <c r="X626" s="46">
        <f>TEXT($F626,"hh:mm")&amp;" - "&amp;TEXT($G626,"hh:mm")&amp;IF($P626="Quinzaine A","   ◆ Q-A",IF($P626="Quinzaine B","   ◆ Q-B",IF($P626="Exception","   ◆ PONCTUEL","")))&amp;CHAR(10)&amp;$K626&amp;CHAR(10)&amp;$M626&amp;IF($N626&lt;&gt;"",CHAR(10)&amp;"Salle "&amp;$N626,"")&amp;IF($O626="En ligne",CHAR(10)&amp;"◆ EN LIGNE","")&amp;IF($R626&lt;&gt;"",CHAR(10)&amp;$R626,"")</f>
        <v/>
      </c>
      <c r="Y626" s="45" t="inlineStr"/>
      <c r="Z626" s="45" t="inlineStr">
        <is>
          <t>— généré —</t>
        </is>
      </c>
    </row>
    <row r="627" ht="15" customHeight="1">
      <c r="A627" s="10" t="inlineStr">
        <is>
          <t>S7</t>
        </is>
      </c>
      <c r="B627" s="9" t="inlineStr">
        <is>
          <t>du 26 octobre au 1er novembre 2026</t>
        </is>
      </c>
      <c r="C627" s="10" t="inlineStr">
        <is>
          <t>A</t>
        </is>
      </c>
      <c r="D627" s="41" t="n">
        <v>46323</v>
      </c>
      <c r="E627" s="10" t="inlineStr">
        <is>
          <t>Mercredi</t>
        </is>
      </c>
      <c r="F627" s="42" t="n">
        <v>0.8125</v>
      </c>
      <c r="G627" s="42" t="n">
        <v>0.875</v>
      </c>
      <c r="H627" s="43">
        <f>IF(OR($F627="",$G627=""),"",($G627-$F627)*24)</f>
        <v/>
      </c>
      <c r="I627" s="10" t="inlineStr">
        <is>
          <t>Collège</t>
        </is>
      </c>
      <c r="J627" s="9" t="inlineStr">
        <is>
          <t>7éme (A)</t>
        </is>
      </c>
      <c r="K627" s="9" t="inlineStr">
        <is>
          <t>فيزياء</t>
        </is>
      </c>
      <c r="L627" s="9" t="inlineStr">
        <is>
          <t>Physique</t>
        </is>
      </c>
      <c r="M627" s="9" t="inlineStr">
        <is>
          <t>Melek</t>
        </is>
      </c>
      <c r="N627" s="10" t="n"/>
      <c r="O627" s="10" t="n"/>
      <c r="P627" s="10" t="inlineStr">
        <is>
          <t>Hebdomadaire</t>
        </is>
      </c>
      <c r="Q627" s="9" t="inlineStr">
        <is>
          <t>Généré (octobre)</t>
        </is>
      </c>
      <c r="R627" s="9" t="inlineStr"/>
      <c r="S627" s="44">
        <f>IF($M627="","",IF(SUMPRODUCT(($D$4:$D$704=$D627)*($M$4:$M$704=$M627)*($F$4:$F$704&lt;$G627)*($G$4:$G$704&gt;$F627))&gt;1,"⚠ CONFLIT",""))</f>
        <v/>
      </c>
      <c r="T627" s="44">
        <f>IF($J627="","",IF(SUMPRODUCT(($D$4:$D$704=$D627)*($J$4:$J$704=$J627)*($F$4:$F$704&lt;$G627)*($G$4:$G$704&gt;$F627))&gt;1,"⚠ CONFLIT",""))</f>
        <v/>
      </c>
      <c r="U627" s="44">
        <f>IF(COUNTIFS($D$4:$D$704,$D627,$J$4:$J$704,$J627,$F$4:$F$704,$F627,$K$4:$K$704,$K627)&gt;1,"⚠ DOUBLON","")</f>
        <v/>
      </c>
      <c r="V627" s="44">
        <f>COUNTIFS($A$4:$A627,$A627,$J$4:$J627,$J627,$E$4:$E627,$E627)</f>
        <v/>
      </c>
      <c r="W627" s="45">
        <f>$A627&amp;"|"&amp;$J627&amp;"|"&amp;$E627&amp;"|"&amp;$V627</f>
        <v/>
      </c>
      <c r="X627" s="46">
        <f>TEXT($F627,"hh:mm")&amp;" - "&amp;TEXT($G627,"hh:mm")&amp;IF($P627="Quinzaine A","   ◆ Q-A",IF($P627="Quinzaine B","   ◆ Q-B",IF($P627="Exception","   ◆ PONCTUEL","")))&amp;CHAR(10)&amp;$K627&amp;CHAR(10)&amp;$M627&amp;IF($N627&lt;&gt;"",CHAR(10)&amp;"Salle "&amp;$N627,"")&amp;IF($O627="En ligne",CHAR(10)&amp;"◆ EN LIGNE","")&amp;IF($R627&lt;&gt;"",CHAR(10)&amp;$R627,"")</f>
        <v/>
      </c>
      <c r="Y627" s="45" t="inlineStr"/>
      <c r="Z627" s="45" t="inlineStr">
        <is>
          <t>— généré —</t>
        </is>
      </c>
    </row>
    <row r="628" ht="15" customHeight="1">
      <c r="A628" s="10" t="inlineStr">
        <is>
          <t>S7</t>
        </is>
      </c>
      <c r="B628" s="9" t="inlineStr">
        <is>
          <t>du 26 octobre au 1er novembre 2026</t>
        </is>
      </c>
      <c r="C628" s="10" t="inlineStr">
        <is>
          <t>A</t>
        </is>
      </c>
      <c r="D628" s="41" t="n">
        <v>46323</v>
      </c>
      <c r="E628" s="10" t="inlineStr">
        <is>
          <t>Mercredi</t>
        </is>
      </c>
      <c r="F628" s="42" t="n">
        <v>0.7916666666666666</v>
      </c>
      <c r="G628" s="42" t="n">
        <v>0.8541666666666666</v>
      </c>
      <c r="H628" s="43">
        <f>IF(OR($F628="",$G628=""),"",($G628-$F628)*24)</f>
        <v/>
      </c>
      <c r="I628" s="10" t="inlineStr">
        <is>
          <t>Collège</t>
        </is>
      </c>
      <c r="J628" s="9" t="inlineStr">
        <is>
          <t>8éme (A)</t>
        </is>
      </c>
      <c r="K628" s="9" t="inlineStr">
        <is>
          <t>Arabe</t>
        </is>
      </c>
      <c r="L628" s="9" t="inlineStr">
        <is>
          <t>Arabe</t>
        </is>
      </c>
      <c r="M628" s="9" t="inlineStr">
        <is>
          <t>Awatef</t>
        </is>
      </c>
      <c r="N628" s="10" t="n"/>
      <c r="O628" s="10" t="n"/>
      <c r="P628" s="10" t="inlineStr">
        <is>
          <t>Hebdomadaire</t>
        </is>
      </c>
      <c r="Q628" s="9" t="inlineStr">
        <is>
          <t>Généré (octobre)</t>
        </is>
      </c>
      <c r="R628" s="9" t="inlineStr"/>
      <c r="S628" s="44">
        <f>IF($M628="","",IF(SUMPRODUCT(($D$4:$D$704=$D628)*($M$4:$M$704=$M628)*($F$4:$F$704&lt;$G628)*($G$4:$G$704&gt;$F628))&gt;1,"⚠ CONFLIT",""))</f>
        <v/>
      </c>
      <c r="T628" s="44">
        <f>IF($J628="","",IF(SUMPRODUCT(($D$4:$D$704=$D628)*($J$4:$J$704=$J628)*($F$4:$F$704&lt;$G628)*($G$4:$G$704&gt;$F628))&gt;1,"⚠ CONFLIT",""))</f>
        <v/>
      </c>
      <c r="U628" s="44">
        <f>IF(COUNTIFS($D$4:$D$704,$D628,$J$4:$J$704,$J628,$F$4:$F$704,$F628,$K$4:$K$704,$K628)&gt;1,"⚠ DOUBLON","")</f>
        <v/>
      </c>
      <c r="V628" s="44">
        <f>COUNTIFS($A$4:$A628,$A628,$J$4:$J628,$J628,$E$4:$E628,$E628)</f>
        <v/>
      </c>
      <c r="W628" s="45">
        <f>$A628&amp;"|"&amp;$J628&amp;"|"&amp;$E628&amp;"|"&amp;$V628</f>
        <v/>
      </c>
      <c r="X628" s="46">
        <f>TEXT($F628,"hh:mm")&amp;" - "&amp;TEXT($G628,"hh:mm")&amp;IF($P628="Quinzaine A","   ◆ Q-A",IF($P628="Quinzaine B","   ◆ Q-B",IF($P628="Exception","   ◆ PONCTUEL","")))&amp;CHAR(10)&amp;$K628&amp;CHAR(10)&amp;$M628&amp;IF($N628&lt;&gt;"",CHAR(10)&amp;"Salle "&amp;$N628,"")&amp;IF($O628="En ligne",CHAR(10)&amp;"◆ EN LIGNE","")&amp;IF($R628&lt;&gt;"",CHAR(10)&amp;$R628,"")</f>
        <v/>
      </c>
      <c r="Y628" s="45" t="inlineStr"/>
      <c r="Z628" s="45" t="inlineStr">
        <is>
          <t>— généré —</t>
        </is>
      </c>
    </row>
    <row r="629" ht="15" customHeight="1">
      <c r="A629" s="10" t="inlineStr">
        <is>
          <t>S7</t>
        </is>
      </c>
      <c r="B629" s="9" t="inlineStr">
        <is>
          <t>du 26 octobre au 1er novembre 2026</t>
        </is>
      </c>
      <c r="C629" s="10" t="inlineStr">
        <is>
          <t>A</t>
        </is>
      </c>
      <c r="D629" s="41" t="n">
        <v>46323</v>
      </c>
      <c r="E629" s="10" t="inlineStr">
        <is>
          <t>Mercredi</t>
        </is>
      </c>
      <c r="F629" s="42" t="n">
        <v>0.8020833333333334</v>
      </c>
      <c r="G629" s="42" t="n">
        <v>0.8645833333333334</v>
      </c>
      <c r="H629" s="43">
        <f>IF(OR($F629="",$G629=""),"",($G629-$F629)*24)</f>
        <v/>
      </c>
      <c r="I629" s="10" t="inlineStr">
        <is>
          <t>Collège</t>
        </is>
      </c>
      <c r="J629" s="9" t="inlineStr">
        <is>
          <t>8éme (B)</t>
        </is>
      </c>
      <c r="K629" s="9" t="inlineStr">
        <is>
          <t>Math</t>
        </is>
      </c>
      <c r="L629" s="9" t="inlineStr">
        <is>
          <t>Math</t>
        </is>
      </c>
      <c r="M629" s="9" t="inlineStr">
        <is>
          <t>Khouloud</t>
        </is>
      </c>
      <c r="N629" s="10" t="n"/>
      <c r="O629" s="10" t="n"/>
      <c r="P629" s="10" t="inlineStr">
        <is>
          <t>Hebdomadaire</t>
        </is>
      </c>
      <c r="Q629" s="9" t="inlineStr">
        <is>
          <t>Généré (octobre)</t>
        </is>
      </c>
      <c r="R629" s="9" t="inlineStr"/>
      <c r="S629" s="44">
        <f>IF($M629="","",IF(SUMPRODUCT(($D$4:$D$704=$D629)*($M$4:$M$704=$M629)*($F$4:$F$704&lt;$G629)*($G$4:$G$704&gt;$F629))&gt;1,"⚠ CONFLIT",""))</f>
        <v/>
      </c>
      <c r="T629" s="44">
        <f>IF($J629="","",IF(SUMPRODUCT(($D$4:$D$704=$D629)*($J$4:$J$704=$J629)*($F$4:$F$704&lt;$G629)*($G$4:$G$704&gt;$F629))&gt;1,"⚠ CONFLIT",""))</f>
        <v/>
      </c>
      <c r="U629" s="44">
        <f>IF(COUNTIFS($D$4:$D$704,$D629,$J$4:$J$704,$J629,$F$4:$F$704,$F629,$K$4:$K$704,$K629)&gt;1,"⚠ DOUBLON","")</f>
        <v/>
      </c>
      <c r="V629" s="44">
        <f>COUNTIFS($A$4:$A629,$A629,$J$4:$J629,$J629,$E$4:$E629,$E629)</f>
        <v/>
      </c>
      <c r="W629" s="45">
        <f>$A629&amp;"|"&amp;$J629&amp;"|"&amp;$E629&amp;"|"&amp;$V629</f>
        <v/>
      </c>
      <c r="X629" s="46">
        <f>TEXT($F629,"hh:mm")&amp;" - "&amp;TEXT($G629,"hh:mm")&amp;IF($P629="Quinzaine A","   ◆ Q-A",IF($P629="Quinzaine B","   ◆ Q-B",IF($P629="Exception","   ◆ PONCTUEL","")))&amp;CHAR(10)&amp;$K629&amp;CHAR(10)&amp;$M629&amp;IF($N629&lt;&gt;"",CHAR(10)&amp;"Salle "&amp;$N629,"")&amp;IF($O629="En ligne",CHAR(10)&amp;"◆ EN LIGNE","")&amp;IF($R629&lt;&gt;"",CHAR(10)&amp;$R629,"")</f>
        <v/>
      </c>
      <c r="Y629" s="45" t="inlineStr"/>
      <c r="Z629" s="45" t="inlineStr">
        <is>
          <t>— généré —</t>
        </is>
      </c>
    </row>
    <row r="630" ht="15" customHeight="1">
      <c r="A630" s="10" t="inlineStr">
        <is>
          <t>S7</t>
        </is>
      </c>
      <c r="B630" s="9" t="inlineStr">
        <is>
          <t>du 26 octobre au 1er novembre 2026</t>
        </is>
      </c>
      <c r="C630" s="10" t="inlineStr">
        <is>
          <t>A</t>
        </is>
      </c>
      <c r="D630" s="41" t="n">
        <v>46323</v>
      </c>
      <c r="E630" s="10" t="inlineStr">
        <is>
          <t>Mercredi</t>
        </is>
      </c>
      <c r="F630" s="42" t="n">
        <v>0.8125</v>
      </c>
      <c r="G630" s="42" t="n">
        <v>0.875</v>
      </c>
      <c r="H630" s="43">
        <f>IF(OR($F630="",$G630=""),"",($G630-$F630)*24)</f>
        <v/>
      </c>
      <c r="I630" s="10" t="inlineStr">
        <is>
          <t>Collège</t>
        </is>
      </c>
      <c r="J630" s="9" t="inlineStr">
        <is>
          <t>8éme (C)</t>
        </is>
      </c>
      <c r="K630" s="9" t="inlineStr">
        <is>
          <t>Français</t>
        </is>
      </c>
      <c r="L630" s="9" t="inlineStr">
        <is>
          <t>Français</t>
        </is>
      </c>
      <c r="M630" s="9" t="inlineStr">
        <is>
          <t>Nabil</t>
        </is>
      </c>
      <c r="N630" s="10" t="n"/>
      <c r="O630" s="10" t="n"/>
      <c r="P630" s="10" t="inlineStr">
        <is>
          <t>Hebdomadaire</t>
        </is>
      </c>
      <c r="Q630" s="9" t="inlineStr">
        <is>
          <t>Généré (octobre)</t>
        </is>
      </c>
      <c r="R630" s="9" t="inlineStr"/>
      <c r="S630" s="44">
        <f>IF($M630="","",IF(SUMPRODUCT(($D$4:$D$704=$D630)*($M$4:$M$704=$M630)*($F$4:$F$704&lt;$G630)*($G$4:$G$704&gt;$F630))&gt;1,"⚠ CONFLIT",""))</f>
        <v/>
      </c>
      <c r="T630" s="44">
        <f>IF($J630="","",IF(SUMPRODUCT(($D$4:$D$704=$D630)*($J$4:$J$704=$J630)*($F$4:$F$704&lt;$G630)*($G$4:$G$704&gt;$F630))&gt;1,"⚠ CONFLIT",""))</f>
        <v/>
      </c>
      <c r="U630" s="44">
        <f>IF(COUNTIFS($D$4:$D$704,$D630,$J$4:$J$704,$J630,$F$4:$F$704,$F630,$K$4:$K$704,$K630)&gt;1,"⚠ DOUBLON","")</f>
        <v/>
      </c>
      <c r="V630" s="44">
        <f>COUNTIFS($A$4:$A630,$A630,$J$4:$J630,$J630,$E$4:$E630,$E630)</f>
        <v/>
      </c>
      <c r="W630" s="45">
        <f>$A630&amp;"|"&amp;$J630&amp;"|"&amp;$E630&amp;"|"&amp;$V630</f>
        <v/>
      </c>
      <c r="X630" s="46">
        <f>TEXT($F630,"hh:mm")&amp;" - "&amp;TEXT($G630,"hh:mm")&amp;IF($P630="Quinzaine A","   ◆ Q-A",IF($P630="Quinzaine B","   ◆ Q-B",IF($P630="Exception","   ◆ PONCTUEL","")))&amp;CHAR(10)&amp;$K630&amp;CHAR(10)&amp;$M630&amp;IF($N630&lt;&gt;"",CHAR(10)&amp;"Salle "&amp;$N630,"")&amp;IF($O630="En ligne",CHAR(10)&amp;"◆ EN LIGNE","")&amp;IF($R630&lt;&gt;"",CHAR(10)&amp;$R630,"")</f>
        <v/>
      </c>
      <c r="Y630" s="45" t="inlineStr"/>
      <c r="Z630" s="45" t="inlineStr">
        <is>
          <t>— généré —</t>
        </is>
      </c>
    </row>
    <row r="631" ht="15" customHeight="1">
      <c r="A631" s="10" t="inlineStr">
        <is>
          <t>S7</t>
        </is>
      </c>
      <c r="B631" s="9" t="inlineStr">
        <is>
          <t>du 26 octobre au 1er novembre 2026</t>
        </is>
      </c>
      <c r="C631" s="10" t="inlineStr">
        <is>
          <t>A</t>
        </is>
      </c>
      <c r="D631" s="41" t="n">
        <v>46323</v>
      </c>
      <c r="E631" s="10" t="inlineStr">
        <is>
          <t>Mercredi</t>
        </is>
      </c>
      <c r="F631" s="42" t="n">
        <v>0.8125</v>
      </c>
      <c r="G631" s="42" t="n">
        <v>0.875</v>
      </c>
      <c r="H631" s="43">
        <f>IF(OR($F631="",$G631=""),"",($G631-$F631)*24)</f>
        <v/>
      </c>
      <c r="I631" s="10" t="inlineStr">
        <is>
          <t>Collège</t>
        </is>
      </c>
      <c r="J631" s="9" t="inlineStr">
        <is>
          <t>9éme (B)</t>
        </is>
      </c>
      <c r="K631" s="9" t="inlineStr">
        <is>
          <t>Arabe</t>
        </is>
      </c>
      <c r="L631" s="9" t="inlineStr">
        <is>
          <t>Arabe</t>
        </is>
      </c>
      <c r="M631" s="9" t="inlineStr">
        <is>
          <t>Yahya</t>
        </is>
      </c>
      <c r="N631" s="10" t="n"/>
      <c r="O631" s="10" t="n"/>
      <c r="P631" s="10" t="inlineStr">
        <is>
          <t>Hebdomadaire</t>
        </is>
      </c>
      <c r="Q631" s="9" t="inlineStr">
        <is>
          <t>Généré (octobre)</t>
        </is>
      </c>
      <c r="R631" s="9" t="inlineStr"/>
      <c r="S631" s="44">
        <f>IF($M631="","",IF(SUMPRODUCT(($D$4:$D$704=$D631)*($M$4:$M$704=$M631)*($F$4:$F$704&lt;$G631)*($G$4:$G$704&gt;$F631))&gt;1,"⚠ CONFLIT",""))</f>
        <v/>
      </c>
      <c r="T631" s="44">
        <f>IF($J631="","",IF(SUMPRODUCT(($D$4:$D$704=$D631)*($J$4:$J$704=$J631)*($F$4:$F$704&lt;$G631)*($G$4:$G$704&gt;$F631))&gt;1,"⚠ CONFLIT",""))</f>
        <v/>
      </c>
      <c r="U631" s="44">
        <f>IF(COUNTIFS($D$4:$D$704,$D631,$J$4:$J$704,$J631,$F$4:$F$704,$F631,$K$4:$K$704,$K631)&gt;1,"⚠ DOUBLON","")</f>
        <v/>
      </c>
      <c r="V631" s="44">
        <f>COUNTIFS($A$4:$A631,$A631,$J$4:$J631,$J631,$E$4:$E631,$E631)</f>
        <v/>
      </c>
      <c r="W631" s="45">
        <f>$A631&amp;"|"&amp;$J631&amp;"|"&amp;$E631&amp;"|"&amp;$V631</f>
        <v/>
      </c>
      <c r="X631" s="46">
        <f>TEXT($F631,"hh:mm")&amp;" - "&amp;TEXT($G631,"hh:mm")&amp;IF($P631="Quinzaine A","   ◆ Q-A",IF($P631="Quinzaine B","   ◆ Q-B",IF($P631="Exception","   ◆ PONCTUEL","")))&amp;CHAR(10)&amp;$K631&amp;CHAR(10)&amp;$M631&amp;IF($N631&lt;&gt;"",CHAR(10)&amp;"Salle "&amp;$N631,"")&amp;IF($O631="En ligne",CHAR(10)&amp;"◆ EN LIGNE","")&amp;IF($R631&lt;&gt;"",CHAR(10)&amp;$R631,"")</f>
        <v/>
      </c>
      <c r="Y631" s="45" t="inlineStr"/>
      <c r="Z631" s="45" t="inlineStr">
        <is>
          <t>— généré —</t>
        </is>
      </c>
    </row>
    <row r="632" ht="15" customHeight="1">
      <c r="A632" s="10" t="inlineStr">
        <is>
          <t>S7</t>
        </is>
      </c>
      <c r="B632" s="9" t="inlineStr">
        <is>
          <t>du 26 octobre au 1er novembre 2026</t>
        </is>
      </c>
      <c r="C632" s="10" t="inlineStr">
        <is>
          <t>A</t>
        </is>
      </c>
      <c r="D632" s="41" t="n">
        <v>46323</v>
      </c>
      <c r="E632" s="10" t="inlineStr">
        <is>
          <t>Mercredi</t>
        </is>
      </c>
      <c r="F632" s="42" t="n">
        <v>0.8020833333333334</v>
      </c>
      <c r="G632" s="42" t="n">
        <v>0.8645833333333334</v>
      </c>
      <c r="H632" s="43">
        <f>IF(OR($F632="",$G632=""),"",($G632-$F632)*24)</f>
        <v/>
      </c>
      <c r="I632" s="10" t="inlineStr">
        <is>
          <t>Collège</t>
        </is>
      </c>
      <c r="J632" s="9" t="inlineStr">
        <is>
          <t>9éme (C)</t>
        </is>
      </c>
      <c r="K632" s="9" t="inlineStr">
        <is>
          <t>SVT</t>
        </is>
      </c>
      <c r="L632" s="9" t="inlineStr">
        <is>
          <t>SVT</t>
        </is>
      </c>
      <c r="M632" s="9" t="inlineStr">
        <is>
          <t>Imen Jribi</t>
        </is>
      </c>
      <c r="N632" s="10" t="n"/>
      <c r="O632" s="10" t="n"/>
      <c r="P632" s="10" t="inlineStr">
        <is>
          <t>Hebdomadaire</t>
        </is>
      </c>
      <c r="Q632" s="9" t="inlineStr">
        <is>
          <t>Généré (octobre)</t>
        </is>
      </c>
      <c r="R632" s="9" t="inlineStr"/>
      <c r="S632" s="44">
        <f>IF($M632="","",IF(SUMPRODUCT(($D$4:$D$704=$D632)*($M$4:$M$704=$M632)*($F$4:$F$704&lt;$G632)*($G$4:$G$704&gt;$F632))&gt;1,"⚠ CONFLIT",""))</f>
        <v/>
      </c>
      <c r="T632" s="44">
        <f>IF($J632="","",IF(SUMPRODUCT(($D$4:$D$704=$D632)*($J$4:$J$704=$J632)*($F$4:$F$704&lt;$G632)*($G$4:$G$704&gt;$F632))&gt;1,"⚠ CONFLIT",""))</f>
        <v/>
      </c>
      <c r="U632" s="44">
        <f>IF(COUNTIFS($D$4:$D$704,$D632,$J$4:$J$704,$J632,$F$4:$F$704,$F632,$K$4:$K$704,$K632)&gt;1,"⚠ DOUBLON","")</f>
        <v/>
      </c>
      <c r="V632" s="44">
        <f>COUNTIFS($A$4:$A632,$A632,$J$4:$J632,$J632,$E$4:$E632,$E632)</f>
        <v/>
      </c>
      <c r="W632" s="45">
        <f>$A632&amp;"|"&amp;$J632&amp;"|"&amp;$E632&amp;"|"&amp;$V632</f>
        <v/>
      </c>
      <c r="X632" s="46">
        <f>TEXT($F632,"hh:mm")&amp;" - "&amp;TEXT($G632,"hh:mm")&amp;IF($P632="Quinzaine A","   ◆ Q-A",IF($P632="Quinzaine B","   ◆ Q-B",IF($P632="Exception","   ◆ PONCTUEL","")))&amp;CHAR(10)&amp;$K632&amp;CHAR(10)&amp;$M632&amp;IF($N632&lt;&gt;"",CHAR(10)&amp;"Salle "&amp;$N632,"")&amp;IF($O632="En ligne",CHAR(10)&amp;"◆ EN LIGNE","")&amp;IF($R632&lt;&gt;"",CHAR(10)&amp;$R632,"")</f>
        <v/>
      </c>
      <c r="Y632" s="45" t="inlineStr"/>
      <c r="Z632" s="45" t="inlineStr">
        <is>
          <t>— généré —</t>
        </is>
      </c>
    </row>
    <row r="633" ht="15" customHeight="1">
      <c r="A633" s="10" t="inlineStr">
        <is>
          <t>S7</t>
        </is>
      </c>
      <c r="B633" s="9" t="inlineStr">
        <is>
          <t>du 26 octobre au 1er novembre 2026</t>
        </is>
      </c>
      <c r="C633" s="10" t="inlineStr">
        <is>
          <t>A</t>
        </is>
      </c>
      <c r="D633" s="41" t="n">
        <v>46323</v>
      </c>
      <c r="E633" s="10" t="inlineStr">
        <is>
          <t>Mercredi</t>
        </is>
      </c>
      <c r="F633" s="42" t="n">
        <v>0.8020833333333334</v>
      </c>
      <c r="G633" s="42" t="n">
        <v>0.8645833333333334</v>
      </c>
      <c r="H633" s="43">
        <f>IF(OR($F633="",$G633=""),"",($G633-$F633)*24)</f>
        <v/>
      </c>
      <c r="I633" s="10" t="inlineStr">
        <is>
          <t>Secondaire</t>
        </is>
      </c>
      <c r="J633" s="9" t="inlineStr">
        <is>
          <t>1ére (B)</t>
        </is>
      </c>
      <c r="K633" s="9" t="inlineStr">
        <is>
          <t>Français</t>
        </is>
      </c>
      <c r="L633" s="9" t="inlineStr">
        <is>
          <t>Français</t>
        </is>
      </c>
      <c r="M633" s="9" t="inlineStr">
        <is>
          <t>Nassima</t>
        </is>
      </c>
      <c r="N633" s="10" t="n"/>
      <c r="O633" s="10" t="n"/>
      <c r="P633" s="10" t="inlineStr">
        <is>
          <t>Hebdomadaire</t>
        </is>
      </c>
      <c r="Q633" s="9" t="inlineStr">
        <is>
          <t>Généré (octobre)</t>
        </is>
      </c>
      <c r="R633" s="9" t="inlineStr"/>
      <c r="S633" s="44">
        <f>IF($M633="","",IF(SUMPRODUCT(($D$4:$D$704=$D633)*($M$4:$M$704=$M633)*($F$4:$F$704&lt;$G633)*($G$4:$G$704&gt;$F633))&gt;1,"⚠ CONFLIT",""))</f>
        <v/>
      </c>
      <c r="T633" s="44">
        <f>IF($J633="","",IF(SUMPRODUCT(($D$4:$D$704=$D633)*($J$4:$J$704=$J633)*($F$4:$F$704&lt;$G633)*($G$4:$G$704&gt;$F633))&gt;1,"⚠ CONFLIT",""))</f>
        <v/>
      </c>
      <c r="U633" s="44">
        <f>IF(COUNTIFS($D$4:$D$704,$D633,$J$4:$J$704,$J633,$F$4:$F$704,$F633,$K$4:$K$704,$K633)&gt;1,"⚠ DOUBLON","")</f>
        <v/>
      </c>
      <c r="V633" s="44">
        <f>COUNTIFS($A$4:$A633,$A633,$J$4:$J633,$J633,$E$4:$E633,$E633)</f>
        <v/>
      </c>
      <c r="W633" s="45">
        <f>$A633&amp;"|"&amp;$J633&amp;"|"&amp;$E633&amp;"|"&amp;$V633</f>
        <v/>
      </c>
      <c r="X633" s="46">
        <f>TEXT($F633,"hh:mm")&amp;" - "&amp;TEXT($G633,"hh:mm")&amp;IF($P633="Quinzaine A","   ◆ Q-A",IF($P633="Quinzaine B","   ◆ Q-B",IF($P633="Exception","   ◆ PONCTUEL","")))&amp;CHAR(10)&amp;$K633&amp;CHAR(10)&amp;$M633&amp;IF($N633&lt;&gt;"",CHAR(10)&amp;"Salle "&amp;$N633,"")&amp;IF($O633="En ligne",CHAR(10)&amp;"◆ EN LIGNE","")&amp;IF($R633&lt;&gt;"",CHAR(10)&amp;$R633,"")</f>
        <v/>
      </c>
      <c r="Y633" s="45" t="inlineStr"/>
      <c r="Z633" s="45" t="inlineStr">
        <is>
          <t>— généré —</t>
        </is>
      </c>
    </row>
    <row r="634" ht="15" customHeight="1">
      <c r="A634" s="10" t="inlineStr">
        <is>
          <t>S7</t>
        </is>
      </c>
      <c r="B634" s="9" t="inlineStr">
        <is>
          <t>du 26 octobre au 1er novembre 2026</t>
        </is>
      </c>
      <c r="C634" s="10" t="inlineStr">
        <is>
          <t>A</t>
        </is>
      </c>
      <c r="D634" s="41" t="n">
        <v>46323</v>
      </c>
      <c r="E634" s="10" t="inlineStr">
        <is>
          <t>Mercredi</t>
        </is>
      </c>
      <c r="F634" s="42" t="n">
        <v>0.8125</v>
      </c>
      <c r="G634" s="42" t="n">
        <v>0.875</v>
      </c>
      <c r="H634" s="43">
        <f>IF(OR($F634="",$G634=""),"",($G634-$F634)*24)</f>
        <v/>
      </c>
      <c r="I634" s="10" t="inlineStr">
        <is>
          <t>Secondaire</t>
        </is>
      </c>
      <c r="J634" s="9" t="inlineStr">
        <is>
          <t>2éme Eco</t>
        </is>
      </c>
      <c r="K634" s="9" t="inlineStr">
        <is>
          <t>Math</t>
        </is>
      </c>
      <c r="L634" s="9" t="inlineStr">
        <is>
          <t>Math</t>
        </is>
      </c>
      <c r="M634" s="9" t="inlineStr">
        <is>
          <t>Haythem</t>
        </is>
      </c>
      <c r="N634" s="10" t="n"/>
      <c r="O634" s="10" t="n"/>
      <c r="P634" s="10" t="inlineStr">
        <is>
          <t>Hebdomadaire</t>
        </is>
      </c>
      <c r="Q634" s="9" t="inlineStr">
        <is>
          <t>Généré (octobre)</t>
        </is>
      </c>
      <c r="R634" s="9" t="inlineStr"/>
      <c r="S634" s="44">
        <f>IF($M634="","",IF(SUMPRODUCT(($D$4:$D$704=$D634)*($M$4:$M$704=$M634)*($F$4:$F$704&lt;$G634)*($G$4:$G$704&gt;$F634))&gt;1,"⚠ CONFLIT",""))</f>
        <v/>
      </c>
      <c r="T634" s="44">
        <f>IF($J634="","",IF(SUMPRODUCT(($D$4:$D$704=$D634)*($J$4:$J$704=$J634)*($F$4:$F$704&lt;$G634)*($G$4:$G$704&gt;$F634))&gt;1,"⚠ CONFLIT",""))</f>
        <v/>
      </c>
      <c r="U634" s="44">
        <f>IF(COUNTIFS($D$4:$D$704,$D634,$J$4:$J$704,$J634,$F$4:$F$704,$F634,$K$4:$K$704,$K634)&gt;1,"⚠ DOUBLON","")</f>
        <v/>
      </c>
      <c r="V634" s="44">
        <f>COUNTIFS($A$4:$A634,$A634,$J$4:$J634,$J634,$E$4:$E634,$E634)</f>
        <v/>
      </c>
      <c r="W634" s="45">
        <f>$A634&amp;"|"&amp;$J634&amp;"|"&amp;$E634&amp;"|"&amp;$V634</f>
        <v/>
      </c>
      <c r="X634" s="46">
        <f>TEXT($F634,"hh:mm")&amp;" - "&amp;TEXT($G634,"hh:mm")&amp;IF($P634="Quinzaine A","   ◆ Q-A",IF($P634="Quinzaine B","   ◆ Q-B",IF($P634="Exception","   ◆ PONCTUEL","")))&amp;CHAR(10)&amp;$K634&amp;CHAR(10)&amp;$M634&amp;IF($N634&lt;&gt;"",CHAR(10)&amp;"Salle "&amp;$N634,"")&amp;IF($O634="En ligne",CHAR(10)&amp;"◆ EN LIGNE","")&amp;IF($R634&lt;&gt;"",CHAR(10)&amp;$R634,"")</f>
        <v/>
      </c>
      <c r="Y634" s="45" t="inlineStr"/>
      <c r="Z634" s="45" t="inlineStr">
        <is>
          <t>— généré —</t>
        </is>
      </c>
    </row>
    <row r="635" ht="15" customHeight="1">
      <c r="A635" s="10" t="inlineStr">
        <is>
          <t>S7</t>
        </is>
      </c>
      <c r="B635" s="9" t="inlineStr">
        <is>
          <t>du 26 octobre au 1er novembre 2026</t>
        </is>
      </c>
      <c r="C635" s="10" t="inlineStr">
        <is>
          <t>A</t>
        </is>
      </c>
      <c r="D635" s="41" t="n">
        <v>46323</v>
      </c>
      <c r="E635" s="10" t="inlineStr">
        <is>
          <t>Mercredi</t>
        </is>
      </c>
      <c r="F635" s="42" t="n">
        <v>0.7916666666666666</v>
      </c>
      <c r="G635" s="42" t="n">
        <v>0.8541666666666666</v>
      </c>
      <c r="H635" s="43">
        <f>IF(OR($F635="",$G635=""),"",($G635-$F635)*24)</f>
        <v/>
      </c>
      <c r="I635" s="10" t="inlineStr">
        <is>
          <t>Secondaire</t>
        </is>
      </c>
      <c r="J635" s="9" t="inlineStr">
        <is>
          <t>3éme Eco</t>
        </is>
      </c>
      <c r="K635" s="9" t="inlineStr">
        <is>
          <t>Gestion</t>
        </is>
      </c>
      <c r="L635" s="9" t="inlineStr">
        <is>
          <t>Gestion</t>
        </is>
      </c>
      <c r="M635" s="9" t="inlineStr">
        <is>
          <t>Yassine</t>
        </is>
      </c>
      <c r="N635" s="10" t="n"/>
      <c r="O635" s="10" t="n"/>
      <c r="P635" s="10" t="inlineStr">
        <is>
          <t>Hebdomadaire</t>
        </is>
      </c>
      <c r="Q635" s="9" t="inlineStr">
        <is>
          <t>Généré (octobre)</t>
        </is>
      </c>
      <c r="R635" s="9" t="inlineStr"/>
      <c r="S635" s="44">
        <f>IF($M635="","",IF(SUMPRODUCT(($D$4:$D$704=$D635)*($M$4:$M$704=$M635)*($F$4:$F$704&lt;$G635)*($G$4:$G$704&gt;$F635))&gt;1,"⚠ CONFLIT",""))</f>
        <v/>
      </c>
      <c r="T635" s="44">
        <f>IF($J635="","",IF(SUMPRODUCT(($D$4:$D$704=$D635)*($J$4:$J$704=$J635)*($F$4:$F$704&lt;$G635)*($G$4:$G$704&gt;$F635))&gt;1,"⚠ CONFLIT",""))</f>
        <v/>
      </c>
      <c r="U635" s="44">
        <f>IF(COUNTIFS($D$4:$D$704,$D635,$J$4:$J$704,$J635,$F$4:$F$704,$F635,$K$4:$K$704,$K635)&gt;1,"⚠ DOUBLON","")</f>
        <v/>
      </c>
      <c r="V635" s="44">
        <f>COUNTIFS($A$4:$A635,$A635,$J$4:$J635,$J635,$E$4:$E635,$E635)</f>
        <v/>
      </c>
      <c r="W635" s="45">
        <f>$A635&amp;"|"&amp;$J635&amp;"|"&amp;$E635&amp;"|"&amp;$V635</f>
        <v/>
      </c>
      <c r="X635" s="46">
        <f>TEXT($F635,"hh:mm")&amp;" - "&amp;TEXT($G635,"hh:mm")&amp;IF($P635="Quinzaine A","   ◆ Q-A",IF($P635="Quinzaine B","   ◆ Q-B",IF($P635="Exception","   ◆ PONCTUEL","")))&amp;CHAR(10)&amp;$K635&amp;CHAR(10)&amp;$M635&amp;IF($N635&lt;&gt;"",CHAR(10)&amp;"Salle "&amp;$N635,"")&amp;IF($O635="En ligne",CHAR(10)&amp;"◆ EN LIGNE","")&amp;IF($R635&lt;&gt;"",CHAR(10)&amp;$R635,"")</f>
        <v/>
      </c>
      <c r="Y635" s="45" t="inlineStr"/>
      <c r="Z635" s="45" t="inlineStr">
        <is>
          <t>— généré —</t>
        </is>
      </c>
    </row>
    <row r="636" ht="15" customHeight="1">
      <c r="A636" s="10" t="inlineStr">
        <is>
          <t>S7</t>
        </is>
      </c>
      <c r="B636" s="9" t="inlineStr">
        <is>
          <t>du 26 octobre au 1er novembre 2026</t>
        </is>
      </c>
      <c r="C636" s="10" t="inlineStr">
        <is>
          <t>A</t>
        </is>
      </c>
      <c r="D636" s="41" t="n">
        <v>46323</v>
      </c>
      <c r="E636" s="10" t="inlineStr">
        <is>
          <t>Mercredi</t>
        </is>
      </c>
      <c r="F636" s="42" t="n">
        <v>0.8125</v>
      </c>
      <c r="G636" s="42" t="n">
        <v>0.875</v>
      </c>
      <c r="H636" s="43">
        <f>IF(OR($F636="",$G636=""),"",($G636-$F636)*24)</f>
        <v/>
      </c>
      <c r="I636" s="10" t="inlineStr">
        <is>
          <t>Secondaire</t>
        </is>
      </c>
      <c r="J636" s="9" t="inlineStr">
        <is>
          <t>3éme INFO</t>
        </is>
      </c>
      <c r="K636" s="9" t="inlineStr">
        <is>
          <t>Physique</t>
        </is>
      </c>
      <c r="L636" s="9" t="inlineStr">
        <is>
          <t>Physique</t>
        </is>
      </c>
      <c r="M636" s="9" t="inlineStr">
        <is>
          <t>Samia</t>
        </is>
      </c>
      <c r="N636" s="10" t="n"/>
      <c r="O636" s="10" t="n"/>
      <c r="P636" s="10" t="inlineStr">
        <is>
          <t>Hebdomadaire</t>
        </is>
      </c>
      <c r="Q636" s="9" t="inlineStr">
        <is>
          <t>Généré (octobre)</t>
        </is>
      </c>
      <c r="R636" s="9" t="inlineStr"/>
      <c r="S636" s="44">
        <f>IF($M636="","",IF(SUMPRODUCT(($D$4:$D$704=$D636)*($M$4:$M$704=$M636)*($F$4:$F$704&lt;$G636)*($G$4:$G$704&gt;$F636))&gt;1,"⚠ CONFLIT",""))</f>
        <v/>
      </c>
      <c r="T636" s="44">
        <f>IF($J636="","",IF(SUMPRODUCT(($D$4:$D$704=$D636)*($J$4:$J$704=$J636)*($F$4:$F$704&lt;$G636)*($G$4:$G$704&gt;$F636))&gt;1,"⚠ CONFLIT",""))</f>
        <v/>
      </c>
      <c r="U636" s="44">
        <f>IF(COUNTIFS($D$4:$D$704,$D636,$J$4:$J$704,$J636,$F$4:$F$704,$F636,$K$4:$K$704,$K636)&gt;1,"⚠ DOUBLON","")</f>
        <v/>
      </c>
      <c r="V636" s="44">
        <f>COUNTIFS($A$4:$A636,$A636,$J$4:$J636,$J636,$E$4:$E636,$E636)</f>
        <v/>
      </c>
      <c r="W636" s="45">
        <f>$A636&amp;"|"&amp;$J636&amp;"|"&amp;$E636&amp;"|"&amp;$V636</f>
        <v/>
      </c>
      <c r="X636" s="46">
        <f>TEXT($F636,"hh:mm")&amp;" - "&amp;TEXT($G636,"hh:mm")&amp;IF($P636="Quinzaine A","   ◆ Q-A",IF($P636="Quinzaine B","   ◆ Q-B",IF($P636="Exception","   ◆ PONCTUEL","")))&amp;CHAR(10)&amp;$K636&amp;CHAR(10)&amp;$M636&amp;IF($N636&lt;&gt;"",CHAR(10)&amp;"Salle "&amp;$N636,"")&amp;IF($O636="En ligne",CHAR(10)&amp;"◆ EN LIGNE","")&amp;IF($R636&lt;&gt;"",CHAR(10)&amp;$R636,"")</f>
        <v/>
      </c>
      <c r="Y636" s="45" t="inlineStr"/>
      <c r="Z636" s="45" t="inlineStr">
        <is>
          <t>— généré —</t>
        </is>
      </c>
    </row>
    <row r="637" ht="15" customHeight="1">
      <c r="A637" s="10" t="inlineStr">
        <is>
          <t>S7</t>
        </is>
      </c>
      <c r="B637" s="9" t="inlineStr">
        <is>
          <t>du 26 octobre au 1er novembre 2026</t>
        </is>
      </c>
      <c r="C637" s="10" t="inlineStr">
        <is>
          <t>A</t>
        </is>
      </c>
      <c r="D637" s="41" t="n">
        <v>46323</v>
      </c>
      <c r="E637" s="10" t="inlineStr">
        <is>
          <t>Mercredi</t>
        </is>
      </c>
      <c r="F637" s="42" t="n">
        <v>0.7916666666666666</v>
      </c>
      <c r="G637" s="42" t="n">
        <v>0.875</v>
      </c>
      <c r="H637" s="43">
        <f>IF(OR($F637="",$G637=""),"",($G637-$F637)*24)</f>
        <v/>
      </c>
      <c r="I637" s="10" t="inlineStr">
        <is>
          <t>Bac</t>
        </is>
      </c>
      <c r="J637" s="9" t="inlineStr">
        <is>
          <t>Bac SCE</t>
        </is>
      </c>
      <c r="K637" s="9" t="inlineStr">
        <is>
          <t>Math</t>
        </is>
      </c>
      <c r="L637" s="9" t="inlineStr">
        <is>
          <t>Math</t>
        </is>
      </c>
      <c r="M637" s="9" t="inlineStr">
        <is>
          <t>Ahmed</t>
        </is>
      </c>
      <c r="N637" s="10" t="n"/>
      <c r="O637" s="10" t="n"/>
      <c r="P637" s="10" t="inlineStr">
        <is>
          <t>Hebdomadaire</t>
        </is>
      </c>
      <c r="Q637" s="9" t="inlineStr">
        <is>
          <t>Généré (octobre)</t>
        </is>
      </c>
      <c r="R637" s="9" t="inlineStr"/>
      <c r="S637" s="44">
        <f>IF($M637="","",IF(SUMPRODUCT(($D$4:$D$704=$D637)*($M$4:$M$704=$M637)*($F$4:$F$704&lt;$G637)*($G$4:$G$704&gt;$F637))&gt;1,"⚠ CONFLIT",""))</f>
        <v/>
      </c>
      <c r="T637" s="44">
        <f>IF($J637="","",IF(SUMPRODUCT(($D$4:$D$704=$D637)*($J$4:$J$704=$J637)*($F$4:$F$704&lt;$G637)*($G$4:$G$704&gt;$F637))&gt;1,"⚠ CONFLIT",""))</f>
        <v/>
      </c>
      <c r="U637" s="44">
        <f>IF(COUNTIFS($D$4:$D$704,$D637,$J$4:$J$704,$J637,$F$4:$F$704,$F637,$K$4:$K$704,$K637)&gt;1,"⚠ DOUBLON","")</f>
        <v/>
      </c>
      <c r="V637" s="44">
        <f>COUNTIFS($A$4:$A637,$A637,$J$4:$J637,$J637,$E$4:$E637,$E637)</f>
        <v/>
      </c>
      <c r="W637" s="45">
        <f>$A637&amp;"|"&amp;$J637&amp;"|"&amp;$E637&amp;"|"&amp;$V637</f>
        <v/>
      </c>
      <c r="X637" s="46">
        <f>TEXT($F637,"hh:mm")&amp;" - "&amp;TEXT($G637,"hh:mm")&amp;IF($P637="Quinzaine A","   ◆ Q-A",IF($P637="Quinzaine B","   ◆ Q-B",IF($P637="Exception","   ◆ PONCTUEL","")))&amp;CHAR(10)&amp;$K637&amp;CHAR(10)&amp;$M637&amp;IF($N637&lt;&gt;"",CHAR(10)&amp;"Salle "&amp;$N637,"")&amp;IF($O637="En ligne",CHAR(10)&amp;"◆ EN LIGNE","")&amp;IF($R637&lt;&gt;"",CHAR(10)&amp;$R637,"")</f>
        <v/>
      </c>
      <c r="Y637" s="45" t="inlineStr"/>
      <c r="Z637" s="45" t="inlineStr">
        <is>
          <t>— généré —</t>
        </is>
      </c>
    </row>
    <row r="638" ht="15" customHeight="1">
      <c r="A638" s="10" t="inlineStr">
        <is>
          <t>S7</t>
        </is>
      </c>
      <c r="B638" s="9" t="inlineStr">
        <is>
          <t>du 26 octobre au 1er novembre 2026</t>
        </is>
      </c>
      <c r="C638" s="10" t="inlineStr">
        <is>
          <t>A</t>
        </is>
      </c>
      <c r="D638" s="41" t="n">
        <v>46323</v>
      </c>
      <c r="E638" s="10" t="inlineStr">
        <is>
          <t>Mercredi</t>
        </is>
      </c>
      <c r="F638" s="42" t="n">
        <v>0.7916666666666666</v>
      </c>
      <c r="G638" s="42" t="n">
        <v>0.875</v>
      </c>
      <c r="H638" s="43">
        <f>IF(OR($F638="",$G638=""),"",($G638-$F638)*24)</f>
        <v/>
      </c>
      <c r="I638" s="10" t="inlineStr">
        <is>
          <t>Bac</t>
        </is>
      </c>
      <c r="J638" s="9" t="inlineStr">
        <is>
          <t>Bac INFO</t>
        </is>
      </c>
      <c r="K638" s="9" t="inlineStr">
        <is>
          <t>STI</t>
        </is>
      </c>
      <c r="L638" s="9" t="inlineStr">
        <is>
          <t>STI</t>
        </is>
      </c>
      <c r="M638" s="9" t="inlineStr">
        <is>
          <t>Aymen</t>
        </is>
      </c>
      <c r="N638" s="10" t="n"/>
      <c r="O638" s="10" t="n"/>
      <c r="P638" s="10" t="inlineStr">
        <is>
          <t>Hebdomadaire</t>
        </is>
      </c>
      <c r="Q638" s="9" t="inlineStr">
        <is>
          <t>Généré (octobre)</t>
        </is>
      </c>
      <c r="R638" s="9" t="inlineStr"/>
      <c r="S638" s="44">
        <f>IF($M638="","",IF(SUMPRODUCT(($D$4:$D$704=$D638)*($M$4:$M$704=$M638)*($F$4:$F$704&lt;$G638)*($G$4:$G$704&gt;$F638))&gt;1,"⚠ CONFLIT",""))</f>
        <v/>
      </c>
      <c r="T638" s="44">
        <f>IF($J638="","",IF(SUMPRODUCT(($D$4:$D$704=$D638)*($J$4:$J$704=$J638)*($F$4:$F$704&lt;$G638)*($G$4:$G$704&gt;$F638))&gt;1,"⚠ CONFLIT",""))</f>
        <v/>
      </c>
      <c r="U638" s="44">
        <f>IF(COUNTIFS($D$4:$D$704,$D638,$J$4:$J$704,$J638,$F$4:$F$704,$F638,$K$4:$K$704,$K638)&gt;1,"⚠ DOUBLON","")</f>
        <v/>
      </c>
      <c r="V638" s="44">
        <f>COUNTIFS($A$4:$A638,$A638,$J$4:$J638,$J638,$E$4:$E638,$E638)</f>
        <v/>
      </c>
      <c r="W638" s="45">
        <f>$A638&amp;"|"&amp;$J638&amp;"|"&amp;$E638&amp;"|"&amp;$V638</f>
        <v/>
      </c>
      <c r="X638" s="46">
        <f>TEXT($F638,"hh:mm")&amp;" - "&amp;TEXT($G638,"hh:mm")&amp;IF($P638="Quinzaine A","   ◆ Q-A",IF($P638="Quinzaine B","   ◆ Q-B",IF($P638="Exception","   ◆ PONCTUEL","")))&amp;CHAR(10)&amp;$K638&amp;CHAR(10)&amp;$M638&amp;IF($N638&lt;&gt;"",CHAR(10)&amp;"Salle "&amp;$N638,"")&amp;IF($O638="En ligne",CHAR(10)&amp;"◆ EN LIGNE","")&amp;IF($R638&lt;&gt;"",CHAR(10)&amp;$R638,"")</f>
        <v/>
      </c>
      <c r="Y638" s="45" t="inlineStr"/>
      <c r="Z638" s="45" t="inlineStr">
        <is>
          <t>— généré —</t>
        </is>
      </c>
    </row>
    <row r="639" ht="15" customHeight="1">
      <c r="A639" s="10" t="inlineStr">
        <is>
          <t>S7</t>
        </is>
      </c>
      <c r="B639" s="9" t="inlineStr">
        <is>
          <t>du 26 octobre au 1er novembre 2026</t>
        </is>
      </c>
      <c r="C639" s="10" t="inlineStr">
        <is>
          <t>A</t>
        </is>
      </c>
      <c r="D639" s="41" t="n">
        <v>46324</v>
      </c>
      <c r="E639" s="10" t="inlineStr">
        <is>
          <t>Jeudi</t>
        </is>
      </c>
      <c r="F639" s="42" t="n">
        <v>0.7916666666666666</v>
      </c>
      <c r="G639" s="42" t="n">
        <v>0.875</v>
      </c>
      <c r="H639" s="43">
        <f>IF(OR($F639="",$G639=""),"",($G639-$F639)*24)</f>
        <v/>
      </c>
      <c r="I639" s="10" t="inlineStr">
        <is>
          <t>Primaire</t>
        </is>
      </c>
      <c r="J639" s="9" t="inlineStr">
        <is>
          <t>5éme</t>
        </is>
      </c>
      <c r="K639" s="9" t="inlineStr">
        <is>
          <t>رياضيات</t>
        </is>
      </c>
      <c r="L639" s="9" t="inlineStr">
        <is>
          <t>Math</t>
        </is>
      </c>
      <c r="M639" s="9" t="inlineStr">
        <is>
          <t>Bassma</t>
        </is>
      </c>
      <c r="N639" s="10" t="n"/>
      <c r="O639" s="10" t="n"/>
      <c r="P639" s="10" t="inlineStr">
        <is>
          <t>Hebdomadaire</t>
        </is>
      </c>
      <c r="Q639" s="9" t="inlineStr">
        <is>
          <t>Généré (octobre)</t>
        </is>
      </c>
      <c r="R639" s="9" t="inlineStr"/>
      <c r="S639" s="44">
        <f>IF($M639="","",IF(SUMPRODUCT(($D$4:$D$704=$D639)*($M$4:$M$704=$M639)*($F$4:$F$704&lt;$G639)*($G$4:$G$704&gt;$F639))&gt;1,"⚠ CONFLIT",""))</f>
        <v/>
      </c>
      <c r="T639" s="44">
        <f>IF($J639="","",IF(SUMPRODUCT(($D$4:$D$704=$D639)*($J$4:$J$704=$J639)*($F$4:$F$704&lt;$G639)*($G$4:$G$704&gt;$F639))&gt;1,"⚠ CONFLIT",""))</f>
        <v/>
      </c>
      <c r="U639" s="44">
        <f>IF(COUNTIFS($D$4:$D$704,$D639,$J$4:$J$704,$J639,$F$4:$F$704,$F639,$K$4:$K$704,$K639)&gt;1,"⚠ DOUBLON","")</f>
        <v/>
      </c>
      <c r="V639" s="44">
        <f>COUNTIFS($A$4:$A639,$A639,$J$4:$J639,$J639,$E$4:$E639,$E639)</f>
        <v/>
      </c>
      <c r="W639" s="45">
        <f>$A639&amp;"|"&amp;$J639&amp;"|"&amp;$E639&amp;"|"&amp;$V639</f>
        <v/>
      </c>
      <c r="X639" s="46">
        <f>TEXT($F639,"hh:mm")&amp;" - "&amp;TEXT($G639,"hh:mm")&amp;IF($P639="Quinzaine A","   ◆ Q-A",IF($P639="Quinzaine B","   ◆ Q-B",IF($P639="Exception","   ◆ PONCTUEL","")))&amp;CHAR(10)&amp;$K639&amp;CHAR(10)&amp;$M639&amp;IF($N639&lt;&gt;"",CHAR(10)&amp;"Salle "&amp;$N639,"")&amp;IF($O639="En ligne",CHAR(10)&amp;"◆ EN LIGNE","")&amp;IF($R639&lt;&gt;"",CHAR(10)&amp;$R639,"")</f>
        <v/>
      </c>
      <c r="Y639" s="45" t="inlineStr"/>
      <c r="Z639" s="45" t="inlineStr">
        <is>
          <t>— généré —</t>
        </is>
      </c>
    </row>
    <row r="640" ht="15" customHeight="1">
      <c r="A640" s="10" t="inlineStr">
        <is>
          <t>S7</t>
        </is>
      </c>
      <c r="B640" s="9" t="inlineStr">
        <is>
          <t>du 26 octobre au 1er novembre 2026</t>
        </is>
      </c>
      <c r="C640" s="10" t="inlineStr">
        <is>
          <t>A</t>
        </is>
      </c>
      <c r="D640" s="41" t="n">
        <v>46324</v>
      </c>
      <c r="E640" s="10" t="inlineStr">
        <is>
          <t>Jeudi</t>
        </is>
      </c>
      <c r="F640" s="42" t="n">
        <v>0.7916666666666666</v>
      </c>
      <c r="G640" s="42" t="n">
        <v>0.875</v>
      </c>
      <c r="H640" s="43">
        <f>IF(OR($F640="",$G640=""),"",($G640-$F640)*24)</f>
        <v/>
      </c>
      <c r="I640" s="10" t="inlineStr">
        <is>
          <t>Primaire</t>
        </is>
      </c>
      <c r="J640" s="9" t="inlineStr">
        <is>
          <t>6éme (B)</t>
        </is>
      </c>
      <c r="K640" s="9" t="inlineStr">
        <is>
          <t>رياضيات</t>
        </is>
      </c>
      <c r="L640" s="9" t="inlineStr">
        <is>
          <t>Math</t>
        </is>
      </c>
      <c r="M640" s="9" t="inlineStr">
        <is>
          <t>Noura</t>
        </is>
      </c>
      <c r="N640" s="10" t="n"/>
      <c r="O640" s="10" t="n"/>
      <c r="P640" s="10" t="inlineStr">
        <is>
          <t>Hebdomadaire</t>
        </is>
      </c>
      <c r="Q640" s="9" t="inlineStr">
        <is>
          <t>Généré (octobre)</t>
        </is>
      </c>
      <c r="R640" s="9" t="inlineStr"/>
      <c r="S640" s="44">
        <f>IF($M640="","",IF(SUMPRODUCT(($D$4:$D$704=$D640)*($M$4:$M$704=$M640)*($F$4:$F$704&lt;$G640)*($G$4:$G$704&gt;$F640))&gt;1,"⚠ CONFLIT",""))</f>
        <v/>
      </c>
      <c r="T640" s="44">
        <f>IF($J640="","",IF(SUMPRODUCT(($D$4:$D$704=$D640)*($J$4:$J$704=$J640)*($F$4:$F$704&lt;$G640)*($G$4:$G$704&gt;$F640))&gt;1,"⚠ CONFLIT",""))</f>
        <v/>
      </c>
      <c r="U640" s="44">
        <f>IF(COUNTIFS($D$4:$D$704,$D640,$J$4:$J$704,$J640,$F$4:$F$704,$F640,$K$4:$K$704,$K640)&gt;1,"⚠ DOUBLON","")</f>
        <v/>
      </c>
      <c r="V640" s="44">
        <f>COUNTIFS($A$4:$A640,$A640,$J$4:$J640,$J640,$E$4:$E640,$E640)</f>
        <v/>
      </c>
      <c r="W640" s="45">
        <f>$A640&amp;"|"&amp;$J640&amp;"|"&amp;$E640&amp;"|"&amp;$V640</f>
        <v/>
      </c>
      <c r="X640" s="46">
        <f>TEXT($F640,"hh:mm")&amp;" - "&amp;TEXT($G640,"hh:mm")&amp;IF($P640="Quinzaine A","   ◆ Q-A",IF($P640="Quinzaine B","   ◆ Q-B",IF($P640="Exception","   ◆ PONCTUEL","")))&amp;CHAR(10)&amp;$K640&amp;CHAR(10)&amp;$M640&amp;IF($N640&lt;&gt;"",CHAR(10)&amp;"Salle "&amp;$N640,"")&amp;IF($O640="En ligne",CHAR(10)&amp;"◆ EN LIGNE","")&amp;IF($R640&lt;&gt;"",CHAR(10)&amp;$R640,"")</f>
        <v/>
      </c>
      <c r="Y640" s="45" t="inlineStr"/>
      <c r="Z640" s="45" t="inlineStr">
        <is>
          <t>— généré —</t>
        </is>
      </c>
    </row>
    <row r="641" ht="15" customHeight="1">
      <c r="A641" s="10" t="inlineStr">
        <is>
          <t>S7</t>
        </is>
      </c>
      <c r="B641" s="9" t="inlineStr">
        <is>
          <t>du 26 octobre au 1er novembre 2026</t>
        </is>
      </c>
      <c r="C641" s="10" t="inlineStr">
        <is>
          <t>A</t>
        </is>
      </c>
      <c r="D641" s="41" t="n">
        <v>46324</v>
      </c>
      <c r="E641" s="10" t="inlineStr">
        <is>
          <t>Jeudi</t>
        </is>
      </c>
      <c r="F641" s="42" t="n">
        <v>0.8020833333333334</v>
      </c>
      <c r="G641" s="42" t="n">
        <v>0.8645833333333334</v>
      </c>
      <c r="H641" s="43">
        <f>IF(OR($F641="",$G641=""),"",($G641-$F641)*24)</f>
        <v/>
      </c>
      <c r="I641" s="10" t="inlineStr">
        <is>
          <t>Collège</t>
        </is>
      </c>
      <c r="J641" s="9" t="inlineStr">
        <is>
          <t>8éme (A)</t>
        </is>
      </c>
      <c r="K641" s="9" t="inlineStr">
        <is>
          <t>Français</t>
        </is>
      </c>
      <c r="L641" s="9" t="inlineStr">
        <is>
          <t>Français</t>
        </is>
      </c>
      <c r="M641" s="9" t="inlineStr">
        <is>
          <t>Nassima</t>
        </is>
      </c>
      <c r="N641" s="10" t="n"/>
      <c r="O641" s="10" t="n"/>
      <c r="P641" s="10" t="inlineStr">
        <is>
          <t>Hebdomadaire</t>
        </is>
      </c>
      <c r="Q641" s="9" t="inlineStr">
        <is>
          <t>Généré (octobre)</t>
        </is>
      </c>
      <c r="R641" s="9" t="inlineStr"/>
      <c r="S641" s="44">
        <f>IF($M641="","",IF(SUMPRODUCT(($D$4:$D$704=$D641)*($M$4:$M$704=$M641)*($F$4:$F$704&lt;$G641)*($G$4:$G$704&gt;$F641))&gt;1,"⚠ CONFLIT",""))</f>
        <v/>
      </c>
      <c r="T641" s="44">
        <f>IF($J641="","",IF(SUMPRODUCT(($D$4:$D$704=$D641)*($J$4:$J$704=$J641)*($F$4:$F$704&lt;$G641)*($G$4:$G$704&gt;$F641))&gt;1,"⚠ CONFLIT",""))</f>
        <v/>
      </c>
      <c r="U641" s="44">
        <f>IF(COUNTIFS($D$4:$D$704,$D641,$J$4:$J$704,$J641,$F$4:$F$704,$F641,$K$4:$K$704,$K641)&gt;1,"⚠ DOUBLON","")</f>
        <v/>
      </c>
      <c r="V641" s="44">
        <f>COUNTIFS($A$4:$A641,$A641,$J$4:$J641,$J641,$E$4:$E641,$E641)</f>
        <v/>
      </c>
      <c r="W641" s="45">
        <f>$A641&amp;"|"&amp;$J641&amp;"|"&amp;$E641&amp;"|"&amp;$V641</f>
        <v/>
      </c>
      <c r="X641" s="46">
        <f>TEXT($F641,"hh:mm")&amp;" - "&amp;TEXT($G641,"hh:mm")&amp;IF($P641="Quinzaine A","   ◆ Q-A",IF($P641="Quinzaine B","   ◆ Q-B",IF($P641="Exception","   ◆ PONCTUEL","")))&amp;CHAR(10)&amp;$K641&amp;CHAR(10)&amp;$M641&amp;IF($N641&lt;&gt;"",CHAR(10)&amp;"Salle "&amp;$N641,"")&amp;IF($O641="En ligne",CHAR(10)&amp;"◆ EN LIGNE","")&amp;IF($R641&lt;&gt;"",CHAR(10)&amp;$R641,"")</f>
        <v/>
      </c>
      <c r="Y641" s="45" t="inlineStr"/>
      <c r="Z641" s="45" t="inlineStr">
        <is>
          <t>— généré —</t>
        </is>
      </c>
    </row>
    <row r="642" ht="15" customHeight="1">
      <c r="A642" s="10" t="inlineStr">
        <is>
          <t>S7</t>
        </is>
      </c>
      <c r="B642" s="9" t="inlineStr">
        <is>
          <t>du 26 octobre au 1er novembre 2026</t>
        </is>
      </c>
      <c r="C642" s="10" t="inlineStr">
        <is>
          <t>A</t>
        </is>
      </c>
      <c r="D642" s="41" t="n">
        <v>46324</v>
      </c>
      <c r="E642" s="10" t="inlineStr">
        <is>
          <t>Jeudi</t>
        </is>
      </c>
      <c r="F642" s="42" t="n">
        <v>0.8020833333333334</v>
      </c>
      <c r="G642" s="42" t="n">
        <v>0.8645833333333334</v>
      </c>
      <c r="H642" s="43">
        <f>IF(OR($F642="",$G642=""),"",($G642-$F642)*24)</f>
        <v/>
      </c>
      <c r="I642" s="10" t="inlineStr">
        <is>
          <t>Collège</t>
        </is>
      </c>
      <c r="J642" s="9" t="inlineStr">
        <is>
          <t>8éme (C)</t>
        </is>
      </c>
      <c r="K642" s="9" t="inlineStr">
        <is>
          <t>Math</t>
        </is>
      </c>
      <c r="L642" s="9" t="inlineStr">
        <is>
          <t>Math</t>
        </is>
      </c>
      <c r="M642" s="9" t="inlineStr">
        <is>
          <t>Khouloud</t>
        </is>
      </c>
      <c r="N642" s="10" t="n"/>
      <c r="O642" s="10" t="n"/>
      <c r="P642" s="10" t="inlineStr">
        <is>
          <t>Hebdomadaire</t>
        </is>
      </c>
      <c r="Q642" s="9" t="inlineStr">
        <is>
          <t>Généré (octobre)</t>
        </is>
      </c>
      <c r="R642" s="9" t="inlineStr"/>
      <c r="S642" s="44">
        <f>IF($M642="","",IF(SUMPRODUCT(($D$4:$D$704=$D642)*($M$4:$M$704=$M642)*($F$4:$F$704&lt;$G642)*($G$4:$G$704&gt;$F642))&gt;1,"⚠ CONFLIT",""))</f>
        <v/>
      </c>
      <c r="T642" s="44">
        <f>IF($J642="","",IF(SUMPRODUCT(($D$4:$D$704=$D642)*($J$4:$J$704=$J642)*($F$4:$F$704&lt;$G642)*($G$4:$G$704&gt;$F642))&gt;1,"⚠ CONFLIT",""))</f>
        <v/>
      </c>
      <c r="U642" s="44">
        <f>IF(COUNTIFS($D$4:$D$704,$D642,$J$4:$J$704,$J642,$F$4:$F$704,$F642,$K$4:$K$704,$K642)&gt;1,"⚠ DOUBLON","")</f>
        <v/>
      </c>
      <c r="V642" s="44">
        <f>COUNTIFS($A$4:$A642,$A642,$J$4:$J642,$J642,$E$4:$E642,$E642)</f>
        <v/>
      </c>
      <c r="W642" s="45">
        <f>$A642&amp;"|"&amp;$J642&amp;"|"&amp;$E642&amp;"|"&amp;$V642</f>
        <v/>
      </c>
      <c r="X642" s="46">
        <f>TEXT($F642,"hh:mm")&amp;" - "&amp;TEXT($G642,"hh:mm")&amp;IF($P642="Quinzaine A","   ◆ Q-A",IF($P642="Quinzaine B","   ◆ Q-B",IF($P642="Exception","   ◆ PONCTUEL","")))&amp;CHAR(10)&amp;$K642&amp;CHAR(10)&amp;$M642&amp;IF($N642&lt;&gt;"",CHAR(10)&amp;"Salle "&amp;$N642,"")&amp;IF($O642="En ligne",CHAR(10)&amp;"◆ EN LIGNE","")&amp;IF($R642&lt;&gt;"",CHAR(10)&amp;$R642,"")</f>
        <v/>
      </c>
      <c r="Y642" s="45" t="inlineStr"/>
      <c r="Z642" s="45" t="inlineStr">
        <is>
          <t>— généré —</t>
        </is>
      </c>
    </row>
    <row r="643" ht="15" customHeight="1">
      <c r="A643" s="10" t="inlineStr">
        <is>
          <t>S7</t>
        </is>
      </c>
      <c r="B643" s="9" t="inlineStr">
        <is>
          <t>du 26 octobre au 1er novembre 2026</t>
        </is>
      </c>
      <c r="C643" s="10" t="inlineStr">
        <is>
          <t>A</t>
        </is>
      </c>
      <c r="D643" s="41" t="n">
        <v>46324</v>
      </c>
      <c r="E643" s="10" t="inlineStr">
        <is>
          <t>Jeudi</t>
        </is>
      </c>
      <c r="F643" s="42" t="n">
        <v>0.8020833333333334</v>
      </c>
      <c r="G643" s="42" t="n">
        <v>0.8645833333333334</v>
      </c>
      <c r="H643" s="43">
        <f>IF(OR($F643="",$G643=""),"",($G643-$F643)*24)</f>
        <v/>
      </c>
      <c r="I643" s="10" t="inlineStr">
        <is>
          <t>Collège</t>
        </is>
      </c>
      <c r="J643" s="9" t="inlineStr">
        <is>
          <t>9éme (A)</t>
        </is>
      </c>
      <c r="K643" s="9" t="inlineStr">
        <is>
          <t>SVT</t>
        </is>
      </c>
      <c r="L643" s="9" t="inlineStr">
        <is>
          <t>SVT</t>
        </is>
      </c>
      <c r="M643" s="9" t="inlineStr">
        <is>
          <t>Imen Jribi</t>
        </is>
      </c>
      <c r="N643" s="10" t="n"/>
      <c r="O643" s="10" t="n"/>
      <c r="P643" s="10" t="inlineStr">
        <is>
          <t>Hebdomadaire</t>
        </is>
      </c>
      <c r="Q643" s="9" t="inlineStr">
        <is>
          <t>Généré (octobre)</t>
        </is>
      </c>
      <c r="R643" s="9" t="inlineStr"/>
      <c r="S643" s="44">
        <f>IF($M643="","",IF(SUMPRODUCT(($D$4:$D$704=$D643)*($M$4:$M$704=$M643)*($F$4:$F$704&lt;$G643)*($G$4:$G$704&gt;$F643))&gt;1,"⚠ CONFLIT",""))</f>
        <v/>
      </c>
      <c r="T643" s="44">
        <f>IF($J643="","",IF(SUMPRODUCT(($D$4:$D$704=$D643)*($J$4:$J$704=$J643)*($F$4:$F$704&lt;$G643)*($G$4:$G$704&gt;$F643))&gt;1,"⚠ CONFLIT",""))</f>
        <v/>
      </c>
      <c r="U643" s="44">
        <f>IF(COUNTIFS($D$4:$D$704,$D643,$J$4:$J$704,$J643,$F$4:$F$704,$F643,$K$4:$K$704,$K643)&gt;1,"⚠ DOUBLON","")</f>
        <v/>
      </c>
      <c r="V643" s="44">
        <f>COUNTIFS($A$4:$A643,$A643,$J$4:$J643,$J643,$E$4:$E643,$E643)</f>
        <v/>
      </c>
      <c r="W643" s="45">
        <f>$A643&amp;"|"&amp;$J643&amp;"|"&amp;$E643&amp;"|"&amp;$V643</f>
        <v/>
      </c>
      <c r="X643" s="46">
        <f>TEXT($F643,"hh:mm")&amp;" - "&amp;TEXT($G643,"hh:mm")&amp;IF($P643="Quinzaine A","   ◆ Q-A",IF($P643="Quinzaine B","   ◆ Q-B",IF($P643="Exception","   ◆ PONCTUEL","")))&amp;CHAR(10)&amp;$K643&amp;CHAR(10)&amp;$M643&amp;IF($N643&lt;&gt;"",CHAR(10)&amp;"Salle "&amp;$N643,"")&amp;IF($O643="En ligne",CHAR(10)&amp;"◆ EN LIGNE","")&amp;IF($R643&lt;&gt;"",CHAR(10)&amp;$R643,"")</f>
        <v/>
      </c>
      <c r="Y643" s="45" t="inlineStr"/>
      <c r="Z643" s="45" t="inlineStr">
        <is>
          <t>— généré —</t>
        </is>
      </c>
    </row>
    <row r="644" ht="15" customHeight="1">
      <c r="A644" s="10" t="inlineStr">
        <is>
          <t>S7</t>
        </is>
      </c>
      <c r="B644" s="9" t="inlineStr">
        <is>
          <t>du 26 octobre au 1er novembre 2026</t>
        </is>
      </c>
      <c r="C644" s="10" t="inlineStr">
        <is>
          <t>A</t>
        </is>
      </c>
      <c r="D644" s="41" t="n">
        <v>46324</v>
      </c>
      <c r="E644" s="10" t="inlineStr">
        <is>
          <t>Jeudi</t>
        </is>
      </c>
      <c r="F644" s="42" t="n">
        <v>0.8125</v>
      </c>
      <c r="G644" s="42" t="n">
        <v>0.875</v>
      </c>
      <c r="H644" s="43">
        <f>IF(OR($F644="",$G644=""),"",($G644-$F644)*24)</f>
        <v/>
      </c>
      <c r="I644" s="10" t="inlineStr">
        <is>
          <t>Collège</t>
        </is>
      </c>
      <c r="J644" s="9" t="inlineStr">
        <is>
          <t>9éme (C)</t>
        </is>
      </c>
      <c r="K644" s="9" t="inlineStr">
        <is>
          <t>Anglais</t>
        </is>
      </c>
      <c r="L644" s="9" t="inlineStr">
        <is>
          <t>Anglais</t>
        </is>
      </c>
      <c r="M644" s="9" t="inlineStr">
        <is>
          <t>Saber</t>
        </is>
      </c>
      <c r="N644" s="10" t="n"/>
      <c r="O644" s="10" t="n"/>
      <c r="P644" s="10" t="inlineStr">
        <is>
          <t>Hebdomadaire</t>
        </is>
      </c>
      <c r="Q644" s="9" t="inlineStr">
        <is>
          <t>Généré (octobre)</t>
        </is>
      </c>
      <c r="R644" s="9" t="inlineStr"/>
      <c r="S644" s="44">
        <f>IF($M644="","",IF(SUMPRODUCT(($D$4:$D$704=$D644)*($M$4:$M$704=$M644)*($F$4:$F$704&lt;$G644)*($G$4:$G$704&gt;$F644))&gt;1,"⚠ CONFLIT",""))</f>
        <v/>
      </c>
      <c r="T644" s="44">
        <f>IF($J644="","",IF(SUMPRODUCT(($D$4:$D$704=$D644)*($J$4:$J$704=$J644)*($F$4:$F$704&lt;$G644)*($G$4:$G$704&gt;$F644))&gt;1,"⚠ CONFLIT",""))</f>
        <v/>
      </c>
      <c r="U644" s="44">
        <f>IF(COUNTIFS($D$4:$D$704,$D644,$J$4:$J$704,$J644,$F$4:$F$704,$F644,$K$4:$K$704,$K644)&gt;1,"⚠ DOUBLON","")</f>
        <v/>
      </c>
      <c r="V644" s="44">
        <f>COUNTIFS($A$4:$A644,$A644,$J$4:$J644,$J644,$E$4:$E644,$E644)</f>
        <v/>
      </c>
      <c r="W644" s="45">
        <f>$A644&amp;"|"&amp;$J644&amp;"|"&amp;$E644&amp;"|"&amp;$V644</f>
        <v/>
      </c>
      <c r="X644" s="46">
        <f>TEXT($F644,"hh:mm")&amp;" - "&amp;TEXT($G644,"hh:mm")&amp;IF($P644="Quinzaine A","   ◆ Q-A",IF($P644="Quinzaine B","   ◆ Q-B",IF($P644="Exception","   ◆ PONCTUEL","")))&amp;CHAR(10)&amp;$K644&amp;CHAR(10)&amp;$M644&amp;IF($N644&lt;&gt;"",CHAR(10)&amp;"Salle "&amp;$N644,"")&amp;IF($O644="En ligne",CHAR(10)&amp;"◆ EN LIGNE","")&amp;IF($R644&lt;&gt;"",CHAR(10)&amp;$R644,"")</f>
        <v/>
      </c>
      <c r="Y644" s="45" t="inlineStr"/>
      <c r="Z644" s="45" t="inlineStr">
        <is>
          <t>— généré —</t>
        </is>
      </c>
    </row>
    <row r="645" ht="15" customHeight="1">
      <c r="A645" s="10" t="inlineStr">
        <is>
          <t>S7</t>
        </is>
      </c>
      <c r="B645" s="9" t="inlineStr">
        <is>
          <t>du 26 octobre au 1er novembre 2026</t>
        </is>
      </c>
      <c r="C645" s="10" t="inlineStr">
        <is>
          <t>A</t>
        </is>
      </c>
      <c r="D645" s="41" t="n">
        <v>46324</v>
      </c>
      <c r="E645" s="10" t="inlineStr">
        <is>
          <t>Jeudi</t>
        </is>
      </c>
      <c r="F645" s="42" t="n">
        <v>0.8020833333333334</v>
      </c>
      <c r="G645" s="42" t="n">
        <v>0.8645833333333334</v>
      </c>
      <c r="H645" s="43">
        <f>IF(OR($F645="",$G645=""),"",($G645-$F645)*24)</f>
        <v/>
      </c>
      <c r="I645" s="10" t="inlineStr">
        <is>
          <t>Secondaire</t>
        </is>
      </c>
      <c r="J645" s="9" t="inlineStr">
        <is>
          <t>1ére (A)</t>
        </is>
      </c>
      <c r="K645" s="9" t="inlineStr">
        <is>
          <t>Anglais</t>
        </is>
      </c>
      <c r="L645" s="9" t="inlineStr">
        <is>
          <t>Anglais</t>
        </is>
      </c>
      <c r="M645" s="9" t="inlineStr">
        <is>
          <t>Imen Bennour</t>
        </is>
      </c>
      <c r="N645" s="10" t="n"/>
      <c r="O645" s="10" t="n"/>
      <c r="P645" s="10" t="inlineStr">
        <is>
          <t>Quinzaine A</t>
        </is>
      </c>
      <c r="Q645" s="9" t="inlineStr">
        <is>
          <t>Généré (octobre)</t>
        </is>
      </c>
      <c r="R645" s="9" t="inlineStr"/>
      <c r="S645" s="44">
        <f>IF($M645="","",IF(SUMPRODUCT(($D$4:$D$704=$D645)*($M$4:$M$704=$M645)*($F$4:$F$704&lt;$G645)*($G$4:$G$704&gt;$F645))&gt;1,"⚠ CONFLIT",""))</f>
        <v/>
      </c>
      <c r="T645" s="44">
        <f>IF($J645="","",IF(SUMPRODUCT(($D$4:$D$704=$D645)*($J$4:$J$704=$J645)*($F$4:$F$704&lt;$G645)*($G$4:$G$704&gt;$F645))&gt;1,"⚠ CONFLIT",""))</f>
        <v/>
      </c>
      <c r="U645" s="44">
        <f>IF(COUNTIFS($D$4:$D$704,$D645,$J$4:$J$704,$J645,$F$4:$F$704,$F645,$K$4:$K$704,$K645)&gt;1,"⚠ DOUBLON","")</f>
        <v/>
      </c>
      <c r="V645" s="44">
        <f>COUNTIFS($A$4:$A645,$A645,$J$4:$J645,$J645,$E$4:$E645,$E645)</f>
        <v/>
      </c>
      <c r="W645" s="45">
        <f>$A645&amp;"|"&amp;$J645&amp;"|"&amp;$E645&amp;"|"&amp;$V645</f>
        <v/>
      </c>
      <c r="X645" s="46">
        <f>TEXT($F645,"hh:mm")&amp;" - "&amp;TEXT($G645,"hh:mm")&amp;IF($P645="Quinzaine A","   ◆ Q-A",IF($P645="Quinzaine B","   ◆ Q-B",IF($P645="Exception","   ◆ PONCTUEL","")))&amp;CHAR(10)&amp;$K645&amp;CHAR(10)&amp;$M645&amp;IF($N645&lt;&gt;"",CHAR(10)&amp;"Salle "&amp;$N645,"")&amp;IF($O645="En ligne",CHAR(10)&amp;"◆ EN LIGNE","")&amp;IF($R645&lt;&gt;"",CHAR(10)&amp;$R645,"")</f>
        <v/>
      </c>
      <c r="Y645" s="45" t="inlineStr"/>
      <c r="Z645" s="45" t="inlineStr">
        <is>
          <t>— généré —</t>
        </is>
      </c>
    </row>
    <row r="646" ht="15" customHeight="1">
      <c r="A646" s="10" t="inlineStr">
        <is>
          <t>S7</t>
        </is>
      </c>
      <c r="B646" s="9" t="inlineStr">
        <is>
          <t>du 26 octobre au 1er novembre 2026</t>
        </is>
      </c>
      <c r="C646" s="10" t="inlineStr">
        <is>
          <t>A</t>
        </is>
      </c>
      <c r="D646" s="41" t="n">
        <v>46324</v>
      </c>
      <c r="E646" s="10" t="inlineStr">
        <is>
          <t>Jeudi</t>
        </is>
      </c>
      <c r="F646" s="42" t="n">
        <v>0.7916666666666666</v>
      </c>
      <c r="G646" s="42" t="n">
        <v>0.8541666666666666</v>
      </c>
      <c r="H646" s="43">
        <f>IF(OR($F646="",$G646=""),"",($G646-$F646)*24)</f>
        <v/>
      </c>
      <c r="I646" s="10" t="inlineStr">
        <is>
          <t>Secondaire</t>
        </is>
      </c>
      <c r="J646" s="9" t="inlineStr">
        <is>
          <t>2éme Eco</t>
        </is>
      </c>
      <c r="K646" s="9" t="inlineStr">
        <is>
          <t>Gestion</t>
        </is>
      </c>
      <c r="L646" s="9" t="inlineStr">
        <is>
          <t>Gestion</t>
        </is>
      </c>
      <c r="M646" s="9" t="inlineStr">
        <is>
          <t>Yassine</t>
        </is>
      </c>
      <c r="N646" s="10" t="n"/>
      <c r="O646" s="10" t="n"/>
      <c r="P646" s="10" t="inlineStr">
        <is>
          <t>Hebdomadaire</t>
        </is>
      </c>
      <c r="Q646" s="9" t="inlineStr">
        <is>
          <t>Généré (octobre)</t>
        </is>
      </c>
      <c r="R646" s="9" t="inlineStr"/>
      <c r="S646" s="44">
        <f>IF($M646="","",IF(SUMPRODUCT(($D$4:$D$704=$D646)*($M$4:$M$704=$M646)*($F$4:$F$704&lt;$G646)*($G$4:$G$704&gt;$F646))&gt;1,"⚠ CONFLIT",""))</f>
        <v/>
      </c>
      <c r="T646" s="44">
        <f>IF($J646="","",IF(SUMPRODUCT(($D$4:$D$704=$D646)*($J$4:$J$704=$J646)*($F$4:$F$704&lt;$G646)*($G$4:$G$704&gt;$F646))&gt;1,"⚠ CONFLIT",""))</f>
        <v/>
      </c>
      <c r="U646" s="44">
        <f>IF(COUNTIFS($D$4:$D$704,$D646,$J$4:$J$704,$J646,$F$4:$F$704,$F646,$K$4:$K$704,$K646)&gt;1,"⚠ DOUBLON","")</f>
        <v/>
      </c>
      <c r="V646" s="44">
        <f>COUNTIFS($A$4:$A646,$A646,$J$4:$J646,$J646,$E$4:$E646,$E646)</f>
        <v/>
      </c>
      <c r="W646" s="45">
        <f>$A646&amp;"|"&amp;$J646&amp;"|"&amp;$E646&amp;"|"&amp;$V646</f>
        <v/>
      </c>
      <c r="X646" s="46">
        <f>TEXT($F646,"hh:mm")&amp;" - "&amp;TEXT($G646,"hh:mm")&amp;IF($P646="Quinzaine A","   ◆ Q-A",IF($P646="Quinzaine B","   ◆ Q-B",IF($P646="Exception","   ◆ PONCTUEL","")))&amp;CHAR(10)&amp;$K646&amp;CHAR(10)&amp;$M646&amp;IF($N646&lt;&gt;"",CHAR(10)&amp;"Salle "&amp;$N646,"")&amp;IF($O646="En ligne",CHAR(10)&amp;"◆ EN LIGNE","")&amp;IF($R646&lt;&gt;"",CHAR(10)&amp;$R646,"")</f>
        <v/>
      </c>
      <c r="Y646" s="45" t="inlineStr"/>
      <c r="Z646" s="45" t="inlineStr">
        <is>
          <t>— généré —</t>
        </is>
      </c>
    </row>
    <row r="647" ht="15" customHeight="1">
      <c r="A647" s="10" t="inlineStr">
        <is>
          <t>S7</t>
        </is>
      </c>
      <c r="B647" s="9" t="inlineStr">
        <is>
          <t>du 26 octobre au 1er novembre 2026</t>
        </is>
      </c>
      <c r="C647" s="10" t="inlineStr">
        <is>
          <t>A</t>
        </is>
      </c>
      <c r="D647" s="41" t="n">
        <v>46324</v>
      </c>
      <c r="E647" s="10" t="inlineStr">
        <is>
          <t>Jeudi</t>
        </is>
      </c>
      <c r="F647" s="42" t="n">
        <v>0.8125</v>
      </c>
      <c r="G647" s="42" t="n">
        <v>0.875</v>
      </c>
      <c r="H647" s="43">
        <f>IF(OR($F647="",$G647=""),"",($G647-$F647)*24)</f>
        <v/>
      </c>
      <c r="I647" s="10" t="inlineStr">
        <is>
          <t>Secondaire</t>
        </is>
      </c>
      <c r="J647" s="9" t="inlineStr">
        <is>
          <t>2éme SCE</t>
        </is>
      </c>
      <c r="K647" s="9" t="inlineStr">
        <is>
          <t>Math</t>
        </is>
      </c>
      <c r="L647" s="9" t="inlineStr">
        <is>
          <t>Math</t>
        </is>
      </c>
      <c r="M647" s="9" t="inlineStr">
        <is>
          <t>Haythem</t>
        </is>
      </c>
      <c r="N647" s="10" t="n"/>
      <c r="O647" s="10" t="n"/>
      <c r="P647" s="10" t="inlineStr">
        <is>
          <t>Hebdomadaire</t>
        </is>
      </c>
      <c r="Q647" s="9" t="inlineStr">
        <is>
          <t>Généré (octobre)</t>
        </is>
      </c>
      <c r="R647" s="9" t="inlineStr"/>
      <c r="S647" s="44">
        <f>IF($M647="","",IF(SUMPRODUCT(($D$4:$D$704=$D647)*($M$4:$M$704=$M647)*($F$4:$F$704&lt;$G647)*($G$4:$G$704&gt;$F647))&gt;1,"⚠ CONFLIT",""))</f>
        <v/>
      </c>
      <c r="T647" s="44">
        <f>IF($J647="","",IF(SUMPRODUCT(($D$4:$D$704=$D647)*($J$4:$J$704=$J647)*($F$4:$F$704&lt;$G647)*($G$4:$G$704&gt;$F647))&gt;1,"⚠ CONFLIT",""))</f>
        <v/>
      </c>
      <c r="U647" s="44">
        <f>IF(COUNTIFS($D$4:$D$704,$D647,$J$4:$J$704,$J647,$F$4:$F$704,$F647,$K$4:$K$704,$K647)&gt;1,"⚠ DOUBLON","")</f>
        <v/>
      </c>
      <c r="V647" s="44">
        <f>COUNTIFS($A$4:$A647,$A647,$J$4:$J647,$J647,$E$4:$E647,$E647)</f>
        <v/>
      </c>
      <c r="W647" s="45">
        <f>$A647&amp;"|"&amp;$J647&amp;"|"&amp;$E647&amp;"|"&amp;$V647</f>
        <v/>
      </c>
      <c r="X647" s="46">
        <f>TEXT($F647,"hh:mm")&amp;" - "&amp;TEXT($G647,"hh:mm")&amp;IF($P647="Quinzaine A","   ◆ Q-A",IF($P647="Quinzaine B","   ◆ Q-B",IF($P647="Exception","   ◆ PONCTUEL","")))&amp;CHAR(10)&amp;$K647&amp;CHAR(10)&amp;$M647&amp;IF($N647&lt;&gt;"",CHAR(10)&amp;"Salle "&amp;$N647,"")&amp;IF($O647="En ligne",CHAR(10)&amp;"◆ EN LIGNE","")&amp;IF($R647&lt;&gt;"",CHAR(10)&amp;$R647,"")</f>
        <v/>
      </c>
      <c r="Y647" s="45" t="inlineStr"/>
      <c r="Z647" s="45" t="inlineStr">
        <is>
          <t>— généré —</t>
        </is>
      </c>
    </row>
    <row r="648" ht="15" customHeight="1">
      <c r="A648" s="10" t="inlineStr">
        <is>
          <t>S7</t>
        </is>
      </c>
      <c r="B648" s="9" t="inlineStr">
        <is>
          <t>du 26 octobre au 1er novembre 2026</t>
        </is>
      </c>
      <c r="C648" s="10" t="inlineStr">
        <is>
          <t>A</t>
        </is>
      </c>
      <c r="D648" s="41" t="n">
        <v>46324</v>
      </c>
      <c r="E648" s="10" t="inlineStr">
        <is>
          <t>Jeudi</t>
        </is>
      </c>
      <c r="F648" s="42" t="n">
        <v>0.8125</v>
      </c>
      <c r="G648" s="42" t="n">
        <v>0.875</v>
      </c>
      <c r="H648" s="43">
        <f>IF(OR($F648="",$G648=""),"",($G648-$F648)*24)</f>
        <v/>
      </c>
      <c r="I648" s="10" t="inlineStr">
        <is>
          <t>Secondaire</t>
        </is>
      </c>
      <c r="J648" s="9" t="inlineStr">
        <is>
          <t>2éme INFO</t>
        </is>
      </c>
      <c r="K648" s="9" t="inlineStr">
        <is>
          <t>Physique</t>
        </is>
      </c>
      <c r="L648" s="9" t="inlineStr">
        <is>
          <t>Physique</t>
        </is>
      </c>
      <c r="M648" s="9" t="inlineStr">
        <is>
          <t>Samia</t>
        </is>
      </c>
      <c r="N648" s="10" t="n"/>
      <c r="O648" s="10" t="n"/>
      <c r="P648" s="10" t="inlineStr">
        <is>
          <t>Hebdomadaire</t>
        </is>
      </c>
      <c r="Q648" s="9" t="inlineStr">
        <is>
          <t>Généré (octobre)</t>
        </is>
      </c>
      <c r="R648" s="9" t="inlineStr"/>
      <c r="S648" s="44">
        <f>IF($M648="","",IF(SUMPRODUCT(($D$4:$D$704=$D648)*($M$4:$M$704=$M648)*($F$4:$F$704&lt;$G648)*($G$4:$G$704&gt;$F648))&gt;1,"⚠ CONFLIT",""))</f>
        <v/>
      </c>
      <c r="T648" s="44">
        <f>IF($J648="","",IF(SUMPRODUCT(($D$4:$D$704=$D648)*($J$4:$J$704=$J648)*($F$4:$F$704&lt;$G648)*($G$4:$G$704&gt;$F648))&gt;1,"⚠ CONFLIT",""))</f>
        <v/>
      </c>
      <c r="U648" s="44">
        <f>IF(COUNTIFS($D$4:$D$704,$D648,$J$4:$J$704,$J648,$F$4:$F$704,$F648,$K$4:$K$704,$K648)&gt;1,"⚠ DOUBLON","")</f>
        <v/>
      </c>
      <c r="V648" s="44">
        <f>COUNTIFS($A$4:$A648,$A648,$J$4:$J648,$J648,$E$4:$E648,$E648)</f>
        <v/>
      </c>
      <c r="W648" s="45">
        <f>$A648&amp;"|"&amp;$J648&amp;"|"&amp;$E648&amp;"|"&amp;$V648</f>
        <v/>
      </c>
      <c r="X648" s="46">
        <f>TEXT($F648,"hh:mm")&amp;" - "&amp;TEXT($G648,"hh:mm")&amp;IF($P648="Quinzaine A","   ◆ Q-A",IF($P648="Quinzaine B","   ◆ Q-B",IF($P648="Exception","   ◆ PONCTUEL","")))&amp;CHAR(10)&amp;$K648&amp;CHAR(10)&amp;$M648&amp;IF($N648&lt;&gt;"",CHAR(10)&amp;"Salle "&amp;$N648,"")&amp;IF($O648="En ligne",CHAR(10)&amp;"◆ EN LIGNE","")&amp;IF($R648&lt;&gt;"",CHAR(10)&amp;$R648,"")</f>
        <v/>
      </c>
      <c r="Y648" s="45" t="inlineStr"/>
      <c r="Z648" s="45" t="inlineStr">
        <is>
          <t>— généré —</t>
        </is>
      </c>
    </row>
    <row r="649" ht="15" customHeight="1">
      <c r="A649" s="10" t="inlineStr">
        <is>
          <t>S7</t>
        </is>
      </c>
      <c r="B649" s="9" t="inlineStr">
        <is>
          <t>du 26 octobre au 1er novembre 2026</t>
        </is>
      </c>
      <c r="C649" s="10" t="inlineStr">
        <is>
          <t>A</t>
        </is>
      </c>
      <c r="D649" s="41" t="n">
        <v>46324</v>
      </c>
      <c r="E649" s="10" t="inlineStr">
        <is>
          <t>Jeudi</t>
        </is>
      </c>
      <c r="F649" s="42" t="n">
        <v>0.8125</v>
      </c>
      <c r="G649" s="42" t="n">
        <v>0.875</v>
      </c>
      <c r="H649" s="43">
        <f>IF(OR($F649="",$G649=""),"",($G649-$F649)*24)</f>
        <v/>
      </c>
      <c r="I649" s="10" t="inlineStr">
        <is>
          <t>Secondaire</t>
        </is>
      </c>
      <c r="J649" s="9" t="inlineStr">
        <is>
          <t>3éme Eco</t>
        </is>
      </c>
      <c r="K649" s="9" t="inlineStr">
        <is>
          <t>Arabe</t>
        </is>
      </c>
      <c r="L649" s="9" t="inlineStr">
        <is>
          <t>Arabe</t>
        </is>
      </c>
      <c r="M649" s="9" t="inlineStr">
        <is>
          <t>Najet</t>
        </is>
      </c>
      <c r="N649" s="10" t="n"/>
      <c r="O649" s="10" t="n"/>
      <c r="P649" s="10" t="inlineStr">
        <is>
          <t>Quinzaine A</t>
        </is>
      </c>
      <c r="Q649" s="9" t="inlineStr">
        <is>
          <t>Généré (octobre)</t>
        </is>
      </c>
      <c r="R649" s="9" t="inlineStr"/>
      <c r="S649" s="44">
        <f>IF($M649="","",IF(SUMPRODUCT(($D$4:$D$704=$D649)*($M$4:$M$704=$M649)*($F$4:$F$704&lt;$G649)*($G$4:$G$704&gt;$F649))&gt;1,"⚠ CONFLIT",""))</f>
        <v/>
      </c>
      <c r="T649" s="44">
        <f>IF($J649="","",IF(SUMPRODUCT(($D$4:$D$704=$D649)*($J$4:$J$704=$J649)*($F$4:$F$704&lt;$G649)*($G$4:$G$704&gt;$F649))&gt;1,"⚠ CONFLIT",""))</f>
        <v/>
      </c>
      <c r="U649" s="44">
        <f>IF(COUNTIFS($D$4:$D$704,$D649,$J$4:$J$704,$J649,$F$4:$F$704,$F649,$K$4:$K$704,$K649)&gt;1,"⚠ DOUBLON","")</f>
        <v/>
      </c>
      <c r="V649" s="44">
        <f>COUNTIFS($A$4:$A649,$A649,$J$4:$J649,$J649,$E$4:$E649,$E649)</f>
        <v/>
      </c>
      <c r="W649" s="45">
        <f>$A649&amp;"|"&amp;$J649&amp;"|"&amp;$E649&amp;"|"&amp;$V649</f>
        <v/>
      </c>
      <c r="X649" s="46">
        <f>TEXT($F649,"hh:mm")&amp;" - "&amp;TEXT($G649,"hh:mm")&amp;IF($P649="Quinzaine A","   ◆ Q-A",IF($P649="Quinzaine B","   ◆ Q-B",IF($P649="Exception","   ◆ PONCTUEL","")))&amp;CHAR(10)&amp;$K649&amp;CHAR(10)&amp;$M649&amp;IF($N649&lt;&gt;"",CHAR(10)&amp;"Salle "&amp;$N649,"")&amp;IF($O649="En ligne",CHAR(10)&amp;"◆ EN LIGNE","")&amp;IF($R649&lt;&gt;"",CHAR(10)&amp;$R649,"")</f>
        <v/>
      </c>
      <c r="Y649" s="45" t="inlineStr"/>
      <c r="Z649" s="45" t="inlineStr">
        <is>
          <t>— généré —</t>
        </is>
      </c>
    </row>
    <row r="650" ht="15" customHeight="1">
      <c r="A650" s="10" t="inlineStr">
        <is>
          <t>S7</t>
        </is>
      </c>
      <c r="B650" s="9" t="inlineStr">
        <is>
          <t>du 26 octobre au 1er novembre 2026</t>
        </is>
      </c>
      <c r="C650" s="10" t="inlineStr">
        <is>
          <t>A</t>
        </is>
      </c>
      <c r="D650" s="41" t="n">
        <v>46324</v>
      </c>
      <c r="E650" s="10" t="inlineStr">
        <is>
          <t>Jeudi</t>
        </is>
      </c>
      <c r="F650" s="42" t="n">
        <v>0.7916666666666666</v>
      </c>
      <c r="G650" s="42" t="n">
        <v>0.8541666666666666</v>
      </c>
      <c r="H650" s="43">
        <f>IF(OR($F650="",$G650=""),"",($G650-$F650)*24)</f>
        <v/>
      </c>
      <c r="I650" s="10" t="inlineStr">
        <is>
          <t>Bac</t>
        </is>
      </c>
      <c r="J650" s="9" t="inlineStr">
        <is>
          <t>Bac Eco</t>
        </is>
      </c>
      <c r="K650" s="9" t="inlineStr">
        <is>
          <t>Philo</t>
        </is>
      </c>
      <c r="L650" s="9" t="inlineStr">
        <is>
          <t>Philo</t>
        </is>
      </c>
      <c r="M650" s="9" t="inlineStr">
        <is>
          <t>Fayssel</t>
        </is>
      </c>
      <c r="N650" s="10" t="n"/>
      <c r="O650" s="10" t="n"/>
      <c r="P650" s="10" t="inlineStr">
        <is>
          <t>Quinzaine A</t>
        </is>
      </c>
      <c r="Q650" s="9" t="inlineStr">
        <is>
          <t>Généré (octobre)</t>
        </is>
      </c>
      <c r="R650" s="9" t="inlineStr"/>
      <c r="S650" s="44">
        <f>IF($M650="","",IF(SUMPRODUCT(($D$4:$D$704=$D650)*($M$4:$M$704=$M650)*($F$4:$F$704&lt;$G650)*($G$4:$G$704&gt;$F650))&gt;1,"⚠ CONFLIT",""))</f>
        <v/>
      </c>
      <c r="T650" s="44">
        <f>IF($J650="","",IF(SUMPRODUCT(($D$4:$D$704=$D650)*($J$4:$J$704=$J650)*($F$4:$F$704&lt;$G650)*($G$4:$G$704&gt;$F650))&gt;1,"⚠ CONFLIT",""))</f>
        <v/>
      </c>
      <c r="U650" s="44">
        <f>IF(COUNTIFS($D$4:$D$704,$D650,$J$4:$J$704,$J650,$F$4:$F$704,$F650,$K$4:$K$704,$K650)&gt;1,"⚠ DOUBLON","")</f>
        <v/>
      </c>
      <c r="V650" s="44">
        <f>COUNTIFS($A$4:$A650,$A650,$J$4:$J650,$J650,$E$4:$E650,$E650)</f>
        <v/>
      </c>
      <c r="W650" s="45">
        <f>$A650&amp;"|"&amp;$J650&amp;"|"&amp;$E650&amp;"|"&amp;$V650</f>
        <v/>
      </c>
      <c r="X650" s="46">
        <f>TEXT($F650,"hh:mm")&amp;" - "&amp;TEXT($G650,"hh:mm")&amp;IF($P650="Quinzaine A","   ◆ Q-A",IF($P650="Quinzaine B","   ◆ Q-B",IF($P650="Exception","   ◆ PONCTUEL","")))&amp;CHAR(10)&amp;$K650&amp;CHAR(10)&amp;$M650&amp;IF($N650&lt;&gt;"",CHAR(10)&amp;"Salle "&amp;$N650,"")&amp;IF($O650="En ligne",CHAR(10)&amp;"◆ EN LIGNE","")&amp;IF($R650&lt;&gt;"",CHAR(10)&amp;$R650,"")</f>
        <v/>
      </c>
      <c r="Y650" s="45" t="inlineStr"/>
      <c r="Z650" s="45" t="inlineStr">
        <is>
          <t>— généré —</t>
        </is>
      </c>
    </row>
    <row r="651" ht="15" customHeight="1">
      <c r="A651" s="10" t="inlineStr">
        <is>
          <t>S7</t>
        </is>
      </c>
      <c r="B651" s="9" t="inlineStr">
        <is>
          <t>du 26 octobre au 1er novembre 2026</t>
        </is>
      </c>
      <c r="C651" s="10" t="inlineStr">
        <is>
          <t>A</t>
        </is>
      </c>
      <c r="D651" s="41" t="n">
        <v>46325</v>
      </c>
      <c r="E651" s="10" t="inlineStr">
        <is>
          <t>Vendredi</t>
        </is>
      </c>
      <c r="F651" s="42" t="n">
        <v>0.7916666666666666</v>
      </c>
      <c r="G651" s="42" t="n">
        <v>0.8541666666666666</v>
      </c>
      <c r="H651" s="43">
        <f>IF(OR($F651="",$G651=""),"",($G651-$F651)*24)</f>
        <v/>
      </c>
      <c r="I651" s="10" t="inlineStr">
        <is>
          <t>Primaire</t>
        </is>
      </c>
      <c r="J651" s="9" t="inlineStr">
        <is>
          <t>4éme</t>
        </is>
      </c>
      <c r="K651" s="9" t="inlineStr">
        <is>
          <t>إيقاظ علمي</t>
        </is>
      </c>
      <c r="L651" s="9" t="inlineStr">
        <is>
          <t>Éveil scientifique</t>
        </is>
      </c>
      <c r="M651" s="9" t="inlineStr">
        <is>
          <t>Bassma</t>
        </is>
      </c>
      <c r="N651" s="10" t="n"/>
      <c r="O651" s="10" t="n"/>
      <c r="P651" s="10" t="inlineStr">
        <is>
          <t>Quinzaine A</t>
        </is>
      </c>
      <c r="Q651" s="9" t="inlineStr">
        <is>
          <t>Généré (octobre)</t>
        </is>
      </c>
      <c r="R651" s="9" t="inlineStr"/>
      <c r="S651" s="44">
        <f>IF($M651="","",IF(SUMPRODUCT(($D$4:$D$704=$D651)*($M$4:$M$704=$M651)*($F$4:$F$704&lt;$G651)*($G$4:$G$704&gt;$F651))&gt;1,"⚠ CONFLIT",""))</f>
        <v/>
      </c>
      <c r="T651" s="44">
        <f>IF($J651="","",IF(SUMPRODUCT(($D$4:$D$704=$D651)*($J$4:$J$704=$J651)*($F$4:$F$704&lt;$G651)*($G$4:$G$704&gt;$F651))&gt;1,"⚠ CONFLIT",""))</f>
        <v/>
      </c>
      <c r="U651" s="44">
        <f>IF(COUNTIFS($D$4:$D$704,$D651,$J$4:$J$704,$J651,$F$4:$F$704,$F651,$K$4:$K$704,$K651)&gt;1,"⚠ DOUBLON","")</f>
        <v/>
      </c>
      <c r="V651" s="44">
        <f>COUNTIFS($A$4:$A651,$A651,$J$4:$J651,$J651,$E$4:$E651,$E651)</f>
        <v/>
      </c>
      <c r="W651" s="45">
        <f>$A651&amp;"|"&amp;$J651&amp;"|"&amp;$E651&amp;"|"&amp;$V651</f>
        <v/>
      </c>
      <c r="X651" s="46">
        <f>TEXT($F651,"hh:mm")&amp;" - "&amp;TEXT($G651,"hh:mm")&amp;IF($P651="Quinzaine A","   ◆ Q-A",IF($P651="Quinzaine B","   ◆ Q-B",IF($P651="Exception","   ◆ PONCTUEL","")))&amp;CHAR(10)&amp;$K651&amp;CHAR(10)&amp;$M651&amp;IF($N651&lt;&gt;"",CHAR(10)&amp;"Salle "&amp;$N651,"")&amp;IF($O651="En ligne",CHAR(10)&amp;"◆ EN LIGNE","")&amp;IF($R651&lt;&gt;"",CHAR(10)&amp;$R651,"")</f>
        <v/>
      </c>
      <c r="Y651" s="45" t="inlineStr"/>
      <c r="Z651" s="45" t="inlineStr">
        <is>
          <t>— généré —</t>
        </is>
      </c>
    </row>
    <row r="652" ht="15" customHeight="1">
      <c r="A652" s="10" t="inlineStr">
        <is>
          <t>S7</t>
        </is>
      </c>
      <c r="B652" s="9" t="inlineStr">
        <is>
          <t>du 26 octobre au 1er novembre 2026</t>
        </is>
      </c>
      <c r="C652" s="10" t="inlineStr">
        <is>
          <t>A</t>
        </is>
      </c>
      <c r="D652" s="41" t="n">
        <v>46325</v>
      </c>
      <c r="E652" s="10" t="inlineStr">
        <is>
          <t>Vendredi</t>
        </is>
      </c>
      <c r="F652" s="42" t="n">
        <v>0.8125</v>
      </c>
      <c r="G652" s="42" t="n">
        <v>0.875</v>
      </c>
      <c r="H652" s="43">
        <f>IF(OR($F652="",$G652=""),"",($G652-$F652)*24)</f>
        <v/>
      </c>
      <c r="I652" s="10" t="inlineStr">
        <is>
          <t>Primaire</t>
        </is>
      </c>
      <c r="J652" s="9" t="inlineStr">
        <is>
          <t>6éme Pilote (A)</t>
        </is>
      </c>
      <c r="K652" s="9" t="inlineStr">
        <is>
          <t>إيقاظ علمي</t>
        </is>
      </c>
      <c r="L652" s="9" t="inlineStr">
        <is>
          <t>Éveil scientifique</t>
        </is>
      </c>
      <c r="M652" s="9" t="inlineStr">
        <is>
          <t>Noura</t>
        </is>
      </c>
      <c r="N652" s="10" t="n"/>
      <c r="O652" s="10" t="n"/>
      <c r="P652" s="10" t="inlineStr">
        <is>
          <t>Hebdomadaire</t>
        </is>
      </c>
      <c r="Q652" s="9" t="inlineStr">
        <is>
          <t>Généré (octobre)</t>
        </is>
      </c>
      <c r="R652" s="9" t="inlineStr"/>
      <c r="S652" s="44">
        <f>IF($M652="","",IF(SUMPRODUCT(($D$4:$D$704=$D652)*($M$4:$M$704=$M652)*($F$4:$F$704&lt;$G652)*($G$4:$G$704&gt;$F652))&gt;1,"⚠ CONFLIT",""))</f>
        <v/>
      </c>
      <c r="T652" s="44">
        <f>IF($J652="","",IF(SUMPRODUCT(($D$4:$D$704=$D652)*($J$4:$J$704=$J652)*($F$4:$F$704&lt;$G652)*($G$4:$G$704&gt;$F652))&gt;1,"⚠ CONFLIT",""))</f>
        <v/>
      </c>
      <c r="U652" s="44">
        <f>IF(COUNTIFS($D$4:$D$704,$D652,$J$4:$J$704,$J652,$F$4:$F$704,$F652,$K$4:$K$704,$K652)&gt;1,"⚠ DOUBLON","")</f>
        <v/>
      </c>
      <c r="V652" s="44">
        <f>COUNTIFS($A$4:$A652,$A652,$J$4:$J652,$J652,$E$4:$E652,$E652)</f>
        <v/>
      </c>
      <c r="W652" s="45">
        <f>$A652&amp;"|"&amp;$J652&amp;"|"&amp;$E652&amp;"|"&amp;$V652</f>
        <v/>
      </c>
      <c r="X652" s="46">
        <f>TEXT($F652,"hh:mm")&amp;" - "&amp;TEXT($G652,"hh:mm")&amp;IF($P652="Quinzaine A","   ◆ Q-A",IF($P652="Quinzaine B","   ◆ Q-B",IF($P652="Exception","   ◆ PONCTUEL","")))&amp;CHAR(10)&amp;$K652&amp;CHAR(10)&amp;$M652&amp;IF($N652&lt;&gt;"",CHAR(10)&amp;"Salle "&amp;$N652,"")&amp;IF($O652="En ligne",CHAR(10)&amp;"◆ EN LIGNE","")&amp;IF($R652&lt;&gt;"",CHAR(10)&amp;$R652,"")</f>
        <v/>
      </c>
      <c r="Y652" s="45" t="inlineStr"/>
      <c r="Z652" s="45" t="inlineStr">
        <is>
          <t>— généré —</t>
        </is>
      </c>
    </row>
    <row r="653" ht="15" customHeight="1">
      <c r="A653" s="10" t="inlineStr">
        <is>
          <t>S7</t>
        </is>
      </c>
      <c r="B653" s="9" t="inlineStr">
        <is>
          <t>du 26 octobre au 1er novembre 2026</t>
        </is>
      </c>
      <c r="C653" s="10" t="inlineStr">
        <is>
          <t>A</t>
        </is>
      </c>
      <c r="D653" s="41" t="n">
        <v>46325</v>
      </c>
      <c r="E653" s="10" t="inlineStr">
        <is>
          <t>Vendredi</t>
        </is>
      </c>
      <c r="F653" s="42" t="n">
        <v>0.75</v>
      </c>
      <c r="G653" s="42" t="n">
        <v>0.8125</v>
      </c>
      <c r="H653" s="43">
        <f>IF(OR($F653="",$G653=""),"",($G653-$F653)*24)</f>
        <v/>
      </c>
      <c r="I653" s="10" t="inlineStr">
        <is>
          <t>Collège</t>
        </is>
      </c>
      <c r="J653" s="9" t="inlineStr">
        <is>
          <t>7éme (A)</t>
        </is>
      </c>
      <c r="K653" s="9" t="inlineStr">
        <is>
          <t>Math</t>
        </is>
      </c>
      <c r="L653" s="9" t="inlineStr">
        <is>
          <t>Math</t>
        </is>
      </c>
      <c r="M653" s="9" t="inlineStr">
        <is>
          <t>Khouloud</t>
        </is>
      </c>
      <c r="N653" s="10" t="n"/>
      <c r="O653" s="10" t="n"/>
      <c r="P653" s="10" t="inlineStr">
        <is>
          <t>Hebdomadaire</t>
        </is>
      </c>
      <c r="Q653" s="9" t="inlineStr">
        <is>
          <t>Généré (octobre)</t>
        </is>
      </c>
      <c r="R653" s="9" t="inlineStr"/>
      <c r="S653" s="44">
        <f>IF($M653="","",IF(SUMPRODUCT(($D$4:$D$704=$D653)*($M$4:$M$704=$M653)*($F$4:$F$704&lt;$G653)*($G$4:$G$704&gt;$F653))&gt;1,"⚠ CONFLIT",""))</f>
        <v/>
      </c>
      <c r="T653" s="44">
        <f>IF($J653="","",IF(SUMPRODUCT(($D$4:$D$704=$D653)*($J$4:$J$704=$J653)*($F$4:$F$704&lt;$G653)*($G$4:$G$704&gt;$F653))&gt;1,"⚠ CONFLIT",""))</f>
        <v/>
      </c>
      <c r="U653" s="44">
        <f>IF(COUNTIFS($D$4:$D$704,$D653,$J$4:$J$704,$J653,$F$4:$F$704,$F653,$K$4:$K$704,$K653)&gt;1,"⚠ DOUBLON","")</f>
        <v/>
      </c>
      <c r="V653" s="44">
        <f>COUNTIFS($A$4:$A653,$A653,$J$4:$J653,$J653,$E$4:$E653,$E653)</f>
        <v/>
      </c>
      <c r="W653" s="45">
        <f>$A653&amp;"|"&amp;$J653&amp;"|"&amp;$E653&amp;"|"&amp;$V653</f>
        <v/>
      </c>
      <c r="X653" s="46">
        <f>TEXT($F653,"hh:mm")&amp;" - "&amp;TEXT($G653,"hh:mm")&amp;IF($P653="Quinzaine A","   ◆ Q-A",IF($P653="Quinzaine B","   ◆ Q-B",IF($P653="Exception","   ◆ PONCTUEL","")))&amp;CHAR(10)&amp;$K653&amp;CHAR(10)&amp;$M653&amp;IF($N653&lt;&gt;"",CHAR(10)&amp;"Salle "&amp;$N653,"")&amp;IF($O653="En ligne",CHAR(10)&amp;"◆ EN LIGNE","")&amp;IF($R653&lt;&gt;"",CHAR(10)&amp;$R653,"")</f>
        <v/>
      </c>
      <c r="Y653" s="45" t="inlineStr"/>
      <c r="Z653" s="45" t="inlineStr">
        <is>
          <t>— généré —</t>
        </is>
      </c>
    </row>
    <row r="654" ht="15" customHeight="1">
      <c r="A654" s="10" t="inlineStr">
        <is>
          <t>S7</t>
        </is>
      </c>
      <c r="B654" s="9" t="inlineStr">
        <is>
          <t>du 26 octobre au 1er novembre 2026</t>
        </is>
      </c>
      <c r="C654" s="10" t="inlineStr">
        <is>
          <t>A</t>
        </is>
      </c>
      <c r="D654" s="41" t="n">
        <v>46325</v>
      </c>
      <c r="E654" s="10" t="inlineStr">
        <is>
          <t>Vendredi</t>
        </is>
      </c>
      <c r="F654" s="42" t="n">
        <v>0.8125</v>
      </c>
      <c r="G654" s="42" t="n">
        <v>0.875</v>
      </c>
      <c r="H654" s="43">
        <f>IF(OR($F654="",$G654=""),"",($G654-$F654)*24)</f>
        <v/>
      </c>
      <c r="I654" s="10" t="inlineStr">
        <is>
          <t>Collège</t>
        </is>
      </c>
      <c r="J654" s="9" t="inlineStr">
        <is>
          <t>7éme (B)</t>
        </is>
      </c>
      <c r="K654" s="9" t="inlineStr">
        <is>
          <t>Math</t>
        </is>
      </c>
      <c r="L654" s="9" t="inlineStr">
        <is>
          <t>Math</t>
        </is>
      </c>
      <c r="M654" s="9" t="inlineStr">
        <is>
          <t>Khouloud</t>
        </is>
      </c>
      <c r="N654" s="10" t="n"/>
      <c r="O654" s="10" t="n"/>
      <c r="P654" s="10" t="inlineStr">
        <is>
          <t>Hebdomadaire</t>
        </is>
      </c>
      <c r="Q654" s="9" t="inlineStr">
        <is>
          <t>Généré (octobre)</t>
        </is>
      </c>
      <c r="R654" s="9" t="inlineStr"/>
      <c r="S654" s="44">
        <f>IF($M654="","",IF(SUMPRODUCT(($D$4:$D$704=$D654)*($M$4:$M$704=$M654)*($F$4:$F$704&lt;$G654)*($G$4:$G$704&gt;$F654))&gt;1,"⚠ CONFLIT",""))</f>
        <v/>
      </c>
      <c r="T654" s="44">
        <f>IF($J654="","",IF(SUMPRODUCT(($D$4:$D$704=$D654)*($J$4:$J$704=$J654)*($F$4:$F$704&lt;$G654)*($G$4:$G$704&gt;$F654))&gt;1,"⚠ CONFLIT",""))</f>
        <v/>
      </c>
      <c r="U654" s="44">
        <f>IF(COUNTIFS($D$4:$D$704,$D654,$J$4:$J$704,$J654,$F$4:$F$704,$F654,$K$4:$K$704,$K654)&gt;1,"⚠ DOUBLON","")</f>
        <v/>
      </c>
      <c r="V654" s="44">
        <f>COUNTIFS($A$4:$A654,$A654,$J$4:$J654,$J654,$E$4:$E654,$E654)</f>
        <v/>
      </c>
      <c r="W654" s="45">
        <f>$A654&amp;"|"&amp;$J654&amp;"|"&amp;$E654&amp;"|"&amp;$V654</f>
        <v/>
      </c>
      <c r="X654" s="46">
        <f>TEXT($F654,"hh:mm")&amp;" - "&amp;TEXT($G654,"hh:mm")&amp;IF($P654="Quinzaine A","   ◆ Q-A",IF($P654="Quinzaine B","   ◆ Q-B",IF($P654="Exception","   ◆ PONCTUEL","")))&amp;CHAR(10)&amp;$K654&amp;CHAR(10)&amp;$M654&amp;IF($N654&lt;&gt;"",CHAR(10)&amp;"Salle "&amp;$N654,"")&amp;IF($O654="En ligne",CHAR(10)&amp;"◆ EN LIGNE","")&amp;IF($R654&lt;&gt;"",CHAR(10)&amp;$R654,"")</f>
        <v/>
      </c>
      <c r="Y654" s="45" t="inlineStr"/>
      <c r="Z654" s="45" t="inlineStr">
        <is>
          <t>— généré —</t>
        </is>
      </c>
    </row>
    <row r="655" ht="15" customHeight="1">
      <c r="A655" s="10" t="inlineStr">
        <is>
          <t>S7</t>
        </is>
      </c>
      <c r="B655" s="9" t="inlineStr">
        <is>
          <t>du 26 octobre au 1er novembre 2026</t>
        </is>
      </c>
      <c r="C655" s="10" t="inlineStr">
        <is>
          <t>A</t>
        </is>
      </c>
      <c r="D655" s="41" t="n">
        <v>46325</v>
      </c>
      <c r="E655" s="10" t="inlineStr">
        <is>
          <t>Vendredi</t>
        </is>
      </c>
      <c r="F655" s="42" t="n">
        <v>0.8125</v>
      </c>
      <c r="G655" s="42" t="n">
        <v>0.875</v>
      </c>
      <c r="H655" s="43">
        <f>IF(OR($F655="",$G655=""),"",($G655-$F655)*24)</f>
        <v/>
      </c>
      <c r="I655" s="10" t="inlineStr">
        <is>
          <t>Collège</t>
        </is>
      </c>
      <c r="J655" s="9" t="inlineStr">
        <is>
          <t>8éme (A)</t>
        </is>
      </c>
      <c r="K655" s="9" t="inlineStr">
        <is>
          <t>فيزياء</t>
        </is>
      </c>
      <c r="L655" s="9" t="inlineStr">
        <is>
          <t>Physique</t>
        </is>
      </c>
      <c r="M655" s="9" t="inlineStr">
        <is>
          <t>Melek</t>
        </is>
      </c>
      <c r="N655" s="10" t="n"/>
      <c r="O655" s="10" t="n"/>
      <c r="P655" s="10" t="inlineStr">
        <is>
          <t>Hebdomadaire</t>
        </is>
      </c>
      <c r="Q655" s="9" t="inlineStr">
        <is>
          <t>Généré (octobre)</t>
        </is>
      </c>
      <c r="R655" s="9" t="inlineStr"/>
      <c r="S655" s="44">
        <f>IF($M655="","",IF(SUMPRODUCT(($D$4:$D$704=$D655)*($M$4:$M$704=$M655)*($F$4:$F$704&lt;$G655)*($G$4:$G$704&gt;$F655))&gt;1,"⚠ CONFLIT",""))</f>
        <v/>
      </c>
      <c r="T655" s="44">
        <f>IF($J655="","",IF(SUMPRODUCT(($D$4:$D$704=$D655)*($J$4:$J$704=$J655)*($F$4:$F$704&lt;$G655)*($G$4:$G$704&gt;$F655))&gt;1,"⚠ CONFLIT",""))</f>
        <v/>
      </c>
      <c r="U655" s="44">
        <f>IF(COUNTIFS($D$4:$D$704,$D655,$J$4:$J$704,$J655,$F$4:$F$704,$F655,$K$4:$K$704,$K655)&gt;1,"⚠ DOUBLON","")</f>
        <v/>
      </c>
      <c r="V655" s="44">
        <f>COUNTIFS($A$4:$A655,$A655,$J$4:$J655,$J655,$E$4:$E655,$E655)</f>
        <v/>
      </c>
      <c r="W655" s="45">
        <f>$A655&amp;"|"&amp;$J655&amp;"|"&amp;$E655&amp;"|"&amp;$V655</f>
        <v/>
      </c>
      <c r="X655" s="46">
        <f>TEXT($F655,"hh:mm")&amp;" - "&amp;TEXT($G655,"hh:mm")&amp;IF($P655="Quinzaine A","   ◆ Q-A",IF($P655="Quinzaine B","   ◆ Q-B",IF($P655="Exception","   ◆ PONCTUEL","")))&amp;CHAR(10)&amp;$K655&amp;CHAR(10)&amp;$M655&amp;IF($N655&lt;&gt;"",CHAR(10)&amp;"Salle "&amp;$N655,"")&amp;IF($O655="En ligne",CHAR(10)&amp;"◆ EN LIGNE","")&amp;IF($R655&lt;&gt;"",CHAR(10)&amp;$R655,"")</f>
        <v/>
      </c>
      <c r="Y655" s="45" t="inlineStr"/>
      <c r="Z655" s="45" t="inlineStr">
        <is>
          <t>— généré —</t>
        </is>
      </c>
    </row>
    <row r="656" ht="15" customHeight="1">
      <c r="A656" s="10" t="inlineStr">
        <is>
          <t>S7</t>
        </is>
      </c>
      <c r="B656" s="9" t="inlineStr">
        <is>
          <t>du 26 octobre au 1er novembre 2026</t>
        </is>
      </c>
      <c r="C656" s="10" t="inlineStr">
        <is>
          <t>A</t>
        </is>
      </c>
      <c r="D656" s="41" t="n">
        <v>46325</v>
      </c>
      <c r="E656" s="10" t="inlineStr">
        <is>
          <t>Vendredi</t>
        </is>
      </c>
      <c r="F656" s="42" t="n">
        <v>0.8125</v>
      </c>
      <c r="G656" s="42" t="n">
        <v>0.875</v>
      </c>
      <c r="H656" s="43">
        <f>IF(OR($F656="",$G656=""),"",($G656-$F656)*24)</f>
        <v/>
      </c>
      <c r="I656" s="10" t="inlineStr">
        <is>
          <t>Collège</t>
        </is>
      </c>
      <c r="J656" s="9" t="inlineStr">
        <is>
          <t>9éme (C)</t>
        </is>
      </c>
      <c r="K656" s="9" t="inlineStr">
        <is>
          <t>Arabe</t>
        </is>
      </c>
      <c r="L656" s="9" t="inlineStr">
        <is>
          <t>Arabe</t>
        </is>
      </c>
      <c r="M656" s="9" t="inlineStr">
        <is>
          <t>Yahya</t>
        </is>
      </c>
      <c r="N656" s="10" t="n"/>
      <c r="O656" s="10" t="n"/>
      <c r="P656" s="10" t="inlineStr">
        <is>
          <t>Hebdomadaire</t>
        </is>
      </c>
      <c r="Q656" s="9" t="inlineStr">
        <is>
          <t>Généré (octobre)</t>
        </is>
      </c>
      <c r="R656" s="9" t="inlineStr"/>
      <c r="S656" s="44">
        <f>IF($M656="","",IF(SUMPRODUCT(($D$4:$D$704=$D656)*($M$4:$M$704=$M656)*($F$4:$F$704&lt;$G656)*($G$4:$G$704&gt;$F656))&gt;1,"⚠ CONFLIT",""))</f>
        <v/>
      </c>
      <c r="T656" s="44">
        <f>IF($J656="","",IF(SUMPRODUCT(($D$4:$D$704=$D656)*($J$4:$J$704=$J656)*($F$4:$F$704&lt;$G656)*($G$4:$G$704&gt;$F656))&gt;1,"⚠ CONFLIT",""))</f>
        <v/>
      </c>
      <c r="U656" s="44">
        <f>IF(COUNTIFS($D$4:$D$704,$D656,$J$4:$J$704,$J656,$F$4:$F$704,$F656,$K$4:$K$704,$K656)&gt;1,"⚠ DOUBLON","")</f>
        <v/>
      </c>
      <c r="V656" s="44">
        <f>COUNTIFS($A$4:$A656,$A656,$J$4:$J656,$J656,$E$4:$E656,$E656)</f>
        <v/>
      </c>
      <c r="W656" s="45">
        <f>$A656&amp;"|"&amp;$J656&amp;"|"&amp;$E656&amp;"|"&amp;$V656</f>
        <v/>
      </c>
      <c r="X656" s="46">
        <f>TEXT($F656,"hh:mm")&amp;" - "&amp;TEXT($G656,"hh:mm")&amp;IF($P656="Quinzaine A","   ◆ Q-A",IF($P656="Quinzaine B","   ◆ Q-B",IF($P656="Exception","   ◆ PONCTUEL","")))&amp;CHAR(10)&amp;$K656&amp;CHAR(10)&amp;$M656&amp;IF($N656&lt;&gt;"",CHAR(10)&amp;"Salle "&amp;$N656,"")&amp;IF($O656="En ligne",CHAR(10)&amp;"◆ EN LIGNE","")&amp;IF($R656&lt;&gt;"",CHAR(10)&amp;$R656,"")</f>
        <v/>
      </c>
      <c r="Y656" s="45" t="inlineStr"/>
      <c r="Z656" s="45" t="inlineStr">
        <is>
          <t>— généré —</t>
        </is>
      </c>
    </row>
    <row r="657" ht="15" customHeight="1">
      <c r="A657" s="10" t="inlineStr">
        <is>
          <t>S7</t>
        </is>
      </c>
      <c r="B657" s="9" t="inlineStr">
        <is>
          <t>du 26 octobre au 1er novembre 2026</t>
        </is>
      </c>
      <c r="C657" s="10" t="inlineStr">
        <is>
          <t>A</t>
        </is>
      </c>
      <c r="D657" s="41" t="n">
        <v>46325</v>
      </c>
      <c r="E657" s="10" t="inlineStr">
        <is>
          <t>Vendredi</t>
        </is>
      </c>
      <c r="F657" s="42" t="n">
        <v>0.7291666666666666</v>
      </c>
      <c r="G657" s="42" t="n">
        <v>0.7916666666666666</v>
      </c>
      <c r="H657" s="43">
        <f>IF(OR($F657="",$G657=""),"",($G657-$F657)*24)</f>
        <v/>
      </c>
      <c r="I657" s="10" t="inlineStr">
        <is>
          <t>Secondaire</t>
        </is>
      </c>
      <c r="J657" s="9" t="inlineStr">
        <is>
          <t>1ére (A)</t>
        </is>
      </c>
      <c r="K657" s="9" t="inlineStr">
        <is>
          <t>Arabe</t>
        </is>
      </c>
      <c r="L657" s="9" t="inlineStr">
        <is>
          <t>Arabe</t>
        </is>
      </c>
      <c r="M657" s="9" t="inlineStr">
        <is>
          <t>Najet</t>
        </is>
      </c>
      <c r="N657" s="10" t="n"/>
      <c r="O657" s="10" t="n"/>
      <c r="P657" s="10" t="inlineStr">
        <is>
          <t>Hebdomadaire</t>
        </is>
      </c>
      <c r="Q657" s="9" t="inlineStr">
        <is>
          <t>Généré (octobre)</t>
        </is>
      </c>
      <c r="R657" s="9" t="inlineStr"/>
      <c r="S657" s="44">
        <f>IF($M657="","",IF(SUMPRODUCT(($D$4:$D$704=$D657)*($M$4:$M$704=$M657)*($F$4:$F$704&lt;$G657)*($G$4:$G$704&gt;$F657))&gt;1,"⚠ CONFLIT",""))</f>
        <v/>
      </c>
      <c r="T657" s="44">
        <f>IF($J657="","",IF(SUMPRODUCT(($D$4:$D$704=$D657)*($J$4:$J$704=$J657)*($F$4:$F$704&lt;$G657)*($G$4:$G$704&gt;$F657))&gt;1,"⚠ CONFLIT",""))</f>
        <v/>
      </c>
      <c r="U657" s="44">
        <f>IF(COUNTIFS($D$4:$D$704,$D657,$J$4:$J$704,$J657,$F$4:$F$704,$F657,$K$4:$K$704,$K657)&gt;1,"⚠ DOUBLON","")</f>
        <v/>
      </c>
      <c r="V657" s="44">
        <f>COUNTIFS($A$4:$A657,$A657,$J$4:$J657,$J657,$E$4:$E657,$E657)</f>
        <v/>
      </c>
      <c r="W657" s="45">
        <f>$A657&amp;"|"&amp;$J657&amp;"|"&amp;$E657&amp;"|"&amp;$V657</f>
        <v/>
      </c>
      <c r="X657" s="46">
        <f>TEXT($F657,"hh:mm")&amp;" - "&amp;TEXT($G657,"hh:mm")&amp;IF($P657="Quinzaine A","   ◆ Q-A",IF($P657="Quinzaine B","   ◆ Q-B",IF($P657="Exception","   ◆ PONCTUEL","")))&amp;CHAR(10)&amp;$K657&amp;CHAR(10)&amp;$M657&amp;IF($N657&lt;&gt;"",CHAR(10)&amp;"Salle "&amp;$N657,"")&amp;IF($O657="En ligne",CHAR(10)&amp;"◆ EN LIGNE","")&amp;IF($R657&lt;&gt;"",CHAR(10)&amp;$R657,"")</f>
        <v/>
      </c>
      <c r="Y657" s="45" t="inlineStr"/>
      <c r="Z657" s="45" t="inlineStr">
        <is>
          <t>— généré —</t>
        </is>
      </c>
    </row>
    <row r="658" ht="15" customHeight="1">
      <c r="A658" s="10" t="inlineStr">
        <is>
          <t>S7</t>
        </is>
      </c>
      <c r="B658" s="9" t="inlineStr">
        <is>
          <t>du 26 octobre au 1er novembre 2026</t>
        </is>
      </c>
      <c r="C658" s="10" t="inlineStr">
        <is>
          <t>A</t>
        </is>
      </c>
      <c r="D658" s="41" t="n">
        <v>46325</v>
      </c>
      <c r="E658" s="10" t="inlineStr">
        <is>
          <t>Vendredi</t>
        </is>
      </c>
      <c r="F658" s="42" t="n">
        <v>0.7916666666666666</v>
      </c>
      <c r="G658" s="42" t="n">
        <v>0.8541666666666666</v>
      </c>
      <c r="H658" s="43">
        <f>IF(OR($F658="",$G658=""),"",($G658-$F658)*24)</f>
        <v/>
      </c>
      <c r="I658" s="10" t="inlineStr">
        <is>
          <t>Secondaire</t>
        </is>
      </c>
      <c r="J658" s="9" t="inlineStr">
        <is>
          <t>1ére (B)</t>
        </is>
      </c>
      <c r="K658" s="9" t="inlineStr">
        <is>
          <t>Arabe</t>
        </is>
      </c>
      <c r="L658" s="9" t="inlineStr">
        <is>
          <t>Arabe</t>
        </is>
      </c>
      <c r="M658" s="9" t="inlineStr">
        <is>
          <t>Najet</t>
        </is>
      </c>
      <c r="N658" s="10" t="n"/>
      <c r="O658" s="10" t="n"/>
      <c r="P658" s="10" t="inlineStr">
        <is>
          <t>Hebdomadaire</t>
        </is>
      </c>
      <c r="Q658" s="9" t="inlineStr">
        <is>
          <t>Généré (octobre)</t>
        </is>
      </c>
      <c r="R658" s="9" t="inlineStr"/>
      <c r="S658" s="44">
        <f>IF($M658="","",IF(SUMPRODUCT(($D$4:$D$704=$D658)*($M$4:$M$704=$M658)*($F$4:$F$704&lt;$G658)*($G$4:$G$704&gt;$F658))&gt;1,"⚠ CONFLIT",""))</f>
        <v/>
      </c>
      <c r="T658" s="44">
        <f>IF($J658="","",IF(SUMPRODUCT(($D$4:$D$704=$D658)*($J$4:$J$704=$J658)*($F$4:$F$704&lt;$G658)*($G$4:$G$704&gt;$F658))&gt;1,"⚠ CONFLIT",""))</f>
        <v/>
      </c>
      <c r="U658" s="44">
        <f>IF(COUNTIFS($D$4:$D$704,$D658,$J$4:$J$704,$J658,$F$4:$F$704,$F658,$K$4:$K$704,$K658)&gt;1,"⚠ DOUBLON","")</f>
        <v/>
      </c>
      <c r="V658" s="44">
        <f>COUNTIFS($A$4:$A658,$A658,$J$4:$J658,$J658,$E$4:$E658,$E658)</f>
        <v/>
      </c>
      <c r="W658" s="45">
        <f>$A658&amp;"|"&amp;$J658&amp;"|"&amp;$E658&amp;"|"&amp;$V658</f>
        <v/>
      </c>
      <c r="X658" s="46">
        <f>TEXT($F658,"hh:mm")&amp;" - "&amp;TEXT($G658,"hh:mm")&amp;IF($P658="Quinzaine A","   ◆ Q-A",IF($P658="Quinzaine B","   ◆ Q-B",IF($P658="Exception","   ◆ PONCTUEL","")))&amp;CHAR(10)&amp;$K658&amp;CHAR(10)&amp;$M658&amp;IF($N658&lt;&gt;"",CHAR(10)&amp;"Salle "&amp;$N658,"")&amp;IF($O658="En ligne",CHAR(10)&amp;"◆ EN LIGNE","")&amp;IF($R658&lt;&gt;"",CHAR(10)&amp;$R658,"")</f>
        <v/>
      </c>
      <c r="Y658" s="45" t="inlineStr"/>
      <c r="Z658" s="45" t="inlineStr">
        <is>
          <t>— généré —</t>
        </is>
      </c>
    </row>
    <row r="659" ht="15" customHeight="1">
      <c r="A659" s="10" t="inlineStr">
        <is>
          <t>S7</t>
        </is>
      </c>
      <c r="B659" s="9" t="inlineStr">
        <is>
          <t>du 26 octobre au 1er novembre 2026</t>
        </is>
      </c>
      <c r="C659" s="10" t="inlineStr">
        <is>
          <t>A</t>
        </is>
      </c>
      <c r="D659" s="41" t="n">
        <v>46325</v>
      </c>
      <c r="E659" s="10" t="inlineStr">
        <is>
          <t>Vendredi</t>
        </is>
      </c>
      <c r="F659" s="42" t="n">
        <v>0.7291666666666666</v>
      </c>
      <c r="G659" s="42" t="n">
        <v>0.7916666666666666</v>
      </c>
      <c r="H659" s="43">
        <f>IF(OR($F659="",$G659=""),"",($G659-$F659)*24)</f>
        <v/>
      </c>
      <c r="I659" s="10" t="inlineStr">
        <is>
          <t>Secondaire</t>
        </is>
      </c>
      <c r="J659" s="9" t="inlineStr">
        <is>
          <t>2éme Eco</t>
        </is>
      </c>
      <c r="K659" s="9" t="inlineStr">
        <is>
          <t>Français</t>
        </is>
      </c>
      <c r="L659" s="9" t="inlineStr">
        <is>
          <t>Français</t>
        </is>
      </c>
      <c r="M659" s="9" t="inlineStr">
        <is>
          <t>Nabil</t>
        </is>
      </c>
      <c r="N659" s="10" t="n"/>
      <c r="O659" s="10" t="n"/>
      <c r="P659" s="10" t="inlineStr">
        <is>
          <t>Quinzaine A</t>
        </is>
      </c>
      <c r="Q659" s="9" t="inlineStr">
        <is>
          <t>Généré (octobre)</t>
        </is>
      </c>
      <c r="R659" s="9" t="inlineStr"/>
      <c r="S659" s="44">
        <f>IF($M659="","",IF(SUMPRODUCT(($D$4:$D$704=$D659)*($M$4:$M$704=$M659)*($F$4:$F$704&lt;$G659)*($G$4:$G$704&gt;$F659))&gt;1,"⚠ CONFLIT",""))</f>
        <v/>
      </c>
      <c r="T659" s="44">
        <f>IF($J659="","",IF(SUMPRODUCT(($D$4:$D$704=$D659)*($J$4:$J$704=$J659)*($F$4:$F$704&lt;$G659)*($G$4:$G$704&gt;$F659))&gt;1,"⚠ CONFLIT",""))</f>
        <v/>
      </c>
      <c r="U659" s="44">
        <f>IF(COUNTIFS($D$4:$D$704,$D659,$J$4:$J$704,$J659,$F$4:$F$704,$F659,$K$4:$K$704,$K659)&gt;1,"⚠ DOUBLON","")</f>
        <v/>
      </c>
      <c r="V659" s="44">
        <f>COUNTIFS($A$4:$A659,$A659,$J$4:$J659,$J659,$E$4:$E659,$E659)</f>
        <v/>
      </c>
      <c r="W659" s="45">
        <f>$A659&amp;"|"&amp;$J659&amp;"|"&amp;$E659&amp;"|"&amp;$V659</f>
        <v/>
      </c>
      <c r="X659" s="46">
        <f>TEXT($F659,"hh:mm")&amp;" - "&amp;TEXT($G659,"hh:mm")&amp;IF($P659="Quinzaine A","   ◆ Q-A",IF($P659="Quinzaine B","   ◆ Q-B",IF($P659="Exception","   ◆ PONCTUEL","")))&amp;CHAR(10)&amp;$K659&amp;CHAR(10)&amp;$M659&amp;IF($N659&lt;&gt;"",CHAR(10)&amp;"Salle "&amp;$N659,"")&amp;IF($O659="En ligne",CHAR(10)&amp;"◆ EN LIGNE","")&amp;IF($R659&lt;&gt;"",CHAR(10)&amp;$R659,"")</f>
        <v/>
      </c>
      <c r="Y659" s="45" t="inlineStr"/>
      <c r="Z659" s="45" t="inlineStr">
        <is>
          <t>— généré —</t>
        </is>
      </c>
    </row>
    <row r="660" ht="15" customHeight="1">
      <c r="A660" s="10" t="inlineStr">
        <is>
          <t>S7</t>
        </is>
      </c>
      <c r="B660" s="9" t="inlineStr">
        <is>
          <t>du 26 octobre au 1er novembre 2026</t>
        </is>
      </c>
      <c r="C660" s="10" t="inlineStr">
        <is>
          <t>A</t>
        </is>
      </c>
      <c r="D660" s="41" t="n">
        <v>46325</v>
      </c>
      <c r="E660" s="10" t="inlineStr">
        <is>
          <t>Vendredi</t>
        </is>
      </c>
      <c r="F660" s="42" t="n">
        <v>0.8125</v>
      </c>
      <c r="G660" s="42" t="n">
        <v>0.875</v>
      </c>
      <c r="H660" s="43">
        <f>IF(OR($F660="",$G660=""),"",($G660-$F660)*24)</f>
        <v/>
      </c>
      <c r="I660" s="10" t="inlineStr">
        <is>
          <t>Secondaire</t>
        </is>
      </c>
      <c r="J660" s="9" t="inlineStr">
        <is>
          <t>2éme INFO</t>
        </is>
      </c>
      <c r="K660" s="9" t="inlineStr">
        <is>
          <t>Math</t>
        </is>
      </c>
      <c r="L660" s="9" t="inlineStr">
        <is>
          <t>Math</t>
        </is>
      </c>
      <c r="M660" s="9" t="inlineStr">
        <is>
          <t>Haythem</t>
        </is>
      </c>
      <c r="N660" s="10" t="n"/>
      <c r="O660" s="10" t="n"/>
      <c r="P660" s="10" t="inlineStr">
        <is>
          <t>Hebdomadaire</t>
        </is>
      </c>
      <c r="Q660" s="9" t="inlineStr">
        <is>
          <t>Généré (octobre)</t>
        </is>
      </c>
      <c r="R660" s="9" t="inlineStr"/>
      <c r="S660" s="44">
        <f>IF($M660="","",IF(SUMPRODUCT(($D$4:$D$704=$D660)*($M$4:$M$704=$M660)*($F$4:$F$704&lt;$G660)*($G$4:$G$704&gt;$F660))&gt;1,"⚠ CONFLIT",""))</f>
        <v/>
      </c>
      <c r="T660" s="44">
        <f>IF($J660="","",IF(SUMPRODUCT(($D$4:$D$704=$D660)*($J$4:$J$704=$J660)*($F$4:$F$704&lt;$G660)*($G$4:$G$704&gt;$F660))&gt;1,"⚠ CONFLIT",""))</f>
        <v/>
      </c>
      <c r="U660" s="44">
        <f>IF(COUNTIFS($D$4:$D$704,$D660,$J$4:$J$704,$J660,$F$4:$F$704,$F660,$K$4:$K$704,$K660)&gt;1,"⚠ DOUBLON","")</f>
        <v/>
      </c>
      <c r="V660" s="44">
        <f>COUNTIFS($A$4:$A660,$A660,$J$4:$J660,$J660,$E$4:$E660,$E660)</f>
        <v/>
      </c>
      <c r="W660" s="45">
        <f>$A660&amp;"|"&amp;$J660&amp;"|"&amp;$E660&amp;"|"&amp;$V660</f>
        <v/>
      </c>
      <c r="X660" s="46">
        <f>TEXT($F660,"hh:mm")&amp;" - "&amp;TEXT($G660,"hh:mm")&amp;IF($P660="Quinzaine A","   ◆ Q-A",IF($P660="Quinzaine B","   ◆ Q-B",IF($P660="Exception","   ◆ PONCTUEL","")))&amp;CHAR(10)&amp;$K660&amp;CHAR(10)&amp;$M660&amp;IF($N660&lt;&gt;"",CHAR(10)&amp;"Salle "&amp;$N660,"")&amp;IF($O660="En ligne",CHAR(10)&amp;"◆ EN LIGNE","")&amp;IF($R660&lt;&gt;"",CHAR(10)&amp;$R660,"")</f>
        <v/>
      </c>
      <c r="Y660" s="45" t="inlineStr"/>
      <c r="Z660" s="45" t="inlineStr">
        <is>
          <t>— généré —</t>
        </is>
      </c>
    </row>
    <row r="661" ht="15" customHeight="1">
      <c r="A661" s="10" t="inlineStr">
        <is>
          <t>S7</t>
        </is>
      </c>
      <c r="B661" s="9" t="inlineStr">
        <is>
          <t>du 26 octobre au 1er novembre 2026</t>
        </is>
      </c>
      <c r="C661" s="10" t="inlineStr">
        <is>
          <t>A</t>
        </is>
      </c>
      <c r="D661" s="41" t="n">
        <v>46325</v>
      </c>
      <c r="E661" s="10" t="inlineStr">
        <is>
          <t>Vendredi</t>
        </is>
      </c>
      <c r="F661" s="42" t="n">
        <v>0.7916666666666666</v>
      </c>
      <c r="G661" s="42" t="n">
        <v>0.8541666666666666</v>
      </c>
      <c r="H661" s="43">
        <f>IF(OR($F661="",$G661=""),"",($G661-$F661)*24)</f>
        <v/>
      </c>
      <c r="I661" s="10" t="inlineStr">
        <is>
          <t>Secondaire</t>
        </is>
      </c>
      <c r="J661" s="9" t="inlineStr">
        <is>
          <t>3éme Eco</t>
        </is>
      </c>
      <c r="K661" s="9" t="inlineStr">
        <is>
          <t>Français</t>
        </is>
      </c>
      <c r="L661" s="9" t="inlineStr">
        <is>
          <t>Français</t>
        </is>
      </c>
      <c r="M661" s="9" t="inlineStr">
        <is>
          <t>Nabil</t>
        </is>
      </c>
      <c r="N661" s="10" t="n"/>
      <c r="O661" s="10" t="n"/>
      <c r="P661" s="10" t="inlineStr">
        <is>
          <t>Quinzaine A</t>
        </is>
      </c>
      <c r="Q661" s="9" t="inlineStr">
        <is>
          <t>Généré (octobre)</t>
        </is>
      </c>
      <c r="R661" s="9" t="inlineStr"/>
      <c r="S661" s="44">
        <f>IF($M661="","",IF(SUMPRODUCT(($D$4:$D$704=$D661)*($M$4:$M$704=$M661)*($F$4:$F$704&lt;$G661)*($G$4:$G$704&gt;$F661))&gt;1,"⚠ CONFLIT",""))</f>
        <v/>
      </c>
      <c r="T661" s="44">
        <f>IF($J661="","",IF(SUMPRODUCT(($D$4:$D$704=$D661)*($J$4:$J$704=$J661)*($F$4:$F$704&lt;$G661)*($G$4:$G$704&gt;$F661))&gt;1,"⚠ CONFLIT",""))</f>
        <v/>
      </c>
      <c r="U661" s="44">
        <f>IF(COUNTIFS($D$4:$D$704,$D661,$J$4:$J$704,$J661,$F$4:$F$704,$F661,$K$4:$K$704,$K661)&gt;1,"⚠ DOUBLON","")</f>
        <v/>
      </c>
      <c r="V661" s="44">
        <f>COUNTIFS($A$4:$A661,$A661,$J$4:$J661,$J661,$E$4:$E661,$E661)</f>
        <v/>
      </c>
      <c r="W661" s="45">
        <f>$A661&amp;"|"&amp;$J661&amp;"|"&amp;$E661&amp;"|"&amp;$V661</f>
        <v/>
      </c>
      <c r="X661" s="46">
        <f>TEXT($F661,"hh:mm")&amp;" - "&amp;TEXT($G661,"hh:mm")&amp;IF($P661="Quinzaine A","   ◆ Q-A",IF($P661="Quinzaine B","   ◆ Q-B",IF($P661="Exception","   ◆ PONCTUEL","")))&amp;CHAR(10)&amp;$K661&amp;CHAR(10)&amp;$M661&amp;IF($N661&lt;&gt;"",CHAR(10)&amp;"Salle "&amp;$N661,"")&amp;IF($O661="En ligne",CHAR(10)&amp;"◆ EN LIGNE","")&amp;IF($R661&lt;&gt;"",CHAR(10)&amp;$R661,"")</f>
        <v/>
      </c>
      <c r="Y661" s="45" t="inlineStr"/>
      <c r="Z661" s="45" t="inlineStr">
        <is>
          <t>— généré —</t>
        </is>
      </c>
    </row>
    <row r="662" ht="15" customHeight="1">
      <c r="A662" s="10" t="inlineStr">
        <is>
          <t>S7</t>
        </is>
      </c>
      <c r="B662" s="9" t="inlineStr">
        <is>
          <t>du 26 octobre au 1er novembre 2026</t>
        </is>
      </c>
      <c r="C662" s="10" t="inlineStr">
        <is>
          <t>A</t>
        </is>
      </c>
      <c r="D662" s="41" t="n">
        <v>46325</v>
      </c>
      <c r="E662" s="10" t="inlineStr">
        <is>
          <t>Vendredi</t>
        </is>
      </c>
      <c r="F662" s="42" t="n">
        <v>0.7291666666666666</v>
      </c>
      <c r="G662" s="42" t="n">
        <v>0.7916666666666666</v>
      </c>
      <c r="H662" s="43">
        <f>IF(OR($F662="",$G662=""),"",($G662-$F662)*24)</f>
        <v/>
      </c>
      <c r="I662" s="10" t="inlineStr">
        <is>
          <t>Bac</t>
        </is>
      </c>
      <c r="J662" s="9" t="inlineStr">
        <is>
          <t>Bac Eco</t>
        </is>
      </c>
      <c r="K662" s="9" t="inlineStr">
        <is>
          <t>Anglais</t>
        </is>
      </c>
      <c r="L662" s="9" t="inlineStr">
        <is>
          <t>Anglais</t>
        </is>
      </c>
      <c r="M662" s="9" t="inlineStr">
        <is>
          <t>Khaled</t>
        </is>
      </c>
      <c r="N662" s="10" t="n"/>
      <c r="O662" s="10" t="n"/>
      <c r="P662" s="10" t="inlineStr">
        <is>
          <t>Quinzaine A</t>
        </is>
      </c>
      <c r="Q662" s="9" t="inlineStr">
        <is>
          <t>Généré (octobre)</t>
        </is>
      </c>
      <c r="R662" s="9" t="inlineStr"/>
      <c r="S662" s="44">
        <f>IF($M662="","",IF(SUMPRODUCT(($D$4:$D$704=$D662)*($M$4:$M$704=$M662)*($F$4:$F$704&lt;$G662)*($G$4:$G$704&gt;$F662))&gt;1,"⚠ CONFLIT",""))</f>
        <v/>
      </c>
      <c r="T662" s="44">
        <f>IF($J662="","",IF(SUMPRODUCT(($D$4:$D$704=$D662)*($J$4:$J$704=$J662)*($F$4:$F$704&lt;$G662)*($G$4:$G$704&gt;$F662))&gt;1,"⚠ CONFLIT",""))</f>
        <v/>
      </c>
      <c r="U662" s="44">
        <f>IF(COUNTIFS($D$4:$D$704,$D662,$J$4:$J$704,$J662,$F$4:$F$704,$F662,$K$4:$K$704,$K662)&gt;1,"⚠ DOUBLON","")</f>
        <v/>
      </c>
      <c r="V662" s="44">
        <f>COUNTIFS($A$4:$A662,$A662,$J$4:$J662,$J662,$E$4:$E662,$E662)</f>
        <v/>
      </c>
      <c r="W662" s="45">
        <f>$A662&amp;"|"&amp;$J662&amp;"|"&amp;$E662&amp;"|"&amp;$V662</f>
        <v/>
      </c>
      <c r="X662" s="46">
        <f>TEXT($F662,"hh:mm")&amp;" - "&amp;TEXT($G662,"hh:mm")&amp;IF($P662="Quinzaine A","   ◆ Q-A",IF($P662="Quinzaine B","   ◆ Q-B",IF($P662="Exception","   ◆ PONCTUEL","")))&amp;CHAR(10)&amp;$K662&amp;CHAR(10)&amp;$M662&amp;IF($N662&lt;&gt;"",CHAR(10)&amp;"Salle "&amp;$N662,"")&amp;IF($O662="En ligne",CHAR(10)&amp;"◆ EN LIGNE","")&amp;IF($R662&lt;&gt;"",CHAR(10)&amp;$R662,"")</f>
        <v/>
      </c>
      <c r="Y662" s="45" t="inlineStr"/>
      <c r="Z662" s="45" t="inlineStr">
        <is>
          <t>— généré —</t>
        </is>
      </c>
    </row>
    <row r="663" ht="15" customHeight="1">
      <c r="A663" s="10" t="inlineStr">
        <is>
          <t>S7</t>
        </is>
      </c>
      <c r="B663" s="9" t="inlineStr">
        <is>
          <t>du 26 octobre au 1er novembre 2026</t>
        </is>
      </c>
      <c r="C663" s="10" t="inlineStr">
        <is>
          <t>A</t>
        </is>
      </c>
      <c r="D663" s="41" t="n">
        <v>46326</v>
      </c>
      <c r="E663" s="10" t="inlineStr">
        <is>
          <t>Samedi</t>
        </is>
      </c>
      <c r="F663" s="42" t="n">
        <v>0.6666666666666666</v>
      </c>
      <c r="G663" s="42" t="n">
        <v>0.7291666666666666</v>
      </c>
      <c r="H663" s="43">
        <f>IF(OR($F663="",$G663=""),"",($G663-$F663)*24)</f>
        <v/>
      </c>
      <c r="I663" s="10" t="inlineStr">
        <is>
          <t>Primaire</t>
        </is>
      </c>
      <c r="J663" s="9" t="inlineStr">
        <is>
          <t>4éme</t>
        </is>
      </c>
      <c r="K663" s="9" t="inlineStr">
        <is>
          <t>Français</t>
        </is>
      </c>
      <c r="L663" s="9" t="inlineStr">
        <is>
          <t>Français</t>
        </is>
      </c>
      <c r="M663" s="9" t="inlineStr">
        <is>
          <t>Hend</t>
        </is>
      </c>
      <c r="N663" s="10" t="n"/>
      <c r="O663" s="10" t="n"/>
      <c r="P663" s="10" t="inlineStr">
        <is>
          <t>Hebdomadaire</t>
        </is>
      </c>
      <c r="Q663" s="9" t="inlineStr">
        <is>
          <t>Généré (octobre)</t>
        </is>
      </c>
      <c r="R663" s="9" t="inlineStr"/>
      <c r="S663" s="44">
        <f>IF($M663="","",IF(SUMPRODUCT(($D$4:$D$704=$D663)*($M$4:$M$704=$M663)*($F$4:$F$704&lt;$G663)*($G$4:$G$704&gt;$F663))&gt;1,"⚠ CONFLIT",""))</f>
        <v/>
      </c>
      <c r="T663" s="44">
        <f>IF($J663="","",IF(SUMPRODUCT(($D$4:$D$704=$D663)*($J$4:$J$704=$J663)*($F$4:$F$704&lt;$G663)*($G$4:$G$704&gt;$F663))&gt;1,"⚠ CONFLIT",""))</f>
        <v/>
      </c>
      <c r="U663" s="44">
        <f>IF(COUNTIFS($D$4:$D$704,$D663,$J$4:$J$704,$J663,$F$4:$F$704,$F663,$K$4:$K$704,$K663)&gt;1,"⚠ DOUBLON","")</f>
        <v/>
      </c>
      <c r="V663" s="44">
        <f>COUNTIFS($A$4:$A663,$A663,$J$4:$J663,$J663,$E$4:$E663,$E663)</f>
        <v/>
      </c>
      <c r="W663" s="45">
        <f>$A663&amp;"|"&amp;$J663&amp;"|"&amp;$E663&amp;"|"&amp;$V663</f>
        <v/>
      </c>
      <c r="X663" s="46">
        <f>TEXT($F663,"hh:mm")&amp;" - "&amp;TEXT($G663,"hh:mm")&amp;IF($P663="Quinzaine A","   ◆ Q-A",IF($P663="Quinzaine B","   ◆ Q-B",IF($P663="Exception","   ◆ PONCTUEL","")))&amp;CHAR(10)&amp;$K663&amp;CHAR(10)&amp;$M663&amp;IF($N663&lt;&gt;"",CHAR(10)&amp;"Salle "&amp;$N663,"")&amp;IF($O663="En ligne",CHAR(10)&amp;"◆ EN LIGNE","")&amp;IF($R663&lt;&gt;"",CHAR(10)&amp;$R663,"")</f>
        <v/>
      </c>
      <c r="Y663" s="45" t="inlineStr"/>
      <c r="Z663" s="45" t="inlineStr">
        <is>
          <t>— généré —</t>
        </is>
      </c>
    </row>
    <row r="664" ht="15" customHeight="1">
      <c r="A664" s="10" t="inlineStr">
        <is>
          <t>S7</t>
        </is>
      </c>
      <c r="B664" s="9" t="inlineStr">
        <is>
          <t>du 26 octobre au 1er novembre 2026</t>
        </is>
      </c>
      <c r="C664" s="10" t="inlineStr">
        <is>
          <t>A</t>
        </is>
      </c>
      <c r="D664" s="41" t="n">
        <v>46326</v>
      </c>
      <c r="E664" s="10" t="inlineStr">
        <is>
          <t>Samedi</t>
        </is>
      </c>
      <c r="F664" s="42" t="n">
        <v>0.75</v>
      </c>
      <c r="G664" s="42" t="n">
        <v>0.8125</v>
      </c>
      <c r="H664" s="43">
        <f>IF(OR($F664="",$G664=""),"",($G664-$F664)*24)</f>
        <v/>
      </c>
      <c r="I664" s="10" t="inlineStr">
        <is>
          <t>Primaire</t>
        </is>
      </c>
      <c r="J664" s="9" t="inlineStr">
        <is>
          <t>5éme</t>
        </is>
      </c>
      <c r="K664" s="9" t="inlineStr">
        <is>
          <t>Français</t>
        </is>
      </c>
      <c r="L664" s="9" t="inlineStr">
        <is>
          <t>Français</t>
        </is>
      </c>
      <c r="M664" s="9" t="inlineStr">
        <is>
          <t>Hend</t>
        </is>
      </c>
      <c r="N664" s="10" t="n"/>
      <c r="O664" s="10" t="n"/>
      <c r="P664" s="10" t="inlineStr">
        <is>
          <t>Hebdomadaire</t>
        </is>
      </c>
      <c r="Q664" s="9" t="inlineStr">
        <is>
          <t>Généré (octobre)</t>
        </is>
      </c>
      <c r="R664" s="9" t="inlineStr"/>
      <c r="S664" s="44">
        <f>IF($M664="","",IF(SUMPRODUCT(($D$4:$D$704=$D664)*($M$4:$M$704=$M664)*($F$4:$F$704&lt;$G664)*($G$4:$G$704&gt;$F664))&gt;1,"⚠ CONFLIT",""))</f>
        <v/>
      </c>
      <c r="T664" s="44">
        <f>IF($J664="","",IF(SUMPRODUCT(($D$4:$D$704=$D664)*($J$4:$J$704=$J664)*($F$4:$F$704&lt;$G664)*($G$4:$G$704&gt;$F664))&gt;1,"⚠ CONFLIT",""))</f>
        <v/>
      </c>
      <c r="U664" s="44">
        <f>IF(COUNTIFS($D$4:$D$704,$D664,$J$4:$J$704,$J664,$F$4:$F$704,$F664,$K$4:$K$704,$K664)&gt;1,"⚠ DOUBLON","")</f>
        <v/>
      </c>
      <c r="V664" s="44">
        <f>COUNTIFS($A$4:$A664,$A664,$J$4:$J664,$J664,$E$4:$E664,$E664)</f>
        <v/>
      </c>
      <c r="W664" s="45">
        <f>$A664&amp;"|"&amp;$J664&amp;"|"&amp;$E664&amp;"|"&amp;$V664</f>
        <v/>
      </c>
      <c r="X664" s="46">
        <f>TEXT($F664,"hh:mm")&amp;" - "&amp;TEXT($G664,"hh:mm")&amp;IF($P664="Quinzaine A","   ◆ Q-A",IF($P664="Quinzaine B","   ◆ Q-B",IF($P664="Exception","   ◆ PONCTUEL","")))&amp;CHAR(10)&amp;$K664&amp;CHAR(10)&amp;$M664&amp;IF($N664&lt;&gt;"",CHAR(10)&amp;"Salle "&amp;$N664,"")&amp;IF($O664="En ligne",CHAR(10)&amp;"◆ EN LIGNE","")&amp;IF($R664&lt;&gt;"",CHAR(10)&amp;$R664,"")</f>
        <v/>
      </c>
      <c r="Y664" s="45" t="inlineStr"/>
      <c r="Z664" s="45" t="inlineStr">
        <is>
          <t>— généré —</t>
        </is>
      </c>
    </row>
    <row r="665" ht="15" customHeight="1">
      <c r="A665" s="10" t="inlineStr">
        <is>
          <t>S7</t>
        </is>
      </c>
      <c r="B665" s="9" t="inlineStr">
        <is>
          <t>du 26 octobre au 1er novembre 2026</t>
        </is>
      </c>
      <c r="C665" s="10" t="inlineStr">
        <is>
          <t>A</t>
        </is>
      </c>
      <c r="D665" s="41" t="n">
        <v>46326</v>
      </c>
      <c r="E665" s="10" t="inlineStr">
        <is>
          <t>Samedi</t>
        </is>
      </c>
      <c r="F665" s="42" t="n">
        <v>0.7916666666666666</v>
      </c>
      <c r="G665" s="42" t="n">
        <v>0.875</v>
      </c>
      <c r="H665" s="43">
        <f>IF(OR($F665="",$G665=""),"",($G665-$F665)*24)</f>
        <v/>
      </c>
      <c r="I665" s="10" t="inlineStr">
        <is>
          <t>Primaire</t>
        </is>
      </c>
      <c r="J665" s="9" t="inlineStr">
        <is>
          <t>6éme Pilote (A)</t>
        </is>
      </c>
      <c r="K665" s="9" t="inlineStr">
        <is>
          <t>عربية</t>
        </is>
      </c>
      <c r="L665" s="9" t="inlineStr">
        <is>
          <t>Arabe</t>
        </is>
      </c>
      <c r="M665" s="9" t="inlineStr">
        <is>
          <t>Lobna</t>
        </is>
      </c>
      <c r="N665" s="10" t="n"/>
      <c r="O665" s="10" t="n"/>
      <c r="P665" s="10" t="inlineStr">
        <is>
          <t>Hebdomadaire</t>
        </is>
      </c>
      <c r="Q665" s="9" t="inlineStr">
        <is>
          <t>Généré (octobre)</t>
        </is>
      </c>
      <c r="R665" s="9" t="inlineStr"/>
      <c r="S665" s="44">
        <f>IF($M665="","",IF(SUMPRODUCT(($D$4:$D$704=$D665)*($M$4:$M$704=$M665)*($F$4:$F$704&lt;$G665)*($G$4:$G$704&gt;$F665))&gt;1,"⚠ CONFLIT",""))</f>
        <v/>
      </c>
      <c r="T665" s="44">
        <f>IF($J665="","",IF(SUMPRODUCT(($D$4:$D$704=$D665)*($J$4:$J$704=$J665)*($F$4:$F$704&lt;$G665)*($G$4:$G$704&gt;$F665))&gt;1,"⚠ CONFLIT",""))</f>
        <v/>
      </c>
      <c r="U665" s="44">
        <f>IF(COUNTIFS($D$4:$D$704,$D665,$J$4:$J$704,$J665,$F$4:$F$704,$F665,$K$4:$K$704,$K665)&gt;1,"⚠ DOUBLON","")</f>
        <v/>
      </c>
      <c r="V665" s="44">
        <f>COUNTIFS($A$4:$A665,$A665,$J$4:$J665,$J665,$E$4:$E665,$E665)</f>
        <v/>
      </c>
      <c r="W665" s="45">
        <f>$A665&amp;"|"&amp;$J665&amp;"|"&amp;$E665&amp;"|"&amp;$V665</f>
        <v/>
      </c>
      <c r="X665" s="46">
        <f>TEXT($F665,"hh:mm")&amp;" - "&amp;TEXT($G665,"hh:mm")&amp;IF($P665="Quinzaine A","   ◆ Q-A",IF($P665="Quinzaine B","   ◆ Q-B",IF($P665="Exception","   ◆ PONCTUEL","")))&amp;CHAR(10)&amp;$K665&amp;CHAR(10)&amp;$M665&amp;IF($N665&lt;&gt;"",CHAR(10)&amp;"Salle "&amp;$N665,"")&amp;IF($O665="En ligne",CHAR(10)&amp;"◆ EN LIGNE","")&amp;IF($R665&lt;&gt;"",CHAR(10)&amp;$R665,"")</f>
        <v/>
      </c>
      <c r="Y665" s="45" t="inlineStr"/>
      <c r="Z665" s="45" t="inlineStr">
        <is>
          <t>— généré —</t>
        </is>
      </c>
    </row>
    <row r="666" ht="15" customHeight="1">
      <c r="A666" s="10" t="inlineStr">
        <is>
          <t>S7</t>
        </is>
      </c>
      <c r="B666" s="9" t="inlineStr">
        <is>
          <t>du 26 octobre au 1er novembre 2026</t>
        </is>
      </c>
      <c r="C666" s="10" t="inlineStr">
        <is>
          <t>A</t>
        </is>
      </c>
      <c r="D666" s="41" t="n">
        <v>46326</v>
      </c>
      <c r="E666" s="10" t="inlineStr">
        <is>
          <t>Samedi</t>
        </is>
      </c>
      <c r="F666" s="42" t="n">
        <v>0.7083333333333334</v>
      </c>
      <c r="G666" s="42" t="n">
        <v>0.7916666666666666</v>
      </c>
      <c r="H666" s="43">
        <f>IF(OR($F666="",$G666=""),"",($G666-$F666)*24)</f>
        <v/>
      </c>
      <c r="I666" s="10" t="inlineStr">
        <is>
          <t>Primaire</t>
        </is>
      </c>
      <c r="J666" s="9" t="inlineStr">
        <is>
          <t>6éme (B)</t>
        </is>
      </c>
      <c r="K666" s="9" t="inlineStr">
        <is>
          <t>عربية</t>
        </is>
      </c>
      <c r="L666" s="9" t="inlineStr">
        <is>
          <t>Arabe</t>
        </is>
      </c>
      <c r="M666" s="9" t="inlineStr">
        <is>
          <t>Lobna</t>
        </is>
      </c>
      <c r="N666" s="10" t="n"/>
      <c r="O666" s="10" t="n"/>
      <c r="P666" s="10" t="inlineStr">
        <is>
          <t>Hebdomadaire</t>
        </is>
      </c>
      <c r="Q666" s="9" t="inlineStr">
        <is>
          <t>Généré (octobre)</t>
        </is>
      </c>
      <c r="R666" s="9" t="inlineStr"/>
      <c r="S666" s="44">
        <f>IF($M666="","",IF(SUMPRODUCT(($D$4:$D$704=$D666)*($M$4:$M$704=$M666)*($F$4:$F$704&lt;$G666)*($G$4:$G$704&gt;$F666))&gt;1,"⚠ CONFLIT",""))</f>
        <v/>
      </c>
      <c r="T666" s="44">
        <f>IF($J666="","",IF(SUMPRODUCT(($D$4:$D$704=$D666)*($J$4:$J$704=$J666)*($F$4:$F$704&lt;$G666)*($G$4:$G$704&gt;$F666))&gt;1,"⚠ CONFLIT",""))</f>
        <v/>
      </c>
      <c r="U666" s="44">
        <f>IF(COUNTIFS($D$4:$D$704,$D666,$J$4:$J$704,$J666,$F$4:$F$704,$F666,$K$4:$K$704,$K666)&gt;1,"⚠ DOUBLON","")</f>
        <v/>
      </c>
      <c r="V666" s="44">
        <f>COUNTIFS($A$4:$A666,$A666,$J$4:$J666,$J666,$E$4:$E666,$E666)</f>
        <v/>
      </c>
      <c r="W666" s="45">
        <f>$A666&amp;"|"&amp;$J666&amp;"|"&amp;$E666&amp;"|"&amp;$V666</f>
        <v/>
      </c>
      <c r="X666" s="46">
        <f>TEXT($F666,"hh:mm")&amp;" - "&amp;TEXT($G666,"hh:mm")&amp;IF($P666="Quinzaine A","   ◆ Q-A",IF($P666="Quinzaine B","   ◆ Q-B",IF($P666="Exception","   ◆ PONCTUEL","")))&amp;CHAR(10)&amp;$K666&amp;CHAR(10)&amp;$M666&amp;IF($N666&lt;&gt;"",CHAR(10)&amp;"Salle "&amp;$N666,"")&amp;IF($O666="En ligne",CHAR(10)&amp;"◆ EN LIGNE","")&amp;IF($R666&lt;&gt;"",CHAR(10)&amp;$R666,"")</f>
        <v/>
      </c>
      <c r="Y666" s="45" t="inlineStr"/>
      <c r="Z666" s="45" t="inlineStr">
        <is>
          <t>— généré —</t>
        </is>
      </c>
    </row>
    <row r="667" ht="15" customHeight="1">
      <c r="A667" s="10" t="inlineStr">
        <is>
          <t>S7</t>
        </is>
      </c>
      <c r="B667" s="9" t="inlineStr">
        <is>
          <t>du 26 octobre au 1er novembre 2026</t>
        </is>
      </c>
      <c r="C667" s="10" t="inlineStr">
        <is>
          <t>A</t>
        </is>
      </c>
      <c r="D667" s="41" t="n">
        <v>46326</v>
      </c>
      <c r="E667" s="10" t="inlineStr">
        <is>
          <t>Samedi</t>
        </is>
      </c>
      <c r="F667" s="42" t="n">
        <v>0.6666666666666666</v>
      </c>
      <c r="G667" s="42" t="n">
        <v>0.7291666666666666</v>
      </c>
      <c r="H667" s="43">
        <f>IF(OR($F667="",$G667=""),"",($G667-$F667)*24)</f>
        <v/>
      </c>
      <c r="I667" s="10" t="inlineStr">
        <is>
          <t>Collège</t>
        </is>
      </c>
      <c r="J667" s="9" t="inlineStr">
        <is>
          <t>7éme (A)</t>
        </is>
      </c>
      <c r="K667" s="9" t="inlineStr">
        <is>
          <t>SVT</t>
        </is>
      </c>
      <c r="L667" s="9" t="inlineStr">
        <is>
          <t>SVT</t>
        </is>
      </c>
      <c r="M667" s="9" t="inlineStr">
        <is>
          <t>Sabrine</t>
        </is>
      </c>
      <c r="N667" s="10" t="n"/>
      <c r="O667" s="10" t="n"/>
      <c r="P667" s="10" t="inlineStr">
        <is>
          <t>Quinzaine A</t>
        </is>
      </c>
      <c r="Q667" s="9" t="inlineStr">
        <is>
          <t>Généré (octobre)</t>
        </is>
      </c>
      <c r="R667" s="9" t="inlineStr"/>
      <c r="S667" s="44">
        <f>IF($M667="","",IF(SUMPRODUCT(($D$4:$D$704=$D667)*($M$4:$M$704=$M667)*($F$4:$F$704&lt;$G667)*($G$4:$G$704&gt;$F667))&gt;1,"⚠ CONFLIT",""))</f>
        <v/>
      </c>
      <c r="T667" s="44">
        <f>IF($J667="","",IF(SUMPRODUCT(($D$4:$D$704=$D667)*($J$4:$J$704=$J667)*($F$4:$F$704&lt;$G667)*($G$4:$G$704&gt;$F667))&gt;1,"⚠ CONFLIT",""))</f>
        <v/>
      </c>
      <c r="U667" s="44">
        <f>IF(COUNTIFS($D$4:$D$704,$D667,$J$4:$J$704,$J667,$F$4:$F$704,$F667,$K$4:$K$704,$K667)&gt;1,"⚠ DOUBLON","")</f>
        <v/>
      </c>
      <c r="V667" s="44">
        <f>COUNTIFS($A$4:$A667,$A667,$J$4:$J667,$J667,$E$4:$E667,$E667)</f>
        <v/>
      </c>
      <c r="W667" s="45">
        <f>$A667&amp;"|"&amp;$J667&amp;"|"&amp;$E667&amp;"|"&amp;$V667</f>
        <v/>
      </c>
      <c r="X667" s="46">
        <f>TEXT($F667,"hh:mm")&amp;" - "&amp;TEXT($G667,"hh:mm")&amp;IF($P667="Quinzaine A","   ◆ Q-A",IF($P667="Quinzaine B","   ◆ Q-B",IF($P667="Exception","   ◆ PONCTUEL","")))&amp;CHAR(10)&amp;$K667&amp;CHAR(10)&amp;$M667&amp;IF($N667&lt;&gt;"",CHAR(10)&amp;"Salle "&amp;$N667,"")&amp;IF($O667="En ligne",CHAR(10)&amp;"◆ EN LIGNE","")&amp;IF($R667&lt;&gt;"",CHAR(10)&amp;$R667,"")</f>
        <v/>
      </c>
      <c r="Y667" s="45" t="inlineStr"/>
      <c r="Z667" s="45" t="inlineStr">
        <is>
          <t>— généré —</t>
        </is>
      </c>
    </row>
    <row r="668" ht="15" customHeight="1">
      <c r="A668" s="10" t="inlineStr">
        <is>
          <t>S7</t>
        </is>
      </c>
      <c r="B668" s="9" t="inlineStr">
        <is>
          <t>du 26 octobre au 1er novembre 2026</t>
        </is>
      </c>
      <c r="C668" s="10" t="inlineStr">
        <is>
          <t>A</t>
        </is>
      </c>
      <c r="D668" s="41" t="n">
        <v>46326</v>
      </c>
      <c r="E668" s="10" t="inlineStr">
        <is>
          <t>Samedi</t>
        </is>
      </c>
      <c r="F668" s="42" t="n">
        <v>0.75</v>
      </c>
      <c r="G668" s="42" t="n">
        <v>0.8125</v>
      </c>
      <c r="H668" s="43">
        <f>IF(OR($F668="",$G668=""),"",($G668-$F668)*24)</f>
        <v/>
      </c>
      <c r="I668" s="10" t="inlineStr">
        <is>
          <t>Collège</t>
        </is>
      </c>
      <c r="J668" s="9" t="inlineStr">
        <is>
          <t>7éme (A)</t>
        </is>
      </c>
      <c r="K668" s="9" t="inlineStr">
        <is>
          <t>Arabe</t>
        </is>
      </c>
      <c r="L668" s="9" t="inlineStr">
        <is>
          <t>Arabe</t>
        </is>
      </c>
      <c r="M668" s="9" t="inlineStr">
        <is>
          <t>Awatef</t>
        </is>
      </c>
      <c r="N668" s="10" t="n"/>
      <c r="O668" s="10" t="n"/>
      <c r="P668" s="10" t="inlineStr">
        <is>
          <t>Hebdomadaire</t>
        </is>
      </c>
      <c r="Q668" s="9" t="inlineStr">
        <is>
          <t>Généré (octobre)</t>
        </is>
      </c>
      <c r="R668" s="9" t="inlineStr"/>
      <c r="S668" s="44">
        <f>IF($M668="","",IF(SUMPRODUCT(($D$4:$D$704=$D668)*($M$4:$M$704=$M668)*($F$4:$F$704&lt;$G668)*($G$4:$G$704&gt;$F668))&gt;1,"⚠ CONFLIT",""))</f>
        <v/>
      </c>
      <c r="T668" s="44">
        <f>IF($J668="","",IF(SUMPRODUCT(($D$4:$D$704=$D668)*($J$4:$J$704=$J668)*($F$4:$F$704&lt;$G668)*($G$4:$G$704&gt;$F668))&gt;1,"⚠ CONFLIT",""))</f>
        <v/>
      </c>
      <c r="U668" s="44">
        <f>IF(COUNTIFS($D$4:$D$704,$D668,$J$4:$J$704,$J668,$F$4:$F$704,$F668,$K$4:$K$704,$K668)&gt;1,"⚠ DOUBLON","")</f>
        <v/>
      </c>
      <c r="V668" s="44">
        <f>COUNTIFS($A$4:$A668,$A668,$J$4:$J668,$J668,$E$4:$E668,$E668)</f>
        <v/>
      </c>
      <c r="W668" s="45">
        <f>$A668&amp;"|"&amp;$J668&amp;"|"&amp;$E668&amp;"|"&amp;$V668</f>
        <v/>
      </c>
      <c r="X668" s="46">
        <f>TEXT($F668,"hh:mm")&amp;" - "&amp;TEXT($G668,"hh:mm")&amp;IF($P668="Quinzaine A","   ◆ Q-A",IF($P668="Quinzaine B","   ◆ Q-B",IF($P668="Exception","   ◆ PONCTUEL","")))&amp;CHAR(10)&amp;$K668&amp;CHAR(10)&amp;$M668&amp;IF($N668&lt;&gt;"",CHAR(10)&amp;"Salle "&amp;$N668,"")&amp;IF($O668="En ligne",CHAR(10)&amp;"◆ EN LIGNE","")&amp;IF($R668&lt;&gt;"",CHAR(10)&amp;$R668,"")</f>
        <v/>
      </c>
      <c r="Y668" s="45" t="inlineStr"/>
      <c r="Z668" s="45" t="inlineStr">
        <is>
          <t>— généré —</t>
        </is>
      </c>
    </row>
    <row r="669" ht="15" customHeight="1">
      <c r="A669" s="10" t="inlineStr">
        <is>
          <t>S7</t>
        </is>
      </c>
      <c r="B669" s="9" t="inlineStr">
        <is>
          <t>du 26 octobre au 1er novembre 2026</t>
        </is>
      </c>
      <c r="C669" s="10" t="inlineStr">
        <is>
          <t>A</t>
        </is>
      </c>
      <c r="D669" s="41" t="n">
        <v>46326</v>
      </c>
      <c r="E669" s="10" t="inlineStr">
        <is>
          <t>Samedi</t>
        </is>
      </c>
      <c r="F669" s="42" t="n">
        <v>0.7291666666666666</v>
      </c>
      <c r="G669" s="42" t="n">
        <v>0.7916666666666666</v>
      </c>
      <c r="H669" s="43">
        <f>IF(OR($F669="",$G669=""),"",($G669-$F669)*24)</f>
        <v/>
      </c>
      <c r="I669" s="10" t="inlineStr">
        <is>
          <t>Collège</t>
        </is>
      </c>
      <c r="J669" s="9" t="inlineStr">
        <is>
          <t>8éme (A)</t>
        </is>
      </c>
      <c r="K669" s="9" t="inlineStr">
        <is>
          <t>SVT</t>
        </is>
      </c>
      <c r="L669" s="9" t="inlineStr">
        <is>
          <t>SVT</t>
        </is>
      </c>
      <c r="M669" s="9" t="inlineStr">
        <is>
          <t>Sabrine</t>
        </is>
      </c>
      <c r="N669" s="10" t="n"/>
      <c r="O669" s="10" t="n"/>
      <c r="P669" s="10" t="inlineStr">
        <is>
          <t>Quinzaine A</t>
        </is>
      </c>
      <c r="Q669" s="9" t="inlineStr">
        <is>
          <t>Généré (octobre)</t>
        </is>
      </c>
      <c r="R669" s="9" t="inlineStr"/>
      <c r="S669" s="44">
        <f>IF($M669="","",IF(SUMPRODUCT(($D$4:$D$704=$D669)*($M$4:$M$704=$M669)*($F$4:$F$704&lt;$G669)*($G$4:$G$704&gt;$F669))&gt;1,"⚠ CONFLIT",""))</f>
        <v/>
      </c>
      <c r="T669" s="44">
        <f>IF($J669="","",IF(SUMPRODUCT(($D$4:$D$704=$D669)*($J$4:$J$704=$J669)*($F$4:$F$704&lt;$G669)*($G$4:$G$704&gt;$F669))&gt;1,"⚠ CONFLIT",""))</f>
        <v/>
      </c>
      <c r="U669" s="44">
        <f>IF(COUNTIFS($D$4:$D$704,$D669,$J$4:$J$704,$J669,$F$4:$F$704,$F669,$K$4:$K$704,$K669)&gt;1,"⚠ DOUBLON","")</f>
        <v/>
      </c>
      <c r="V669" s="44">
        <f>COUNTIFS($A$4:$A669,$A669,$J$4:$J669,$J669,$E$4:$E669,$E669)</f>
        <v/>
      </c>
      <c r="W669" s="45">
        <f>$A669&amp;"|"&amp;$J669&amp;"|"&amp;$E669&amp;"|"&amp;$V669</f>
        <v/>
      </c>
      <c r="X669" s="46">
        <f>TEXT($F669,"hh:mm")&amp;" - "&amp;TEXT($G669,"hh:mm")&amp;IF($P669="Quinzaine A","   ◆ Q-A",IF($P669="Quinzaine B","   ◆ Q-B",IF($P669="Exception","   ◆ PONCTUEL","")))&amp;CHAR(10)&amp;$K669&amp;CHAR(10)&amp;$M669&amp;IF($N669&lt;&gt;"",CHAR(10)&amp;"Salle "&amp;$N669,"")&amp;IF($O669="En ligne",CHAR(10)&amp;"◆ EN LIGNE","")&amp;IF($R669&lt;&gt;"",CHAR(10)&amp;$R669,"")</f>
        <v/>
      </c>
      <c r="Y669" s="45" t="inlineStr"/>
      <c r="Z669" s="45" t="inlineStr">
        <is>
          <t>— généré —</t>
        </is>
      </c>
    </row>
    <row r="670" ht="15" customHeight="1">
      <c r="A670" s="10" t="inlineStr">
        <is>
          <t>S7</t>
        </is>
      </c>
      <c r="B670" s="9" t="inlineStr">
        <is>
          <t>du 26 octobre au 1er novembre 2026</t>
        </is>
      </c>
      <c r="C670" s="10" t="inlineStr">
        <is>
          <t>A</t>
        </is>
      </c>
      <c r="D670" s="41" t="n">
        <v>46326</v>
      </c>
      <c r="E670" s="10" t="inlineStr">
        <is>
          <t>Samedi</t>
        </is>
      </c>
      <c r="F670" s="42" t="n">
        <v>0.7291666666666666</v>
      </c>
      <c r="G670" s="42" t="n">
        <v>0.7916666666666666</v>
      </c>
      <c r="H670" s="43">
        <f>IF(OR($F670="",$G670=""),"",($G670-$F670)*24)</f>
        <v/>
      </c>
      <c r="I670" s="10" t="inlineStr">
        <is>
          <t>Collège</t>
        </is>
      </c>
      <c r="J670" s="9" t="inlineStr">
        <is>
          <t>8éme (B)</t>
        </is>
      </c>
      <c r="K670" s="9" t="inlineStr">
        <is>
          <t>Anglais</t>
        </is>
      </c>
      <c r="L670" s="9" t="inlineStr">
        <is>
          <t>Anglais</t>
        </is>
      </c>
      <c r="M670" s="9" t="inlineStr">
        <is>
          <t>Imen Ben Lazrak</t>
        </is>
      </c>
      <c r="N670" s="10" t="n"/>
      <c r="O670" s="10" t="n"/>
      <c r="P670" s="10" t="inlineStr">
        <is>
          <t>Quinzaine A</t>
        </is>
      </c>
      <c r="Q670" s="9" t="inlineStr">
        <is>
          <t>Généré (octobre)</t>
        </is>
      </c>
      <c r="R670" s="9" t="inlineStr"/>
      <c r="S670" s="44">
        <f>IF($M670="","",IF(SUMPRODUCT(($D$4:$D$704=$D670)*($M$4:$M$704=$M670)*($F$4:$F$704&lt;$G670)*($G$4:$G$704&gt;$F670))&gt;1,"⚠ CONFLIT",""))</f>
        <v/>
      </c>
      <c r="T670" s="44">
        <f>IF($J670="","",IF(SUMPRODUCT(($D$4:$D$704=$D670)*($J$4:$J$704=$J670)*($F$4:$F$704&lt;$G670)*($G$4:$G$704&gt;$F670))&gt;1,"⚠ CONFLIT",""))</f>
        <v/>
      </c>
      <c r="U670" s="44">
        <f>IF(COUNTIFS($D$4:$D$704,$D670,$J$4:$J$704,$J670,$F$4:$F$704,$F670,$K$4:$K$704,$K670)&gt;1,"⚠ DOUBLON","")</f>
        <v/>
      </c>
      <c r="V670" s="44">
        <f>COUNTIFS($A$4:$A670,$A670,$J$4:$J670,$J670,$E$4:$E670,$E670)</f>
        <v/>
      </c>
      <c r="W670" s="45">
        <f>$A670&amp;"|"&amp;$J670&amp;"|"&amp;$E670&amp;"|"&amp;$V670</f>
        <v/>
      </c>
      <c r="X670" s="46">
        <f>TEXT($F670,"hh:mm")&amp;" - "&amp;TEXT($G670,"hh:mm")&amp;IF($P670="Quinzaine A","   ◆ Q-A",IF($P670="Quinzaine B","   ◆ Q-B",IF($P670="Exception","   ◆ PONCTUEL","")))&amp;CHAR(10)&amp;$K670&amp;CHAR(10)&amp;$M670&amp;IF($N670&lt;&gt;"",CHAR(10)&amp;"Salle "&amp;$N670,"")&amp;IF($O670="En ligne",CHAR(10)&amp;"◆ EN LIGNE","")&amp;IF($R670&lt;&gt;"",CHAR(10)&amp;$R670,"")</f>
        <v/>
      </c>
      <c r="Y670" s="45" t="inlineStr"/>
      <c r="Z670" s="45" t="inlineStr">
        <is>
          <t>— généré —</t>
        </is>
      </c>
    </row>
    <row r="671" ht="15" customHeight="1">
      <c r="A671" s="10" t="inlineStr">
        <is>
          <t>S7</t>
        </is>
      </c>
      <c r="B671" s="9" t="inlineStr">
        <is>
          <t>du 26 octobre au 1er novembre 2026</t>
        </is>
      </c>
      <c r="C671" s="10" t="inlineStr">
        <is>
          <t>A</t>
        </is>
      </c>
      <c r="D671" s="41" t="n">
        <v>46326</v>
      </c>
      <c r="E671" s="10" t="inlineStr">
        <is>
          <t>Samedi</t>
        </is>
      </c>
      <c r="F671" s="42" t="n">
        <v>0.6875</v>
      </c>
      <c r="G671" s="42" t="n">
        <v>0.75</v>
      </c>
      <c r="H671" s="43">
        <f>IF(OR($F671="",$G671=""),"",($G671-$F671)*24)</f>
        <v/>
      </c>
      <c r="I671" s="10" t="inlineStr">
        <is>
          <t>Collège</t>
        </is>
      </c>
      <c r="J671" s="9" t="inlineStr">
        <is>
          <t>9éme (A)</t>
        </is>
      </c>
      <c r="K671" s="9" t="inlineStr">
        <is>
          <t>Arabe</t>
        </is>
      </c>
      <c r="L671" s="9" t="inlineStr">
        <is>
          <t>Arabe</t>
        </is>
      </c>
      <c r="M671" s="9" t="inlineStr">
        <is>
          <t>Awatef</t>
        </is>
      </c>
      <c r="N671" s="10" t="n"/>
      <c r="O671" s="10" t="n"/>
      <c r="P671" s="10" t="inlineStr">
        <is>
          <t>Hebdomadaire</t>
        </is>
      </c>
      <c r="Q671" s="9" t="inlineStr">
        <is>
          <t>Généré (octobre)</t>
        </is>
      </c>
      <c r="R671" s="9" t="inlineStr"/>
      <c r="S671" s="44">
        <f>IF($M671="","",IF(SUMPRODUCT(($D$4:$D$704=$D671)*($M$4:$M$704=$M671)*($F$4:$F$704&lt;$G671)*($G$4:$G$704&gt;$F671))&gt;1,"⚠ CONFLIT",""))</f>
        <v/>
      </c>
      <c r="T671" s="44">
        <f>IF($J671="","",IF(SUMPRODUCT(($D$4:$D$704=$D671)*($J$4:$J$704=$J671)*($F$4:$F$704&lt;$G671)*($G$4:$G$704&gt;$F671))&gt;1,"⚠ CONFLIT",""))</f>
        <v/>
      </c>
      <c r="U671" s="44">
        <f>IF(COUNTIFS($D$4:$D$704,$D671,$J$4:$J$704,$J671,$F$4:$F$704,$F671,$K$4:$K$704,$K671)&gt;1,"⚠ DOUBLON","")</f>
        <v/>
      </c>
      <c r="V671" s="44">
        <f>COUNTIFS($A$4:$A671,$A671,$J$4:$J671,$J671,$E$4:$E671,$E671)</f>
        <v/>
      </c>
      <c r="W671" s="45">
        <f>$A671&amp;"|"&amp;$J671&amp;"|"&amp;$E671&amp;"|"&amp;$V671</f>
        <v/>
      </c>
      <c r="X671" s="46">
        <f>TEXT($F671,"hh:mm")&amp;" - "&amp;TEXT($G671,"hh:mm")&amp;IF($P671="Quinzaine A","   ◆ Q-A",IF($P671="Quinzaine B","   ◆ Q-B",IF($P671="Exception","   ◆ PONCTUEL","")))&amp;CHAR(10)&amp;$K671&amp;CHAR(10)&amp;$M671&amp;IF($N671&lt;&gt;"",CHAR(10)&amp;"Salle "&amp;$N671,"")&amp;IF($O671="En ligne",CHAR(10)&amp;"◆ EN LIGNE","")&amp;IF($R671&lt;&gt;"",CHAR(10)&amp;$R671,"")</f>
        <v/>
      </c>
      <c r="Y671" s="45" t="inlineStr"/>
      <c r="Z671" s="45" t="inlineStr">
        <is>
          <t>— généré —</t>
        </is>
      </c>
    </row>
    <row r="672" ht="15" customHeight="1">
      <c r="A672" s="10" t="inlineStr">
        <is>
          <t>S7</t>
        </is>
      </c>
      <c r="B672" s="9" t="inlineStr">
        <is>
          <t>du 26 octobre au 1er novembre 2026</t>
        </is>
      </c>
      <c r="C672" s="10" t="inlineStr">
        <is>
          <t>A</t>
        </is>
      </c>
      <c r="D672" s="41" t="n">
        <v>46326</v>
      </c>
      <c r="E672" s="10" t="inlineStr">
        <is>
          <t>Samedi</t>
        </is>
      </c>
      <c r="F672" s="42" t="n">
        <v>0.7291666666666666</v>
      </c>
      <c r="G672" s="42" t="n">
        <v>0.7916666666666666</v>
      </c>
      <c r="H672" s="43">
        <f>IF(OR($F672="",$G672=""),"",($G672-$F672)*24)</f>
        <v/>
      </c>
      <c r="I672" s="10" t="inlineStr">
        <is>
          <t>Collège</t>
        </is>
      </c>
      <c r="J672" s="9" t="inlineStr">
        <is>
          <t>9éme (B)</t>
        </is>
      </c>
      <c r="K672" s="9" t="inlineStr">
        <is>
          <t>Math</t>
        </is>
      </c>
      <c r="L672" s="9" t="inlineStr">
        <is>
          <t>Math</t>
        </is>
      </c>
      <c r="M672" s="9" t="inlineStr">
        <is>
          <t>Hajer</t>
        </is>
      </c>
      <c r="N672" s="10" t="n"/>
      <c r="O672" s="10" t="n"/>
      <c r="P672" s="10" t="inlineStr">
        <is>
          <t>Hebdomadaire</t>
        </is>
      </c>
      <c r="Q672" s="9" t="inlineStr">
        <is>
          <t>Généré (octobre)</t>
        </is>
      </c>
      <c r="R672" s="9" t="inlineStr"/>
      <c r="S672" s="44">
        <f>IF($M672="","",IF(SUMPRODUCT(($D$4:$D$704=$D672)*($M$4:$M$704=$M672)*($F$4:$F$704&lt;$G672)*($G$4:$G$704&gt;$F672))&gt;1,"⚠ CONFLIT",""))</f>
        <v/>
      </c>
      <c r="T672" s="44">
        <f>IF($J672="","",IF(SUMPRODUCT(($D$4:$D$704=$D672)*($J$4:$J$704=$J672)*($F$4:$F$704&lt;$G672)*($G$4:$G$704&gt;$F672))&gt;1,"⚠ CONFLIT",""))</f>
        <v/>
      </c>
      <c r="U672" s="44">
        <f>IF(COUNTIFS($D$4:$D$704,$D672,$J$4:$J$704,$J672,$F$4:$F$704,$F672,$K$4:$K$704,$K672)&gt;1,"⚠ DOUBLON","")</f>
        <v/>
      </c>
      <c r="V672" s="44">
        <f>COUNTIFS($A$4:$A672,$A672,$J$4:$J672,$J672,$E$4:$E672,$E672)</f>
        <v/>
      </c>
      <c r="W672" s="45">
        <f>$A672&amp;"|"&amp;$J672&amp;"|"&amp;$E672&amp;"|"&amp;$V672</f>
        <v/>
      </c>
      <c r="X672" s="46">
        <f>TEXT($F672,"hh:mm")&amp;" - "&amp;TEXT($G672,"hh:mm")&amp;IF($P672="Quinzaine A","   ◆ Q-A",IF($P672="Quinzaine B","   ◆ Q-B",IF($P672="Exception","   ◆ PONCTUEL","")))&amp;CHAR(10)&amp;$K672&amp;CHAR(10)&amp;$M672&amp;IF($N672&lt;&gt;"",CHAR(10)&amp;"Salle "&amp;$N672,"")&amp;IF($O672="En ligne",CHAR(10)&amp;"◆ EN LIGNE","")&amp;IF($R672&lt;&gt;"",CHAR(10)&amp;$R672,"")</f>
        <v/>
      </c>
      <c r="Y672" s="45" t="inlineStr"/>
      <c r="Z672" s="45" t="inlineStr">
        <is>
          <t>— généré —</t>
        </is>
      </c>
    </row>
    <row r="673" ht="15" customHeight="1">
      <c r="A673" s="10" t="inlineStr">
        <is>
          <t>S7</t>
        </is>
      </c>
      <c r="B673" s="9" t="inlineStr">
        <is>
          <t>du 26 octobre au 1er novembre 2026</t>
        </is>
      </c>
      <c r="C673" s="10" t="inlineStr">
        <is>
          <t>A</t>
        </is>
      </c>
      <c r="D673" s="41" t="n">
        <v>46326</v>
      </c>
      <c r="E673" s="10" t="inlineStr">
        <is>
          <t>Samedi</t>
        </is>
      </c>
      <c r="F673" s="42" t="n">
        <v>0.7916666666666666</v>
      </c>
      <c r="G673" s="42" t="n">
        <v>0.8541666666666666</v>
      </c>
      <c r="H673" s="43">
        <f>IF(OR($F673="",$G673=""),"",($G673-$F673)*24)</f>
        <v/>
      </c>
      <c r="I673" s="10" t="inlineStr">
        <is>
          <t>Collège</t>
        </is>
      </c>
      <c r="J673" s="9" t="inlineStr">
        <is>
          <t>9éme (C)</t>
        </is>
      </c>
      <c r="K673" s="9" t="inlineStr">
        <is>
          <t>Math</t>
        </is>
      </c>
      <c r="L673" s="9" t="inlineStr">
        <is>
          <t>Math</t>
        </is>
      </c>
      <c r="M673" s="9" t="inlineStr">
        <is>
          <t>Hajer</t>
        </is>
      </c>
      <c r="N673" s="10" t="n"/>
      <c r="O673" s="10" t="n"/>
      <c r="P673" s="10" t="inlineStr">
        <is>
          <t>Hebdomadaire</t>
        </is>
      </c>
      <c r="Q673" s="9" t="inlineStr">
        <is>
          <t>Généré (octobre)</t>
        </is>
      </c>
      <c r="R673" s="9" t="inlineStr"/>
      <c r="S673" s="44">
        <f>IF($M673="","",IF(SUMPRODUCT(($D$4:$D$704=$D673)*($M$4:$M$704=$M673)*($F$4:$F$704&lt;$G673)*($G$4:$G$704&gt;$F673))&gt;1,"⚠ CONFLIT",""))</f>
        <v/>
      </c>
      <c r="T673" s="44">
        <f>IF($J673="","",IF(SUMPRODUCT(($D$4:$D$704=$D673)*($J$4:$J$704=$J673)*($F$4:$F$704&lt;$G673)*($G$4:$G$704&gt;$F673))&gt;1,"⚠ CONFLIT",""))</f>
        <v/>
      </c>
      <c r="U673" s="44">
        <f>IF(COUNTIFS($D$4:$D$704,$D673,$J$4:$J$704,$J673,$F$4:$F$704,$F673,$K$4:$K$704,$K673)&gt;1,"⚠ DOUBLON","")</f>
        <v/>
      </c>
      <c r="V673" s="44">
        <f>COUNTIFS($A$4:$A673,$A673,$J$4:$J673,$J673,$E$4:$E673,$E673)</f>
        <v/>
      </c>
      <c r="W673" s="45">
        <f>$A673&amp;"|"&amp;$J673&amp;"|"&amp;$E673&amp;"|"&amp;$V673</f>
        <v/>
      </c>
      <c r="X673" s="46">
        <f>TEXT($F673,"hh:mm")&amp;" - "&amp;TEXT($G673,"hh:mm")&amp;IF($P673="Quinzaine A","   ◆ Q-A",IF($P673="Quinzaine B","   ◆ Q-B",IF($P673="Exception","   ◆ PONCTUEL","")))&amp;CHAR(10)&amp;$K673&amp;CHAR(10)&amp;$M673&amp;IF($N673&lt;&gt;"",CHAR(10)&amp;"Salle "&amp;$N673,"")&amp;IF($O673="En ligne",CHAR(10)&amp;"◆ EN LIGNE","")&amp;IF($R673&lt;&gt;"",CHAR(10)&amp;$R673,"")</f>
        <v/>
      </c>
      <c r="Y673" s="45" t="inlineStr"/>
      <c r="Z673" s="45" t="inlineStr">
        <is>
          <t>— généré —</t>
        </is>
      </c>
    </row>
    <row r="674" ht="15" customHeight="1">
      <c r="A674" s="10" t="inlineStr">
        <is>
          <t>S7</t>
        </is>
      </c>
      <c r="B674" s="9" t="inlineStr">
        <is>
          <t>du 26 octobre au 1er novembre 2026</t>
        </is>
      </c>
      <c r="C674" s="10" t="inlineStr">
        <is>
          <t>A</t>
        </is>
      </c>
      <c r="D674" s="41" t="n">
        <v>46326</v>
      </c>
      <c r="E674" s="10" t="inlineStr">
        <is>
          <t>Samedi</t>
        </is>
      </c>
      <c r="F674" s="42" t="n">
        <v>0.6458333333333334</v>
      </c>
      <c r="G674" s="42" t="n">
        <v>0.7083333333333334</v>
      </c>
      <c r="H674" s="43">
        <f>IF(OR($F674="",$G674=""),"",($G674-$F674)*24)</f>
        <v/>
      </c>
      <c r="I674" s="10" t="inlineStr">
        <is>
          <t>Secondaire</t>
        </is>
      </c>
      <c r="J674" s="9" t="inlineStr">
        <is>
          <t>2éme Eco</t>
        </is>
      </c>
      <c r="K674" s="9" t="inlineStr">
        <is>
          <t>Histoire</t>
        </is>
      </c>
      <c r="L674" s="9" t="inlineStr">
        <is>
          <t>Histoire</t>
        </is>
      </c>
      <c r="M674" s="9" t="inlineStr">
        <is>
          <t>Abdelwaheb</t>
        </is>
      </c>
      <c r="N674" s="10" t="n"/>
      <c r="O674" s="10" t="n"/>
      <c r="P674" s="10" t="inlineStr">
        <is>
          <t>Quinzaine A</t>
        </is>
      </c>
      <c r="Q674" s="9" t="inlineStr">
        <is>
          <t>Généré (octobre)</t>
        </is>
      </c>
      <c r="R674" s="9" t="inlineStr"/>
      <c r="S674" s="44">
        <f>IF($M674="","",IF(SUMPRODUCT(($D$4:$D$704=$D674)*($M$4:$M$704=$M674)*($F$4:$F$704&lt;$G674)*($G$4:$G$704&gt;$F674))&gt;1,"⚠ CONFLIT",""))</f>
        <v/>
      </c>
      <c r="T674" s="44">
        <f>IF($J674="","",IF(SUMPRODUCT(($D$4:$D$704=$D674)*($J$4:$J$704=$J674)*($F$4:$F$704&lt;$G674)*($G$4:$G$704&gt;$F674))&gt;1,"⚠ CONFLIT",""))</f>
        <v/>
      </c>
      <c r="U674" s="44">
        <f>IF(COUNTIFS($D$4:$D$704,$D674,$J$4:$J$704,$J674,$F$4:$F$704,$F674,$K$4:$K$704,$K674)&gt;1,"⚠ DOUBLON","")</f>
        <v/>
      </c>
      <c r="V674" s="44">
        <f>COUNTIFS($A$4:$A674,$A674,$J$4:$J674,$J674,$E$4:$E674,$E674)</f>
        <v/>
      </c>
      <c r="W674" s="45">
        <f>$A674&amp;"|"&amp;$J674&amp;"|"&amp;$E674&amp;"|"&amp;$V674</f>
        <v/>
      </c>
      <c r="X674" s="46">
        <f>TEXT($F674,"hh:mm")&amp;" - "&amp;TEXT($G674,"hh:mm")&amp;IF($P674="Quinzaine A","   ◆ Q-A",IF($P674="Quinzaine B","   ◆ Q-B",IF($P674="Exception","   ◆ PONCTUEL","")))&amp;CHAR(10)&amp;$K674&amp;CHAR(10)&amp;$M674&amp;IF($N674&lt;&gt;"",CHAR(10)&amp;"Salle "&amp;$N674,"")&amp;IF($O674="En ligne",CHAR(10)&amp;"◆ EN LIGNE","")&amp;IF($R674&lt;&gt;"",CHAR(10)&amp;$R674,"")</f>
        <v/>
      </c>
      <c r="Y674" s="45" t="inlineStr"/>
      <c r="Z674" s="45" t="inlineStr">
        <is>
          <t>— généré —</t>
        </is>
      </c>
    </row>
    <row r="675" ht="15" customHeight="1">
      <c r="A675" s="10" t="inlineStr">
        <is>
          <t>S7</t>
        </is>
      </c>
      <c r="B675" s="9" t="inlineStr">
        <is>
          <t>du 26 octobre au 1er novembre 2026</t>
        </is>
      </c>
      <c r="C675" s="10" t="inlineStr">
        <is>
          <t>A</t>
        </is>
      </c>
      <c r="D675" s="41" t="n">
        <v>46326</v>
      </c>
      <c r="E675" s="10" t="inlineStr">
        <is>
          <t>Samedi</t>
        </is>
      </c>
      <c r="F675" s="42" t="n">
        <v>0.6666666666666666</v>
      </c>
      <c r="G675" s="42" t="n">
        <v>0.7291666666666666</v>
      </c>
      <c r="H675" s="43">
        <f>IF(OR($F675="",$G675=""),"",($G675-$F675)*24)</f>
        <v/>
      </c>
      <c r="I675" s="10" t="inlineStr">
        <is>
          <t>Secondaire</t>
        </is>
      </c>
      <c r="J675" s="9" t="inlineStr">
        <is>
          <t>2éme SCE</t>
        </is>
      </c>
      <c r="K675" s="9" t="inlineStr">
        <is>
          <t>SVT</t>
        </is>
      </c>
      <c r="L675" s="9" t="inlineStr">
        <is>
          <t>SVT</t>
        </is>
      </c>
      <c r="M675" s="9" t="inlineStr">
        <is>
          <t>Rym</t>
        </is>
      </c>
      <c r="N675" s="10" t="n"/>
      <c r="O675" s="10" t="n"/>
      <c r="P675" s="10" t="inlineStr">
        <is>
          <t>Hebdomadaire</t>
        </is>
      </c>
      <c r="Q675" s="9" t="inlineStr">
        <is>
          <t>Généré (octobre)</t>
        </is>
      </c>
      <c r="R675" s="9" t="inlineStr"/>
      <c r="S675" s="44">
        <f>IF($M675="","",IF(SUMPRODUCT(($D$4:$D$704=$D675)*($M$4:$M$704=$M675)*($F$4:$F$704&lt;$G675)*($G$4:$G$704&gt;$F675))&gt;1,"⚠ CONFLIT",""))</f>
        <v/>
      </c>
      <c r="T675" s="44">
        <f>IF($J675="","",IF(SUMPRODUCT(($D$4:$D$704=$D675)*($J$4:$J$704=$J675)*($F$4:$F$704&lt;$G675)*($G$4:$G$704&gt;$F675))&gt;1,"⚠ CONFLIT",""))</f>
        <v/>
      </c>
      <c r="U675" s="44">
        <f>IF(COUNTIFS($D$4:$D$704,$D675,$J$4:$J$704,$J675,$F$4:$F$704,$F675,$K$4:$K$704,$K675)&gt;1,"⚠ DOUBLON","")</f>
        <v/>
      </c>
      <c r="V675" s="44">
        <f>COUNTIFS($A$4:$A675,$A675,$J$4:$J675,$J675,$E$4:$E675,$E675)</f>
        <v/>
      </c>
      <c r="W675" s="45">
        <f>$A675&amp;"|"&amp;$J675&amp;"|"&amp;$E675&amp;"|"&amp;$V675</f>
        <v/>
      </c>
      <c r="X675" s="46">
        <f>TEXT($F675,"hh:mm")&amp;" - "&amp;TEXT($G675,"hh:mm")&amp;IF($P675="Quinzaine A","   ◆ Q-A",IF($P675="Quinzaine B","   ◆ Q-B",IF($P675="Exception","   ◆ PONCTUEL","")))&amp;CHAR(10)&amp;$K675&amp;CHAR(10)&amp;$M675&amp;IF($N675&lt;&gt;"",CHAR(10)&amp;"Salle "&amp;$N675,"")&amp;IF($O675="En ligne",CHAR(10)&amp;"◆ EN LIGNE","")&amp;IF($R675&lt;&gt;"",CHAR(10)&amp;$R675,"")</f>
        <v/>
      </c>
      <c r="Y675" s="45" t="inlineStr"/>
      <c r="Z675" s="45" t="inlineStr">
        <is>
          <t>— généré —</t>
        </is>
      </c>
    </row>
    <row r="676" ht="15" customHeight="1">
      <c r="A676" s="10" t="inlineStr">
        <is>
          <t>S7</t>
        </is>
      </c>
      <c r="B676" s="9" t="inlineStr">
        <is>
          <t>du 26 octobre au 1er novembre 2026</t>
        </is>
      </c>
      <c r="C676" s="10" t="inlineStr">
        <is>
          <t>A</t>
        </is>
      </c>
      <c r="D676" s="41" t="n">
        <v>46326</v>
      </c>
      <c r="E676" s="10" t="inlineStr">
        <is>
          <t>Samedi</t>
        </is>
      </c>
      <c r="F676" s="42" t="n">
        <v>0.7083333333333334</v>
      </c>
      <c r="G676" s="42" t="n">
        <v>0.7916666666666666</v>
      </c>
      <c r="H676" s="43">
        <f>IF(OR($F676="",$G676=""),"",($G676-$F676)*24)</f>
        <v/>
      </c>
      <c r="I676" s="10" t="inlineStr">
        <is>
          <t>Secondaire</t>
        </is>
      </c>
      <c r="J676" s="9" t="inlineStr">
        <is>
          <t>2éme INFO</t>
        </is>
      </c>
      <c r="K676" s="9" t="inlineStr">
        <is>
          <t>Informatique</t>
        </is>
      </c>
      <c r="L676" s="9" t="inlineStr">
        <is>
          <t>Informatique</t>
        </is>
      </c>
      <c r="M676" s="9" t="inlineStr">
        <is>
          <t>Aymen</t>
        </is>
      </c>
      <c r="N676" s="10" t="n"/>
      <c r="O676" s="10" t="n"/>
      <c r="P676" s="10" t="inlineStr">
        <is>
          <t>Hebdomadaire</t>
        </is>
      </c>
      <c r="Q676" s="9" t="inlineStr">
        <is>
          <t>Généré (octobre)</t>
        </is>
      </c>
      <c r="R676" s="9" t="inlineStr"/>
      <c r="S676" s="44">
        <f>IF($M676="","",IF(SUMPRODUCT(($D$4:$D$704=$D676)*($M$4:$M$704=$M676)*($F$4:$F$704&lt;$G676)*($G$4:$G$704&gt;$F676))&gt;1,"⚠ CONFLIT",""))</f>
        <v/>
      </c>
      <c r="T676" s="44">
        <f>IF($J676="","",IF(SUMPRODUCT(($D$4:$D$704=$D676)*($J$4:$J$704=$J676)*($F$4:$F$704&lt;$G676)*($G$4:$G$704&gt;$F676))&gt;1,"⚠ CONFLIT",""))</f>
        <v/>
      </c>
      <c r="U676" s="44">
        <f>IF(COUNTIFS($D$4:$D$704,$D676,$J$4:$J$704,$J676,$F$4:$F$704,$F676,$K$4:$K$704,$K676)&gt;1,"⚠ DOUBLON","")</f>
        <v/>
      </c>
      <c r="V676" s="44">
        <f>COUNTIFS($A$4:$A676,$A676,$J$4:$J676,$J676,$E$4:$E676,$E676)</f>
        <v/>
      </c>
      <c r="W676" s="45">
        <f>$A676&amp;"|"&amp;$J676&amp;"|"&amp;$E676&amp;"|"&amp;$V676</f>
        <v/>
      </c>
      <c r="X676" s="46">
        <f>TEXT($F676,"hh:mm")&amp;" - "&amp;TEXT($G676,"hh:mm")&amp;IF($P676="Quinzaine A","   ◆ Q-A",IF($P676="Quinzaine B","   ◆ Q-B",IF($P676="Exception","   ◆ PONCTUEL","")))&amp;CHAR(10)&amp;$K676&amp;CHAR(10)&amp;$M676&amp;IF($N676&lt;&gt;"",CHAR(10)&amp;"Salle "&amp;$N676,"")&amp;IF($O676="En ligne",CHAR(10)&amp;"◆ EN LIGNE","")&amp;IF($R676&lt;&gt;"",CHAR(10)&amp;$R676,"")</f>
        <v/>
      </c>
      <c r="Y676" s="45" t="inlineStr"/>
      <c r="Z676" s="45" t="inlineStr">
        <is>
          <t>— généré —</t>
        </is>
      </c>
    </row>
    <row r="677" ht="15" customHeight="1">
      <c r="A677" s="10" t="inlineStr">
        <is>
          <t>S7</t>
        </is>
      </c>
      <c r="B677" s="9" t="inlineStr">
        <is>
          <t>du 26 octobre au 1er novembre 2026</t>
        </is>
      </c>
      <c r="C677" s="10" t="inlineStr">
        <is>
          <t>A</t>
        </is>
      </c>
      <c r="D677" s="41" t="n">
        <v>46326</v>
      </c>
      <c r="E677" s="10" t="inlineStr">
        <is>
          <t>Samedi</t>
        </is>
      </c>
      <c r="F677" s="42" t="n">
        <v>0.7083333333333334</v>
      </c>
      <c r="G677" s="42" t="n">
        <v>0.7708333333333334</v>
      </c>
      <c r="H677" s="43">
        <f>IF(OR($F677="",$G677=""),"",($G677-$F677)*24)</f>
        <v/>
      </c>
      <c r="I677" s="10" t="inlineStr">
        <is>
          <t>Secondaire</t>
        </is>
      </c>
      <c r="J677" s="9" t="inlineStr">
        <is>
          <t>3éme Eco</t>
        </is>
      </c>
      <c r="K677" s="9" t="inlineStr">
        <is>
          <t>Histoire</t>
        </is>
      </c>
      <c r="L677" s="9" t="inlineStr">
        <is>
          <t>Histoire</t>
        </is>
      </c>
      <c r="M677" s="9" t="inlineStr">
        <is>
          <t>Abdelwaheb</t>
        </is>
      </c>
      <c r="N677" s="10" t="n"/>
      <c r="O677" s="10" t="n"/>
      <c r="P677" s="10" t="inlineStr">
        <is>
          <t>Quinzaine A</t>
        </is>
      </c>
      <c r="Q677" s="9" t="inlineStr">
        <is>
          <t>Généré (octobre)</t>
        </is>
      </c>
      <c r="R677" s="9" t="inlineStr"/>
      <c r="S677" s="44">
        <f>IF($M677="","",IF(SUMPRODUCT(($D$4:$D$704=$D677)*($M$4:$M$704=$M677)*($F$4:$F$704&lt;$G677)*($G$4:$G$704&gt;$F677))&gt;1,"⚠ CONFLIT",""))</f>
        <v/>
      </c>
      <c r="T677" s="44">
        <f>IF($J677="","",IF(SUMPRODUCT(($D$4:$D$704=$D677)*($J$4:$J$704=$J677)*($F$4:$F$704&lt;$G677)*($G$4:$G$704&gt;$F677))&gt;1,"⚠ CONFLIT",""))</f>
        <v/>
      </c>
      <c r="U677" s="44">
        <f>IF(COUNTIFS($D$4:$D$704,$D677,$J$4:$J$704,$J677,$F$4:$F$704,$F677,$K$4:$K$704,$K677)&gt;1,"⚠ DOUBLON","")</f>
        <v/>
      </c>
      <c r="V677" s="44">
        <f>COUNTIFS($A$4:$A677,$A677,$J$4:$J677,$J677,$E$4:$E677,$E677)</f>
        <v/>
      </c>
      <c r="W677" s="45">
        <f>$A677&amp;"|"&amp;$J677&amp;"|"&amp;$E677&amp;"|"&amp;$V677</f>
        <v/>
      </c>
      <c r="X677" s="46">
        <f>TEXT($F677,"hh:mm")&amp;" - "&amp;TEXT($G677,"hh:mm")&amp;IF($P677="Quinzaine A","   ◆ Q-A",IF($P677="Quinzaine B","   ◆ Q-B",IF($P677="Exception","   ◆ PONCTUEL","")))&amp;CHAR(10)&amp;$K677&amp;CHAR(10)&amp;$M677&amp;IF($N677&lt;&gt;"",CHAR(10)&amp;"Salle "&amp;$N677,"")&amp;IF($O677="En ligne",CHAR(10)&amp;"◆ EN LIGNE","")&amp;IF($R677&lt;&gt;"",CHAR(10)&amp;$R677,"")</f>
        <v/>
      </c>
      <c r="Y677" s="45" t="inlineStr"/>
      <c r="Z677" s="45" t="inlineStr">
        <is>
          <t>— généré —</t>
        </is>
      </c>
    </row>
    <row r="678" ht="15" customHeight="1">
      <c r="A678" s="10" t="inlineStr">
        <is>
          <t>S7</t>
        </is>
      </c>
      <c r="B678" s="9" t="inlineStr">
        <is>
          <t>du 26 octobre au 1er novembre 2026</t>
        </is>
      </c>
      <c r="C678" s="10" t="inlineStr">
        <is>
          <t>A</t>
        </is>
      </c>
      <c r="D678" s="41" t="n">
        <v>46326</v>
      </c>
      <c r="E678" s="10" t="inlineStr">
        <is>
          <t>Samedi</t>
        </is>
      </c>
      <c r="F678" s="42" t="n">
        <v>0.625</v>
      </c>
      <c r="G678" s="42" t="n">
        <v>0.7083333333333334</v>
      </c>
      <c r="H678" s="43">
        <f>IF(OR($F678="",$G678=""),"",($G678-$F678)*24)</f>
        <v/>
      </c>
      <c r="I678" s="10" t="inlineStr">
        <is>
          <t>Secondaire</t>
        </is>
      </c>
      <c r="J678" s="9" t="inlineStr">
        <is>
          <t>3éme INFO</t>
        </is>
      </c>
      <c r="K678" s="9" t="inlineStr">
        <is>
          <t>ALGO</t>
        </is>
      </c>
      <c r="L678" s="9" t="inlineStr">
        <is>
          <t>ALGO</t>
        </is>
      </c>
      <c r="M678" s="9" t="inlineStr">
        <is>
          <t>Aymen</t>
        </is>
      </c>
      <c r="N678" s="10" t="n"/>
      <c r="O678" s="10" t="n"/>
      <c r="P678" s="10" t="inlineStr">
        <is>
          <t>Hebdomadaire</t>
        </is>
      </c>
      <c r="Q678" s="9" t="inlineStr">
        <is>
          <t>Généré (octobre)</t>
        </is>
      </c>
      <c r="R678" s="9" t="inlineStr"/>
      <c r="S678" s="44">
        <f>IF($M678="","",IF(SUMPRODUCT(($D$4:$D$704=$D678)*($M$4:$M$704=$M678)*($F$4:$F$704&lt;$G678)*($G$4:$G$704&gt;$F678))&gt;1,"⚠ CONFLIT",""))</f>
        <v/>
      </c>
      <c r="T678" s="44">
        <f>IF($J678="","",IF(SUMPRODUCT(($D$4:$D$704=$D678)*($J$4:$J$704=$J678)*($F$4:$F$704&lt;$G678)*($G$4:$G$704&gt;$F678))&gt;1,"⚠ CONFLIT",""))</f>
        <v/>
      </c>
      <c r="U678" s="44">
        <f>IF(COUNTIFS($D$4:$D$704,$D678,$J$4:$J$704,$J678,$F$4:$F$704,$F678,$K$4:$K$704,$K678)&gt;1,"⚠ DOUBLON","")</f>
        <v/>
      </c>
      <c r="V678" s="44">
        <f>COUNTIFS($A$4:$A678,$A678,$J$4:$J678,$J678,$E$4:$E678,$E678)</f>
        <v/>
      </c>
      <c r="W678" s="45">
        <f>$A678&amp;"|"&amp;$J678&amp;"|"&amp;$E678&amp;"|"&amp;$V678</f>
        <v/>
      </c>
      <c r="X678" s="46">
        <f>TEXT($F678,"hh:mm")&amp;" - "&amp;TEXT($G678,"hh:mm")&amp;IF($P678="Quinzaine A","   ◆ Q-A",IF($P678="Quinzaine B","   ◆ Q-B",IF($P678="Exception","   ◆ PONCTUEL","")))&amp;CHAR(10)&amp;$K678&amp;CHAR(10)&amp;$M678&amp;IF($N678&lt;&gt;"",CHAR(10)&amp;"Salle "&amp;$N678,"")&amp;IF($O678="En ligne",CHAR(10)&amp;"◆ EN LIGNE","")&amp;IF($R678&lt;&gt;"",CHAR(10)&amp;$R678,"")</f>
        <v/>
      </c>
      <c r="Y678" s="45" t="inlineStr"/>
      <c r="Z678" s="45" t="inlineStr">
        <is>
          <t>— généré —</t>
        </is>
      </c>
    </row>
    <row r="679" ht="15" customHeight="1">
      <c r="A679" s="10" t="inlineStr">
        <is>
          <t>S7</t>
        </is>
      </c>
      <c r="B679" s="9" t="inlineStr">
        <is>
          <t>du 26 octobre au 1er novembre 2026</t>
        </is>
      </c>
      <c r="C679" s="10" t="inlineStr">
        <is>
          <t>A</t>
        </is>
      </c>
      <c r="D679" s="41" t="n">
        <v>46326</v>
      </c>
      <c r="E679" s="10" t="inlineStr">
        <is>
          <t>Samedi</t>
        </is>
      </c>
      <c r="F679" s="42" t="n">
        <v>0.7291666666666666</v>
      </c>
      <c r="G679" s="42" t="n">
        <v>0.7916666666666666</v>
      </c>
      <c r="H679" s="43">
        <f>IF(OR($F679="",$G679=""),"",($G679-$F679)*24)</f>
        <v/>
      </c>
      <c r="I679" s="10" t="inlineStr">
        <is>
          <t>Secondaire</t>
        </is>
      </c>
      <c r="J679" s="9" t="inlineStr">
        <is>
          <t>3éme SCE</t>
        </is>
      </c>
      <c r="K679" s="9" t="inlineStr">
        <is>
          <t>SVT</t>
        </is>
      </c>
      <c r="L679" s="9" t="inlineStr">
        <is>
          <t>SVT</t>
        </is>
      </c>
      <c r="M679" s="9" t="inlineStr">
        <is>
          <t>Rym</t>
        </is>
      </c>
      <c r="N679" s="10" t="n"/>
      <c r="O679" s="10" t="n"/>
      <c r="P679" s="10" t="inlineStr">
        <is>
          <t>Hebdomadaire</t>
        </is>
      </c>
      <c r="Q679" s="9" t="inlineStr">
        <is>
          <t>Généré (octobre)</t>
        </is>
      </c>
      <c r="R679" s="9" t="inlineStr"/>
      <c r="S679" s="44">
        <f>IF($M679="","",IF(SUMPRODUCT(($D$4:$D$704=$D679)*($M$4:$M$704=$M679)*($F$4:$F$704&lt;$G679)*($G$4:$G$704&gt;$F679))&gt;1,"⚠ CONFLIT",""))</f>
        <v/>
      </c>
      <c r="T679" s="44">
        <f>IF($J679="","",IF(SUMPRODUCT(($D$4:$D$704=$D679)*($J$4:$J$704=$J679)*($F$4:$F$704&lt;$G679)*($G$4:$G$704&gt;$F679))&gt;1,"⚠ CONFLIT",""))</f>
        <v/>
      </c>
      <c r="U679" s="44">
        <f>IF(COUNTIFS($D$4:$D$704,$D679,$J$4:$J$704,$J679,$F$4:$F$704,$F679,$K$4:$K$704,$K679)&gt;1,"⚠ DOUBLON","")</f>
        <v/>
      </c>
      <c r="V679" s="44">
        <f>COUNTIFS($A$4:$A679,$A679,$J$4:$J679,$J679,$E$4:$E679,$E679)</f>
        <v/>
      </c>
      <c r="W679" s="45">
        <f>$A679&amp;"|"&amp;$J679&amp;"|"&amp;$E679&amp;"|"&amp;$V679</f>
        <v/>
      </c>
      <c r="X679" s="46">
        <f>TEXT($F679,"hh:mm")&amp;" - "&amp;TEXT($G679,"hh:mm")&amp;IF($P679="Quinzaine A","   ◆ Q-A",IF($P679="Quinzaine B","   ◆ Q-B",IF($P679="Exception","   ◆ PONCTUEL","")))&amp;CHAR(10)&amp;$K679&amp;CHAR(10)&amp;$M679&amp;IF($N679&lt;&gt;"",CHAR(10)&amp;"Salle "&amp;$N679,"")&amp;IF($O679="En ligne",CHAR(10)&amp;"◆ EN LIGNE","")&amp;IF($R679&lt;&gt;"",CHAR(10)&amp;$R679,"")</f>
        <v/>
      </c>
      <c r="Y679" s="45" t="inlineStr"/>
      <c r="Z679" s="45" t="inlineStr">
        <is>
          <t>— généré —</t>
        </is>
      </c>
    </row>
    <row r="680" ht="15" customHeight="1">
      <c r="A680" s="10" t="inlineStr">
        <is>
          <t>S7</t>
        </is>
      </c>
      <c r="B680" s="9" t="inlineStr">
        <is>
          <t>du 26 octobre au 1er novembre 2026</t>
        </is>
      </c>
      <c r="C680" s="10" t="inlineStr">
        <is>
          <t>A</t>
        </is>
      </c>
      <c r="D680" s="41" t="n">
        <v>46326</v>
      </c>
      <c r="E680" s="10" t="inlineStr">
        <is>
          <t>Samedi</t>
        </is>
      </c>
      <c r="F680" s="42" t="n">
        <v>0.7708333333333334</v>
      </c>
      <c r="G680" s="42" t="n">
        <v>0.8333333333333334</v>
      </c>
      <c r="H680" s="43">
        <f>IF(OR($F680="",$G680=""),"",($G680-$F680)*24)</f>
        <v/>
      </c>
      <c r="I680" s="10" t="inlineStr">
        <is>
          <t>Bac</t>
        </is>
      </c>
      <c r="J680" s="9" t="inlineStr">
        <is>
          <t>Bac Eco</t>
        </is>
      </c>
      <c r="K680" s="9" t="inlineStr">
        <is>
          <t>Histoire</t>
        </is>
      </c>
      <c r="L680" s="9" t="inlineStr">
        <is>
          <t>Histoire</t>
        </is>
      </c>
      <c r="M680" s="9" t="inlineStr">
        <is>
          <t>Abdelwaheb</t>
        </is>
      </c>
      <c r="N680" s="10" t="n"/>
      <c r="O680" s="10" t="n"/>
      <c r="P680" s="10" t="inlineStr">
        <is>
          <t>Quinzaine A</t>
        </is>
      </c>
      <c r="Q680" s="9" t="inlineStr">
        <is>
          <t>Généré (octobre)</t>
        </is>
      </c>
      <c r="R680" s="9" t="inlineStr"/>
      <c r="S680" s="44">
        <f>IF($M680="","",IF(SUMPRODUCT(($D$4:$D$704=$D680)*($M$4:$M$704=$M680)*($F$4:$F$704&lt;$G680)*($G$4:$G$704&gt;$F680))&gt;1,"⚠ CONFLIT",""))</f>
        <v/>
      </c>
      <c r="T680" s="44">
        <f>IF($J680="","",IF(SUMPRODUCT(($D$4:$D$704=$D680)*($J$4:$J$704=$J680)*($F$4:$F$704&lt;$G680)*($G$4:$G$704&gt;$F680))&gt;1,"⚠ CONFLIT",""))</f>
        <v/>
      </c>
      <c r="U680" s="44">
        <f>IF(COUNTIFS($D$4:$D$704,$D680,$J$4:$J$704,$J680,$F$4:$F$704,$F680,$K$4:$K$704,$K680)&gt;1,"⚠ DOUBLON","")</f>
        <v/>
      </c>
      <c r="V680" s="44">
        <f>COUNTIFS($A$4:$A680,$A680,$J$4:$J680,$J680,$E$4:$E680,$E680)</f>
        <v/>
      </c>
      <c r="W680" s="45">
        <f>$A680&amp;"|"&amp;$J680&amp;"|"&amp;$E680&amp;"|"&amp;$V680</f>
        <v/>
      </c>
      <c r="X680" s="46">
        <f>TEXT($F680,"hh:mm")&amp;" - "&amp;TEXT($G680,"hh:mm")&amp;IF($P680="Quinzaine A","   ◆ Q-A",IF($P680="Quinzaine B","   ◆ Q-B",IF($P680="Exception","   ◆ PONCTUEL","")))&amp;CHAR(10)&amp;$K680&amp;CHAR(10)&amp;$M680&amp;IF($N680&lt;&gt;"",CHAR(10)&amp;"Salle "&amp;$N680,"")&amp;IF($O680="En ligne",CHAR(10)&amp;"◆ EN LIGNE","")&amp;IF($R680&lt;&gt;"",CHAR(10)&amp;$R680,"")</f>
        <v/>
      </c>
      <c r="Y680" s="45" t="inlineStr"/>
      <c r="Z680" s="45" t="inlineStr">
        <is>
          <t>— généré —</t>
        </is>
      </c>
    </row>
    <row r="681" ht="15" customHeight="1">
      <c r="A681" s="10" t="inlineStr">
        <is>
          <t>S7</t>
        </is>
      </c>
      <c r="B681" s="9" t="inlineStr">
        <is>
          <t>du 26 octobre au 1er novembre 2026</t>
        </is>
      </c>
      <c r="C681" s="10" t="inlineStr">
        <is>
          <t>A</t>
        </is>
      </c>
      <c r="D681" s="41" t="n">
        <v>46326</v>
      </c>
      <c r="E681" s="10" t="inlineStr">
        <is>
          <t>Samedi</t>
        </is>
      </c>
      <c r="F681" s="42" t="n">
        <v>0.7916666666666666</v>
      </c>
      <c r="G681" s="42" t="n">
        <v>0.8541666666666666</v>
      </c>
      <c r="H681" s="43">
        <f>IF(OR($F681="",$G681=""),"",($G681-$F681)*24)</f>
        <v/>
      </c>
      <c r="I681" s="10" t="inlineStr">
        <is>
          <t>Bac</t>
        </is>
      </c>
      <c r="J681" s="9" t="inlineStr">
        <is>
          <t>Bac SCE</t>
        </is>
      </c>
      <c r="K681" s="9" t="inlineStr">
        <is>
          <t>SVT</t>
        </is>
      </c>
      <c r="L681" s="9" t="inlineStr">
        <is>
          <t>SVT</t>
        </is>
      </c>
      <c r="M681" s="9" t="inlineStr">
        <is>
          <t>Rym</t>
        </is>
      </c>
      <c r="N681" s="10" t="n"/>
      <c r="O681" s="10" t="n"/>
      <c r="P681" s="10" t="inlineStr">
        <is>
          <t>Hebdomadaire</t>
        </is>
      </c>
      <c r="Q681" s="9" t="inlineStr">
        <is>
          <t>Généré (octobre)</t>
        </is>
      </c>
      <c r="R681" s="9" t="inlineStr"/>
      <c r="S681" s="44">
        <f>IF($M681="","",IF(SUMPRODUCT(($D$4:$D$704=$D681)*($M$4:$M$704=$M681)*($F$4:$F$704&lt;$G681)*($G$4:$G$704&gt;$F681))&gt;1,"⚠ CONFLIT",""))</f>
        <v/>
      </c>
      <c r="T681" s="44">
        <f>IF($J681="","",IF(SUMPRODUCT(($D$4:$D$704=$D681)*($J$4:$J$704=$J681)*($F$4:$F$704&lt;$G681)*($G$4:$G$704&gt;$F681))&gt;1,"⚠ CONFLIT",""))</f>
        <v/>
      </c>
      <c r="U681" s="44">
        <f>IF(COUNTIFS($D$4:$D$704,$D681,$J$4:$J$704,$J681,$F$4:$F$704,$F681,$K$4:$K$704,$K681)&gt;1,"⚠ DOUBLON","")</f>
        <v/>
      </c>
      <c r="V681" s="44">
        <f>COUNTIFS($A$4:$A681,$A681,$J$4:$J681,$J681,$E$4:$E681,$E681)</f>
        <v/>
      </c>
      <c r="W681" s="45">
        <f>$A681&amp;"|"&amp;$J681&amp;"|"&amp;$E681&amp;"|"&amp;$V681</f>
        <v/>
      </c>
      <c r="X681" s="46">
        <f>TEXT($F681,"hh:mm")&amp;" - "&amp;TEXT($G681,"hh:mm")&amp;IF($P681="Quinzaine A","   ◆ Q-A",IF($P681="Quinzaine B","   ◆ Q-B",IF($P681="Exception","   ◆ PONCTUEL","")))&amp;CHAR(10)&amp;$K681&amp;CHAR(10)&amp;$M681&amp;IF($N681&lt;&gt;"",CHAR(10)&amp;"Salle "&amp;$N681,"")&amp;IF($O681="En ligne",CHAR(10)&amp;"◆ EN LIGNE","")&amp;IF($R681&lt;&gt;"",CHAR(10)&amp;$R681,"")</f>
        <v/>
      </c>
      <c r="Y681" s="45" t="inlineStr"/>
      <c r="Z681" s="45" t="inlineStr">
        <is>
          <t>— généré —</t>
        </is>
      </c>
    </row>
    <row r="682" ht="15" customHeight="1">
      <c r="A682" s="10" t="inlineStr">
        <is>
          <t>S7</t>
        </is>
      </c>
      <c r="B682" s="9" t="inlineStr">
        <is>
          <t>du 26 octobre au 1er novembre 2026</t>
        </is>
      </c>
      <c r="C682" s="10" t="inlineStr">
        <is>
          <t>A</t>
        </is>
      </c>
      <c r="D682" s="41" t="n">
        <v>46326</v>
      </c>
      <c r="E682" s="10" t="inlineStr">
        <is>
          <t>Samedi</t>
        </is>
      </c>
      <c r="F682" s="42" t="n">
        <v>0.7916666666666666</v>
      </c>
      <c r="G682" s="42" t="n">
        <v>0.875</v>
      </c>
      <c r="H682" s="43">
        <f>IF(OR($F682="",$G682=""),"",($G682-$F682)*24)</f>
        <v/>
      </c>
      <c r="I682" s="10" t="inlineStr">
        <is>
          <t>Bac</t>
        </is>
      </c>
      <c r="J682" s="9" t="inlineStr">
        <is>
          <t>Bac INFO</t>
        </is>
      </c>
      <c r="K682" s="9" t="inlineStr">
        <is>
          <t>ALGO</t>
        </is>
      </c>
      <c r="L682" s="9" t="inlineStr">
        <is>
          <t>ALGO</t>
        </is>
      </c>
      <c r="M682" s="9" t="inlineStr">
        <is>
          <t>Heni</t>
        </is>
      </c>
      <c r="N682" s="10" t="n"/>
      <c r="O682" s="10" t="n"/>
      <c r="P682" s="10" t="inlineStr">
        <is>
          <t>Hebdomadaire</t>
        </is>
      </c>
      <c r="Q682" s="9" t="inlineStr">
        <is>
          <t>Généré (octobre)</t>
        </is>
      </c>
      <c r="R682" s="9" t="inlineStr"/>
      <c r="S682" s="44">
        <f>IF($M682="","",IF(SUMPRODUCT(($D$4:$D$704=$D682)*($M$4:$M$704=$M682)*($F$4:$F$704&lt;$G682)*($G$4:$G$704&gt;$F682))&gt;1,"⚠ CONFLIT",""))</f>
        <v/>
      </c>
      <c r="T682" s="44">
        <f>IF($J682="","",IF(SUMPRODUCT(($D$4:$D$704=$D682)*($J$4:$J$704=$J682)*($F$4:$F$704&lt;$G682)*($G$4:$G$704&gt;$F682))&gt;1,"⚠ CONFLIT",""))</f>
        <v/>
      </c>
      <c r="U682" s="44">
        <f>IF(COUNTIFS($D$4:$D$704,$D682,$J$4:$J$704,$J682,$F$4:$F$704,$F682,$K$4:$K$704,$K682)&gt;1,"⚠ DOUBLON","")</f>
        <v/>
      </c>
      <c r="V682" s="44">
        <f>COUNTIFS($A$4:$A682,$A682,$J$4:$J682,$J682,$E$4:$E682,$E682)</f>
        <v/>
      </c>
      <c r="W682" s="45">
        <f>$A682&amp;"|"&amp;$J682&amp;"|"&amp;$E682&amp;"|"&amp;$V682</f>
        <v/>
      </c>
      <c r="X682" s="46">
        <f>TEXT($F682,"hh:mm")&amp;" - "&amp;TEXT($G682,"hh:mm")&amp;IF($P682="Quinzaine A","   ◆ Q-A",IF($P682="Quinzaine B","   ◆ Q-B",IF($P682="Exception","   ◆ PONCTUEL","")))&amp;CHAR(10)&amp;$K682&amp;CHAR(10)&amp;$M682&amp;IF($N682&lt;&gt;"",CHAR(10)&amp;"Salle "&amp;$N682,"")&amp;IF($O682="En ligne",CHAR(10)&amp;"◆ EN LIGNE","")&amp;IF($R682&lt;&gt;"",CHAR(10)&amp;$R682,"")</f>
        <v/>
      </c>
      <c r="Y682" s="45" t="inlineStr"/>
      <c r="Z682" s="45" t="inlineStr">
        <is>
          <t>— généré —</t>
        </is>
      </c>
    </row>
    <row r="683" ht="15" customHeight="1">
      <c r="A683" s="10" t="inlineStr">
        <is>
          <t>S7</t>
        </is>
      </c>
      <c r="B683" s="9" t="inlineStr">
        <is>
          <t>du 26 octobre au 1er novembre 2026</t>
        </is>
      </c>
      <c r="C683" s="10" t="inlineStr">
        <is>
          <t>A</t>
        </is>
      </c>
      <c r="D683" s="41" t="n">
        <v>46327</v>
      </c>
      <c r="E683" s="10" t="inlineStr">
        <is>
          <t>Dimanche</t>
        </is>
      </c>
      <c r="F683" s="42" t="n">
        <v>0.4375</v>
      </c>
      <c r="G683" s="42" t="n">
        <v>0.5</v>
      </c>
      <c r="H683" s="43">
        <f>IF(OR($F683="",$G683=""),"",($G683-$F683)*24)</f>
        <v/>
      </c>
      <c r="I683" s="10" t="inlineStr">
        <is>
          <t>Primaire</t>
        </is>
      </c>
      <c r="J683" s="9" t="inlineStr">
        <is>
          <t>4éme</t>
        </is>
      </c>
      <c r="K683" s="9" t="inlineStr">
        <is>
          <t>Anglais</t>
        </is>
      </c>
      <c r="L683" s="9" t="inlineStr">
        <is>
          <t>Anglais</t>
        </is>
      </c>
      <c r="M683" s="9" t="inlineStr">
        <is>
          <t>Samar</t>
        </is>
      </c>
      <c r="N683" s="10" t="n"/>
      <c r="O683" s="10" t="n"/>
      <c r="P683" s="10" t="inlineStr">
        <is>
          <t>Quinzaine A</t>
        </is>
      </c>
      <c r="Q683" s="9" t="inlineStr">
        <is>
          <t>Généré (octobre)</t>
        </is>
      </c>
      <c r="R683" s="9" t="inlineStr"/>
      <c r="S683" s="44">
        <f>IF($M683="","",IF(SUMPRODUCT(($D$4:$D$704=$D683)*($M$4:$M$704=$M683)*($F$4:$F$704&lt;$G683)*($G$4:$G$704&gt;$F683))&gt;1,"⚠ CONFLIT",""))</f>
        <v/>
      </c>
      <c r="T683" s="44">
        <f>IF($J683="","",IF(SUMPRODUCT(($D$4:$D$704=$D683)*($J$4:$J$704=$J683)*($F$4:$F$704&lt;$G683)*($G$4:$G$704&gt;$F683))&gt;1,"⚠ CONFLIT",""))</f>
        <v/>
      </c>
      <c r="U683" s="44">
        <f>IF(COUNTIFS($D$4:$D$704,$D683,$J$4:$J$704,$J683,$F$4:$F$704,$F683,$K$4:$K$704,$K683)&gt;1,"⚠ DOUBLON","")</f>
        <v/>
      </c>
      <c r="V683" s="44">
        <f>COUNTIFS($A$4:$A683,$A683,$J$4:$J683,$J683,$E$4:$E683,$E683)</f>
        <v/>
      </c>
      <c r="W683" s="45">
        <f>$A683&amp;"|"&amp;$J683&amp;"|"&amp;$E683&amp;"|"&amp;$V683</f>
        <v/>
      </c>
      <c r="X683" s="46">
        <f>TEXT($F683,"hh:mm")&amp;" - "&amp;TEXT($G683,"hh:mm")&amp;IF($P683="Quinzaine A","   ◆ Q-A",IF($P683="Quinzaine B","   ◆ Q-B",IF($P683="Exception","   ◆ PONCTUEL","")))&amp;CHAR(10)&amp;$K683&amp;CHAR(10)&amp;$M683&amp;IF($N683&lt;&gt;"",CHAR(10)&amp;"Salle "&amp;$N683,"")&amp;IF($O683="En ligne",CHAR(10)&amp;"◆ EN LIGNE","")&amp;IF($R683&lt;&gt;"",CHAR(10)&amp;$R683,"")</f>
        <v/>
      </c>
      <c r="Y683" s="45" t="inlineStr"/>
      <c r="Z683" s="45" t="inlineStr">
        <is>
          <t>— généré —</t>
        </is>
      </c>
    </row>
    <row r="684" ht="15" customHeight="1">
      <c r="A684" s="10" t="inlineStr">
        <is>
          <t>S7</t>
        </is>
      </c>
      <c r="B684" s="9" t="inlineStr">
        <is>
          <t>du 26 octobre au 1er novembre 2026</t>
        </is>
      </c>
      <c r="C684" s="10" t="inlineStr">
        <is>
          <t>A</t>
        </is>
      </c>
      <c r="D684" s="41" t="n">
        <v>46327</v>
      </c>
      <c r="E684" s="10" t="inlineStr">
        <is>
          <t>Dimanche</t>
        </is>
      </c>
      <c r="F684" s="42" t="n">
        <v>0.5</v>
      </c>
      <c r="G684" s="42" t="n">
        <v>0.5625</v>
      </c>
      <c r="H684" s="43">
        <f>IF(OR($F684="",$G684=""),"",($G684-$F684)*24)</f>
        <v/>
      </c>
      <c r="I684" s="10" t="inlineStr">
        <is>
          <t>Primaire</t>
        </is>
      </c>
      <c r="J684" s="9" t="inlineStr">
        <is>
          <t>6éme Pilote (A)</t>
        </is>
      </c>
      <c r="K684" s="9" t="inlineStr">
        <is>
          <t>Anglais</t>
        </is>
      </c>
      <c r="L684" s="9" t="inlineStr">
        <is>
          <t>Anglais</t>
        </is>
      </c>
      <c r="M684" s="9" t="inlineStr">
        <is>
          <t>Samar</t>
        </is>
      </c>
      <c r="N684" s="10" t="n"/>
      <c r="O684" s="10" t="n"/>
      <c r="P684" s="10" t="inlineStr">
        <is>
          <t>Quinzaine A</t>
        </is>
      </c>
      <c r="Q684" s="9" t="inlineStr">
        <is>
          <t>Généré (octobre)</t>
        </is>
      </c>
      <c r="R684" s="9" t="inlineStr"/>
      <c r="S684" s="44">
        <f>IF($M684="","",IF(SUMPRODUCT(($D$4:$D$704=$D684)*($M$4:$M$704=$M684)*($F$4:$F$704&lt;$G684)*($G$4:$G$704&gt;$F684))&gt;1,"⚠ CONFLIT",""))</f>
        <v/>
      </c>
      <c r="T684" s="44">
        <f>IF($J684="","",IF(SUMPRODUCT(($D$4:$D$704=$D684)*($J$4:$J$704=$J684)*($F$4:$F$704&lt;$G684)*($G$4:$G$704&gt;$F684))&gt;1,"⚠ CONFLIT",""))</f>
        <v/>
      </c>
      <c r="U684" s="44">
        <f>IF(COUNTIFS($D$4:$D$704,$D684,$J$4:$J$704,$J684,$F$4:$F$704,$F684,$K$4:$K$704,$K684)&gt;1,"⚠ DOUBLON","")</f>
        <v/>
      </c>
      <c r="V684" s="44">
        <f>COUNTIFS($A$4:$A684,$A684,$J$4:$J684,$J684,$E$4:$E684,$E684)</f>
        <v/>
      </c>
      <c r="W684" s="45">
        <f>$A684&amp;"|"&amp;$J684&amp;"|"&amp;$E684&amp;"|"&amp;$V684</f>
        <v/>
      </c>
      <c r="X684" s="46">
        <f>TEXT($F684,"hh:mm")&amp;" - "&amp;TEXT($G684,"hh:mm")&amp;IF($P684="Quinzaine A","   ◆ Q-A",IF($P684="Quinzaine B","   ◆ Q-B",IF($P684="Exception","   ◆ PONCTUEL","")))&amp;CHAR(10)&amp;$K684&amp;CHAR(10)&amp;$M684&amp;IF($N684&lt;&gt;"",CHAR(10)&amp;"Salle "&amp;$N684,"")&amp;IF($O684="En ligne",CHAR(10)&amp;"◆ EN LIGNE","")&amp;IF($R684&lt;&gt;"",CHAR(10)&amp;$R684,"")</f>
        <v/>
      </c>
      <c r="Y684" s="45" t="inlineStr"/>
      <c r="Z684" s="45" t="inlineStr">
        <is>
          <t>— généré —</t>
        </is>
      </c>
    </row>
    <row r="685" ht="15" customHeight="1">
      <c r="A685" s="10" t="inlineStr">
        <is>
          <t>S7</t>
        </is>
      </c>
      <c r="B685" s="9" t="inlineStr">
        <is>
          <t>du 26 octobre au 1er novembre 2026</t>
        </is>
      </c>
      <c r="C685" s="10" t="inlineStr">
        <is>
          <t>A</t>
        </is>
      </c>
      <c r="D685" s="41" t="n">
        <v>46327</v>
      </c>
      <c r="E685" s="10" t="inlineStr">
        <is>
          <t>Dimanche</t>
        </is>
      </c>
      <c r="F685" s="42" t="n">
        <v>0.5833333333333334</v>
      </c>
      <c r="G685" s="42" t="n">
        <v>0.6458333333333334</v>
      </c>
      <c r="H685" s="43">
        <f>IF(OR($F685="",$G685=""),"",($G685-$F685)*24)</f>
        <v/>
      </c>
      <c r="I685" s="10" t="inlineStr">
        <is>
          <t>Collège</t>
        </is>
      </c>
      <c r="J685" s="9" t="inlineStr">
        <is>
          <t>7éme (A)</t>
        </is>
      </c>
      <c r="K685" s="9" t="inlineStr">
        <is>
          <t>Français</t>
        </is>
      </c>
      <c r="L685" s="9" t="inlineStr">
        <is>
          <t>Français</t>
        </is>
      </c>
      <c r="M685" s="9" t="inlineStr">
        <is>
          <t>Marwa</t>
        </is>
      </c>
      <c r="N685" s="10" t="n"/>
      <c r="O685" s="10" t="n"/>
      <c r="P685" s="10" t="inlineStr">
        <is>
          <t>Hebdomadaire</t>
        </is>
      </c>
      <c r="Q685" s="9" t="inlineStr">
        <is>
          <t>Généré (octobre)</t>
        </is>
      </c>
      <c r="R685" s="9" t="inlineStr"/>
      <c r="S685" s="44">
        <f>IF($M685="","",IF(SUMPRODUCT(($D$4:$D$704=$D685)*($M$4:$M$704=$M685)*($F$4:$F$704&lt;$G685)*($G$4:$G$704&gt;$F685))&gt;1,"⚠ CONFLIT",""))</f>
        <v/>
      </c>
      <c r="T685" s="44">
        <f>IF($J685="","",IF(SUMPRODUCT(($D$4:$D$704=$D685)*($J$4:$J$704=$J685)*($F$4:$F$704&lt;$G685)*($G$4:$G$704&gt;$F685))&gt;1,"⚠ CONFLIT",""))</f>
        <v/>
      </c>
      <c r="U685" s="44">
        <f>IF(COUNTIFS($D$4:$D$704,$D685,$J$4:$J$704,$J685,$F$4:$F$704,$F685,$K$4:$K$704,$K685)&gt;1,"⚠ DOUBLON","")</f>
        <v/>
      </c>
      <c r="V685" s="44">
        <f>COUNTIFS($A$4:$A685,$A685,$J$4:$J685,$J685,$E$4:$E685,$E685)</f>
        <v/>
      </c>
      <c r="W685" s="45">
        <f>$A685&amp;"|"&amp;$J685&amp;"|"&amp;$E685&amp;"|"&amp;$V685</f>
        <v/>
      </c>
      <c r="X685" s="46">
        <f>TEXT($F685,"hh:mm")&amp;" - "&amp;TEXT($G685,"hh:mm")&amp;IF($P685="Quinzaine A","   ◆ Q-A",IF($P685="Quinzaine B","   ◆ Q-B",IF($P685="Exception","   ◆ PONCTUEL","")))&amp;CHAR(10)&amp;$K685&amp;CHAR(10)&amp;$M685&amp;IF($N685&lt;&gt;"",CHAR(10)&amp;"Salle "&amp;$N685,"")&amp;IF($O685="En ligne",CHAR(10)&amp;"◆ EN LIGNE","")&amp;IF($R685&lt;&gt;"",CHAR(10)&amp;$R685,"")</f>
        <v/>
      </c>
      <c r="Y685" s="45" t="inlineStr"/>
      <c r="Z685" s="45" t="inlineStr">
        <is>
          <t>— généré —</t>
        </is>
      </c>
    </row>
    <row r="686" ht="15" customHeight="1">
      <c r="A686" s="10" t="inlineStr">
        <is>
          <t>S7</t>
        </is>
      </c>
      <c r="B686" s="9" t="inlineStr">
        <is>
          <t>du 26 octobre au 1er novembre 2026</t>
        </is>
      </c>
      <c r="C686" s="10" t="inlineStr">
        <is>
          <t>A</t>
        </is>
      </c>
      <c r="D686" s="41" t="n">
        <v>46327</v>
      </c>
      <c r="E686" s="10" t="inlineStr">
        <is>
          <t>Dimanche</t>
        </is>
      </c>
      <c r="F686" s="42" t="n">
        <v>0.6458333333333334</v>
      </c>
      <c r="G686" s="42" t="n">
        <v>0.7083333333333334</v>
      </c>
      <c r="H686" s="43">
        <f>IF(OR($F686="",$G686=""),"",($G686-$F686)*24)</f>
        <v/>
      </c>
      <c r="I686" s="10" t="inlineStr">
        <is>
          <t>Collège</t>
        </is>
      </c>
      <c r="J686" s="9" t="inlineStr">
        <is>
          <t>7éme (B)</t>
        </is>
      </c>
      <c r="K686" s="9" t="inlineStr">
        <is>
          <t>Français</t>
        </is>
      </c>
      <c r="L686" s="9" t="inlineStr">
        <is>
          <t>Français</t>
        </is>
      </c>
      <c r="M686" s="9" t="inlineStr">
        <is>
          <t>Marwa</t>
        </is>
      </c>
      <c r="N686" s="10" t="n"/>
      <c r="O686" s="10" t="n"/>
      <c r="P686" s="10" t="inlineStr">
        <is>
          <t>Hebdomadaire</t>
        </is>
      </c>
      <c r="Q686" s="9" t="inlineStr">
        <is>
          <t>Généré (octobre)</t>
        </is>
      </c>
      <c r="R686" s="9" t="inlineStr"/>
      <c r="S686" s="44">
        <f>IF($M686="","",IF(SUMPRODUCT(($D$4:$D$704=$D686)*($M$4:$M$704=$M686)*($F$4:$F$704&lt;$G686)*($G$4:$G$704&gt;$F686))&gt;1,"⚠ CONFLIT",""))</f>
        <v/>
      </c>
      <c r="T686" s="44">
        <f>IF($J686="","",IF(SUMPRODUCT(($D$4:$D$704=$D686)*($J$4:$J$704=$J686)*($F$4:$F$704&lt;$G686)*($G$4:$G$704&gt;$F686))&gt;1,"⚠ CONFLIT",""))</f>
        <v/>
      </c>
      <c r="U686" s="44">
        <f>IF(COUNTIFS($D$4:$D$704,$D686,$J$4:$J$704,$J686,$F$4:$F$704,$F686,$K$4:$K$704,$K686)&gt;1,"⚠ DOUBLON","")</f>
        <v/>
      </c>
      <c r="V686" s="44">
        <f>COUNTIFS($A$4:$A686,$A686,$J$4:$J686,$J686,$E$4:$E686,$E686)</f>
        <v/>
      </c>
      <c r="W686" s="45">
        <f>$A686&amp;"|"&amp;$J686&amp;"|"&amp;$E686&amp;"|"&amp;$V686</f>
        <v/>
      </c>
      <c r="X686" s="46">
        <f>TEXT($F686,"hh:mm")&amp;" - "&amp;TEXT($G686,"hh:mm")&amp;IF($P686="Quinzaine A","   ◆ Q-A",IF($P686="Quinzaine B","   ◆ Q-B",IF($P686="Exception","   ◆ PONCTUEL","")))&amp;CHAR(10)&amp;$K686&amp;CHAR(10)&amp;$M686&amp;IF($N686&lt;&gt;"",CHAR(10)&amp;"Salle "&amp;$N686,"")&amp;IF($O686="En ligne",CHAR(10)&amp;"◆ EN LIGNE","")&amp;IF($R686&lt;&gt;"",CHAR(10)&amp;$R686,"")</f>
        <v/>
      </c>
      <c r="Y686" s="45" t="inlineStr"/>
      <c r="Z686" s="45" t="inlineStr">
        <is>
          <t>— généré —</t>
        </is>
      </c>
    </row>
    <row r="687" ht="15" customHeight="1">
      <c r="A687" s="10" t="inlineStr">
        <is>
          <t>S7</t>
        </is>
      </c>
      <c r="B687" s="9" t="inlineStr">
        <is>
          <t>du 26 octobre au 1er novembre 2026</t>
        </is>
      </c>
      <c r="C687" s="10" t="inlineStr">
        <is>
          <t>A</t>
        </is>
      </c>
      <c r="D687" s="41" t="n">
        <v>46327</v>
      </c>
      <c r="E687" s="10" t="inlineStr">
        <is>
          <t>Dimanche</t>
        </is>
      </c>
      <c r="F687" s="42" t="n">
        <v>0.5729166666666666</v>
      </c>
      <c r="G687" s="42" t="n">
        <v>0.6354166666666666</v>
      </c>
      <c r="H687" s="43">
        <f>IF(OR($F687="",$G687=""),"",($G687-$F687)*24)</f>
        <v/>
      </c>
      <c r="I687" s="10" t="inlineStr">
        <is>
          <t>Collège</t>
        </is>
      </c>
      <c r="J687" s="9" t="inlineStr">
        <is>
          <t>8éme (A)</t>
        </is>
      </c>
      <c r="K687" s="9" t="inlineStr">
        <is>
          <t>Math</t>
        </is>
      </c>
      <c r="L687" s="9" t="inlineStr">
        <is>
          <t>Math</t>
        </is>
      </c>
      <c r="M687" s="9" t="inlineStr">
        <is>
          <t>Hajer</t>
        </is>
      </c>
      <c r="N687" s="10" t="n"/>
      <c r="O687" s="10" t="n"/>
      <c r="P687" s="10" t="inlineStr">
        <is>
          <t>Hebdomadaire</t>
        </is>
      </c>
      <c r="Q687" s="9" t="inlineStr">
        <is>
          <t>Généré (octobre)</t>
        </is>
      </c>
      <c r="R687" s="9" t="inlineStr"/>
      <c r="S687" s="44">
        <f>IF($M687="","",IF(SUMPRODUCT(($D$4:$D$704=$D687)*($M$4:$M$704=$M687)*($F$4:$F$704&lt;$G687)*($G$4:$G$704&gt;$F687))&gt;1,"⚠ CONFLIT",""))</f>
        <v/>
      </c>
      <c r="T687" s="44">
        <f>IF($J687="","",IF(SUMPRODUCT(($D$4:$D$704=$D687)*($J$4:$J$704=$J687)*($F$4:$F$704&lt;$G687)*($G$4:$G$704&gt;$F687))&gt;1,"⚠ CONFLIT",""))</f>
        <v/>
      </c>
      <c r="U687" s="44">
        <f>IF(COUNTIFS($D$4:$D$704,$D687,$J$4:$J$704,$J687,$F$4:$F$704,$F687,$K$4:$K$704,$K687)&gt;1,"⚠ DOUBLON","")</f>
        <v/>
      </c>
      <c r="V687" s="44">
        <f>COUNTIFS($A$4:$A687,$A687,$J$4:$J687,$J687,$E$4:$E687,$E687)</f>
        <v/>
      </c>
      <c r="W687" s="45">
        <f>$A687&amp;"|"&amp;$J687&amp;"|"&amp;$E687&amp;"|"&amp;$V687</f>
        <v/>
      </c>
      <c r="X687" s="46">
        <f>TEXT($F687,"hh:mm")&amp;" - "&amp;TEXT($G687,"hh:mm")&amp;IF($P687="Quinzaine A","   ◆ Q-A",IF($P687="Quinzaine B","   ◆ Q-B",IF($P687="Exception","   ◆ PONCTUEL","")))&amp;CHAR(10)&amp;$K687&amp;CHAR(10)&amp;$M687&amp;IF($N687&lt;&gt;"",CHAR(10)&amp;"Salle "&amp;$N687,"")&amp;IF($O687="En ligne",CHAR(10)&amp;"◆ EN LIGNE","")&amp;IF($R687&lt;&gt;"",CHAR(10)&amp;$R687,"")</f>
        <v/>
      </c>
      <c r="Y687" s="45" t="inlineStr"/>
      <c r="Z687" s="45" t="inlineStr">
        <is>
          <t>— généré —</t>
        </is>
      </c>
    </row>
    <row r="688" ht="15" customHeight="1">
      <c r="A688" s="10" t="inlineStr">
        <is>
          <t>S7</t>
        </is>
      </c>
      <c r="B688" s="9" t="inlineStr">
        <is>
          <t>du 26 octobre au 1er novembre 2026</t>
        </is>
      </c>
      <c r="C688" s="10" t="inlineStr">
        <is>
          <t>A</t>
        </is>
      </c>
      <c r="D688" s="41" t="n">
        <v>46327</v>
      </c>
      <c r="E688" s="10" t="inlineStr">
        <is>
          <t>Dimanche</t>
        </is>
      </c>
      <c r="F688" s="42" t="n">
        <v>0.7083333333333334</v>
      </c>
      <c r="G688" s="42" t="n">
        <v>0.7708333333333334</v>
      </c>
      <c r="H688" s="43">
        <f>IF(OR($F688="",$G688=""),"",($G688-$F688)*24)</f>
        <v/>
      </c>
      <c r="I688" s="10" t="inlineStr">
        <is>
          <t>Collège</t>
        </is>
      </c>
      <c r="J688" s="9" t="inlineStr">
        <is>
          <t>8éme (B)</t>
        </is>
      </c>
      <c r="K688" s="9" t="inlineStr">
        <is>
          <t>Français</t>
        </is>
      </c>
      <c r="L688" s="9" t="inlineStr">
        <is>
          <t>Français</t>
        </is>
      </c>
      <c r="M688" s="9" t="inlineStr">
        <is>
          <t>Marwa</t>
        </is>
      </c>
      <c r="N688" s="10" t="n"/>
      <c r="O688" s="10" t="n"/>
      <c r="P688" s="10" t="inlineStr">
        <is>
          <t>Hebdomadaire</t>
        </is>
      </c>
      <c r="Q688" s="9" t="inlineStr">
        <is>
          <t>Généré (octobre)</t>
        </is>
      </c>
      <c r="R688" s="9" t="inlineStr"/>
      <c r="S688" s="44">
        <f>IF($M688="","",IF(SUMPRODUCT(($D$4:$D$704=$D688)*($M$4:$M$704=$M688)*($F$4:$F$704&lt;$G688)*($G$4:$G$704&gt;$F688))&gt;1,"⚠ CONFLIT",""))</f>
        <v/>
      </c>
      <c r="T688" s="44">
        <f>IF($J688="","",IF(SUMPRODUCT(($D$4:$D$704=$D688)*($J$4:$J$704=$J688)*($F$4:$F$704&lt;$G688)*($G$4:$G$704&gt;$F688))&gt;1,"⚠ CONFLIT",""))</f>
        <v/>
      </c>
      <c r="U688" s="44">
        <f>IF(COUNTIFS($D$4:$D$704,$D688,$J$4:$J$704,$J688,$F$4:$F$704,$F688,$K$4:$K$704,$K688)&gt;1,"⚠ DOUBLON","")</f>
        <v/>
      </c>
      <c r="V688" s="44">
        <f>COUNTIFS($A$4:$A688,$A688,$J$4:$J688,$J688,$E$4:$E688,$E688)</f>
        <v/>
      </c>
      <c r="W688" s="45">
        <f>$A688&amp;"|"&amp;$J688&amp;"|"&amp;$E688&amp;"|"&amp;$V688</f>
        <v/>
      </c>
      <c r="X688" s="46">
        <f>TEXT($F688,"hh:mm")&amp;" - "&amp;TEXT($G688,"hh:mm")&amp;IF($P688="Quinzaine A","   ◆ Q-A",IF($P688="Quinzaine B","   ◆ Q-B",IF($P688="Exception","   ◆ PONCTUEL","")))&amp;CHAR(10)&amp;$K688&amp;CHAR(10)&amp;$M688&amp;IF($N688&lt;&gt;"",CHAR(10)&amp;"Salle "&amp;$N688,"")&amp;IF($O688="En ligne",CHAR(10)&amp;"◆ EN LIGNE","")&amp;IF($R688&lt;&gt;"",CHAR(10)&amp;$R688,"")</f>
        <v/>
      </c>
      <c r="Y688" s="45" t="inlineStr"/>
      <c r="Z688" s="45" t="inlineStr">
        <is>
          <t>— généré —</t>
        </is>
      </c>
    </row>
    <row r="689" ht="15" customHeight="1">
      <c r="A689" s="10" t="inlineStr">
        <is>
          <t>S7</t>
        </is>
      </c>
      <c r="B689" s="9" t="inlineStr">
        <is>
          <t>du 26 octobre au 1er novembre 2026</t>
        </is>
      </c>
      <c r="C689" s="10" t="inlineStr">
        <is>
          <t>A</t>
        </is>
      </c>
      <c r="D689" s="41" t="n">
        <v>46327</v>
      </c>
      <c r="E689" s="10" t="inlineStr">
        <is>
          <t>Dimanche</t>
        </is>
      </c>
      <c r="F689" s="42" t="n">
        <v>0.4375</v>
      </c>
      <c r="G689" s="42" t="n">
        <v>0.5</v>
      </c>
      <c r="H689" s="43">
        <f>IF(OR($F689="",$G689=""),"",($G689-$F689)*24)</f>
        <v/>
      </c>
      <c r="I689" s="10" t="inlineStr">
        <is>
          <t>Collège</t>
        </is>
      </c>
      <c r="J689" s="9" t="inlineStr">
        <is>
          <t>9éme (A)</t>
        </is>
      </c>
      <c r="K689" s="9" t="inlineStr">
        <is>
          <t>Anglais</t>
        </is>
      </c>
      <c r="L689" s="9" t="inlineStr">
        <is>
          <t>Anglais</t>
        </is>
      </c>
      <c r="M689" s="9" t="inlineStr">
        <is>
          <t>Bassma</t>
        </is>
      </c>
      <c r="N689" s="10" t="n"/>
      <c r="O689" s="10" t="n"/>
      <c r="P689" s="10" t="inlineStr">
        <is>
          <t>Hebdomadaire</t>
        </is>
      </c>
      <c r="Q689" s="9" t="inlineStr">
        <is>
          <t>Généré (octobre)</t>
        </is>
      </c>
      <c r="R689" s="9" t="inlineStr"/>
      <c r="S689" s="44">
        <f>IF($M689="","",IF(SUMPRODUCT(($D$4:$D$704=$D689)*($M$4:$M$704=$M689)*($F$4:$F$704&lt;$G689)*($G$4:$G$704&gt;$F689))&gt;1,"⚠ CONFLIT",""))</f>
        <v/>
      </c>
      <c r="T689" s="44">
        <f>IF($J689="","",IF(SUMPRODUCT(($D$4:$D$704=$D689)*($J$4:$J$704=$J689)*($F$4:$F$704&lt;$G689)*($G$4:$G$704&gt;$F689))&gt;1,"⚠ CONFLIT",""))</f>
        <v/>
      </c>
      <c r="U689" s="44">
        <f>IF(COUNTIFS($D$4:$D$704,$D689,$J$4:$J$704,$J689,$F$4:$F$704,$F689,$K$4:$K$704,$K689)&gt;1,"⚠ DOUBLON","")</f>
        <v/>
      </c>
      <c r="V689" s="44">
        <f>COUNTIFS($A$4:$A689,$A689,$J$4:$J689,$J689,$E$4:$E689,$E689)</f>
        <v/>
      </c>
      <c r="W689" s="45">
        <f>$A689&amp;"|"&amp;$J689&amp;"|"&amp;$E689&amp;"|"&amp;$V689</f>
        <v/>
      </c>
      <c r="X689" s="46">
        <f>TEXT($F689,"hh:mm")&amp;" - "&amp;TEXT($G689,"hh:mm")&amp;IF($P689="Quinzaine A","   ◆ Q-A",IF($P689="Quinzaine B","   ◆ Q-B",IF($P689="Exception","   ◆ PONCTUEL","")))&amp;CHAR(10)&amp;$K689&amp;CHAR(10)&amp;$M689&amp;IF($N689&lt;&gt;"",CHAR(10)&amp;"Salle "&amp;$N689,"")&amp;IF($O689="En ligne",CHAR(10)&amp;"◆ EN LIGNE","")&amp;IF($R689&lt;&gt;"",CHAR(10)&amp;$R689,"")</f>
        <v/>
      </c>
      <c r="Y689" s="45" t="inlineStr"/>
      <c r="Z689" s="45" t="inlineStr">
        <is>
          <t>— généré —</t>
        </is>
      </c>
    </row>
    <row r="690" ht="15" customHeight="1">
      <c r="A690" s="10" t="inlineStr">
        <is>
          <t>S7</t>
        </is>
      </c>
      <c r="B690" s="9" t="inlineStr">
        <is>
          <t>du 26 octobre au 1er novembre 2026</t>
        </is>
      </c>
      <c r="C690" s="10" t="inlineStr">
        <is>
          <t>A</t>
        </is>
      </c>
      <c r="D690" s="41" t="n">
        <v>46327</v>
      </c>
      <c r="E690" s="10" t="inlineStr">
        <is>
          <t>Dimanche</t>
        </is>
      </c>
      <c r="F690" s="42" t="n">
        <v>0.6458333333333334</v>
      </c>
      <c r="G690" s="42" t="n">
        <v>0.7083333333333334</v>
      </c>
      <c r="H690" s="43">
        <f>IF(OR($F690="",$G690=""),"",($G690-$F690)*24)</f>
        <v/>
      </c>
      <c r="I690" s="10" t="inlineStr">
        <is>
          <t>Collège</t>
        </is>
      </c>
      <c r="J690" s="9" t="inlineStr">
        <is>
          <t>9éme (A)</t>
        </is>
      </c>
      <c r="K690" s="9" t="inlineStr">
        <is>
          <t>Français</t>
        </is>
      </c>
      <c r="L690" s="9" t="inlineStr">
        <is>
          <t>Français</t>
        </is>
      </c>
      <c r="M690" s="9" t="inlineStr">
        <is>
          <t>Nassima</t>
        </is>
      </c>
      <c r="N690" s="10" t="n"/>
      <c r="O690" s="10" t="n"/>
      <c r="P690" s="10" t="inlineStr">
        <is>
          <t>Hebdomadaire</t>
        </is>
      </c>
      <c r="Q690" s="9" t="inlineStr">
        <is>
          <t>Généré (octobre)</t>
        </is>
      </c>
      <c r="R690" s="9" t="inlineStr"/>
      <c r="S690" s="44">
        <f>IF($M690="","",IF(SUMPRODUCT(($D$4:$D$704=$D690)*($M$4:$M$704=$M690)*($F$4:$F$704&lt;$G690)*($G$4:$G$704&gt;$F690))&gt;1,"⚠ CONFLIT",""))</f>
        <v/>
      </c>
      <c r="T690" s="44">
        <f>IF($J690="","",IF(SUMPRODUCT(($D$4:$D$704=$D690)*($J$4:$J$704=$J690)*($F$4:$F$704&lt;$G690)*($G$4:$G$704&gt;$F690))&gt;1,"⚠ CONFLIT",""))</f>
        <v/>
      </c>
      <c r="U690" s="44">
        <f>IF(COUNTIFS($D$4:$D$704,$D690,$J$4:$J$704,$J690,$F$4:$F$704,$F690,$K$4:$K$704,$K690)&gt;1,"⚠ DOUBLON","")</f>
        <v/>
      </c>
      <c r="V690" s="44">
        <f>COUNTIFS($A$4:$A690,$A690,$J$4:$J690,$J690,$E$4:$E690,$E690)</f>
        <v/>
      </c>
      <c r="W690" s="45">
        <f>$A690&amp;"|"&amp;$J690&amp;"|"&amp;$E690&amp;"|"&amp;$V690</f>
        <v/>
      </c>
      <c r="X690" s="46">
        <f>TEXT($F690,"hh:mm")&amp;" - "&amp;TEXT($G690,"hh:mm")&amp;IF($P690="Quinzaine A","   ◆ Q-A",IF($P690="Quinzaine B","   ◆ Q-B",IF($P690="Exception","   ◆ PONCTUEL","")))&amp;CHAR(10)&amp;$K690&amp;CHAR(10)&amp;$M690&amp;IF($N690&lt;&gt;"",CHAR(10)&amp;"Salle "&amp;$N690,"")&amp;IF($O690="En ligne",CHAR(10)&amp;"◆ EN LIGNE","")&amp;IF($R690&lt;&gt;"",CHAR(10)&amp;$R690,"")</f>
        <v/>
      </c>
      <c r="Y690" s="45" t="inlineStr"/>
      <c r="Z690" s="45" t="inlineStr">
        <is>
          <t>— généré —</t>
        </is>
      </c>
    </row>
    <row r="691" ht="15" customHeight="1">
      <c r="A691" s="10" t="inlineStr">
        <is>
          <t>S7</t>
        </is>
      </c>
      <c r="B691" s="9" t="inlineStr">
        <is>
          <t>du 26 octobre au 1er novembre 2026</t>
        </is>
      </c>
      <c r="C691" s="10" t="inlineStr">
        <is>
          <t>A</t>
        </is>
      </c>
      <c r="D691" s="41" t="n">
        <v>46327</v>
      </c>
      <c r="E691" s="10" t="inlineStr">
        <is>
          <t>Dimanche</t>
        </is>
      </c>
      <c r="F691" s="42" t="n">
        <v>0.375</v>
      </c>
      <c r="G691" s="42" t="n">
        <v>0.4375</v>
      </c>
      <c r="H691" s="43">
        <f>IF(OR($F691="",$G691=""),"",($G691-$F691)*24)</f>
        <v/>
      </c>
      <c r="I691" s="10" t="inlineStr">
        <is>
          <t>Collège</t>
        </is>
      </c>
      <c r="J691" s="9" t="inlineStr">
        <is>
          <t>9éme (B)</t>
        </is>
      </c>
      <c r="K691" s="9" t="inlineStr">
        <is>
          <t>Anglais</t>
        </is>
      </c>
      <c r="L691" s="9" t="inlineStr">
        <is>
          <t>Anglais</t>
        </is>
      </c>
      <c r="M691" s="9" t="inlineStr">
        <is>
          <t>Bassma</t>
        </is>
      </c>
      <c r="N691" s="10" t="n"/>
      <c r="O691" s="10" t="n"/>
      <c r="P691" s="10" t="inlineStr">
        <is>
          <t>Hebdomadaire</t>
        </is>
      </c>
      <c r="Q691" s="9" t="inlineStr">
        <is>
          <t>Généré (octobre)</t>
        </is>
      </c>
      <c r="R691" s="9" t="inlineStr"/>
      <c r="S691" s="44">
        <f>IF($M691="","",IF(SUMPRODUCT(($D$4:$D$704=$D691)*($M$4:$M$704=$M691)*($F$4:$F$704&lt;$G691)*($G$4:$G$704&gt;$F691))&gt;1,"⚠ CONFLIT",""))</f>
        <v/>
      </c>
      <c r="T691" s="44">
        <f>IF($J691="","",IF(SUMPRODUCT(($D$4:$D$704=$D691)*($J$4:$J$704=$J691)*($F$4:$F$704&lt;$G691)*($G$4:$G$704&gt;$F691))&gt;1,"⚠ CONFLIT",""))</f>
        <v/>
      </c>
      <c r="U691" s="44">
        <f>IF(COUNTIFS($D$4:$D$704,$D691,$J$4:$J$704,$J691,$F$4:$F$704,$F691,$K$4:$K$704,$K691)&gt;1,"⚠ DOUBLON","")</f>
        <v/>
      </c>
      <c r="V691" s="44">
        <f>COUNTIFS($A$4:$A691,$A691,$J$4:$J691,$J691,$E$4:$E691,$E691)</f>
        <v/>
      </c>
      <c r="W691" s="45">
        <f>$A691&amp;"|"&amp;$J691&amp;"|"&amp;$E691&amp;"|"&amp;$V691</f>
        <v/>
      </c>
      <c r="X691" s="46">
        <f>TEXT($F691,"hh:mm")&amp;" - "&amp;TEXT($G691,"hh:mm")&amp;IF($P691="Quinzaine A","   ◆ Q-A",IF($P691="Quinzaine B","   ◆ Q-B",IF($P691="Exception","   ◆ PONCTUEL","")))&amp;CHAR(10)&amp;$K691&amp;CHAR(10)&amp;$M691&amp;IF($N691&lt;&gt;"",CHAR(10)&amp;"Salle "&amp;$N691,"")&amp;IF($O691="En ligne",CHAR(10)&amp;"◆ EN LIGNE","")&amp;IF($R691&lt;&gt;"",CHAR(10)&amp;$R691,"")</f>
        <v/>
      </c>
      <c r="Y691" s="45" t="inlineStr"/>
      <c r="Z691" s="45" t="inlineStr">
        <is>
          <t>— généré —</t>
        </is>
      </c>
    </row>
    <row r="692" ht="15" customHeight="1">
      <c r="A692" s="10" t="inlineStr">
        <is>
          <t>S7</t>
        </is>
      </c>
      <c r="B692" s="9" t="inlineStr">
        <is>
          <t>du 26 octobre au 1er novembre 2026</t>
        </is>
      </c>
      <c r="C692" s="10" t="inlineStr">
        <is>
          <t>A</t>
        </is>
      </c>
      <c r="D692" s="41" t="n">
        <v>46327</v>
      </c>
      <c r="E692" s="10" t="inlineStr">
        <is>
          <t>Dimanche</t>
        </is>
      </c>
      <c r="F692" s="42" t="n">
        <v>0.7083333333333334</v>
      </c>
      <c r="G692" s="42" t="n">
        <v>0.7708333333333334</v>
      </c>
      <c r="H692" s="43">
        <f>IF(OR($F692="",$G692=""),"",($G692-$F692)*24)</f>
        <v/>
      </c>
      <c r="I692" s="10" t="inlineStr">
        <is>
          <t>Collège</t>
        </is>
      </c>
      <c r="J692" s="9" t="inlineStr">
        <is>
          <t>9éme (B)</t>
        </is>
      </c>
      <c r="K692" s="9" t="inlineStr">
        <is>
          <t>Français</t>
        </is>
      </c>
      <c r="L692" s="9" t="inlineStr">
        <is>
          <t>Français</t>
        </is>
      </c>
      <c r="M692" s="9" t="inlineStr">
        <is>
          <t>Nassima</t>
        </is>
      </c>
      <c r="N692" s="10" t="n"/>
      <c r="O692" s="10" t="n"/>
      <c r="P692" s="10" t="inlineStr">
        <is>
          <t>Hebdomadaire</t>
        </is>
      </c>
      <c r="Q692" s="9" t="inlineStr">
        <is>
          <t>Généré (octobre)</t>
        </is>
      </c>
      <c r="R692" s="9" t="inlineStr"/>
      <c r="S692" s="44">
        <f>IF($M692="","",IF(SUMPRODUCT(($D$4:$D$704=$D692)*($M$4:$M$704=$M692)*($F$4:$F$704&lt;$G692)*($G$4:$G$704&gt;$F692))&gt;1,"⚠ CONFLIT",""))</f>
        <v/>
      </c>
      <c r="T692" s="44">
        <f>IF($J692="","",IF(SUMPRODUCT(($D$4:$D$704=$D692)*($J$4:$J$704=$J692)*($F$4:$F$704&lt;$G692)*($G$4:$G$704&gt;$F692))&gt;1,"⚠ CONFLIT",""))</f>
        <v/>
      </c>
      <c r="U692" s="44">
        <f>IF(COUNTIFS($D$4:$D$704,$D692,$J$4:$J$704,$J692,$F$4:$F$704,$F692,$K$4:$K$704,$K692)&gt;1,"⚠ DOUBLON","")</f>
        <v/>
      </c>
      <c r="V692" s="44">
        <f>COUNTIFS($A$4:$A692,$A692,$J$4:$J692,$J692,$E$4:$E692,$E692)</f>
        <v/>
      </c>
      <c r="W692" s="45">
        <f>$A692&amp;"|"&amp;$J692&amp;"|"&amp;$E692&amp;"|"&amp;$V692</f>
        <v/>
      </c>
      <c r="X692" s="46">
        <f>TEXT($F692,"hh:mm")&amp;" - "&amp;TEXT($G692,"hh:mm")&amp;IF($P692="Quinzaine A","   ◆ Q-A",IF($P692="Quinzaine B","   ◆ Q-B",IF($P692="Exception","   ◆ PONCTUEL","")))&amp;CHAR(10)&amp;$K692&amp;CHAR(10)&amp;$M692&amp;IF($N692&lt;&gt;"",CHAR(10)&amp;"Salle "&amp;$N692,"")&amp;IF($O692="En ligne",CHAR(10)&amp;"◆ EN LIGNE","")&amp;IF($R692&lt;&gt;"",CHAR(10)&amp;$R692,"")</f>
        <v/>
      </c>
      <c r="Y692" s="45" t="inlineStr"/>
      <c r="Z692" s="45" t="inlineStr">
        <is>
          <t>— généré —</t>
        </is>
      </c>
    </row>
    <row r="693" ht="15" customHeight="1">
      <c r="A693" s="10" t="inlineStr">
        <is>
          <t>S7</t>
        </is>
      </c>
      <c r="B693" s="9" t="inlineStr">
        <is>
          <t>du 26 octobre au 1er novembre 2026</t>
        </is>
      </c>
      <c r="C693" s="10" t="inlineStr">
        <is>
          <t>A</t>
        </is>
      </c>
      <c r="D693" s="41" t="n">
        <v>46327</v>
      </c>
      <c r="E693" s="10" t="inlineStr">
        <is>
          <t>Dimanche</t>
        </is>
      </c>
      <c r="F693" s="42" t="n">
        <v>0.375</v>
      </c>
      <c r="G693" s="42" t="n">
        <v>0.4375</v>
      </c>
      <c r="H693" s="43">
        <f>IF(OR($F693="",$G693=""),"",($G693-$F693)*24)</f>
        <v/>
      </c>
      <c r="I693" s="10" t="inlineStr">
        <is>
          <t>Secondaire</t>
        </is>
      </c>
      <c r="J693" s="9" t="inlineStr">
        <is>
          <t>1ére (A)</t>
        </is>
      </c>
      <c r="K693" s="9" t="inlineStr">
        <is>
          <t>Physique</t>
        </is>
      </c>
      <c r="L693" s="9" t="inlineStr">
        <is>
          <t>Physique</t>
        </is>
      </c>
      <c r="M693" s="9" t="inlineStr">
        <is>
          <t>Refka</t>
        </is>
      </c>
      <c r="N693" s="10" t="n"/>
      <c r="O693" s="10" t="n"/>
      <c r="P693" s="10" t="inlineStr">
        <is>
          <t>Hebdomadaire</t>
        </is>
      </c>
      <c r="Q693" s="9" t="inlineStr">
        <is>
          <t>Généré (octobre)</t>
        </is>
      </c>
      <c r="R693" s="9" t="inlineStr"/>
      <c r="S693" s="44">
        <f>IF($M693="","",IF(SUMPRODUCT(($D$4:$D$704=$D693)*($M$4:$M$704=$M693)*($F$4:$F$704&lt;$G693)*($G$4:$G$704&gt;$F693))&gt;1,"⚠ CONFLIT",""))</f>
        <v/>
      </c>
      <c r="T693" s="44">
        <f>IF($J693="","",IF(SUMPRODUCT(($D$4:$D$704=$D693)*($J$4:$J$704=$J693)*($F$4:$F$704&lt;$G693)*($G$4:$G$704&gt;$F693))&gt;1,"⚠ CONFLIT",""))</f>
        <v/>
      </c>
      <c r="U693" s="44">
        <f>IF(COUNTIFS($D$4:$D$704,$D693,$J$4:$J$704,$J693,$F$4:$F$704,$F693,$K$4:$K$704,$K693)&gt;1,"⚠ DOUBLON","")</f>
        <v/>
      </c>
      <c r="V693" s="44">
        <f>COUNTIFS($A$4:$A693,$A693,$J$4:$J693,$J693,$E$4:$E693,$E693)</f>
        <v/>
      </c>
      <c r="W693" s="45">
        <f>$A693&amp;"|"&amp;$J693&amp;"|"&amp;$E693&amp;"|"&amp;$V693</f>
        <v/>
      </c>
      <c r="X693" s="46">
        <f>TEXT($F693,"hh:mm")&amp;" - "&amp;TEXT($G693,"hh:mm")&amp;IF($P693="Quinzaine A","   ◆ Q-A",IF($P693="Quinzaine B","   ◆ Q-B",IF($P693="Exception","   ◆ PONCTUEL","")))&amp;CHAR(10)&amp;$K693&amp;CHAR(10)&amp;$M693&amp;IF($N693&lt;&gt;"",CHAR(10)&amp;"Salle "&amp;$N693,"")&amp;IF($O693="En ligne",CHAR(10)&amp;"◆ EN LIGNE","")&amp;IF($R693&lt;&gt;"",CHAR(10)&amp;$R693,"")</f>
        <v/>
      </c>
      <c r="Y693" s="45" t="inlineStr"/>
      <c r="Z693" s="45" t="inlineStr">
        <is>
          <t>— généré —</t>
        </is>
      </c>
    </row>
    <row r="694" ht="15" customHeight="1">
      <c r="A694" s="10" t="inlineStr">
        <is>
          <t>S7</t>
        </is>
      </c>
      <c r="B694" s="9" t="inlineStr">
        <is>
          <t>du 26 octobre au 1er novembre 2026</t>
        </is>
      </c>
      <c r="C694" s="10" t="inlineStr">
        <is>
          <t>A</t>
        </is>
      </c>
      <c r="D694" s="41" t="n">
        <v>46327</v>
      </c>
      <c r="E694" s="10" t="inlineStr">
        <is>
          <t>Dimanche</t>
        </is>
      </c>
      <c r="F694" s="42" t="n">
        <v>0.5416666666666666</v>
      </c>
      <c r="G694" s="42" t="n">
        <v>0.6041666666666666</v>
      </c>
      <c r="H694" s="43">
        <f>IF(OR($F694="",$G694=""),"",($G694-$F694)*24)</f>
        <v/>
      </c>
      <c r="I694" s="10" t="inlineStr">
        <is>
          <t>Secondaire</t>
        </is>
      </c>
      <c r="J694" s="9" t="inlineStr">
        <is>
          <t>1ére (A)</t>
        </is>
      </c>
      <c r="K694" s="9" t="inlineStr">
        <is>
          <t>SVT</t>
        </is>
      </c>
      <c r="L694" s="9" t="inlineStr">
        <is>
          <t>SVT</t>
        </is>
      </c>
      <c r="M694" s="9" t="inlineStr">
        <is>
          <t>Imen Ghoumeme</t>
        </is>
      </c>
      <c r="N694" s="10" t="n"/>
      <c r="O694" s="10" t="n"/>
      <c r="P694" s="10" t="inlineStr">
        <is>
          <t>Quinzaine A</t>
        </is>
      </c>
      <c r="Q694" s="9" t="inlineStr">
        <is>
          <t>Généré (octobre)</t>
        </is>
      </c>
      <c r="R694" s="9" t="inlineStr"/>
      <c r="S694" s="44">
        <f>IF($M694="","",IF(SUMPRODUCT(($D$4:$D$704=$D694)*($M$4:$M$704=$M694)*($F$4:$F$704&lt;$G694)*($G$4:$G$704&gt;$F694))&gt;1,"⚠ CONFLIT",""))</f>
        <v/>
      </c>
      <c r="T694" s="44">
        <f>IF($J694="","",IF(SUMPRODUCT(($D$4:$D$704=$D694)*($J$4:$J$704=$J694)*($F$4:$F$704&lt;$G694)*($G$4:$G$704&gt;$F694))&gt;1,"⚠ CONFLIT",""))</f>
        <v/>
      </c>
      <c r="U694" s="44">
        <f>IF(COUNTIFS($D$4:$D$704,$D694,$J$4:$J$704,$J694,$F$4:$F$704,$F694,$K$4:$K$704,$K694)&gt;1,"⚠ DOUBLON","")</f>
        <v/>
      </c>
      <c r="V694" s="44">
        <f>COUNTIFS($A$4:$A694,$A694,$J$4:$J694,$J694,$E$4:$E694,$E694)</f>
        <v/>
      </c>
      <c r="W694" s="45">
        <f>$A694&amp;"|"&amp;$J694&amp;"|"&amp;$E694&amp;"|"&amp;$V694</f>
        <v/>
      </c>
      <c r="X694" s="46">
        <f>TEXT($F694,"hh:mm")&amp;" - "&amp;TEXT($G694,"hh:mm")&amp;IF($P694="Quinzaine A","   ◆ Q-A",IF($P694="Quinzaine B","   ◆ Q-B",IF($P694="Exception","   ◆ PONCTUEL","")))&amp;CHAR(10)&amp;$K694&amp;CHAR(10)&amp;$M694&amp;IF($N694&lt;&gt;"",CHAR(10)&amp;"Salle "&amp;$N694,"")&amp;IF($O694="En ligne",CHAR(10)&amp;"◆ EN LIGNE","")&amp;IF($R694&lt;&gt;"",CHAR(10)&amp;$R694,"")</f>
        <v/>
      </c>
      <c r="Y694" s="45" t="inlineStr"/>
      <c r="Z694" s="45" t="inlineStr">
        <is>
          <t>— généré —</t>
        </is>
      </c>
    </row>
    <row r="695" ht="15" customHeight="1">
      <c r="A695" s="10" t="inlineStr">
        <is>
          <t>S7</t>
        </is>
      </c>
      <c r="B695" s="9" t="inlineStr">
        <is>
          <t>du 26 octobre au 1er novembre 2026</t>
        </is>
      </c>
      <c r="C695" s="10" t="inlineStr">
        <is>
          <t>A</t>
        </is>
      </c>
      <c r="D695" s="41" t="n">
        <v>46327</v>
      </c>
      <c r="E695" s="10" t="inlineStr">
        <is>
          <t>Dimanche</t>
        </is>
      </c>
      <c r="F695" s="42" t="n">
        <v>0.4375</v>
      </c>
      <c r="G695" s="42" t="n">
        <v>0.5</v>
      </c>
      <c r="H695" s="43">
        <f>IF(OR($F695="",$G695=""),"",($G695-$F695)*24)</f>
        <v/>
      </c>
      <c r="I695" s="10" t="inlineStr">
        <is>
          <t>Secondaire</t>
        </is>
      </c>
      <c r="J695" s="9" t="inlineStr">
        <is>
          <t>1ére (B)</t>
        </is>
      </c>
      <c r="K695" s="9" t="inlineStr">
        <is>
          <t>Physique</t>
        </is>
      </c>
      <c r="L695" s="9" t="inlineStr">
        <is>
          <t>Physique</t>
        </is>
      </c>
      <c r="M695" s="9" t="inlineStr">
        <is>
          <t>Refka</t>
        </is>
      </c>
      <c r="N695" s="10" t="n"/>
      <c r="O695" s="10" t="n"/>
      <c r="P695" s="10" t="inlineStr">
        <is>
          <t>Hebdomadaire</t>
        </is>
      </c>
      <c r="Q695" s="9" t="inlineStr">
        <is>
          <t>Généré (octobre)</t>
        </is>
      </c>
      <c r="R695" s="9" t="inlineStr"/>
      <c r="S695" s="44">
        <f>IF($M695="","",IF(SUMPRODUCT(($D$4:$D$704=$D695)*($M$4:$M$704=$M695)*($F$4:$F$704&lt;$G695)*($G$4:$G$704&gt;$F695))&gt;1,"⚠ CONFLIT",""))</f>
        <v/>
      </c>
      <c r="T695" s="44">
        <f>IF($J695="","",IF(SUMPRODUCT(($D$4:$D$704=$D695)*($J$4:$J$704=$J695)*($F$4:$F$704&lt;$G695)*($G$4:$G$704&gt;$F695))&gt;1,"⚠ CONFLIT",""))</f>
        <v/>
      </c>
      <c r="U695" s="44">
        <f>IF(COUNTIFS($D$4:$D$704,$D695,$J$4:$J$704,$J695,$F$4:$F$704,$F695,$K$4:$K$704,$K695)&gt;1,"⚠ DOUBLON","")</f>
        <v/>
      </c>
      <c r="V695" s="44">
        <f>COUNTIFS($A$4:$A695,$A695,$J$4:$J695,$J695,$E$4:$E695,$E695)</f>
        <v/>
      </c>
      <c r="W695" s="45">
        <f>$A695&amp;"|"&amp;$J695&amp;"|"&amp;$E695&amp;"|"&amp;$V695</f>
        <v/>
      </c>
      <c r="X695" s="46">
        <f>TEXT($F695,"hh:mm")&amp;" - "&amp;TEXT($G695,"hh:mm")&amp;IF($P695="Quinzaine A","   ◆ Q-A",IF($P695="Quinzaine B","   ◆ Q-B",IF($P695="Exception","   ◆ PONCTUEL","")))&amp;CHAR(10)&amp;$K695&amp;CHAR(10)&amp;$M695&amp;IF($N695&lt;&gt;"",CHAR(10)&amp;"Salle "&amp;$N695,"")&amp;IF($O695="En ligne",CHAR(10)&amp;"◆ EN LIGNE","")&amp;IF($R695&lt;&gt;"",CHAR(10)&amp;$R695,"")</f>
        <v/>
      </c>
      <c r="Y695" s="45" t="inlineStr"/>
      <c r="Z695" s="45" t="inlineStr">
        <is>
          <t>— généré —</t>
        </is>
      </c>
    </row>
    <row r="696" ht="15" customHeight="1">
      <c r="A696" s="10" t="inlineStr">
        <is>
          <t>S7</t>
        </is>
      </c>
      <c r="B696" s="9" t="inlineStr">
        <is>
          <t>du 26 octobre au 1er novembre 2026</t>
        </is>
      </c>
      <c r="C696" s="10" t="inlineStr">
        <is>
          <t>A</t>
        </is>
      </c>
      <c r="D696" s="41" t="n">
        <v>46327</v>
      </c>
      <c r="E696" s="10" t="inlineStr">
        <is>
          <t>Dimanche</t>
        </is>
      </c>
      <c r="F696" s="42" t="n">
        <v>0.375</v>
      </c>
      <c r="G696" s="42" t="n">
        <v>0.4375</v>
      </c>
      <c r="H696" s="43">
        <f>IF(OR($F696="",$G696=""),"",($G696-$F696)*24)</f>
        <v/>
      </c>
      <c r="I696" s="10" t="inlineStr">
        <is>
          <t>Secondaire</t>
        </is>
      </c>
      <c r="J696" s="9" t="inlineStr">
        <is>
          <t>2éme Eco</t>
        </is>
      </c>
      <c r="K696" s="9" t="inlineStr">
        <is>
          <t>Eco</t>
        </is>
      </c>
      <c r="L696" s="9" t="inlineStr">
        <is>
          <t>Eco</t>
        </is>
      </c>
      <c r="M696" s="9" t="inlineStr">
        <is>
          <t>Rym</t>
        </is>
      </c>
      <c r="N696" s="10" t="n"/>
      <c r="O696" s="10" t="n"/>
      <c r="P696" s="10" t="inlineStr">
        <is>
          <t>Hebdomadaire</t>
        </is>
      </c>
      <c r="Q696" s="9" t="inlineStr">
        <is>
          <t>Généré (octobre)</t>
        </is>
      </c>
      <c r="R696" s="9" t="inlineStr"/>
      <c r="S696" s="44">
        <f>IF($M696="","",IF(SUMPRODUCT(($D$4:$D$704=$D696)*($M$4:$M$704=$M696)*($F$4:$F$704&lt;$G696)*($G$4:$G$704&gt;$F696))&gt;1,"⚠ CONFLIT",""))</f>
        <v/>
      </c>
      <c r="T696" s="44">
        <f>IF($J696="","",IF(SUMPRODUCT(($D$4:$D$704=$D696)*($J$4:$J$704=$J696)*($F$4:$F$704&lt;$G696)*($G$4:$G$704&gt;$F696))&gt;1,"⚠ CONFLIT",""))</f>
        <v/>
      </c>
      <c r="U696" s="44">
        <f>IF(COUNTIFS($D$4:$D$704,$D696,$J$4:$J$704,$J696,$F$4:$F$704,$F696,$K$4:$K$704,$K696)&gt;1,"⚠ DOUBLON","")</f>
        <v/>
      </c>
      <c r="V696" s="44">
        <f>COUNTIFS($A$4:$A696,$A696,$J$4:$J696,$J696,$E$4:$E696,$E696)</f>
        <v/>
      </c>
      <c r="W696" s="45">
        <f>$A696&amp;"|"&amp;$J696&amp;"|"&amp;$E696&amp;"|"&amp;$V696</f>
        <v/>
      </c>
      <c r="X696" s="46">
        <f>TEXT($F696,"hh:mm")&amp;" - "&amp;TEXT($G696,"hh:mm")&amp;IF($P696="Quinzaine A","   ◆ Q-A",IF($P696="Quinzaine B","   ◆ Q-B",IF($P696="Exception","   ◆ PONCTUEL","")))&amp;CHAR(10)&amp;$K696&amp;CHAR(10)&amp;$M696&amp;IF($N696&lt;&gt;"",CHAR(10)&amp;"Salle "&amp;$N696,"")&amp;IF($O696="En ligne",CHAR(10)&amp;"◆ EN LIGNE","")&amp;IF($R696&lt;&gt;"",CHAR(10)&amp;$R696,"")</f>
        <v/>
      </c>
      <c r="Y696" s="45" t="inlineStr"/>
      <c r="Z696" s="45" t="inlineStr">
        <is>
          <t>— généré —</t>
        </is>
      </c>
    </row>
    <row r="697" ht="15" customHeight="1">
      <c r="A697" s="10" t="inlineStr">
        <is>
          <t>S7</t>
        </is>
      </c>
      <c r="B697" s="9" t="inlineStr">
        <is>
          <t>du 26 octobre au 1er novembre 2026</t>
        </is>
      </c>
      <c r="C697" s="10" t="inlineStr">
        <is>
          <t>A</t>
        </is>
      </c>
      <c r="D697" s="41" t="n">
        <v>46327</v>
      </c>
      <c r="E697" s="10" t="inlineStr">
        <is>
          <t>Dimanche</t>
        </is>
      </c>
      <c r="F697" s="42" t="n">
        <v>0.5</v>
      </c>
      <c r="G697" s="42" t="n">
        <v>0.5625</v>
      </c>
      <c r="H697" s="43">
        <f>IF(OR($F697="",$G697=""),"",($G697-$F697)*24)</f>
        <v/>
      </c>
      <c r="I697" s="10" t="inlineStr">
        <is>
          <t>Secondaire</t>
        </is>
      </c>
      <c r="J697" s="9" t="inlineStr">
        <is>
          <t>2éme SCE</t>
        </is>
      </c>
      <c r="K697" s="9" t="inlineStr">
        <is>
          <t>Physique</t>
        </is>
      </c>
      <c r="L697" s="9" t="inlineStr">
        <is>
          <t>Physique</t>
        </is>
      </c>
      <c r="M697" s="9" t="inlineStr">
        <is>
          <t>Refka</t>
        </is>
      </c>
      <c r="N697" s="10" t="n"/>
      <c r="O697" s="10" t="n"/>
      <c r="P697" s="10" t="inlineStr">
        <is>
          <t>Hebdomadaire</t>
        </is>
      </c>
      <c r="Q697" s="9" t="inlineStr">
        <is>
          <t>Généré (octobre)</t>
        </is>
      </c>
      <c r="R697" s="9" t="inlineStr"/>
      <c r="S697" s="44">
        <f>IF($M697="","",IF(SUMPRODUCT(($D$4:$D$704=$D697)*($M$4:$M$704=$M697)*($F$4:$F$704&lt;$G697)*($G$4:$G$704&gt;$F697))&gt;1,"⚠ CONFLIT",""))</f>
        <v/>
      </c>
      <c r="T697" s="44">
        <f>IF($J697="","",IF(SUMPRODUCT(($D$4:$D$704=$D697)*($J$4:$J$704=$J697)*($F$4:$F$704&lt;$G697)*($G$4:$G$704&gt;$F697))&gt;1,"⚠ CONFLIT",""))</f>
        <v/>
      </c>
      <c r="U697" s="44">
        <f>IF(COUNTIFS($D$4:$D$704,$D697,$J$4:$J$704,$J697,$F$4:$F$704,$F697,$K$4:$K$704,$K697)&gt;1,"⚠ DOUBLON","")</f>
        <v/>
      </c>
      <c r="V697" s="44">
        <f>COUNTIFS($A$4:$A697,$A697,$J$4:$J697,$J697,$E$4:$E697,$E697)</f>
        <v/>
      </c>
      <c r="W697" s="45">
        <f>$A697&amp;"|"&amp;$J697&amp;"|"&amp;$E697&amp;"|"&amp;$V697</f>
        <v/>
      </c>
      <c r="X697" s="46">
        <f>TEXT($F697,"hh:mm")&amp;" - "&amp;TEXT($G697,"hh:mm")&amp;IF($P697="Quinzaine A","   ◆ Q-A",IF($P697="Quinzaine B","   ◆ Q-B",IF($P697="Exception","   ◆ PONCTUEL","")))&amp;CHAR(10)&amp;$K697&amp;CHAR(10)&amp;$M697&amp;IF($N697&lt;&gt;"",CHAR(10)&amp;"Salle "&amp;$N697,"")&amp;IF($O697="En ligne",CHAR(10)&amp;"◆ EN LIGNE","")&amp;IF($R697&lt;&gt;"",CHAR(10)&amp;$R697,"")</f>
        <v/>
      </c>
      <c r="Y697" s="45" t="inlineStr"/>
      <c r="Z697" s="45" t="inlineStr">
        <is>
          <t>— généré —</t>
        </is>
      </c>
    </row>
    <row r="698" ht="15" customHeight="1">
      <c r="A698" s="10" t="inlineStr">
        <is>
          <t>S7</t>
        </is>
      </c>
      <c r="B698" s="9" t="inlineStr">
        <is>
          <t>du 26 octobre au 1er novembre 2026</t>
        </is>
      </c>
      <c r="C698" s="10" t="inlineStr">
        <is>
          <t>A</t>
        </is>
      </c>
      <c r="D698" s="41" t="n">
        <v>46327</v>
      </c>
      <c r="E698" s="10" t="inlineStr">
        <is>
          <t>Dimanche</t>
        </is>
      </c>
      <c r="F698" s="42" t="n">
        <v>0.4375</v>
      </c>
      <c r="G698" s="42" t="n">
        <v>0.5</v>
      </c>
      <c r="H698" s="43">
        <f>IF(OR($F698="",$G698=""),"",($G698-$F698)*24)</f>
        <v/>
      </c>
      <c r="I698" s="10" t="inlineStr">
        <is>
          <t>Secondaire</t>
        </is>
      </c>
      <c r="J698" s="9" t="inlineStr">
        <is>
          <t>3éme Eco</t>
        </is>
      </c>
      <c r="K698" s="9" t="inlineStr">
        <is>
          <t>Eco</t>
        </is>
      </c>
      <c r="L698" s="9" t="inlineStr">
        <is>
          <t>Eco</t>
        </is>
      </c>
      <c r="M698" s="9" t="inlineStr">
        <is>
          <t>Rym</t>
        </is>
      </c>
      <c r="N698" s="10" t="n"/>
      <c r="O698" s="10" t="n"/>
      <c r="P698" s="10" t="inlineStr">
        <is>
          <t>Hebdomadaire</t>
        </is>
      </c>
      <c r="Q698" s="9" t="inlineStr">
        <is>
          <t>Généré (octobre)</t>
        </is>
      </c>
      <c r="R698" s="9" t="inlineStr"/>
      <c r="S698" s="44">
        <f>IF($M698="","",IF(SUMPRODUCT(($D$4:$D$704=$D698)*($M$4:$M$704=$M698)*($F$4:$F$704&lt;$G698)*($G$4:$G$704&gt;$F698))&gt;1,"⚠ CONFLIT",""))</f>
        <v/>
      </c>
      <c r="T698" s="44">
        <f>IF($J698="","",IF(SUMPRODUCT(($D$4:$D$704=$D698)*($J$4:$J$704=$J698)*($F$4:$F$704&lt;$G698)*($G$4:$G$704&gt;$F698))&gt;1,"⚠ CONFLIT",""))</f>
        <v/>
      </c>
      <c r="U698" s="44">
        <f>IF(COUNTIFS($D$4:$D$704,$D698,$J$4:$J$704,$J698,$F$4:$F$704,$F698,$K$4:$K$704,$K698)&gt;1,"⚠ DOUBLON","")</f>
        <v/>
      </c>
      <c r="V698" s="44">
        <f>COUNTIFS($A$4:$A698,$A698,$J$4:$J698,$J698,$E$4:$E698,$E698)</f>
        <v/>
      </c>
      <c r="W698" s="45">
        <f>$A698&amp;"|"&amp;$J698&amp;"|"&amp;$E698&amp;"|"&amp;$V698</f>
        <v/>
      </c>
      <c r="X698" s="46">
        <f>TEXT($F698,"hh:mm")&amp;" - "&amp;TEXT($G698,"hh:mm")&amp;IF($P698="Quinzaine A","   ◆ Q-A",IF($P698="Quinzaine B","   ◆ Q-B",IF($P698="Exception","   ◆ PONCTUEL","")))&amp;CHAR(10)&amp;$K698&amp;CHAR(10)&amp;$M698&amp;IF($N698&lt;&gt;"",CHAR(10)&amp;"Salle "&amp;$N698,"")&amp;IF($O698="En ligne",CHAR(10)&amp;"◆ EN LIGNE","")&amp;IF($R698&lt;&gt;"",CHAR(10)&amp;$R698,"")</f>
        <v/>
      </c>
      <c r="Y698" s="45" t="inlineStr"/>
      <c r="Z698" s="45" t="inlineStr">
        <is>
          <t>— généré —</t>
        </is>
      </c>
    </row>
    <row r="699" ht="15" customHeight="1">
      <c r="A699" s="10" t="inlineStr">
        <is>
          <t>S7</t>
        </is>
      </c>
      <c r="B699" s="9" t="inlineStr">
        <is>
          <t>du 26 octobre au 1er novembre 2026</t>
        </is>
      </c>
      <c r="C699" s="10" t="inlineStr">
        <is>
          <t>A</t>
        </is>
      </c>
      <c r="D699" s="41" t="n">
        <v>46327</v>
      </c>
      <c r="E699" s="10" t="inlineStr">
        <is>
          <t>Dimanche</t>
        </is>
      </c>
      <c r="F699" s="42" t="n">
        <v>0.5833333333333334</v>
      </c>
      <c r="G699" s="42" t="n">
        <v>0.6458333333333334</v>
      </c>
      <c r="H699" s="43">
        <f>IF(OR($F699="",$G699=""),"",($G699-$F699)*24)</f>
        <v/>
      </c>
      <c r="I699" s="10" t="inlineStr">
        <is>
          <t>Secondaire</t>
        </is>
      </c>
      <c r="J699" s="9" t="inlineStr">
        <is>
          <t>3éme Eco</t>
        </is>
      </c>
      <c r="K699" s="9" t="inlineStr">
        <is>
          <t>Math</t>
        </is>
      </c>
      <c r="L699" s="9" t="inlineStr">
        <is>
          <t>Math</t>
        </is>
      </c>
      <c r="M699" s="9" t="inlineStr">
        <is>
          <t>Lotfi</t>
        </is>
      </c>
      <c r="N699" s="10" t="n"/>
      <c r="O699" s="10" t="n"/>
      <c r="P699" s="10" t="inlineStr">
        <is>
          <t>Hebdomadaire</t>
        </is>
      </c>
      <c r="Q699" s="9" t="inlineStr">
        <is>
          <t>Généré (octobre)</t>
        </is>
      </c>
      <c r="R699" s="9" t="inlineStr"/>
      <c r="S699" s="44">
        <f>IF($M699="","",IF(SUMPRODUCT(($D$4:$D$704=$D699)*($M$4:$M$704=$M699)*($F$4:$F$704&lt;$G699)*($G$4:$G$704&gt;$F699))&gt;1,"⚠ CONFLIT",""))</f>
        <v/>
      </c>
      <c r="T699" s="44">
        <f>IF($J699="","",IF(SUMPRODUCT(($D$4:$D$704=$D699)*($J$4:$J$704=$J699)*($F$4:$F$704&lt;$G699)*($G$4:$G$704&gt;$F699))&gt;1,"⚠ CONFLIT",""))</f>
        <v/>
      </c>
      <c r="U699" s="44">
        <f>IF(COUNTIFS($D$4:$D$704,$D699,$J$4:$J$704,$J699,$F$4:$F$704,$F699,$K$4:$K$704,$K699)&gt;1,"⚠ DOUBLON","")</f>
        <v/>
      </c>
      <c r="V699" s="44">
        <f>COUNTIFS($A$4:$A699,$A699,$J$4:$J699,$J699,$E$4:$E699,$E699)</f>
        <v/>
      </c>
      <c r="W699" s="45">
        <f>$A699&amp;"|"&amp;$J699&amp;"|"&amp;$E699&amp;"|"&amp;$V699</f>
        <v/>
      </c>
      <c r="X699" s="46">
        <f>TEXT($F699,"hh:mm")&amp;" - "&amp;TEXT($G699,"hh:mm")&amp;IF($P699="Quinzaine A","   ◆ Q-A",IF($P699="Quinzaine B","   ◆ Q-B",IF($P699="Exception","   ◆ PONCTUEL","")))&amp;CHAR(10)&amp;$K699&amp;CHAR(10)&amp;$M699&amp;IF($N699&lt;&gt;"",CHAR(10)&amp;"Salle "&amp;$N699,"")&amp;IF($O699="En ligne",CHAR(10)&amp;"◆ EN LIGNE","")&amp;IF($R699&lt;&gt;"",CHAR(10)&amp;$R699,"")</f>
        <v/>
      </c>
      <c r="Y699" s="45" t="inlineStr"/>
      <c r="Z699" s="45" t="inlineStr">
        <is>
          <t>— généré —</t>
        </is>
      </c>
    </row>
    <row r="700" ht="15" customHeight="1">
      <c r="A700" s="10" t="inlineStr">
        <is>
          <t>S7</t>
        </is>
      </c>
      <c r="B700" s="9" t="inlineStr">
        <is>
          <t>du 26 octobre au 1er novembre 2026</t>
        </is>
      </c>
      <c r="C700" s="10" t="inlineStr">
        <is>
          <t>A</t>
        </is>
      </c>
      <c r="D700" s="41" t="n">
        <v>46327</v>
      </c>
      <c r="E700" s="10" t="inlineStr">
        <is>
          <t>Dimanche</t>
        </is>
      </c>
      <c r="F700" s="42" t="n">
        <v>0.5</v>
      </c>
      <c r="G700" s="42" t="n">
        <v>0.5625</v>
      </c>
      <c r="H700" s="43">
        <f>IF(OR($F700="",$G700=""),"",($G700-$F700)*24)</f>
        <v/>
      </c>
      <c r="I700" s="10" t="inlineStr">
        <is>
          <t>Secondaire</t>
        </is>
      </c>
      <c r="J700" s="9" t="inlineStr">
        <is>
          <t>3éme INFO</t>
        </is>
      </c>
      <c r="K700" s="9" t="inlineStr">
        <is>
          <t>Math</t>
        </is>
      </c>
      <c r="L700" s="9" t="inlineStr">
        <is>
          <t>Math</t>
        </is>
      </c>
      <c r="M700" s="9" t="inlineStr">
        <is>
          <t>Lotfi</t>
        </is>
      </c>
      <c r="N700" s="10" t="n"/>
      <c r="O700" s="10" t="n"/>
      <c r="P700" s="10" t="inlineStr">
        <is>
          <t>Hebdomadaire</t>
        </is>
      </c>
      <c r="Q700" s="9" t="inlineStr">
        <is>
          <t>Généré (octobre)</t>
        </is>
      </c>
      <c r="R700" s="9" t="inlineStr"/>
      <c r="S700" s="44">
        <f>IF($M700="","",IF(SUMPRODUCT(($D$4:$D$704=$D700)*($M$4:$M$704=$M700)*($F$4:$F$704&lt;$G700)*($G$4:$G$704&gt;$F700))&gt;1,"⚠ CONFLIT",""))</f>
        <v/>
      </c>
      <c r="T700" s="44">
        <f>IF($J700="","",IF(SUMPRODUCT(($D$4:$D$704=$D700)*($J$4:$J$704=$J700)*($F$4:$F$704&lt;$G700)*($G$4:$G$704&gt;$F700))&gt;1,"⚠ CONFLIT",""))</f>
        <v/>
      </c>
      <c r="U700" s="44">
        <f>IF(COUNTIFS($D$4:$D$704,$D700,$J$4:$J$704,$J700,$F$4:$F$704,$F700,$K$4:$K$704,$K700)&gt;1,"⚠ DOUBLON","")</f>
        <v/>
      </c>
      <c r="V700" s="44">
        <f>COUNTIFS($A$4:$A700,$A700,$J$4:$J700,$J700,$E$4:$E700,$E700)</f>
        <v/>
      </c>
      <c r="W700" s="45">
        <f>$A700&amp;"|"&amp;$J700&amp;"|"&amp;$E700&amp;"|"&amp;$V700</f>
        <v/>
      </c>
      <c r="X700" s="46">
        <f>TEXT($F700,"hh:mm")&amp;" - "&amp;TEXT($G700,"hh:mm")&amp;IF($P700="Quinzaine A","   ◆ Q-A",IF($P700="Quinzaine B","   ◆ Q-B",IF($P700="Exception","   ◆ PONCTUEL","")))&amp;CHAR(10)&amp;$K700&amp;CHAR(10)&amp;$M700&amp;IF($N700&lt;&gt;"",CHAR(10)&amp;"Salle "&amp;$N700,"")&amp;IF($O700="En ligne",CHAR(10)&amp;"◆ EN LIGNE","")&amp;IF($R700&lt;&gt;"",CHAR(10)&amp;$R700,"")</f>
        <v/>
      </c>
      <c r="Y700" s="45" t="inlineStr"/>
      <c r="Z700" s="45" t="inlineStr">
        <is>
          <t>— généré —</t>
        </is>
      </c>
    </row>
    <row r="701" ht="15" customHeight="1">
      <c r="A701" s="10" t="inlineStr">
        <is>
          <t>S7</t>
        </is>
      </c>
      <c r="B701" s="9" t="inlineStr">
        <is>
          <t>du 26 octobre au 1er novembre 2026</t>
        </is>
      </c>
      <c r="C701" s="10" t="inlineStr">
        <is>
          <t>A</t>
        </is>
      </c>
      <c r="D701" s="41" t="n">
        <v>46327</v>
      </c>
      <c r="E701" s="10" t="inlineStr">
        <is>
          <t>Dimanche</t>
        </is>
      </c>
      <c r="F701" s="42" t="n">
        <v>0.4375</v>
      </c>
      <c r="G701" s="42" t="n">
        <v>0.5</v>
      </c>
      <c r="H701" s="43">
        <f>IF(OR($F701="",$G701=""),"",($G701-$F701)*24)</f>
        <v/>
      </c>
      <c r="I701" s="10" t="inlineStr">
        <is>
          <t>Secondaire</t>
        </is>
      </c>
      <c r="J701" s="9" t="inlineStr">
        <is>
          <t>3éme SCE</t>
        </is>
      </c>
      <c r="K701" s="9" t="inlineStr">
        <is>
          <t>Physique</t>
        </is>
      </c>
      <c r="L701" s="9" t="inlineStr">
        <is>
          <t>Physique</t>
        </is>
      </c>
      <c r="M701" s="9" t="inlineStr">
        <is>
          <t>Sondes</t>
        </is>
      </c>
      <c r="N701" s="10" t="n"/>
      <c r="O701" s="10" t="n"/>
      <c r="P701" s="10" t="inlineStr">
        <is>
          <t>Hebdomadaire</t>
        </is>
      </c>
      <c r="Q701" s="9" t="inlineStr">
        <is>
          <t>Généré (octobre)</t>
        </is>
      </c>
      <c r="R701" s="9" t="inlineStr"/>
      <c r="S701" s="44">
        <f>IF($M701="","",IF(SUMPRODUCT(($D$4:$D$704=$D701)*($M$4:$M$704=$M701)*($F$4:$F$704&lt;$G701)*($G$4:$G$704&gt;$F701))&gt;1,"⚠ CONFLIT",""))</f>
        <v/>
      </c>
      <c r="T701" s="44">
        <f>IF($J701="","",IF(SUMPRODUCT(($D$4:$D$704=$D701)*($J$4:$J$704=$J701)*($F$4:$F$704&lt;$G701)*($G$4:$G$704&gt;$F701))&gt;1,"⚠ CONFLIT",""))</f>
        <v/>
      </c>
      <c r="U701" s="44">
        <f>IF(COUNTIFS($D$4:$D$704,$D701,$J$4:$J$704,$J701,$F$4:$F$704,$F701,$K$4:$K$704,$K701)&gt;1,"⚠ DOUBLON","")</f>
        <v/>
      </c>
      <c r="V701" s="44">
        <f>COUNTIFS($A$4:$A701,$A701,$J$4:$J701,$J701,$E$4:$E701,$E701)</f>
        <v/>
      </c>
      <c r="W701" s="45">
        <f>$A701&amp;"|"&amp;$J701&amp;"|"&amp;$E701&amp;"|"&amp;$V701</f>
        <v/>
      </c>
      <c r="X701" s="46">
        <f>TEXT($F701,"hh:mm")&amp;" - "&amp;TEXT($G701,"hh:mm")&amp;IF($P701="Quinzaine A","   ◆ Q-A",IF($P701="Quinzaine B","   ◆ Q-B",IF($P701="Exception","   ◆ PONCTUEL","")))&amp;CHAR(10)&amp;$K701&amp;CHAR(10)&amp;$M701&amp;IF($N701&lt;&gt;"",CHAR(10)&amp;"Salle "&amp;$N701,"")&amp;IF($O701="En ligne",CHAR(10)&amp;"◆ EN LIGNE","")&amp;IF($R701&lt;&gt;"",CHAR(10)&amp;$R701,"")</f>
        <v/>
      </c>
      <c r="Y701" s="45" t="inlineStr"/>
      <c r="Z701" s="45" t="inlineStr">
        <is>
          <t>— généré —</t>
        </is>
      </c>
    </row>
    <row r="702" ht="15" customHeight="1">
      <c r="A702" s="10" t="inlineStr">
        <is>
          <t>S7</t>
        </is>
      </c>
      <c r="B702" s="9" t="inlineStr">
        <is>
          <t>du 26 octobre au 1er novembre 2026</t>
        </is>
      </c>
      <c r="C702" s="10" t="inlineStr">
        <is>
          <t>A</t>
        </is>
      </c>
      <c r="D702" s="41" t="n">
        <v>46327</v>
      </c>
      <c r="E702" s="10" t="inlineStr">
        <is>
          <t>Dimanche</t>
        </is>
      </c>
      <c r="F702" s="42" t="n">
        <v>0.4375</v>
      </c>
      <c r="G702" s="42" t="n">
        <v>0.5</v>
      </c>
      <c r="H702" s="43">
        <f>IF(OR($F702="",$G702=""),"",($G702-$F702)*24)</f>
        <v/>
      </c>
      <c r="I702" s="10" t="inlineStr">
        <is>
          <t>Bac</t>
        </is>
      </c>
      <c r="J702" s="9" t="inlineStr">
        <is>
          <t>Bac Eco</t>
        </is>
      </c>
      <c r="K702" s="9" t="inlineStr">
        <is>
          <t>Math</t>
        </is>
      </c>
      <c r="L702" s="9" t="inlineStr">
        <is>
          <t>Math</t>
        </is>
      </c>
      <c r="M702" s="9" t="inlineStr">
        <is>
          <t>Lotfi</t>
        </is>
      </c>
      <c r="N702" s="10" t="n"/>
      <c r="O702" s="10" t="n"/>
      <c r="P702" s="10" t="inlineStr">
        <is>
          <t>Hebdomadaire</t>
        </is>
      </c>
      <c r="Q702" s="9" t="inlineStr">
        <is>
          <t>Généré (octobre)</t>
        </is>
      </c>
      <c r="R702" s="9" t="inlineStr"/>
      <c r="S702" s="44">
        <f>IF($M702="","",IF(SUMPRODUCT(($D$4:$D$704=$D702)*($M$4:$M$704=$M702)*($F$4:$F$704&lt;$G702)*($G$4:$G$704&gt;$F702))&gt;1,"⚠ CONFLIT",""))</f>
        <v/>
      </c>
      <c r="T702" s="44">
        <f>IF($J702="","",IF(SUMPRODUCT(($D$4:$D$704=$D702)*($J$4:$J$704=$J702)*($F$4:$F$704&lt;$G702)*($G$4:$G$704&gt;$F702))&gt;1,"⚠ CONFLIT",""))</f>
        <v/>
      </c>
      <c r="U702" s="44">
        <f>IF(COUNTIFS($D$4:$D$704,$D702,$J$4:$J$704,$J702,$F$4:$F$704,$F702,$K$4:$K$704,$K702)&gt;1,"⚠ DOUBLON","")</f>
        <v/>
      </c>
      <c r="V702" s="44">
        <f>COUNTIFS($A$4:$A702,$A702,$J$4:$J702,$J702,$E$4:$E702,$E702)</f>
        <v/>
      </c>
      <c r="W702" s="45">
        <f>$A702&amp;"|"&amp;$J702&amp;"|"&amp;$E702&amp;"|"&amp;$V702</f>
        <v/>
      </c>
      <c r="X702" s="46">
        <f>TEXT($F702,"hh:mm")&amp;" - "&amp;TEXT($G702,"hh:mm")&amp;IF($P702="Quinzaine A","   ◆ Q-A",IF($P702="Quinzaine B","   ◆ Q-B",IF($P702="Exception","   ◆ PONCTUEL","")))&amp;CHAR(10)&amp;$K702&amp;CHAR(10)&amp;$M702&amp;IF($N702&lt;&gt;"",CHAR(10)&amp;"Salle "&amp;$N702,"")&amp;IF($O702="En ligne",CHAR(10)&amp;"◆ EN LIGNE","")&amp;IF($R702&lt;&gt;"",CHAR(10)&amp;$R702,"")</f>
        <v/>
      </c>
      <c r="Y702" s="45" t="inlineStr"/>
      <c r="Z702" s="45" t="inlineStr">
        <is>
          <t>— généré —</t>
        </is>
      </c>
    </row>
    <row r="703" ht="15" customHeight="1">
      <c r="A703" s="10" t="inlineStr">
        <is>
          <t>S7</t>
        </is>
      </c>
      <c r="B703" s="9" t="inlineStr">
        <is>
          <t>du 26 octobre au 1er novembre 2026</t>
        </is>
      </c>
      <c r="C703" s="10" t="inlineStr">
        <is>
          <t>A</t>
        </is>
      </c>
      <c r="D703" s="41" t="n">
        <v>46327</v>
      </c>
      <c r="E703" s="10" t="inlineStr">
        <is>
          <t>Dimanche</t>
        </is>
      </c>
      <c r="F703" s="42" t="n">
        <v>0.5208333333333334</v>
      </c>
      <c r="G703" s="42" t="n">
        <v>0.6041666666666666</v>
      </c>
      <c r="H703" s="43">
        <f>IF(OR($F703="",$G703=""),"",($G703-$F703)*24)</f>
        <v/>
      </c>
      <c r="I703" s="10" t="inlineStr">
        <is>
          <t>Bac</t>
        </is>
      </c>
      <c r="J703" s="9" t="inlineStr">
        <is>
          <t>Bac Eco</t>
        </is>
      </c>
      <c r="K703" s="9" t="inlineStr">
        <is>
          <t>Eco</t>
        </is>
      </c>
      <c r="L703" s="9" t="inlineStr">
        <is>
          <t>Eco</t>
        </is>
      </c>
      <c r="M703" s="9" t="inlineStr">
        <is>
          <t>Rym</t>
        </is>
      </c>
      <c r="N703" s="10" t="n"/>
      <c r="O703" s="10" t="n"/>
      <c r="P703" s="10" t="inlineStr">
        <is>
          <t>Hebdomadaire</t>
        </is>
      </c>
      <c r="Q703" s="9" t="inlineStr">
        <is>
          <t>Généré (octobre)</t>
        </is>
      </c>
      <c r="R703" s="9" t="inlineStr"/>
      <c r="S703" s="44">
        <f>IF($M703="","",IF(SUMPRODUCT(($D$4:$D$704=$D703)*($M$4:$M$704=$M703)*($F$4:$F$704&lt;$G703)*($G$4:$G$704&gt;$F703))&gt;1,"⚠ CONFLIT",""))</f>
        <v/>
      </c>
      <c r="T703" s="44">
        <f>IF($J703="","",IF(SUMPRODUCT(($D$4:$D$704=$D703)*($J$4:$J$704=$J703)*($F$4:$F$704&lt;$G703)*($G$4:$G$704&gt;$F703))&gt;1,"⚠ CONFLIT",""))</f>
        <v/>
      </c>
      <c r="U703" s="44">
        <f>IF(COUNTIFS($D$4:$D$704,$D703,$J$4:$J$704,$J703,$F$4:$F$704,$F703,$K$4:$K$704,$K703)&gt;1,"⚠ DOUBLON","")</f>
        <v/>
      </c>
      <c r="V703" s="44">
        <f>COUNTIFS($A$4:$A703,$A703,$J$4:$J703,$J703,$E$4:$E703,$E703)</f>
        <v/>
      </c>
      <c r="W703" s="45">
        <f>$A703&amp;"|"&amp;$J703&amp;"|"&amp;$E703&amp;"|"&amp;$V703</f>
        <v/>
      </c>
      <c r="X703" s="46">
        <f>TEXT($F703,"hh:mm")&amp;" - "&amp;TEXT($G703,"hh:mm")&amp;IF($P703="Quinzaine A","   ◆ Q-A",IF($P703="Quinzaine B","   ◆ Q-B",IF($P703="Exception","   ◆ PONCTUEL","")))&amp;CHAR(10)&amp;$K703&amp;CHAR(10)&amp;$M703&amp;IF($N703&lt;&gt;"",CHAR(10)&amp;"Salle "&amp;$N703,"")&amp;IF($O703="En ligne",CHAR(10)&amp;"◆ EN LIGNE","")&amp;IF($R703&lt;&gt;"",CHAR(10)&amp;$R703,"")</f>
        <v/>
      </c>
      <c r="Y703" s="45" t="inlineStr"/>
      <c r="Z703" s="45" t="inlineStr">
        <is>
          <t>— généré —</t>
        </is>
      </c>
    </row>
    <row r="704" ht="15" customHeight="1">
      <c r="A704" s="10" t="inlineStr">
        <is>
          <t>S7</t>
        </is>
      </c>
      <c r="B704" s="9" t="inlineStr">
        <is>
          <t>du 26 octobre au 1er novembre 2026</t>
        </is>
      </c>
      <c r="C704" s="10" t="inlineStr">
        <is>
          <t>A</t>
        </is>
      </c>
      <c r="D704" s="41" t="n">
        <v>46327</v>
      </c>
      <c r="E704" s="10" t="inlineStr">
        <is>
          <t>Dimanche</t>
        </is>
      </c>
      <c r="F704" s="42" t="n">
        <v>0.6458333333333334</v>
      </c>
      <c r="G704" s="42" t="n">
        <v>0.7083333333333334</v>
      </c>
      <c r="H704" s="43">
        <f>IF(OR($F704="",$G704=""),"",($G704-$F704)*24)</f>
        <v/>
      </c>
      <c r="I704" s="10" t="inlineStr">
        <is>
          <t>Bac</t>
        </is>
      </c>
      <c r="J704" s="9" t="inlineStr">
        <is>
          <t>Bac INFO</t>
        </is>
      </c>
      <c r="K704" s="9" t="inlineStr">
        <is>
          <t>Math</t>
        </is>
      </c>
      <c r="L704" s="9" t="inlineStr">
        <is>
          <t>Math</t>
        </is>
      </c>
      <c r="M704" s="9" t="inlineStr">
        <is>
          <t>Lotfi</t>
        </is>
      </c>
      <c r="N704" s="10" t="n"/>
      <c r="O704" s="10" t="n"/>
      <c r="P704" s="10" t="inlineStr">
        <is>
          <t>Hebdomadaire</t>
        </is>
      </c>
      <c r="Q704" s="9" t="inlineStr">
        <is>
          <t>Généré (octobre)</t>
        </is>
      </c>
      <c r="R704" s="9" t="inlineStr"/>
      <c r="S704" s="44">
        <f>IF($M704="","",IF(SUMPRODUCT(($D$4:$D$704=$D704)*($M$4:$M$704=$M704)*($F$4:$F$704&lt;$G704)*($G$4:$G$704&gt;$F704))&gt;1,"⚠ CONFLIT",""))</f>
        <v/>
      </c>
      <c r="T704" s="44">
        <f>IF($J704="","",IF(SUMPRODUCT(($D$4:$D$704=$D704)*($J$4:$J$704=$J704)*($F$4:$F$704&lt;$G704)*($G$4:$G$704&gt;$F704))&gt;1,"⚠ CONFLIT",""))</f>
        <v/>
      </c>
      <c r="U704" s="44">
        <f>IF(COUNTIFS($D$4:$D$704,$D704,$J$4:$J$704,$J704,$F$4:$F$704,$F704,$K$4:$K$704,$K704)&gt;1,"⚠ DOUBLON","")</f>
        <v/>
      </c>
      <c r="V704" s="44">
        <f>COUNTIFS($A$4:$A704,$A704,$J$4:$J704,$J704,$E$4:$E704,$E704)</f>
        <v/>
      </c>
      <c r="W704" s="45">
        <f>$A704&amp;"|"&amp;$J704&amp;"|"&amp;$E704&amp;"|"&amp;$V704</f>
        <v/>
      </c>
      <c r="X704" s="46">
        <f>TEXT($F704,"hh:mm")&amp;" - "&amp;TEXT($G704,"hh:mm")&amp;IF($P704="Quinzaine A","   ◆ Q-A",IF($P704="Quinzaine B","   ◆ Q-B",IF($P704="Exception","   ◆ PONCTUEL","")))&amp;CHAR(10)&amp;$K704&amp;CHAR(10)&amp;$M704&amp;IF($N704&lt;&gt;"",CHAR(10)&amp;"Salle "&amp;$N704,"")&amp;IF($O704="En ligne",CHAR(10)&amp;"◆ EN LIGNE","")&amp;IF($R704&lt;&gt;"",CHAR(10)&amp;$R704,"")</f>
        <v/>
      </c>
      <c r="Y704" s="45" t="inlineStr"/>
      <c r="Z704" s="45" t="inlineStr">
        <is>
          <t>— généré —</t>
        </is>
      </c>
    </row>
  </sheetData>
  <autoFilter ref="A3:Z704"/>
  <mergeCells count="2">
    <mergeCell ref="A1:Z1"/>
    <mergeCell ref="A2:Z2"/>
  </mergeCells>
  <conditionalFormatting sqref="A4:R704">
    <cfRule type="expression" priority="1" dxfId="0" stopIfTrue="0">
      <formula>$I4="Primaire"</formula>
    </cfRule>
    <cfRule type="expression" priority="2" dxfId="1" stopIfTrue="0">
      <formula>$I4="Collège"</formula>
    </cfRule>
    <cfRule type="expression" priority="3" dxfId="2" stopIfTrue="0">
      <formula>$I4="Secondaire"</formula>
    </cfRule>
    <cfRule type="expression" priority="4" dxfId="3" stopIfTrue="0">
      <formula>$I4="Bac"</formula>
    </cfRule>
  </conditionalFormatting>
  <conditionalFormatting sqref="K4:L704">
    <cfRule type="expression" priority="5" dxfId="4" stopIfTrue="1">
      <formula>(($K4="Arabe")+($K4="عربية"))&gt;0</formula>
    </cfRule>
    <cfRule type="expression" priority="6" dxfId="5" stopIfTrue="1">
      <formula>(($K4="Français"))&gt;0</formula>
    </cfRule>
    <cfRule type="expression" priority="7" dxfId="6" stopIfTrue="1">
      <formula>(($K4="Anglais")+($K4="Espagnol")+($K4="Italien"))&gt;0</formula>
    </cfRule>
    <cfRule type="expression" priority="8" dxfId="7" stopIfTrue="1">
      <formula>(($K4="Math")+($K4="رياضيات"))&gt;0</formula>
    </cfRule>
    <cfRule type="expression" priority="9" dxfId="8" stopIfTrue="1">
      <formula>(($K4="Physique")+($K4="فيزياء")+($K4="SVT")+($K4="Éveil scientifique")+($K4="إيقاظ علمي"))&gt;0</formula>
    </cfRule>
    <cfRule type="expression" priority="10" dxfId="9" stopIfTrue="1">
      <formula>(($K4="Histoire")+($K4="Géographie")+($K4="Philo"))&gt;0</formula>
    </cfRule>
    <cfRule type="expression" priority="11" dxfId="10" stopIfTrue="1">
      <formula>(($K4="Eco")+($K4="Gestion"))&gt;0</formula>
    </cfRule>
    <cfRule type="expression" priority="12" dxfId="11" stopIfTrue="1">
      <formula>(($K4="Informatique")+($K4="ALGO")+($K4="STI"))&gt;0</formula>
    </cfRule>
  </conditionalFormatting>
  <conditionalFormatting sqref="P4:P704">
    <cfRule type="expression" priority="13" dxfId="12">
      <formula>LEFT($P4,9)="Quinzaine"</formula>
    </cfRule>
    <cfRule type="expression" priority="14" dxfId="13">
      <formula>$P4="Exception"</formula>
    </cfRule>
  </conditionalFormatting>
  <conditionalFormatting sqref="Q4:Q704">
    <cfRule type="expression" priority="15" dxfId="14">
      <formula>$Q4="Généré (octobre)"</formula>
    </cfRule>
  </conditionalFormatting>
  <conditionalFormatting sqref="S4:S704">
    <cfRule type="expression" priority="16" dxfId="15">
      <formula>LEN(TRIM($S4))&gt;0</formula>
    </cfRule>
  </conditionalFormatting>
  <conditionalFormatting sqref="T4:T704">
    <cfRule type="expression" priority="17" dxfId="15">
      <formula>LEN(TRIM($T4))&gt;0</formula>
    </cfRule>
  </conditionalFormatting>
  <conditionalFormatting sqref="U4:U704">
    <cfRule type="expression" priority="18" dxfId="15">
      <formula>LEN(TRIM($U4))&gt;0</formula>
    </cfRule>
  </conditionalFormatting>
  <dataValidations count="6">
    <dataValidation sqref="J4:J904" showDropDown="0" showInputMessage="0" showErrorMessage="1" allowBlank="1" errorTitle="Vérification" error="Valeur absente du référentiel." promptTitle="Saisie guidée" prompt="Choisir dans la liste (LST_Classes)." type="list" errorStyle="warning">
      <formula1>=LST_Classes</formula1>
    </dataValidation>
    <dataValidation sqref="K4:K904" showDropDown="0" showInputMessage="0" showErrorMessage="1" allowBlank="1" errorTitle="Vérification" error="Valeur absente du référentiel." promptTitle="Saisie guidée" prompt="Choisir dans la liste (LST_Matieres)." type="list" errorStyle="warning">
      <formula1>=LST_Matieres</formula1>
    </dataValidation>
    <dataValidation sqref="M4:M904" showDropDown="0" showInputMessage="0" showErrorMessage="1" allowBlank="1" errorTitle="Vérification" error="Valeur absente du référentiel." promptTitle="Saisie guidée" prompt="Choisir dans la liste (LST_Profs)." type="list" errorStyle="warning">
      <formula1>=LST_Profs</formula1>
    </dataValidation>
    <dataValidation sqref="N4:N904" showDropDown="0" showInputMessage="0" showErrorMessage="1" allowBlank="1" errorTitle="Vérification" error="Valeur absente du référentiel." promptTitle="Saisie guidée" prompt="Choisir dans la liste (LST_Salles)." type="list" errorStyle="warning">
      <formula1>=LST_Salles</formula1>
    </dataValidation>
    <dataValidation sqref="O4:O904" showDropDown="0" showInputMessage="0" showErrorMessage="1" allowBlank="1" errorTitle="Vérification" error="Valeur absente du référentiel." promptTitle="Saisie guidée" prompt="Choisir dans la liste (LST_Modes)." type="list" errorStyle="stop">
      <formula1>=LST_Modes</formula1>
    </dataValidation>
    <dataValidation sqref="P4:P904" showDropDown="0" showInputMessage="0" showErrorMessage="1" allowBlank="1" errorTitle="Vérification" error="Valeur absente du référentiel." promptTitle="Saisie guidée" prompt="Choisir dans la liste (LST_Rythmes)." type="list" errorStyle="stop">
      <formula1>=LST_Rythmes</formula1>
    </dataValidation>
  </dataValidations>
  <printOptions horizontalCentered="1" gridLines="0"/>
  <pageMargins left="0.35" right="0.35" top="0.5" bottom="0.45" header="0.2" footer="0.2"/>
  <pageSetup orientation="landscape" paperSize="9" fitToHeight="0" fitToWidth="1"/>
  <headerFooter>
    <oddHeader>&amp;R&amp;"Arial,Italic"&amp;8 Planning des séances — RS 2026-2027</oddHeader>
    <oddFooter>&amp;L&amp;8 RS 2026-2027 · Planning (table de référence)&amp;R&amp;8 Page &amp;P / &amp;N</oddFooter>
    <evenHeader/>
    <evenFooter/>
    <firstHeader/>
    <firstFooter/>
  </headerFooter>
</worksheet>
</file>

<file path=xl/worksheets/sheet3.xml><?xml version="1.0" encoding="utf-8"?>
<worksheet xmlns="http://schemas.openxmlformats.org/spreadsheetml/2006/main">
  <sheetPr>
    <tabColor rgb="006B7A8C"/>
    <outlinePr summaryBelow="1" summaryRight="1"/>
    <pageSetUpPr fitToPage="1"/>
  </sheetPr>
  <dimension ref="A1:Z41"/>
  <sheetViews>
    <sheetView showGridLines="0" workbookViewId="0">
      <pane ySplit="4" topLeftCell="A5" activePane="bottomLeft" state="frozen"/>
      <selection pane="bottomLeft" activeCell="A1" sqref="A1"/>
    </sheetView>
  </sheetViews>
  <sheetFormatPr baseColWidth="8" defaultRowHeight="15"/>
  <cols>
    <col width="7" customWidth="1" min="1" max="1"/>
    <col width="18" customWidth="1" min="2" max="2"/>
    <col width="12" customWidth="1" min="3" max="3"/>
    <col width="13" customWidth="1" min="4" max="4"/>
    <col width="13" customWidth="1" min="5" max="5"/>
    <col width="22" customWidth="1" min="7" max="7"/>
    <col width="19" customWidth="1" min="8" max="8"/>
    <col width="14" customWidth="1" min="9" max="9"/>
    <col width="18" customWidth="1" min="11" max="11"/>
    <col width="15" customWidth="1" min="12" max="12"/>
    <col width="15" customWidth="1" min="13" max="13"/>
    <col width="18" customWidth="1" min="15" max="15"/>
    <col width="14" customWidth="1" min="17" max="17"/>
    <col width="21" customWidth="1" min="19" max="19"/>
    <col width="9" customWidth="1" min="21" max="21"/>
    <col width="12" customWidth="1" min="22" max="22"/>
    <col width="12" customWidth="1" min="23" max="23"/>
    <col width="8" customWidth="1" min="24" max="24"/>
    <col width="34" customWidth="1" min="25" max="25"/>
    <col width="12" customWidth="1" min="26" max="26"/>
  </cols>
  <sheetData>
    <row r="1" ht="34" customHeight="1">
      <c r="A1" s="36" t="inlineStr">
        <is>
          <t>RÉFÉRENTIELS — listes de référence du classeur</t>
        </is>
      </c>
      <c r="B1" s="2" t="n"/>
      <c r="C1" s="2" t="n"/>
      <c r="D1" s="2" t="n"/>
      <c r="E1" s="2" t="n"/>
      <c r="F1" s="2" t="n"/>
      <c r="G1" s="2" t="n"/>
      <c r="H1" s="2" t="n"/>
      <c r="I1" s="2" t="n"/>
      <c r="J1" s="2" t="n"/>
      <c r="K1" s="2" t="n"/>
      <c r="L1" s="2" t="n"/>
      <c r="M1" s="2" t="n"/>
      <c r="N1" s="2" t="n"/>
      <c r="O1" s="2" t="n"/>
      <c r="P1" s="2" t="n"/>
      <c r="Q1" s="2" t="n"/>
      <c r="R1" s="2" t="n"/>
      <c r="S1" s="2" t="n"/>
      <c r="T1" s="2" t="n"/>
    </row>
    <row r="2" ht="20" customHeight="1">
      <c r="A2" s="37" t="inlineStr">
        <is>
          <t>Ces listes alimentent les menus déroulants de la feuille Planning. Ajouter une valeur ici la rend immédiatement sélectionnable. La colonne Salle est volontairement vide : cette information est absente du fichier d'origine.</t>
        </is>
      </c>
      <c r="B2" s="38" t="n"/>
      <c r="C2" s="38" t="n"/>
      <c r="D2" s="38" t="n"/>
      <c r="E2" s="38" t="n"/>
      <c r="F2" s="38" t="n"/>
      <c r="G2" s="38" t="n"/>
      <c r="H2" s="38" t="n"/>
      <c r="I2" s="38" t="n"/>
      <c r="J2" s="38" t="n"/>
      <c r="K2" s="38" t="n"/>
      <c r="L2" s="38" t="n"/>
      <c r="M2" s="38" t="n"/>
      <c r="N2" s="38" t="n"/>
      <c r="O2" s="38" t="n"/>
      <c r="P2" s="38" t="n"/>
      <c r="Q2" s="38" t="n"/>
      <c r="R2" s="38" t="n"/>
      <c r="S2" s="38" t="n"/>
      <c r="T2" s="38" t="n"/>
    </row>
    <row r="3" ht="20" customHeight="1">
      <c r="A3" s="39" t="inlineStr">
        <is>
          <t>CLASSES / GROUPES</t>
        </is>
      </c>
      <c r="B3" s="47" t="n"/>
      <c r="C3" s="47" t="n"/>
      <c r="D3" s="47" t="n"/>
      <c r="E3" s="47" t="n"/>
      <c r="G3" s="39" t="inlineStr">
        <is>
          <t>MATIÈRES</t>
        </is>
      </c>
      <c r="H3" s="47" t="n"/>
      <c r="I3" s="47" t="n"/>
      <c r="K3" s="39" t="inlineStr">
        <is>
          <t>ENSEIGNANTS</t>
        </is>
      </c>
      <c r="L3" s="47" t="n"/>
      <c r="M3" s="47" t="n"/>
      <c r="O3" s="39" t="inlineStr">
        <is>
          <t>SALLES</t>
        </is>
      </c>
      <c r="Q3" s="39" t="inlineStr">
        <is>
          <t>MODES</t>
        </is>
      </c>
      <c r="S3" s="39" t="inlineStr">
        <is>
          <t>RYTHMES</t>
        </is>
      </c>
      <c r="U3" s="39" t="inlineStr">
        <is>
          <t>CALENDRIER DES SEMAINES</t>
        </is>
      </c>
      <c r="V3" s="47" t="n"/>
      <c r="W3" s="47" t="n"/>
      <c r="X3" s="47" t="n"/>
      <c r="Y3" s="47" t="n"/>
      <c r="Z3" s="47" t="n"/>
    </row>
    <row r="4" ht="28" customHeight="1">
      <c r="A4" s="48" t="inlineStr">
        <is>
          <t>Ordre</t>
        </is>
      </c>
      <c r="B4" s="48" t="inlineStr">
        <is>
          <t>Classe / Groupe</t>
        </is>
      </c>
      <c r="C4" s="48" t="inlineStr">
        <is>
          <t>Cycle</t>
        </is>
      </c>
      <c r="D4" s="48" t="inlineStr">
        <is>
          <t>Séances sem. A</t>
        </is>
      </c>
      <c r="E4" s="48" t="inlineStr">
        <is>
          <t>Séances sem. B</t>
        </is>
      </c>
      <c r="G4" s="48" t="inlineStr">
        <is>
          <t>Matière (libellé affiché)</t>
        </is>
      </c>
      <c r="H4" s="48" t="inlineStr">
        <is>
          <t>Normalisée</t>
        </is>
      </c>
      <c r="I4" s="48" t="inlineStr">
        <is>
          <t>Séances (total)</t>
        </is>
      </c>
      <c r="K4" s="48" t="inlineStr">
        <is>
          <t>Enseignant</t>
        </is>
      </c>
      <c r="L4" s="48" t="inlineStr">
        <is>
          <t>Séances / sem. A</t>
        </is>
      </c>
      <c r="M4" s="48" t="inlineStr">
        <is>
          <t>Heures / sem. A</t>
        </is>
      </c>
      <c r="O4" s="48" t="inlineStr">
        <is>
          <t>Salle (à compléter)</t>
        </is>
      </c>
      <c r="Q4" s="48" t="inlineStr">
        <is>
          <t>Mode</t>
        </is>
      </c>
      <c r="S4" s="48" t="inlineStr">
        <is>
          <t>Rythme</t>
        </is>
      </c>
      <c r="U4" s="48" t="inlineStr">
        <is>
          <t>Code</t>
        </is>
      </c>
      <c r="V4" s="48" t="inlineStr">
        <is>
          <t>Début</t>
        </is>
      </c>
      <c r="W4" s="48" t="inlineStr">
        <is>
          <t>Fin</t>
        </is>
      </c>
      <c r="X4" s="48" t="inlineStr">
        <is>
          <t>Parité</t>
        </is>
      </c>
      <c r="Y4" s="48" t="inlineStr">
        <is>
          <t>Période</t>
        </is>
      </c>
      <c r="Z4" s="48" t="inlineStr">
        <is>
          <t>Mois</t>
        </is>
      </c>
    </row>
    <row r="5">
      <c r="A5" s="9" t="n">
        <v>1</v>
      </c>
      <c r="B5" s="10" t="inlineStr">
        <is>
          <t>4éme</t>
        </is>
      </c>
      <c r="C5" s="10" t="inlineStr">
        <is>
          <t>Primaire</t>
        </is>
      </c>
      <c r="D5" s="10">
        <f>COUNTIFS(Planning!$C$4:$C$704,"A",Planning!$A$4:$A$704,"S5",Planning!$J$4:$J$704,$B5)</f>
        <v/>
      </c>
      <c r="E5" s="10">
        <f>COUNTIFS(Planning!$C$4:$C$704,"B",Planning!$A$4:$A$704,"S4",Planning!$J$4:$J$704,$B5)</f>
        <v/>
      </c>
      <c r="G5" s="9" t="inlineStr">
        <is>
          <t>ALGO</t>
        </is>
      </c>
      <c r="H5" s="10" t="inlineStr">
        <is>
          <t>ALGO</t>
        </is>
      </c>
      <c r="I5" s="10">
        <f>COUNTIF(Planning!$K$4:$K$704,$G5)</f>
        <v/>
      </c>
      <c r="K5" s="9" t="inlineStr">
        <is>
          <t>Abdelwaheb</t>
        </is>
      </c>
      <c r="L5" s="10">
        <f>COUNTIFS(Planning!$A$4:$A$704,"S5",Planning!$M$4:$M$704,$K5)</f>
        <v/>
      </c>
      <c r="M5" s="49">
        <f>SUMIFS(Planning!$H$4:$H$704,Planning!$A$4:$A$704,"S5",Planning!$M$4:$M$704,$K5)</f>
        <v/>
      </c>
      <c r="O5" s="9" t="n"/>
      <c r="Q5" s="9" t="inlineStr">
        <is>
          <t>Présentiel</t>
        </is>
      </c>
      <c r="S5" s="9" t="inlineStr">
        <is>
          <t>Hebdomadaire</t>
        </is>
      </c>
      <c r="U5" s="10" t="inlineStr">
        <is>
          <t>S1</t>
        </is>
      </c>
      <c r="V5" s="41" t="n">
        <v>46279</v>
      </c>
      <c r="W5" s="41" t="n">
        <v>46285</v>
      </c>
      <c r="X5" s="10" t="inlineStr">
        <is>
          <t>A</t>
        </is>
      </c>
      <c r="Y5" s="10" t="inlineStr">
        <is>
          <t>du 14 au 20 septembre 2026</t>
        </is>
      </c>
      <c r="Z5" s="10" t="inlineStr">
        <is>
          <t>Septembre</t>
        </is>
      </c>
    </row>
    <row r="6">
      <c r="A6" s="9" t="n">
        <v>2</v>
      </c>
      <c r="B6" s="10" t="inlineStr">
        <is>
          <t>5éme</t>
        </is>
      </c>
      <c r="C6" s="10" t="inlineStr">
        <is>
          <t>Primaire</t>
        </is>
      </c>
      <c r="D6" s="10">
        <f>COUNTIFS(Planning!$C$4:$C$704,"A",Planning!$A$4:$A$704,"S5",Planning!$J$4:$J$704,$B6)</f>
        <v/>
      </c>
      <c r="E6" s="10">
        <f>COUNTIFS(Planning!$C$4:$C$704,"B",Planning!$A$4:$A$704,"S4",Planning!$J$4:$J$704,$B6)</f>
        <v/>
      </c>
      <c r="G6" s="9" t="inlineStr">
        <is>
          <t>Anglais</t>
        </is>
      </c>
      <c r="H6" s="10" t="inlineStr">
        <is>
          <t>Anglais</t>
        </is>
      </c>
      <c r="I6" s="10">
        <f>COUNTIF(Planning!$K$4:$K$704,$G6)</f>
        <v/>
      </c>
      <c r="K6" s="9" t="inlineStr">
        <is>
          <t>Ahmed</t>
        </is>
      </c>
      <c r="L6" s="10">
        <f>COUNTIFS(Planning!$A$4:$A$704,"S5",Planning!$M$4:$M$704,$K6)</f>
        <v/>
      </c>
      <c r="M6" s="49">
        <f>SUMIFS(Planning!$H$4:$H$704,Planning!$A$4:$A$704,"S5",Planning!$M$4:$M$704,$K6)</f>
        <v/>
      </c>
      <c r="O6" s="9" t="n"/>
      <c r="Q6" s="9" t="inlineStr">
        <is>
          <t>En ligne</t>
        </is>
      </c>
      <c r="S6" s="9" t="inlineStr">
        <is>
          <t>Quinzaine A</t>
        </is>
      </c>
      <c r="U6" s="10" t="inlineStr">
        <is>
          <t>S2</t>
        </is>
      </c>
      <c r="V6" s="41" t="n">
        <v>46286</v>
      </c>
      <c r="W6" s="41" t="n">
        <v>46292</v>
      </c>
      <c r="X6" s="10" t="inlineStr">
        <is>
          <t>B</t>
        </is>
      </c>
      <c r="Y6" s="10" t="inlineStr">
        <is>
          <t>du 21 au 27 septembre 2026</t>
        </is>
      </c>
      <c r="Z6" s="10" t="inlineStr">
        <is>
          <t>Septembre</t>
        </is>
      </c>
    </row>
    <row r="7">
      <c r="A7" s="9" t="n">
        <v>3</v>
      </c>
      <c r="B7" s="10" t="inlineStr">
        <is>
          <t>6éme Pilote (A)</t>
        </is>
      </c>
      <c r="C7" s="10" t="inlineStr">
        <is>
          <t>Primaire</t>
        </is>
      </c>
      <c r="D7" s="10">
        <f>COUNTIFS(Planning!$C$4:$C$704,"A",Planning!$A$4:$A$704,"S5",Planning!$J$4:$J$704,$B7)</f>
        <v/>
      </c>
      <c r="E7" s="10">
        <f>COUNTIFS(Planning!$C$4:$C$704,"B",Planning!$A$4:$A$704,"S4",Planning!$J$4:$J$704,$B7)</f>
        <v/>
      </c>
      <c r="G7" s="9" t="inlineStr">
        <is>
          <t>Arabe</t>
        </is>
      </c>
      <c r="H7" s="10" t="inlineStr">
        <is>
          <t>Arabe</t>
        </is>
      </c>
      <c r="I7" s="10">
        <f>COUNTIF(Planning!$K$4:$K$704,$G7)</f>
        <v/>
      </c>
      <c r="K7" s="9" t="inlineStr">
        <is>
          <t>Amel</t>
        </is>
      </c>
      <c r="L7" s="10">
        <f>COUNTIFS(Planning!$A$4:$A$704,"S5",Planning!$M$4:$M$704,$K7)</f>
        <v/>
      </c>
      <c r="M7" s="49">
        <f>SUMIFS(Planning!$H$4:$H$704,Planning!$A$4:$A$704,"S5",Planning!$M$4:$M$704,$K7)</f>
        <v/>
      </c>
      <c r="O7" s="9" t="n"/>
      <c r="Q7" s="9" t="inlineStr">
        <is>
          <t>Hybride</t>
        </is>
      </c>
      <c r="S7" s="9" t="inlineStr">
        <is>
          <t>Quinzaine B</t>
        </is>
      </c>
      <c r="U7" s="10" t="inlineStr">
        <is>
          <t>S3</t>
        </is>
      </c>
      <c r="V7" s="41" t="n">
        <v>46293</v>
      </c>
      <c r="W7" s="41" t="n">
        <v>46299</v>
      </c>
      <c r="X7" s="10" t="inlineStr">
        <is>
          <t>A</t>
        </is>
      </c>
      <c r="Y7" s="10" t="inlineStr">
        <is>
          <t>du 28 septembre au 4 octobre 2026</t>
        </is>
      </c>
      <c r="Z7" s="10" t="inlineStr">
        <is>
          <t>Référence</t>
        </is>
      </c>
    </row>
    <row r="8">
      <c r="A8" s="9" t="n">
        <v>4</v>
      </c>
      <c r="B8" s="10" t="inlineStr">
        <is>
          <t>6éme (B)</t>
        </is>
      </c>
      <c r="C8" s="10" t="inlineStr">
        <is>
          <t>Primaire</t>
        </is>
      </c>
      <c r="D8" s="10">
        <f>COUNTIFS(Planning!$C$4:$C$704,"A",Planning!$A$4:$A$704,"S5",Planning!$J$4:$J$704,$B8)</f>
        <v/>
      </c>
      <c r="E8" s="10">
        <f>COUNTIFS(Planning!$C$4:$C$704,"B",Planning!$A$4:$A$704,"S4",Planning!$J$4:$J$704,$B8)</f>
        <v/>
      </c>
      <c r="G8" s="9" t="inlineStr">
        <is>
          <t>Eco</t>
        </is>
      </c>
      <c r="H8" s="10" t="inlineStr">
        <is>
          <t>Eco</t>
        </is>
      </c>
      <c r="I8" s="10">
        <f>COUNTIF(Planning!$K$4:$K$704,$G8)</f>
        <v/>
      </c>
      <c r="K8" s="9" t="inlineStr">
        <is>
          <t>Awatef</t>
        </is>
      </c>
      <c r="L8" s="10">
        <f>COUNTIFS(Planning!$A$4:$A$704,"S5",Planning!$M$4:$M$704,$K8)</f>
        <v/>
      </c>
      <c r="M8" s="49">
        <f>SUMIFS(Planning!$H$4:$H$704,Planning!$A$4:$A$704,"S5",Planning!$M$4:$M$704,$K8)</f>
        <v/>
      </c>
      <c r="O8" s="9" t="n"/>
      <c r="S8" s="9" t="inlineStr">
        <is>
          <t>Exception</t>
        </is>
      </c>
      <c r="U8" s="10" t="inlineStr">
        <is>
          <t>S4</t>
        </is>
      </c>
      <c r="V8" s="41" t="n">
        <v>46300</v>
      </c>
      <c r="W8" s="41" t="n">
        <v>46306</v>
      </c>
      <c r="X8" s="10" t="inlineStr">
        <is>
          <t>B</t>
        </is>
      </c>
      <c r="Y8" s="10" t="inlineStr">
        <is>
          <t>du 5 au 11 octobre 2026</t>
        </is>
      </c>
      <c r="Z8" s="10" t="inlineStr">
        <is>
          <t>Octobre</t>
        </is>
      </c>
    </row>
    <row r="9">
      <c r="A9" s="9" t="n">
        <v>5</v>
      </c>
      <c r="B9" s="10" t="inlineStr">
        <is>
          <t>7éme (A)</t>
        </is>
      </c>
      <c r="C9" s="10" t="inlineStr">
        <is>
          <t>Collège</t>
        </is>
      </c>
      <c r="D9" s="10">
        <f>COUNTIFS(Planning!$C$4:$C$704,"A",Planning!$A$4:$A$704,"S5",Planning!$J$4:$J$704,$B9)</f>
        <v/>
      </c>
      <c r="E9" s="10">
        <f>COUNTIFS(Planning!$C$4:$C$704,"B",Planning!$A$4:$A$704,"S4",Planning!$J$4:$J$704,$B9)</f>
        <v/>
      </c>
      <c r="G9" s="9" t="inlineStr">
        <is>
          <t>Espagnol</t>
        </is>
      </c>
      <c r="H9" s="10" t="inlineStr">
        <is>
          <t>Espagnol</t>
        </is>
      </c>
      <c r="I9" s="10">
        <f>COUNTIF(Planning!$K$4:$K$704,$G9)</f>
        <v/>
      </c>
      <c r="K9" s="9" t="inlineStr">
        <is>
          <t>Aymen</t>
        </is>
      </c>
      <c r="L9" s="10">
        <f>COUNTIFS(Planning!$A$4:$A$704,"S5",Planning!$M$4:$M$704,$K9)</f>
        <v/>
      </c>
      <c r="M9" s="49">
        <f>SUMIFS(Planning!$H$4:$H$704,Planning!$A$4:$A$704,"S5",Planning!$M$4:$M$704,$K9)</f>
        <v/>
      </c>
      <c r="O9" s="9" t="n"/>
      <c r="S9" s="9" t="inlineStr">
        <is>
          <t>Ponctuelle / modifiée</t>
        </is>
      </c>
      <c r="U9" s="10" t="inlineStr">
        <is>
          <t>S5</t>
        </is>
      </c>
      <c r="V9" s="41" t="n">
        <v>46307</v>
      </c>
      <c r="W9" s="41" t="n">
        <v>46313</v>
      </c>
      <c r="X9" s="10" t="inlineStr">
        <is>
          <t>A</t>
        </is>
      </c>
      <c r="Y9" s="10" t="inlineStr">
        <is>
          <t>du 12 au 18 octobre 2026</t>
        </is>
      </c>
      <c r="Z9" s="10" t="inlineStr">
        <is>
          <t>Octobre</t>
        </is>
      </c>
    </row>
    <row r="10">
      <c r="A10" s="9" t="n">
        <v>6</v>
      </c>
      <c r="B10" s="10" t="inlineStr">
        <is>
          <t>7éme (B)</t>
        </is>
      </c>
      <c r="C10" s="10" t="inlineStr">
        <is>
          <t>Collège</t>
        </is>
      </c>
      <c r="D10" s="10">
        <f>COUNTIFS(Planning!$C$4:$C$704,"A",Planning!$A$4:$A$704,"S5",Planning!$J$4:$J$704,$B10)</f>
        <v/>
      </c>
      <c r="E10" s="10">
        <f>COUNTIFS(Planning!$C$4:$C$704,"B",Planning!$A$4:$A$704,"S4",Planning!$J$4:$J$704,$B10)</f>
        <v/>
      </c>
      <c r="G10" s="9" t="inlineStr">
        <is>
          <t>Français</t>
        </is>
      </c>
      <c r="H10" s="10" t="inlineStr">
        <is>
          <t>Français</t>
        </is>
      </c>
      <c r="I10" s="10">
        <f>COUNTIF(Planning!$K$4:$K$704,$G10)</f>
        <v/>
      </c>
      <c r="K10" s="9" t="inlineStr">
        <is>
          <t>Bassma</t>
        </is>
      </c>
      <c r="L10" s="10">
        <f>COUNTIFS(Planning!$A$4:$A$704,"S5",Planning!$M$4:$M$704,$K10)</f>
        <v/>
      </c>
      <c r="M10" s="49">
        <f>SUMIFS(Planning!$H$4:$H$704,Planning!$A$4:$A$704,"S5",Planning!$M$4:$M$704,$K10)</f>
        <v/>
      </c>
      <c r="O10" s="9" t="n"/>
      <c r="U10" s="10" t="inlineStr">
        <is>
          <t>S6</t>
        </is>
      </c>
      <c r="V10" s="41" t="n">
        <v>46314</v>
      </c>
      <c r="W10" s="41" t="n">
        <v>46320</v>
      </c>
      <c r="X10" s="10" t="inlineStr">
        <is>
          <t>B</t>
        </is>
      </c>
      <c r="Y10" s="10" t="inlineStr">
        <is>
          <t>du 19 au 25 octobre 2026</t>
        </is>
      </c>
      <c r="Z10" s="10" t="inlineStr">
        <is>
          <t>Octobre</t>
        </is>
      </c>
    </row>
    <row r="11">
      <c r="A11" s="9" t="n">
        <v>7</v>
      </c>
      <c r="B11" s="10" t="inlineStr">
        <is>
          <t>8éme (A)</t>
        </is>
      </c>
      <c r="C11" s="10" t="inlineStr">
        <is>
          <t>Collège</t>
        </is>
      </c>
      <c r="D11" s="10">
        <f>COUNTIFS(Planning!$C$4:$C$704,"A",Planning!$A$4:$A$704,"S5",Planning!$J$4:$J$704,$B11)</f>
        <v/>
      </c>
      <c r="E11" s="10">
        <f>COUNTIFS(Planning!$C$4:$C$704,"B",Planning!$A$4:$A$704,"S4",Planning!$J$4:$J$704,$B11)</f>
        <v/>
      </c>
      <c r="G11" s="9" t="inlineStr">
        <is>
          <t>Gestion</t>
        </is>
      </c>
      <c r="H11" s="10" t="inlineStr">
        <is>
          <t>Gestion</t>
        </is>
      </c>
      <c r="I11" s="10">
        <f>COUNTIF(Planning!$K$4:$K$704,$G11)</f>
        <v/>
      </c>
      <c r="K11" s="9" t="inlineStr">
        <is>
          <t>Faouzi</t>
        </is>
      </c>
      <c r="L11" s="10">
        <f>COUNTIFS(Planning!$A$4:$A$704,"S5",Planning!$M$4:$M$704,$K11)</f>
        <v/>
      </c>
      <c r="M11" s="49">
        <f>SUMIFS(Planning!$H$4:$H$704,Planning!$A$4:$A$704,"S5",Planning!$M$4:$M$704,$K11)</f>
        <v/>
      </c>
      <c r="O11" s="9" t="n"/>
      <c r="U11" s="10" t="inlineStr">
        <is>
          <t>S7</t>
        </is>
      </c>
      <c r="V11" s="41" t="n">
        <v>46321</v>
      </c>
      <c r="W11" s="41" t="n">
        <v>46327</v>
      </c>
      <c r="X11" s="10" t="inlineStr">
        <is>
          <t>A</t>
        </is>
      </c>
      <c r="Y11" s="10" t="inlineStr">
        <is>
          <t>du 26 octobre au 1er novembre 2026</t>
        </is>
      </c>
      <c r="Z11" s="10" t="inlineStr">
        <is>
          <t>Octobre</t>
        </is>
      </c>
    </row>
    <row r="12">
      <c r="A12" s="9" t="n">
        <v>8</v>
      </c>
      <c r="B12" s="10" t="inlineStr">
        <is>
          <t>8éme (B)</t>
        </is>
      </c>
      <c r="C12" s="10" t="inlineStr">
        <is>
          <t>Collège</t>
        </is>
      </c>
      <c r="D12" s="10">
        <f>COUNTIFS(Planning!$C$4:$C$704,"A",Planning!$A$4:$A$704,"S5",Planning!$J$4:$J$704,$B12)</f>
        <v/>
      </c>
      <c r="E12" s="10">
        <f>COUNTIFS(Planning!$C$4:$C$704,"B",Planning!$A$4:$A$704,"S4",Planning!$J$4:$J$704,$B12)</f>
        <v/>
      </c>
      <c r="G12" s="9" t="inlineStr">
        <is>
          <t>Géographie</t>
        </is>
      </c>
      <c r="H12" s="10" t="inlineStr">
        <is>
          <t>Géographie</t>
        </is>
      </c>
      <c r="I12" s="10">
        <f>COUNTIF(Planning!$K$4:$K$704,$G12)</f>
        <v/>
      </c>
      <c r="K12" s="9" t="inlineStr">
        <is>
          <t>Fayssel</t>
        </is>
      </c>
      <c r="L12" s="10">
        <f>COUNTIFS(Planning!$A$4:$A$704,"S5",Planning!$M$4:$M$704,$K12)</f>
        <v/>
      </c>
      <c r="M12" s="49">
        <f>SUMIFS(Planning!$H$4:$H$704,Planning!$A$4:$A$704,"S5",Planning!$M$4:$M$704,$K12)</f>
        <v/>
      </c>
      <c r="O12" s="9" t="n"/>
    </row>
    <row r="13">
      <c r="A13" s="9" t="n">
        <v>9</v>
      </c>
      <c r="B13" s="10" t="inlineStr">
        <is>
          <t>8éme (C)</t>
        </is>
      </c>
      <c r="C13" s="10" t="inlineStr">
        <is>
          <t>Collège</t>
        </is>
      </c>
      <c r="D13" s="10">
        <f>COUNTIFS(Planning!$C$4:$C$704,"A",Planning!$A$4:$A$704,"S5",Planning!$J$4:$J$704,$B13)</f>
        <v/>
      </c>
      <c r="E13" s="10">
        <f>COUNTIFS(Planning!$C$4:$C$704,"B",Planning!$A$4:$A$704,"S4",Planning!$J$4:$J$704,$B13)</f>
        <v/>
      </c>
      <c r="G13" s="9" t="inlineStr">
        <is>
          <t>Histoire</t>
        </is>
      </c>
      <c r="H13" s="10" t="inlineStr">
        <is>
          <t>Histoire</t>
        </is>
      </c>
      <c r="I13" s="10">
        <f>COUNTIF(Planning!$K$4:$K$704,$G13)</f>
        <v/>
      </c>
      <c r="K13" s="9" t="inlineStr">
        <is>
          <t>Hajer</t>
        </is>
      </c>
      <c r="L13" s="10">
        <f>COUNTIFS(Planning!$A$4:$A$704,"S5",Planning!$M$4:$M$704,$K13)</f>
        <v/>
      </c>
      <c r="M13" s="49">
        <f>SUMIFS(Planning!$H$4:$H$704,Planning!$A$4:$A$704,"S5",Planning!$M$4:$M$704,$K13)</f>
        <v/>
      </c>
      <c r="O13" s="9" t="n"/>
    </row>
    <row r="14">
      <c r="A14" s="9" t="n">
        <v>10</v>
      </c>
      <c r="B14" s="10" t="inlineStr">
        <is>
          <t>9éme (A)</t>
        </is>
      </c>
      <c r="C14" s="10" t="inlineStr">
        <is>
          <t>Collège</t>
        </is>
      </c>
      <c r="D14" s="10">
        <f>COUNTIFS(Planning!$C$4:$C$704,"A",Planning!$A$4:$A$704,"S5",Planning!$J$4:$J$704,$B14)</f>
        <v/>
      </c>
      <c r="E14" s="10">
        <f>COUNTIFS(Planning!$C$4:$C$704,"B",Planning!$A$4:$A$704,"S4",Planning!$J$4:$J$704,$B14)</f>
        <v/>
      </c>
      <c r="G14" s="9" t="inlineStr">
        <is>
          <t>Informatique</t>
        </is>
      </c>
      <c r="H14" s="10" t="inlineStr">
        <is>
          <t>Informatique</t>
        </is>
      </c>
      <c r="I14" s="10">
        <f>COUNTIF(Planning!$K$4:$K$704,$G14)</f>
        <v/>
      </c>
      <c r="K14" s="9" t="inlineStr">
        <is>
          <t>Haythem</t>
        </is>
      </c>
      <c r="L14" s="10">
        <f>COUNTIFS(Planning!$A$4:$A$704,"S5",Planning!$M$4:$M$704,$K14)</f>
        <v/>
      </c>
      <c r="M14" s="49">
        <f>SUMIFS(Planning!$H$4:$H$704,Planning!$A$4:$A$704,"S5",Planning!$M$4:$M$704,$K14)</f>
        <v/>
      </c>
      <c r="O14" s="9" t="n"/>
    </row>
    <row r="15">
      <c r="A15" s="9" t="n">
        <v>11</v>
      </c>
      <c r="B15" s="10" t="inlineStr">
        <is>
          <t>9éme (B)</t>
        </is>
      </c>
      <c r="C15" s="10" t="inlineStr">
        <is>
          <t>Collège</t>
        </is>
      </c>
      <c r="D15" s="10">
        <f>COUNTIFS(Planning!$C$4:$C$704,"A",Planning!$A$4:$A$704,"S5",Planning!$J$4:$J$704,$B15)</f>
        <v/>
      </c>
      <c r="E15" s="10">
        <f>COUNTIFS(Planning!$C$4:$C$704,"B",Planning!$A$4:$A$704,"S4",Planning!$J$4:$J$704,$B15)</f>
        <v/>
      </c>
      <c r="G15" s="9" t="inlineStr">
        <is>
          <t>Italien</t>
        </is>
      </c>
      <c r="H15" s="10" t="inlineStr">
        <is>
          <t>Italien</t>
        </is>
      </c>
      <c r="I15" s="10">
        <f>COUNTIF(Planning!$K$4:$K$704,$G15)</f>
        <v/>
      </c>
      <c r="K15" s="9" t="inlineStr">
        <is>
          <t>Hend</t>
        </is>
      </c>
      <c r="L15" s="10">
        <f>COUNTIFS(Planning!$A$4:$A$704,"S5",Planning!$M$4:$M$704,$K15)</f>
        <v/>
      </c>
      <c r="M15" s="49">
        <f>SUMIFS(Planning!$H$4:$H$704,Planning!$A$4:$A$704,"S5",Planning!$M$4:$M$704,$K15)</f>
        <v/>
      </c>
      <c r="O15" s="9" t="n"/>
    </row>
    <row r="16">
      <c r="A16" s="9" t="n">
        <v>12</v>
      </c>
      <c r="B16" s="10" t="inlineStr">
        <is>
          <t>9éme (C)</t>
        </is>
      </c>
      <c r="C16" s="10" t="inlineStr">
        <is>
          <t>Collège</t>
        </is>
      </c>
      <c r="D16" s="10">
        <f>COUNTIFS(Planning!$C$4:$C$704,"A",Planning!$A$4:$A$704,"S5",Planning!$J$4:$J$704,$B16)</f>
        <v/>
      </c>
      <c r="E16" s="10">
        <f>COUNTIFS(Planning!$C$4:$C$704,"B",Planning!$A$4:$A$704,"S4",Planning!$J$4:$J$704,$B16)</f>
        <v/>
      </c>
      <c r="G16" s="9" t="inlineStr">
        <is>
          <t>Math</t>
        </is>
      </c>
      <c r="H16" s="10" t="inlineStr">
        <is>
          <t>Math</t>
        </is>
      </c>
      <c r="I16" s="10">
        <f>COUNTIF(Planning!$K$4:$K$704,$G16)</f>
        <v/>
      </c>
      <c r="K16" s="9" t="inlineStr">
        <is>
          <t>Heni</t>
        </is>
      </c>
      <c r="L16" s="10">
        <f>COUNTIFS(Planning!$A$4:$A$704,"S5",Planning!$M$4:$M$704,$K16)</f>
        <v/>
      </c>
      <c r="M16" s="49">
        <f>SUMIFS(Planning!$H$4:$H$704,Planning!$A$4:$A$704,"S5",Planning!$M$4:$M$704,$K16)</f>
        <v/>
      </c>
      <c r="O16" s="9" t="n"/>
    </row>
    <row r="17">
      <c r="A17" s="9" t="n">
        <v>13</v>
      </c>
      <c r="B17" s="10" t="inlineStr">
        <is>
          <t>1ére (A)</t>
        </is>
      </c>
      <c r="C17" s="10" t="inlineStr">
        <is>
          <t>Secondaire</t>
        </is>
      </c>
      <c r="D17" s="10">
        <f>COUNTIFS(Planning!$C$4:$C$704,"A",Planning!$A$4:$A$704,"S5",Planning!$J$4:$J$704,$B17)</f>
        <v/>
      </c>
      <c r="E17" s="10">
        <f>COUNTIFS(Planning!$C$4:$C$704,"B",Planning!$A$4:$A$704,"S4",Planning!$J$4:$J$704,$B17)</f>
        <v/>
      </c>
      <c r="G17" s="9" t="inlineStr">
        <is>
          <t>Philo</t>
        </is>
      </c>
      <c r="H17" s="10" t="inlineStr">
        <is>
          <t>Philo</t>
        </is>
      </c>
      <c r="I17" s="10">
        <f>COUNTIF(Planning!$K$4:$K$704,$G17)</f>
        <v/>
      </c>
      <c r="K17" s="9" t="inlineStr">
        <is>
          <t>Imen</t>
        </is>
      </c>
      <c r="L17" s="10">
        <f>COUNTIFS(Planning!$A$4:$A$704,"S5",Planning!$M$4:$M$704,$K17)</f>
        <v/>
      </c>
      <c r="M17" s="49">
        <f>SUMIFS(Planning!$H$4:$H$704,Planning!$A$4:$A$704,"S5",Planning!$M$4:$M$704,$K17)</f>
        <v/>
      </c>
    </row>
    <row r="18">
      <c r="A18" s="9" t="n">
        <v>14</v>
      </c>
      <c r="B18" s="10" t="inlineStr">
        <is>
          <t>1ére (B)</t>
        </is>
      </c>
      <c r="C18" s="10" t="inlineStr">
        <is>
          <t>Secondaire</t>
        </is>
      </c>
      <c r="D18" s="10">
        <f>COUNTIFS(Planning!$C$4:$C$704,"A",Planning!$A$4:$A$704,"S5",Planning!$J$4:$J$704,$B18)</f>
        <v/>
      </c>
      <c r="E18" s="10">
        <f>COUNTIFS(Planning!$C$4:$C$704,"B",Planning!$A$4:$A$704,"S4",Planning!$J$4:$J$704,$B18)</f>
        <v/>
      </c>
      <c r="G18" s="9" t="inlineStr">
        <is>
          <t>Physique</t>
        </is>
      </c>
      <c r="H18" s="10" t="inlineStr">
        <is>
          <t>Physique</t>
        </is>
      </c>
      <c r="I18" s="10">
        <f>COUNTIF(Planning!$K$4:$K$704,$G18)</f>
        <v/>
      </c>
      <c r="K18" s="9" t="inlineStr">
        <is>
          <t>Imen Ben Lazrak</t>
        </is>
      </c>
      <c r="L18" s="10">
        <f>COUNTIFS(Planning!$A$4:$A$704,"S5",Planning!$M$4:$M$704,$K18)</f>
        <v/>
      </c>
      <c r="M18" s="49">
        <f>SUMIFS(Planning!$H$4:$H$704,Planning!$A$4:$A$704,"S5",Planning!$M$4:$M$704,$K18)</f>
        <v/>
      </c>
    </row>
    <row r="19">
      <c r="A19" s="9" t="n">
        <v>15</v>
      </c>
      <c r="B19" s="10" t="inlineStr">
        <is>
          <t>2éme Eco</t>
        </is>
      </c>
      <c r="C19" s="10" t="inlineStr">
        <is>
          <t>Secondaire</t>
        </is>
      </c>
      <c r="D19" s="10">
        <f>COUNTIFS(Planning!$C$4:$C$704,"A",Planning!$A$4:$A$704,"S5",Planning!$J$4:$J$704,$B19)</f>
        <v/>
      </c>
      <c r="E19" s="10">
        <f>COUNTIFS(Planning!$C$4:$C$704,"B",Planning!$A$4:$A$704,"S4",Planning!$J$4:$J$704,$B19)</f>
        <v/>
      </c>
      <c r="G19" s="9" t="inlineStr">
        <is>
          <t>STI</t>
        </is>
      </c>
      <c r="H19" s="10" t="inlineStr">
        <is>
          <t>STI</t>
        </is>
      </c>
      <c r="I19" s="10">
        <f>COUNTIF(Planning!$K$4:$K$704,$G19)</f>
        <v/>
      </c>
      <c r="K19" s="9" t="inlineStr">
        <is>
          <t>Imen Bennour</t>
        </is>
      </c>
      <c r="L19" s="10">
        <f>COUNTIFS(Planning!$A$4:$A$704,"S5",Planning!$M$4:$M$704,$K19)</f>
        <v/>
      </c>
      <c r="M19" s="49">
        <f>SUMIFS(Planning!$H$4:$H$704,Planning!$A$4:$A$704,"S5",Planning!$M$4:$M$704,$K19)</f>
        <v/>
      </c>
    </row>
    <row r="20">
      <c r="A20" s="9" t="n">
        <v>16</v>
      </c>
      <c r="B20" s="10" t="inlineStr">
        <is>
          <t>2éme SCE</t>
        </is>
      </c>
      <c r="C20" s="10" t="inlineStr">
        <is>
          <t>Secondaire</t>
        </is>
      </c>
      <c r="D20" s="10">
        <f>COUNTIFS(Planning!$C$4:$C$704,"A",Planning!$A$4:$A$704,"S5",Planning!$J$4:$J$704,$B20)</f>
        <v/>
      </c>
      <c r="E20" s="10">
        <f>COUNTIFS(Planning!$C$4:$C$704,"B",Planning!$A$4:$A$704,"S4",Planning!$J$4:$J$704,$B20)</f>
        <v/>
      </c>
      <c r="G20" s="9" t="inlineStr">
        <is>
          <t>SVT</t>
        </is>
      </c>
      <c r="H20" s="10" t="inlineStr">
        <is>
          <t>SVT</t>
        </is>
      </c>
      <c r="I20" s="10">
        <f>COUNTIF(Planning!$K$4:$K$704,$G20)</f>
        <v/>
      </c>
      <c r="K20" s="9" t="inlineStr">
        <is>
          <t>Imen Ghoumem</t>
        </is>
      </c>
      <c r="L20" s="10">
        <f>COUNTIFS(Planning!$A$4:$A$704,"S5",Planning!$M$4:$M$704,$K20)</f>
        <v/>
      </c>
      <c r="M20" s="49">
        <f>SUMIFS(Planning!$H$4:$H$704,Planning!$A$4:$A$704,"S5",Planning!$M$4:$M$704,$K20)</f>
        <v/>
      </c>
    </row>
    <row r="21">
      <c r="A21" s="9" t="n">
        <v>17</v>
      </c>
      <c r="B21" s="10" t="inlineStr">
        <is>
          <t>2éme INFO</t>
        </is>
      </c>
      <c r="C21" s="10" t="inlineStr">
        <is>
          <t>Secondaire</t>
        </is>
      </c>
      <c r="D21" s="10">
        <f>COUNTIFS(Planning!$C$4:$C$704,"A",Planning!$A$4:$A$704,"S5",Planning!$J$4:$J$704,$B21)</f>
        <v/>
      </c>
      <c r="E21" s="10">
        <f>COUNTIFS(Planning!$C$4:$C$704,"B",Planning!$A$4:$A$704,"S4",Planning!$J$4:$J$704,$B21)</f>
        <v/>
      </c>
      <c r="G21" s="9" t="inlineStr">
        <is>
          <t>إيقاظ علمي</t>
        </is>
      </c>
      <c r="H21" s="10" t="inlineStr">
        <is>
          <t>Éveil scientifique</t>
        </is>
      </c>
      <c r="I21" s="10">
        <f>COUNTIF(Planning!$K$4:$K$704,$G21)</f>
        <v/>
      </c>
      <c r="K21" s="9" t="inlineStr">
        <is>
          <t>Imen Ghoumeme</t>
        </is>
      </c>
      <c r="L21" s="10">
        <f>COUNTIFS(Planning!$A$4:$A$704,"S5",Planning!$M$4:$M$704,$K21)</f>
        <v/>
      </c>
      <c r="M21" s="49">
        <f>SUMIFS(Planning!$H$4:$H$704,Planning!$A$4:$A$704,"S5",Planning!$M$4:$M$704,$K21)</f>
        <v/>
      </c>
    </row>
    <row r="22">
      <c r="A22" s="9" t="n">
        <v>18</v>
      </c>
      <c r="B22" s="10" t="inlineStr">
        <is>
          <t>3éme Eco</t>
        </is>
      </c>
      <c r="C22" s="10" t="inlineStr">
        <is>
          <t>Secondaire</t>
        </is>
      </c>
      <c r="D22" s="10">
        <f>COUNTIFS(Planning!$C$4:$C$704,"A",Planning!$A$4:$A$704,"S5",Planning!$J$4:$J$704,$B22)</f>
        <v/>
      </c>
      <c r="E22" s="10">
        <f>COUNTIFS(Planning!$C$4:$C$704,"B",Planning!$A$4:$A$704,"S4",Planning!$J$4:$J$704,$B22)</f>
        <v/>
      </c>
      <c r="G22" s="9" t="inlineStr">
        <is>
          <t>رياضيات</t>
        </is>
      </c>
      <c r="H22" s="10" t="inlineStr">
        <is>
          <t>Math</t>
        </is>
      </c>
      <c r="I22" s="10">
        <f>COUNTIF(Planning!$K$4:$K$704,$G22)</f>
        <v/>
      </c>
      <c r="K22" s="9" t="inlineStr">
        <is>
          <t>Imen Jribi</t>
        </is>
      </c>
      <c r="L22" s="10">
        <f>COUNTIFS(Planning!$A$4:$A$704,"S5",Planning!$M$4:$M$704,$K22)</f>
        <v/>
      </c>
      <c r="M22" s="49">
        <f>SUMIFS(Planning!$H$4:$H$704,Planning!$A$4:$A$704,"S5",Planning!$M$4:$M$704,$K22)</f>
        <v/>
      </c>
    </row>
    <row r="23">
      <c r="A23" s="9" t="n">
        <v>19</v>
      </c>
      <c r="B23" s="10" t="inlineStr">
        <is>
          <t>3éme INFO</t>
        </is>
      </c>
      <c r="C23" s="10" t="inlineStr">
        <is>
          <t>Secondaire</t>
        </is>
      </c>
      <c r="D23" s="10">
        <f>COUNTIFS(Planning!$C$4:$C$704,"A",Planning!$A$4:$A$704,"S5",Planning!$J$4:$J$704,$B23)</f>
        <v/>
      </c>
      <c r="E23" s="10">
        <f>COUNTIFS(Planning!$C$4:$C$704,"B",Planning!$A$4:$A$704,"S4",Planning!$J$4:$J$704,$B23)</f>
        <v/>
      </c>
      <c r="G23" s="9" t="inlineStr">
        <is>
          <t>عربية</t>
        </is>
      </c>
      <c r="H23" s="10" t="inlineStr">
        <is>
          <t>Arabe</t>
        </is>
      </c>
      <c r="I23" s="10">
        <f>COUNTIF(Planning!$K$4:$K$704,$G23)</f>
        <v/>
      </c>
      <c r="K23" s="9" t="inlineStr">
        <is>
          <t>Khaled</t>
        </is>
      </c>
      <c r="L23" s="10">
        <f>COUNTIFS(Planning!$A$4:$A$704,"S5",Planning!$M$4:$M$704,$K23)</f>
        <v/>
      </c>
      <c r="M23" s="49">
        <f>SUMIFS(Planning!$H$4:$H$704,Planning!$A$4:$A$704,"S5",Planning!$M$4:$M$704,$K23)</f>
        <v/>
      </c>
    </row>
    <row r="24">
      <c r="A24" s="9" t="n">
        <v>20</v>
      </c>
      <c r="B24" s="10" t="inlineStr">
        <is>
          <t>3éme SCE</t>
        </is>
      </c>
      <c r="C24" s="10" t="inlineStr">
        <is>
          <t>Secondaire</t>
        </is>
      </c>
      <c r="D24" s="10">
        <f>COUNTIFS(Planning!$C$4:$C$704,"A",Planning!$A$4:$A$704,"S5",Planning!$J$4:$J$704,$B24)</f>
        <v/>
      </c>
      <c r="E24" s="10">
        <f>COUNTIFS(Planning!$C$4:$C$704,"B",Planning!$A$4:$A$704,"S4",Planning!$J$4:$J$704,$B24)</f>
        <v/>
      </c>
      <c r="G24" s="9" t="inlineStr">
        <is>
          <t>فيزياء</t>
        </is>
      </c>
      <c r="H24" s="10" t="inlineStr">
        <is>
          <t>Physique</t>
        </is>
      </c>
      <c r="I24" s="10">
        <f>COUNTIF(Planning!$K$4:$K$704,$G24)</f>
        <v/>
      </c>
      <c r="K24" s="9" t="inlineStr">
        <is>
          <t>Khouloud</t>
        </is>
      </c>
      <c r="L24" s="10">
        <f>COUNTIFS(Planning!$A$4:$A$704,"S5",Planning!$M$4:$M$704,$K24)</f>
        <v/>
      </c>
      <c r="M24" s="49">
        <f>SUMIFS(Planning!$H$4:$H$704,Planning!$A$4:$A$704,"S5",Planning!$M$4:$M$704,$K24)</f>
        <v/>
      </c>
    </row>
    <row r="25">
      <c r="A25" s="9" t="n">
        <v>21</v>
      </c>
      <c r="B25" s="10" t="inlineStr">
        <is>
          <t>Bac Eco</t>
        </is>
      </c>
      <c r="C25" s="10" t="inlineStr">
        <is>
          <t>Bac</t>
        </is>
      </c>
      <c r="D25" s="10">
        <f>COUNTIFS(Planning!$C$4:$C$704,"A",Planning!$A$4:$A$704,"S5",Planning!$J$4:$J$704,$B25)</f>
        <v/>
      </c>
      <c r="E25" s="10">
        <f>COUNTIFS(Planning!$C$4:$C$704,"B",Planning!$A$4:$A$704,"S4",Planning!$J$4:$J$704,$B25)</f>
        <v/>
      </c>
      <c r="K25" s="9" t="inlineStr">
        <is>
          <t>Lobna</t>
        </is>
      </c>
      <c r="L25" s="10">
        <f>COUNTIFS(Planning!$A$4:$A$704,"S5",Planning!$M$4:$M$704,$K25)</f>
        <v/>
      </c>
      <c r="M25" s="49">
        <f>SUMIFS(Planning!$H$4:$H$704,Planning!$A$4:$A$704,"S5",Planning!$M$4:$M$704,$K25)</f>
        <v/>
      </c>
    </row>
    <row r="26">
      <c r="A26" s="9" t="n">
        <v>22</v>
      </c>
      <c r="B26" s="10" t="inlineStr">
        <is>
          <t>Bac SCE</t>
        </is>
      </c>
      <c r="C26" s="10" t="inlineStr">
        <is>
          <t>Bac</t>
        </is>
      </c>
      <c r="D26" s="10">
        <f>COUNTIFS(Planning!$C$4:$C$704,"A",Planning!$A$4:$A$704,"S5",Planning!$J$4:$J$704,$B26)</f>
        <v/>
      </c>
      <c r="E26" s="10">
        <f>COUNTIFS(Planning!$C$4:$C$704,"B",Planning!$A$4:$A$704,"S4",Planning!$J$4:$J$704,$B26)</f>
        <v/>
      </c>
      <c r="K26" s="9" t="inlineStr">
        <is>
          <t>Lotfi</t>
        </is>
      </c>
      <c r="L26" s="10">
        <f>COUNTIFS(Planning!$A$4:$A$704,"S5",Planning!$M$4:$M$704,$K26)</f>
        <v/>
      </c>
      <c r="M26" s="49">
        <f>SUMIFS(Planning!$H$4:$H$704,Planning!$A$4:$A$704,"S5",Planning!$M$4:$M$704,$K26)</f>
        <v/>
      </c>
    </row>
    <row r="27">
      <c r="A27" s="9" t="n">
        <v>23</v>
      </c>
      <c r="B27" s="10" t="inlineStr">
        <is>
          <t>Bac INFO</t>
        </is>
      </c>
      <c r="C27" s="10" t="inlineStr">
        <is>
          <t>Bac</t>
        </is>
      </c>
      <c r="D27" s="10">
        <f>COUNTIFS(Planning!$C$4:$C$704,"A",Planning!$A$4:$A$704,"S5",Planning!$J$4:$J$704,$B27)</f>
        <v/>
      </c>
      <c r="E27" s="10">
        <f>COUNTIFS(Planning!$C$4:$C$704,"B",Planning!$A$4:$A$704,"S4",Planning!$J$4:$J$704,$B27)</f>
        <v/>
      </c>
      <c r="K27" s="9" t="inlineStr">
        <is>
          <t>Marwa</t>
        </is>
      </c>
      <c r="L27" s="10">
        <f>COUNTIFS(Planning!$A$4:$A$704,"S5",Planning!$M$4:$M$704,$K27)</f>
        <v/>
      </c>
      <c r="M27" s="49">
        <f>SUMIFS(Planning!$H$4:$H$704,Planning!$A$4:$A$704,"S5",Planning!$M$4:$M$704,$K27)</f>
        <v/>
      </c>
    </row>
    <row r="28">
      <c r="K28" s="9" t="inlineStr">
        <is>
          <t>Melek</t>
        </is>
      </c>
      <c r="L28" s="10">
        <f>COUNTIFS(Planning!$A$4:$A$704,"S5",Planning!$M$4:$M$704,$K28)</f>
        <v/>
      </c>
      <c r="M28" s="49">
        <f>SUMIFS(Planning!$H$4:$H$704,Planning!$A$4:$A$704,"S5",Planning!$M$4:$M$704,$K28)</f>
        <v/>
      </c>
    </row>
    <row r="29">
      <c r="K29" s="9" t="inlineStr">
        <is>
          <t>Nabil</t>
        </is>
      </c>
      <c r="L29" s="10">
        <f>COUNTIFS(Planning!$A$4:$A$704,"S5",Planning!$M$4:$M$704,$K29)</f>
        <v/>
      </c>
      <c r="M29" s="49">
        <f>SUMIFS(Planning!$H$4:$H$704,Planning!$A$4:$A$704,"S5",Planning!$M$4:$M$704,$K29)</f>
        <v/>
      </c>
    </row>
    <row r="30">
      <c r="K30" s="9" t="inlineStr">
        <is>
          <t>Najet</t>
        </is>
      </c>
      <c r="L30" s="10">
        <f>COUNTIFS(Planning!$A$4:$A$704,"S5",Planning!$M$4:$M$704,$K30)</f>
        <v/>
      </c>
      <c r="M30" s="49">
        <f>SUMIFS(Planning!$H$4:$H$704,Planning!$A$4:$A$704,"S5",Planning!$M$4:$M$704,$K30)</f>
        <v/>
      </c>
    </row>
    <row r="31">
      <c r="K31" s="9" t="inlineStr">
        <is>
          <t>Nassima</t>
        </is>
      </c>
      <c r="L31" s="10">
        <f>COUNTIFS(Planning!$A$4:$A$704,"S5",Planning!$M$4:$M$704,$K31)</f>
        <v/>
      </c>
      <c r="M31" s="49">
        <f>SUMIFS(Planning!$H$4:$H$704,Planning!$A$4:$A$704,"S5",Planning!$M$4:$M$704,$K31)</f>
        <v/>
      </c>
    </row>
    <row r="32">
      <c r="K32" s="9" t="inlineStr">
        <is>
          <t>Noura</t>
        </is>
      </c>
      <c r="L32" s="10">
        <f>COUNTIFS(Planning!$A$4:$A$704,"S5",Planning!$M$4:$M$704,$K32)</f>
        <v/>
      </c>
      <c r="M32" s="49">
        <f>SUMIFS(Planning!$H$4:$H$704,Planning!$A$4:$A$704,"S5",Planning!$M$4:$M$704,$K32)</f>
        <v/>
      </c>
    </row>
    <row r="33">
      <c r="K33" s="9" t="inlineStr">
        <is>
          <t>Refka</t>
        </is>
      </c>
      <c r="L33" s="10">
        <f>COUNTIFS(Planning!$A$4:$A$704,"S5",Planning!$M$4:$M$704,$K33)</f>
        <v/>
      </c>
      <c r="M33" s="49">
        <f>SUMIFS(Planning!$H$4:$H$704,Planning!$A$4:$A$704,"S5",Planning!$M$4:$M$704,$K33)</f>
        <v/>
      </c>
    </row>
    <row r="34">
      <c r="K34" s="9" t="inlineStr">
        <is>
          <t>Rym</t>
        </is>
      </c>
      <c r="L34" s="10">
        <f>COUNTIFS(Planning!$A$4:$A$704,"S5",Planning!$M$4:$M$704,$K34)</f>
        <v/>
      </c>
      <c r="M34" s="49">
        <f>SUMIFS(Planning!$H$4:$H$704,Planning!$A$4:$A$704,"S5",Planning!$M$4:$M$704,$K34)</f>
        <v/>
      </c>
    </row>
    <row r="35">
      <c r="K35" s="9" t="inlineStr">
        <is>
          <t>Saber</t>
        </is>
      </c>
      <c r="L35" s="10">
        <f>COUNTIFS(Planning!$A$4:$A$704,"S5",Planning!$M$4:$M$704,$K35)</f>
        <v/>
      </c>
      <c r="M35" s="49">
        <f>SUMIFS(Planning!$H$4:$H$704,Planning!$A$4:$A$704,"S5",Planning!$M$4:$M$704,$K35)</f>
        <v/>
      </c>
    </row>
    <row r="36">
      <c r="K36" s="9" t="inlineStr">
        <is>
          <t>Sabrine</t>
        </is>
      </c>
      <c r="L36" s="10">
        <f>COUNTIFS(Planning!$A$4:$A$704,"S5",Planning!$M$4:$M$704,$K36)</f>
        <v/>
      </c>
      <c r="M36" s="49">
        <f>SUMIFS(Planning!$H$4:$H$704,Planning!$A$4:$A$704,"S5",Planning!$M$4:$M$704,$K36)</f>
        <v/>
      </c>
    </row>
    <row r="37">
      <c r="K37" s="9" t="inlineStr">
        <is>
          <t>Samar</t>
        </is>
      </c>
      <c r="L37" s="10">
        <f>COUNTIFS(Planning!$A$4:$A$704,"S5",Planning!$M$4:$M$704,$K37)</f>
        <v/>
      </c>
      <c r="M37" s="49">
        <f>SUMIFS(Planning!$H$4:$H$704,Planning!$A$4:$A$704,"S5",Planning!$M$4:$M$704,$K37)</f>
        <v/>
      </c>
    </row>
    <row r="38">
      <c r="K38" s="9" t="inlineStr">
        <is>
          <t>Samia</t>
        </is>
      </c>
      <c r="L38" s="10">
        <f>COUNTIFS(Planning!$A$4:$A$704,"S5",Planning!$M$4:$M$704,$K38)</f>
        <v/>
      </c>
      <c r="M38" s="49">
        <f>SUMIFS(Planning!$H$4:$H$704,Planning!$A$4:$A$704,"S5",Planning!$M$4:$M$704,$K38)</f>
        <v/>
      </c>
    </row>
    <row r="39">
      <c r="K39" s="9" t="inlineStr">
        <is>
          <t>Sondes</t>
        </is>
      </c>
      <c r="L39" s="10">
        <f>COUNTIFS(Planning!$A$4:$A$704,"S5",Planning!$M$4:$M$704,$K39)</f>
        <v/>
      </c>
      <c r="M39" s="49">
        <f>SUMIFS(Planning!$H$4:$H$704,Planning!$A$4:$A$704,"S5",Planning!$M$4:$M$704,$K39)</f>
        <v/>
      </c>
    </row>
    <row r="40">
      <c r="K40" s="9" t="inlineStr">
        <is>
          <t>Yahya</t>
        </is>
      </c>
      <c r="L40" s="10">
        <f>COUNTIFS(Planning!$A$4:$A$704,"S5",Planning!$M$4:$M$704,$K40)</f>
        <v/>
      </c>
      <c r="M40" s="49">
        <f>SUMIFS(Planning!$H$4:$H$704,Planning!$A$4:$A$704,"S5",Planning!$M$4:$M$704,$K40)</f>
        <v/>
      </c>
    </row>
    <row r="41">
      <c r="K41" s="9" t="inlineStr">
        <is>
          <t>Yassine</t>
        </is>
      </c>
      <c r="L41" s="10">
        <f>COUNTIFS(Planning!$A$4:$A$704,"S5",Planning!$M$4:$M$704,$K41)</f>
        <v/>
      </c>
      <c r="M41" s="49">
        <f>SUMIFS(Planning!$H$4:$H$704,Planning!$A$4:$A$704,"S5",Planning!$M$4:$M$704,$K41)</f>
        <v/>
      </c>
    </row>
  </sheetData>
  <mergeCells count="6">
    <mergeCell ref="A1:T1"/>
    <mergeCell ref="G3:I3"/>
    <mergeCell ref="A2:T2"/>
    <mergeCell ref="K3:M3"/>
    <mergeCell ref="U3:Z3"/>
    <mergeCell ref="A3:E3"/>
  </mergeCells>
  <printOptions horizontalCentered="1" gridLines="0"/>
  <pageMargins left="0.35" right="0.35" top="0.5" bottom="0.45" header="0.2" footer="0.2"/>
  <pageSetup orientation="landscape" paperSize="9" fitToHeight="0" fitToWidth="1"/>
  <headerFooter>
    <oddHeader>&amp;R&amp;"Arial,Italic"&amp;8 </oddHeader>
    <oddFooter>&amp;L&amp;8 RS 2026-2027 · Référentiels&amp;R&amp;8 Page &amp;P / &amp;N</oddFooter>
    <evenHeader/>
    <evenFooter/>
    <firstHeader/>
    <firstFooter/>
  </headerFooter>
</worksheet>
</file>

<file path=xl/worksheets/sheet4.xml><?xml version="1.0" encoding="utf-8"?>
<worksheet xmlns="http://schemas.openxmlformats.org/spreadsheetml/2006/main">
  <sheetPr>
    <tabColor rgb="008494A7"/>
    <outlinePr summaryBelow="1" summaryRight="1"/>
    <pageSetUpPr fitToPage="1"/>
  </sheetPr>
  <dimension ref="A1:J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S1 · DU 14 AU 20 SEPTEMBRE 2026   |   SEMAINE A</t>
        </is>
      </c>
      <c r="B1" s="2" t="n"/>
      <c r="C1" s="2" t="n"/>
      <c r="D1" s="2" t="n"/>
      <c r="E1" s="2" t="n"/>
      <c r="F1" s="2" t="n"/>
      <c r="G1" s="2" t="n"/>
      <c r="H1" s="2" t="n"/>
    </row>
    <row r="2" ht="26" customHeight="1">
      <c r="A2" s="37" t="inlineStr">
        <is>
          <t>Chaque case = une séance : 1re ligne l’horaire, 2e la matière, 3e l’enseignant.   La couleur indique la famille de matières.   ◆ Q-A / ◆ Q-B = séance par quinzaine.   Case grise = aucune séance.   Contenu issu du fichier d’origine, repris depuis la feuille Planning.</t>
        </is>
      </c>
      <c r="B2" s="38" t="n"/>
      <c r="C2" s="38" t="n"/>
      <c r="D2" s="38" t="n"/>
      <c r="E2" s="38" t="n"/>
      <c r="F2" s="38" t="n"/>
      <c r="G2" s="38" t="n"/>
      <c r="H2" s="38" t="n"/>
    </row>
    <row r="3" ht="36" customHeight="1">
      <c r="A3" s="50" t="inlineStr">
        <is>
          <t>Classe / Groupe</t>
        </is>
      </c>
      <c r="B3" s="50" t="inlineStr">
        <is>
          <t>Lundi
14/09</t>
        </is>
      </c>
      <c r="C3" s="50" t="inlineStr">
        <is>
          <t>Mardi
15/09</t>
        </is>
      </c>
      <c r="D3" s="50" t="inlineStr">
        <is>
          <t>Mercredi
16/09</t>
        </is>
      </c>
      <c r="E3" s="50" t="inlineStr">
        <is>
          <t>Jeudi
17/09</t>
        </is>
      </c>
      <c r="F3" s="50" t="inlineStr">
        <is>
          <t>Vendredi
18/09</t>
        </is>
      </c>
      <c r="G3" s="51" t="inlineStr">
        <is>
          <t>Samedi
19/09</t>
        </is>
      </c>
      <c r="H3" s="51" t="inlineStr">
        <is>
          <t>Dimanche
20/09</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S1</t>
        </is>
      </c>
    </row>
    <row r="5" ht="21" customHeight="1">
      <c r="A5" s="52" t="inlineStr">
        <is>
          <t>CYCLE PRIMAIRE   (4 classes)</t>
        </is>
      </c>
      <c r="B5" s="53" t="n"/>
      <c r="C5" s="53" t="n"/>
      <c r="D5" s="53" t="n"/>
      <c r="E5" s="53" t="n"/>
      <c r="F5" s="53" t="n"/>
      <c r="G5" s="53" t="n"/>
      <c r="H5" s="53" t="n"/>
    </row>
    <row r="6" ht="52.59999999999999" customHeight="1">
      <c r="A6" s="54" t="inlineStr">
        <is>
          <t>4éme</t>
        </is>
      </c>
      <c r="B6" s="55">
        <f>IFERROR(VLOOKUP($J$4&amp;"|"&amp;$A$6&amp;"|"&amp;B$4&amp;"|1",Planning!$W:$X,2,0),"")</f>
        <v/>
      </c>
      <c r="C6" s="55">
        <f>IFERROR(VLOOKUP($J$4&amp;"|"&amp;$A$6&amp;"|"&amp;C$4&amp;"|1",Planning!$W:$X,2,0),"")</f>
        <v/>
      </c>
      <c r="D6" s="55">
        <f>IFERROR(VLOOKUP($J$4&amp;"|"&amp;$A$6&amp;"|"&amp;D$4&amp;"|1",Planning!$W:$X,2,0),"")</f>
        <v/>
      </c>
      <c r="E6" s="55">
        <f>IFERROR(VLOOKUP($J$4&amp;"|"&amp;$A$6&amp;"|"&amp;E$4&amp;"|1",Planning!$W:$X,2,0),"")</f>
        <v/>
      </c>
      <c r="F6" s="55">
        <f>IFERROR(VLOOKUP($J$4&amp;"|"&amp;$A$6&amp;"|"&amp;F$4&amp;"|1",Planning!$W:$X,2,0),"")</f>
        <v/>
      </c>
      <c r="G6" s="56">
        <f>IFERROR(VLOOKUP($J$4&amp;"|"&amp;$A$6&amp;"|"&amp;G$4&amp;"|1",Planning!$W:$X,2,0),"")</f>
        <v/>
      </c>
      <c r="H6" s="56">
        <f>IFERROR(VLOOKUP($J$4&amp;"|"&amp;$A$6&amp;"|"&amp;H$4&amp;"|1",Planning!$W:$X,2,0),"")</f>
        <v/>
      </c>
    </row>
    <row r="7" ht="52.59999999999999" customHeight="1">
      <c r="A7" s="54" t="inlineStr">
        <is>
          <t>5éme</t>
        </is>
      </c>
      <c r="B7" s="55">
        <f>IFERROR(VLOOKUP($J$4&amp;"|"&amp;$A$7&amp;"|"&amp;B$4&amp;"|1",Planning!$W:$X,2,0),"")</f>
        <v/>
      </c>
      <c r="C7" s="55">
        <f>IFERROR(VLOOKUP($J$4&amp;"|"&amp;$A$7&amp;"|"&amp;C$4&amp;"|1",Planning!$W:$X,2,0),"")</f>
        <v/>
      </c>
      <c r="D7" s="55">
        <f>IFERROR(VLOOKUP($J$4&amp;"|"&amp;$A$7&amp;"|"&amp;D$4&amp;"|1",Planning!$W:$X,2,0),"")</f>
        <v/>
      </c>
      <c r="E7" s="55">
        <f>IFERROR(VLOOKUP($J$4&amp;"|"&amp;$A$7&amp;"|"&amp;E$4&amp;"|1",Planning!$W:$X,2,0),"")</f>
        <v/>
      </c>
      <c r="F7" s="55">
        <f>IFERROR(VLOOKUP($J$4&amp;"|"&amp;$A$7&amp;"|"&amp;F$4&amp;"|1",Planning!$W:$X,2,0),"")</f>
        <v/>
      </c>
      <c r="G7" s="56">
        <f>IFERROR(VLOOKUP($J$4&amp;"|"&amp;$A$7&amp;"|"&amp;G$4&amp;"|1",Planning!$W:$X,2,0),"")</f>
        <v/>
      </c>
      <c r="H7" s="56">
        <f>IFERROR(VLOOKUP($J$4&amp;"|"&amp;$A$7&amp;"|"&amp;H$4&amp;"|1",Planning!$W:$X,2,0),"")</f>
        <v/>
      </c>
    </row>
    <row r="8" ht="52.59999999999999" customHeight="1">
      <c r="A8" s="54" t="inlineStr">
        <is>
          <t>6éme Pilote (A)</t>
        </is>
      </c>
      <c r="B8" s="55">
        <f>IFERROR(VLOOKUP($J$4&amp;"|"&amp;$A$8&amp;"|"&amp;B$4&amp;"|1",Planning!$W:$X,2,0),"")</f>
        <v/>
      </c>
      <c r="C8" s="55">
        <f>IFERROR(VLOOKUP($J$4&amp;"|"&amp;$A$8&amp;"|"&amp;C$4&amp;"|1",Planning!$W:$X,2,0),"")</f>
        <v/>
      </c>
      <c r="D8" s="55">
        <f>IFERROR(VLOOKUP($J$4&amp;"|"&amp;$A$8&amp;"|"&amp;D$4&amp;"|1",Planning!$W:$X,2,0),"")</f>
        <v/>
      </c>
      <c r="E8" s="55">
        <f>IFERROR(VLOOKUP($J$4&amp;"|"&amp;$A$8&amp;"|"&amp;E$4&amp;"|1",Planning!$W:$X,2,0),"")</f>
        <v/>
      </c>
      <c r="F8" s="55">
        <f>IFERROR(VLOOKUP($J$4&amp;"|"&amp;$A$8&amp;"|"&amp;F$4&amp;"|1",Planning!$W:$X,2,0),"")</f>
        <v/>
      </c>
      <c r="G8" s="56">
        <f>IFERROR(VLOOKUP($J$4&amp;"|"&amp;$A$8&amp;"|"&amp;G$4&amp;"|1",Planning!$W:$X,2,0),"")</f>
        <v/>
      </c>
      <c r="H8" s="56">
        <f>IFERROR(VLOOKUP($J$4&amp;"|"&amp;$A$8&amp;"|"&amp;H$4&amp;"|1",Planning!$W:$X,2,0),"")</f>
        <v/>
      </c>
    </row>
    <row r="9" ht="52.59999999999999" customHeight="1">
      <c r="A9" s="54" t="inlineStr">
        <is>
          <t>6éme (B)</t>
        </is>
      </c>
      <c r="B9" s="55">
        <f>IFERROR(VLOOKUP($J$4&amp;"|"&amp;$A$9&amp;"|"&amp;B$4&amp;"|1",Planning!$W:$X,2,0),"")</f>
        <v/>
      </c>
      <c r="C9" s="55">
        <f>IFERROR(VLOOKUP($J$4&amp;"|"&amp;$A$9&amp;"|"&amp;C$4&amp;"|1",Planning!$W:$X,2,0),"")</f>
        <v/>
      </c>
      <c r="D9" s="55">
        <f>IFERROR(VLOOKUP($J$4&amp;"|"&amp;$A$9&amp;"|"&amp;D$4&amp;"|1",Planning!$W:$X,2,0),"")</f>
        <v/>
      </c>
      <c r="E9" s="55">
        <f>IFERROR(VLOOKUP($J$4&amp;"|"&amp;$A$9&amp;"|"&amp;E$4&amp;"|1",Planning!$W:$X,2,0),"")</f>
        <v/>
      </c>
      <c r="F9" s="55">
        <f>IFERROR(VLOOKUP($J$4&amp;"|"&amp;$A$9&amp;"|"&amp;F$4&amp;"|1",Planning!$W:$X,2,0),"")</f>
        <v/>
      </c>
      <c r="G9" s="56">
        <f>IFERROR(VLOOKUP($J$4&amp;"|"&amp;$A$9&amp;"|"&amp;G$4&amp;"|1",Planning!$W:$X,2,0),"")</f>
        <v/>
      </c>
      <c r="H9" s="56">
        <f>IFERROR(VLOOKUP($J$4&amp;"|"&amp;$A$9&amp;"|"&amp;H$4&amp;"|1",Planning!$W:$X,2,0),"")</f>
        <v/>
      </c>
    </row>
    <row r="10" ht="21" customHeight="1">
      <c r="A10" s="57" t="inlineStr">
        <is>
          <t>CYCLE COLLÈGE   (8 classes)</t>
        </is>
      </c>
      <c r="B10" s="58" t="n"/>
      <c r="C10" s="58" t="n"/>
      <c r="D10" s="58" t="n"/>
      <c r="E10" s="58" t="n"/>
      <c r="F10" s="58" t="n"/>
      <c r="G10" s="58" t="n"/>
      <c r="H10" s="58" t="n"/>
    </row>
    <row r="11" ht="52.59999999999999" customHeight="1">
      <c r="A11" s="59" t="inlineStr">
        <is>
          <t>7éme (A)</t>
        </is>
      </c>
      <c r="B11" s="55">
        <f>IFERROR(VLOOKUP($J$4&amp;"|"&amp;$A$11&amp;"|"&amp;B$4&amp;"|1",Planning!$W:$X,2,0),"")</f>
        <v/>
      </c>
      <c r="C11" s="55">
        <f>IFERROR(VLOOKUP($J$4&amp;"|"&amp;$A$11&amp;"|"&amp;C$4&amp;"|1",Planning!$W:$X,2,0),"")</f>
        <v/>
      </c>
      <c r="D11" s="55">
        <f>IFERROR(VLOOKUP($J$4&amp;"|"&amp;$A$11&amp;"|"&amp;D$4&amp;"|1",Planning!$W:$X,2,0),"")</f>
        <v/>
      </c>
      <c r="E11" s="55">
        <f>IFERROR(VLOOKUP($J$4&amp;"|"&amp;$A$11&amp;"|"&amp;E$4&amp;"|1",Planning!$W:$X,2,0),"")</f>
        <v/>
      </c>
      <c r="F11" s="55">
        <f>IFERROR(VLOOKUP($J$4&amp;"|"&amp;$A$11&amp;"|"&amp;F$4&amp;"|1",Planning!$W:$X,2,0),"")</f>
        <v/>
      </c>
      <c r="G11" s="56">
        <f>IFERROR(VLOOKUP($J$4&amp;"|"&amp;$A$11&amp;"|"&amp;G$4&amp;"|1",Planning!$W:$X,2,0),"")</f>
        <v/>
      </c>
      <c r="H11" s="56">
        <f>IFERROR(VLOOKUP($J$4&amp;"|"&amp;$A$11&amp;"|"&amp;H$4&amp;"|1",Planning!$W:$X,2,0),"")</f>
        <v/>
      </c>
    </row>
    <row r="12" ht="52.59999999999999" customHeight="1">
      <c r="A12" s="60" t="n"/>
      <c r="B12" s="55">
        <f>IFERROR(VLOOKUP($J$4&amp;"|"&amp;$A$11&amp;"|"&amp;B$4&amp;"|2",Planning!$W:$X,2,0),"")</f>
        <v/>
      </c>
      <c r="C12" s="55">
        <f>IFERROR(VLOOKUP($J$4&amp;"|"&amp;$A$11&amp;"|"&amp;C$4&amp;"|2",Planning!$W:$X,2,0),"")</f>
        <v/>
      </c>
      <c r="D12" s="55">
        <f>IFERROR(VLOOKUP($J$4&amp;"|"&amp;$A$11&amp;"|"&amp;D$4&amp;"|2",Planning!$W:$X,2,0),"")</f>
        <v/>
      </c>
      <c r="E12" s="55">
        <f>IFERROR(VLOOKUP($J$4&amp;"|"&amp;$A$11&amp;"|"&amp;E$4&amp;"|2",Planning!$W:$X,2,0),"")</f>
        <v/>
      </c>
      <c r="F12" s="55">
        <f>IFERROR(VLOOKUP($J$4&amp;"|"&amp;$A$11&amp;"|"&amp;F$4&amp;"|2",Planning!$W:$X,2,0),"")</f>
        <v/>
      </c>
      <c r="G12" s="56">
        <f>IFERROR(VLOOKUP($J$4&amp;"|"&amp;$A$11&amp;"|"&amp;G$4&amp;"|2",Planning!$W:$X,2,0),"")</f>
        <v/>
      </c>
      <c r="H12" s="56">
        <f>IFERROR(VLOOKUP($J$4&amp;"|"&amp;$A$11&amp;"|"&amp;H$4&amp;"|2",Planning!$W:$X,2,0),"")</f>
        <v/>
      </c>
    </row>
    <row r="13" ht="52.59999999999999" customHeight="1">
      <c r="A13" s="59" t="inlineStr">
        <is>
          <t>7éme (B)</t>
        </is>
      </c>
      <c r="B13" s="55">
        <f>IFERROR(VLOOKUP($J$4&amp;"|"&amp;$A$13&amp;"|"&amp;B$4&amp;"|1",Planning!$W:$X,2,0),"")</f>
        <v/>
      </c>
      <c r="C13" s="55">
        <f>IFERROR(VLOOKUP($J$4&amp;"|"&amp;$A$13&amp;"|"&amp;C$4&amp;"|1",Planning!$W:$X,2,0),"")</f>
        <v/>
      </c>
      <c r="D13" s="55">
        <f>IFERROR(VLOOKUP($J$4&amp;"|"&amp;$A$13&amp;"|"&amp;D$4&amp;"|1",Planning!$W:$X,2,0),"")</f>
        <v/>
      </c>
      <c r="E13" s="55">
        <f>IFERROR(VLOOKUP($J$4&amp;"|"&amp;$A$13&amp;"|"&amp;E$4&amp;"|1",Planning!$W:$X,2,0),"")</f>
        <v/>
      </c>
      <c r="F13" s="55">
        <f>IFERROR(VLOOKUP($J$4&amp;"|"&amp;$A$13&amp;"|"&amp;F$4&amp;"|1",Planning!$W:$X,2,0),"")</f>
        <v/>
      </c>
      <c r="G13" s="56">
        <f>IFERROR(VLOOKUP($J$4&amp;"|"&amp;$A$13&amp;"|"&amp;G$4&amp;"|1",Planning!$W:$X,2,0),"")</f>
        <v/>
      </c>
      <c r="H13" s="56">
        <f>IFERROR(VLOOKUP($J$4&amp;"|"&amp;$A$13&amp;"|"&amp;H$4&amp;"|1",Planning!$W:$X,2,0),"")</f>
        <v/>
      </c>
    </row>
    <row r="14" ht="52.59999999999999" customHeight="1">
      <c r="A14" s="59" t="inlineStr">
        <is>
          <t>8éme (A)</t>
        </is>
      </c>
      <c r="B14" s="55">
        <f>IFERROR(VLOOKUP($J$4&amp;"|"&amp;$A$14&amp;"|"&amp;B$4&amp;"|1",Planning!$W:$X,2,0),"")</f>
        <v/>
      </c>
      <c r="C14" s="55">
        <f>IFERROR(VLOOKUP($J$4&amp;"|"&amp;$A$14&amp;"|"&amp;C$4&amp;"|1",Planning!$W:$X,2,0),"")</f>
        <v/>
      </c>
      <c r="D14" s="55">
        <f>IFERROR(VLOOKUP($J$4&amp;"|"&amp;$A$14&amp;"|"&amp;D$4&amp;"|1",Planning!$W:$X,2,0),"")</f>
        <v/>
      </c>
      <c r="E14" s="55">
        <f>IFERROR(VLOOKUP($J$4&amp;"|"&amp;$A$14&amp;"|"&amp;E$4&amp;"|1",Planning!$W:$X,2,0),"")</f>
        <v/>
      </c>
      <c r="F14" s="55">
        <f>IFERROR(VLOOKUP($J$4&amp;"|"&amp;$A$14&amp;"|"&amp;F$4&amp;"|1",Planning!$W:$X,2,0),"")</f>
        <v/>
      </c>
      <c r="G14" s="56">
        <f>IFERROR(VLOOKUP($J$4&amp;"|"&amp;$A$14&amp;"|"&amp;G$4&amp;"|1",Planning!$W:$X,2,0),"")</f>
        <v/>
      </c>
      <c r="H14" s="56">
        <f>IFERROR(VLOOKUP($J$4&amp;"|"&amp;$A$14&amp;"|"&amp;H$4&amp;"|1",Planning!$W:$X,2,0),"")</f>
        <v/>
      </c>
    </row>
    <row r="15" ht="52.59999999999999" customHeight="1">
      <c r="A15" s="59" t="inlineStr">
        <is>
          <t>8éme (B)</t>
        </is>
      </c>
      <c r="B15" s="55">
        <f>IFERROR(VLOOKUP($J$4&amp;"|"&amp;$A$15&amp;"|"&amp;B$4&amp;"|1",Planning!$W:$X,2,0),"")</f>
        <v/>
      </c>
      <c r="C15" s="55">
        <f>IFERROR(VLOOKUP($J$4&amp;"|"&amp;$A$15&amp;"|"&amp;C$4&amp;"|1",Planning!$W:$X,2,0),"")</f>
        <v/>
      </c>
      <c r="D15" s="55">
        <f>IFERROR(VLOOKUP($J$4&amp;"|"&amp;$A$15&amp;"|"&amp;D$4&amp;"|1",Planning!$W:$X,2,0),"")</f>
        <v/>
      </c>
      <c r="E15" s="55">
        <f>IFERROR(VLOOKUP($J$4&amp;"|"&amp;$A$15&amp;"|"&amp;E$4&amp;"|1",Planning!$W:$X,2,0),"")</f>
        <v/>
      </c>
      <c r="F15" s="55">
        <f>IFERROR(VLOOKUP($J$4&amp;"|"&amp;$A$15&amp;"|"&amp;F$4&amp;"|1",Planning!$W:$X,2,0),"")</f>
        <v/>
      </c>
      <c r="G15" s="56">
        <f>IFERROR(VLOOKUP($J$4&amp;"|"&amp;$A$15&amp;"|"&amp;G$4&amp;"|1",Planning!$W:$X,2,0),"")</f>
        <v/>
      </c>
      <c r="H15" s="56">
        <f>IFERROR(VLOOKUP($J$4&amp;"|"&amp;$A$15&amp;"|"&amp;H$4&amp;"|1",Planning!$W:$X,2,0),"")</f>
        <v/>
      </c>
    </row>
    <row r="16" ht="52.59999999999999" customHeight="1">
      <c r="A16" s="59" t="inlineStr">
        <is>
          <t>8éme (C)</t>
        </is>
      </c>
      <c r="B16" s="55">
        <f>IFERROR(VLOOKUP($J$4&amp;"|"&amp;$A$16&amp;"|"&amp;B$4&amp;"|1",Planning!$W:$X,2,0),"")</f>
        <v/>
      </c>
      <c r="C16" s="55">
        <f>IFERROR(VLOOKUP($J$4&amp;"|"&amp;$A$16&amp;"|"&amp;C$4&amp;"|1",Planning!$W:$X,2,0),"")</f>
        <v/>
      </c>
      <c r="D16" s="55">
        <f>IFERROR(VLOOKUP($J$4&amp;"|"&amp;$A$16&amp;"|"&amp;D$4&amp;"|1",Planning!$W:$X,2,0),"")</f>
        <v/>
      </c>
      <c r="E16" s="55">
        <f>IFERROR(VLOOKUP($J$4&amp;"|"&amp;$A$16&amp;"|"&amp;E$4&amp;"|1",Planning!$W:$X,2,0),"")</f>
        <v/>
      </c>
      <c r="F16" s="55">
        <f>IFERROR(VLOOKUP($J$4&amp;"|"&amp;$A$16&amp;"|"&amp;F$4&amp;"|1",Planning!$W:$X,2,0),"")</f>
        <v/>
      </c>
      <c r="G16" s="56">
        <f>IFERROR(VLOOKUP($J$4&amp;"|"&amp;$A$16&amp;"|"&amp;G$4&amp;"|1",Planning!$W:$X,2,0),"")</f>
        <v/>
      </c>
      <c r="H16" s="56">
        <f>IFERROR(VLOOKUP($J$4&amp;"|"&amp;$A$16&amp;"|"&amp;H$4&amp;"|1",Planning!$W:$X,2,0),"")</f>
        <v/>
      </c>
    </row>
    <row r="17" ht="52.59999999999999" customHeight="1">
      <c r="A17" s="59" t="inlineStr">
        <is>
          <t>9éme (A)</t>
        </is>
      </c>
      <c r="B17" s="55">
        <f>IFERROR(VLOOKUP($J$4&amp;"|"&amp;$A$17&amp;"|"&amp;B$4&amp;"|1",Planning!$W:$X,2,0),"")</f>
        <v/>
      </c>
      <c r="C17" s="55">
        <f>IFERROR(VLOOKUP($J$4&amp;"|"&amp;$A$17&amp;"|"&amp;C$4&amp;"|1",Planning!$W:$X,2,0),"")</f>
        <v/>
      </c>
      <c r="D17" s="55">
        <f>IFERROR(VLOOKUP($J$4&amp;"|"&amp;$A$17&amp;"|"&amp;D$4&amp;"|1",Planning!$W:$X,2,0),"")</f>
        <v/>
      </c>
      <c r="E17" s="55">
        <f>IFERROR(VLOOKUP($J$4&amp;"|"&amp;$A$17&amp;"|"&amp;E$4&amp;"|1",Planning!$W:$X,2,0),"")</f>
        <v/>
      </c>
      <c r="F17" s="55">
        <f>IFERROR(VLOOKUP($J$4&amp;"|"&amp;$A$17&amp;"|"&amp;F$4&amp;"|1",Planning!$W:$X,2,0),"")</f>
        <v/>
      </c>
      <c r="G17" s="56">
        <f>IFERROR(VLOOKUP($J$4&amp;"|"&amp;$A$17&amp;"|"&amp;G$4&amp;"|1",Planning!$W:$X,2,0),"")</f>
        <v/>
      </c>
      <c r="H17" s="56">
        <f>IFERROR(VLOOKUP($J$4&amp;"|"&amp;$A$17&amp;"|"&amp;H$4&amp;"|1",Planning!$W:$X,2,0),"")</f>
        <v/>
      </c>
    </row>
    <row r="18" ht="52.59999999999999" customHeight="1">
      <c r="A18" s="60" t="n"/>
      <c r="B18" s="55">
        <f>IFERROR(VLOOKUP($J$4&amp;"|"&amp;$A$17&amp;"|"&amp;B$4&amp;"|2",Planning!$W:$X,2,0),"")</f>
        <v/>
      </c>
      <c r="C18" s="55">
        <f>IFERROR(VLOOKUP($J$4&amp;"|"&amp;$A$17&amp;"|"&amp;C$4&amp;"|2",Planning!$W:$X,2,0),"")</f>
        <v/>
      </c>
      <c r="D18" s="55">
        <f>IFERROR(VLOOKUP($J$4&amp;"|"&amp;$A$17&amp;"|"&amp;D$4&amp;"|2",Planning!$W:$X,2,0),"")</f>
        <v/>
      </c>
      <c r="E18" s="55">
        <f>IFERROR(VLOOKUP($J$4&amp;"|"&amp;$A$17&amp;"|"&amp;E$4&amp;"|2",Planning!$W:$X,2,0),"")</f>
        <v/>
      </c>
      <c r="F18" s="55">
        <f>IFERROR(VLOOKUP($J$4&amp;"|"&amp;$A$17&amp;"|"&amp;F$4&amp;"|2",Planning!$W:$X,2,0),"")</f>
        <v/>
      </c>
      <c r="G18" s="56">
        <f>IFERROR(VLOOKUP($J$4&amp;"|"&amp;$A$17&amp;"|"&amp;G$4&amp;"|2",Planning!$W:$X,2,0),"")</f>
        <v/>
      </c>
      <c r="H18" s="56">
        <f>IFERROR(VLOOKUP($J$4&amp;"|"&amp;$A$17&amp;"|"&amp;H$4&amp;"|2",Planning!$W:$X,2,0),"")</f>
        <v/>
      </c>
    </row>
    <row r="19" ht="52.59999999999999" customHeight="1">
      <c r="A19" s="59" t="inlineStr">
        <is>
          <t>9éme (B)</t>
        </is>
      </c>
      <c r="B19" s="55">
        <f>IFERROR(VLOOKUP($J$4&amp;"|"&amp;$A$19&amp;"|"&amp;B$4&amp;"|1",Planning!$W:$X,2,0),"")</f>
        <v/>
      </c>
      <c r="C19" s="55">
        <f>IFERROR(VLOOKUP($J$4&amp;"|"&amp;$A$19&amp;"|"&amp;C$4&amp;"|1",Planning!$W:$X,2,0),"")</f>
        <v/>
      </c>
      <c r="D19" s="55">
        <f>IFERROR(VLOOKUP($J$4&amp;"|"&amp;$A$19&amp;"|"&amp;D$4&amp;"|1",Planning!$W:$X,2,0),"")</f>
        <v/>
      </c>
      <c r="E19" s="55">
        <f>IFERROR(VLOOKUP($J$4&amp;"|"&amp;$A$19&amp;"|"&amp;E$4&amp;"|1",Planning!$W:$X,2,0),"")</f>
        <v/>
      </c>
      <c r="F19" s="55">
        <f>IFERROR(VLOOKUP($J$4&amp;"|"&amp;$A$19&amp;"|"&amp;F$4&amp;"|1",Planning!$W:$X,2,0),"")</f>
        <v/>
      </c>
      <c r="G19" s="56">
        <f>IFERROR(VLOOKUP($J$4&amp;"|"&amp;$A$19&amp;"|"&amp;G$4&amp;"|1",Planning!$W:$X,2,0),"")</f>
        <v/>
      </c>
      <c r="H19" s="56">
        <f>IFERROR(VLOOKUP($J$4&amp;"|"&amp;$A$19&amp;"|"&amp;H$4&amp;"|1",Planning!$W:$X,2,0),"")</f>
        <v/>
      </c>
    </row>
    <row r="20" ht="52.59999999999999" customHeight="1">
      <c r="A20" s="60" t="n"/>
      <c r="B20" s="55">
        <f>IFERROR(VLOOKUP($J$4&amp;"|"&amp;$A$19&amp;"|"&amp;B$4&amp;"|2",Planning!$W:$X,2,0),"")</f>
        <v/>
      </c>
      <c r="C20" s="55">
        <f>IFERROR(VLOOKUP($J$4&amp;"|"&amp;$A$19&amp;"|"&amp;C$4&amp;"|2",Planning!$W:$X,2,0),"")</f>
        <v/>
      </c>
      <c r="D20" s="55">
        <f>IFERROR(VLOOKUP($J$4&amp;"|"&amp;$A$19&amp;"|"&amp;D$4&amp;"|2",Planning!$W:$X,2,0),"")</f>
        <v/>
      </c>
      <c r="E20" s="55">
        <f>IFERROR(VLOOKUP($J$4&amp;"|"&amp;$A$19&amp;"|"&amp;E$4&amp;"|2",Planning!$W:$X,2,0),"")</f>
        <v/>
      </c>
      <c r="F20" s="55">
        <f>IFERROR(VLOOKUP($J$4&amp;"|"&amp;$A$19&amp;"|"&amp;F$4&amp;"|2",Planning!$W:$X,2,0),"")</f>
        <v/>
      </c>
      <c r="G20" s="56">
        <f>IFERROR(VLOOKUP($J$4&amp;"|"&amp;$A$19&amp;"|"&amp;G$4&amp;"|2",Planning!$W:$X,2,0),"")</f>
        <v/>
      </c>
      <c r="H20" s="56">
        <f>IFERROR(VLOOKUP($J$4&amp;"|"&amp;$A$19&amp;"|"&amp;H$4&amp;"|2",Planning!$W:$X,2,0),"")</f>
        <v/>
      </c>
    </row>
    <row r="21" ht="52.59999999999999" customHeight="1">
      <c r="A21" s="59" t="inlineStr">
        <is>
          <t>9éme (C)</t>
        </is>
      </c>
      <c r="B21" s="55">
        <f>IFERROR(VLOOKUP($J$4&amp;"|"&amp;$A$21&amp;"|"&amp;B$4&amp;"|1",Planning!$W:$X,2,0),"")</f>
        <v/>
      </c>
      <c r="C21" s="55">
        <f>IFERROR(VLOOKUP($J$4&amp;"|"&amp;$A$21&amp;"|"&amp;C$4&amp;"|1",Planning!$W:$X,2,0),"")</f>
        <v/>
      </c>
      <c r="D21" s="55">
        <f>IFERROR(VLOOKUP($J$4&amp;"|"&amp;$A$21&amp;"|"&amp;D$4&amp;"|1",Planning!$W:$X,2,0),"")</f>
        <v/>
      </c>
      <c r="E21" s="55">
        <f>IFERROR(VLOOKUP($J$4&amp;"|"&amp;$A$21&amp;"|"&amp;E$4&amp;"|1",Planning!$W:$X,2,0),"")</f>
        <v/>
      </c>
      <c r="F21" s="55">
        <f>IFERROR(VLOOKUP($J$4&amp;"|"&amp;$A$21&amp;"|"&amp;F$4&amp;"|1",Planning!$W:$X,2,0),"")</f>
        <v/>
      </c>
      <c r="G21" s="56">
        <f>IFERROR(VLOOKUP($J$4&amp;"|"&amp;$A$21&amp;"|"&amp;G$4&amp;"|1",Planning!$W:$X,2,0),"")</f>
        <v/>
      </c>
      <c r="H21" s="56">
        <f>IFERROR(VLOOKUP($J$4&amp;"|"&amp;$A$21&amp;"|"&amp;H$4&amp;"|1",Planning!$W:$X,2,0),"")</f>
        <v/>
      </c>
    </row>
    <row r="22" ht="21" customHeight="1">
      <c r="A22" s="61" t="inlineStr">
        <is>
          <t>CYCLE SECONDAIRE   (8 classes)</t>
        </is>
      </c>
      <c r="B22" s="62" t="n"/>
      <c r="C22" s="62" t="n"/>
      <c r="D22" s="62" t="n"/>
      <c r="E22" s="62" t="n"/>
      <c r="F22" s="62" t="n"/>
      <c r="G22" s="62" t="n"/>
      <c r="H22" s="62" t="n"/>
    </row>
    <row r="23" ht="52.59999999999999" customHeight="1">
      <c r="A23" s="63" t="inlineStr">
        <is>
          <t>1ére (A)</t>
        </is>
      </c>
      <c r="B23" s="55">
        <f>IFERROR(VLOOKUP($J$4&amp;"|"&amp;$A$23&amp;"|"&amp;B$4&amp;"|1",Planning!$W:$X,2,0),"")</f>
        <v/>
      </c>
      <c r="C23" s="55">
        <f>IFERROR(VLOOKUP($J$4&amp;"|"&amp;$A$23&amp;"|"&amp;C$4&amp;"|1",Planning!$W:$X,2,0),"")</f>
        <v/>
      </c>
      <c r="D23" s="55">
        <f>IFERROR(VLOOKUP($J$4&amp;"|"&amp;$A$23&amp;"|"&amp;D$4&amp;"|1",Planning!$W:$X,2,0),"")</f>
        <v/>
      </c>
      <c r="E23" s="55">
        <f>IFERROR(VLOOKUP($J$4&amp;"|"&amp;$A$23&amp;"|"&amp;E$4&amp;"|1",Planning!$W:$X,2,0),"")</f>
        <v/>
      </c>
      <c r="F23" s="55">
        <f>IFERROR(VLOOKUP($J$4&amp;"|"&amp;$A$23&amp;"|"&amp;F$4&amp;"|1",Planning!$W:$X,2,0),"")</f>
        <v/>
      </c>
      <c r="G23" s="56">
        <f>IFERROR(VLOOKUP($J$4&amp;"|"&amp;$A$23&amp;"|"&amp;G$4&amp;"|1",Planning!$W:$X,2,0),"")</f>
        <v/>
      </c>
      <c r="H23" s="56">
        <f>IFERROR(VLOOKUP($J$4&amp;"|"&amp;$A$23&amp;"|"&amp;H$4&amp;"|1",Planning!$W:$X,2,0),"")</f>
        <v/>
      </c>
    </row>
    <row r="24" ht="52.59999999999999" customHeight="1">
      <c r="A24" s="64" t="n"/>
      <c r="B24" s="55">
        <f>IFERROR(VLOOKUP($J$4&amp;"|"&amp;$A$23&amp;"|"&amp;B$4&amp;"|2",Planning!$W:$X,2,0),"")</f>
        <v/>
      </c>
      <c r="C24" s="55">
        <f>IFERROR(VLOOKUP($J$4&amp;"|"&amp;$A$23&amp;"|"&amp;C$4&amp;"|2",Planning!$W:$X,2,0),"")</f>
        <v/>
      </c>
      <c r="D24" s="55">
        <f>IFERROR(VLOOKUP($J$4&amp;"|"&amp;$A$23&amp;"|"&amp;D$4&amp;"|2",Planning!$W:$X,2,0),"")</f>
        <v/>
      </c>
      <c r="E24" s="55">
        <f>IFERROR(VLOOKUP($J$4&amp;"|"&amp;$A$23&amp;"|"&amp;E$4&amp;"|2",Planning!$W:$X,2,0),"")</f>
        <v/>
      </c>
      <c r="F24" s="55">
        <f>IFERROR(VLOOKUP($J$4&amp;"|"&amp;$A$23&amp;"|"&amp;F$4&amp;"|2",Planning!$W:$X,2,0),"")</f>
        <v/>
      </c>
      <c r="G24" s="56">
        <f>IFERROR(VLOOKUP($J$4&amp;"|"&amp;$A$23&amp;"|"&amp;G$4&amp;"|2",Planning!$W:$X,2,0),"")</f>
        <v/>
      </c>
      <c r="H24" s="56">
        <f>IFERROR(VLOOKUP($J$4&amp;"|"&amp;$A$23&amp;"|"&amp;H$4&amp;"|2",Planning!$W:$X,2,0),"")</f>
        <v/>
      </c>
    </row>
    <row r="25" ht="52.59999999999999" customHeight="1">
      <c r="A25" s="63" t="inlineStr">
        <is>
          <t>1ére (B)</t>
        </is>
      </c>
      <c r="B25" s="55">
        <f>IFERROR(VLOOKUP($J$4&amp;"|"&amp;$A$25&amp;"|"&amp;B$4&amp;"|1",Planning!$W:$X,2,0),"")</f>
        <v/>
      </c>
      <c r="C25" s="55">
        <f>IFERROR(VLOOKUP($J$4&amp;"|"&amp;$A$25&amp;"|"&amp;C$4&amp;"|1",Planning!$W:$X,2,0),"")</f>
        <v/>
      </c>
      <c r="D25" s="55">
        <f>IFERROR(VLOOKUP($J$4&amp;"|"&amp;$A$25&amp;"|"&amp;D$4&amp;"|1",Planning!$W:$X,2,0),"")</f>
        <v/>
      </c>
      <c r="E25" s="55">
        <f>IFERROR(VLOOKUP($J$4&amp;"|"&amp;$A$25&amp;"|"&amp;E$4&amp;"|1",Planning!$W:$X,2,0),"")</f>
        <v/>
      </c>
      <c r="F25" s="55">
        <f>IFERROR(VLOOKUP($J$4&amp;"|"&amp;$A$25&amp;"|"&amp;F$4&amp;"|1",Planning!$W:$X,2,0),"")</f>
        <v/>
      </c>
      <c r="G25" s="56">
        <f>IFERROR(VLOOKUP($J$4&amp;"|"&amp;$A$25&amp;"|"&amp;G$4&amp;"|1",Planning!$W:$X,2,0),"")</f>
        <v/>
      </c>
      <c r="H25" s="56">
        <f>IFERROR(VLOOKUP($J$4&amp;"|"&amp;$A$25&amp;"|"&amp;H$4&amp;"|1",Planning!$W:$X,2,0),"")</f>
        <v/>
      </c>
    </row>
    <row r="26" ht="52.59999999999999" customHeight="1">
      <c r="A26" s="63" t="inlineStr">
        <is>
          <t>2éme Eco</t>
        </is>
      </c>
      <c r="B26" s="55">
        <f>IFERROR(VLOOKUP($J$4&amp;"|"&amp;$A$26&amp;"|"&amp;B$4&amp;"|1",Planning!$W:$X,2,0),"")</f>
        <v/>
      </c>
      <c r="C26" s="55">
        <f>IFERROR(VLOOKUP($J$4&amp;"|"&amp;$A$26&amp;"|"&amp;C$4&amp;"|1",Planning!$W:$X,2,0),"")</f>
        <v/>
      </c>
      <c r="D26" s="55">
        <f>IFERROR(VLOOKUP($J$4&amp;"|"&amp;$A$26&amp;"|"&amp;D$4&amp;"|1",Planning!$W:$X,2,0),"")</f>
        <v/>
      </c>
      <c r="E26" s="55">
        <f>IFERROR(VLOOKUP($J$4&amp;"|"&amp;$A$26&amp;"|"&amp;E$4&amp;"|1",Planning!$W:$X,2,0),"")</f>
        <v/>
      </c>
      <c r="F26" s="55">
        <f>IFERROR(VLOOKUP($J$4&amp;"|"&amp;$A$26&amp;"|"&amp;F$4&amp;"|1",Planning!$W:$X,2,0),"")</f>
        <v/>
      </c>
      <c r="G26" s="56">
        <f>IFERROR(VLOOKUP($J$4&amp;"|"&amp;$A$26&amp;"|"&amp;G$4&amp;"|1",Planning!$W:$X,2,0),"")</f>
        <v/>
      </c>
      <c r="H26" s="56">
        <f>IFERROR(VLOOKUP($J$4&amp;"|"&amp;$A$26&amp;"|"&amp;H$4&amp;"|1",Planning!$W:$X,2,0),"")</f>
        <v/>
      </c>
    </row>
    <row r="27" ht="52.59999999999999" customHeight="1">
      <c r="A27" s="63" t="inlineStr">
        <is>
          <t>2éme SCE</t>
        </is>
      </c>
      <c r="B27" s="55">
        <f>IFERROR(VLOOKUP($J$4&amp;"|"&amp;$A$27&amp;"|"&amp;B$4&amp;"|1",Planning!$W:$X,2,0),"")</f>
        <v/>
      </c>
      <c r="C27" s="55">
        <f>IFERROR(VLOOKUP($J$4&amp;"|"&amp;$A$27&amp;"|"&amp;C$4&amp;"|1",Planning!$W:$X,2,0),"")</f>
        <v/>
      </c>
      <c r="D27" s="55">
        <f>IFERROR(VLOOKUP($J$4&amp;"|"&amp;$A$27&amp;"|"&amp;D$4&amp;"|1",Planning!$W:$X,2,0),"")</f>
        <v/>
      </c>
      <c r="E27" s="55">
        <f>IFERROR(VLOOKUP($J$4&amp;"|"&amp;$A$27&amp;"|"&amp;E$4&amp;"|1",Planning!$W:$X,2,0),"")</f>
        <v/>
      </c>
      <c r="F27" s="55">
        <f>IFERROR(VLOOKUP($J$4&amp;"|"&amp;$A$27&amp;"|"&amp;F$4&amp;"|1",Planning!$W:$X,2,0),"")</f>
        <v/>
      </c>
      <c r="G27" s="56">
        <f>IFERROR(VLOOKUP($J$4&amp;"|"&amp;$A$27&amp;"|"&amp;G$4&amp;"|1",Planning!$W:$X,2,0),"")</f>
        <v/>
      </c>
      <c r="H27" s="56">
        <f>IFERROR(VLOOKUP($J$4&amp;"|"&amp;$A$27&amp;"|"&amp;H$4&amp;"|1",Planning!$W:$X,2,0),"")</f>
        <v/>
      </c>
    </row>
    <row r="28" ht="52.59999999999999" customHeight="1">
      <c r="A28" s="63" t="inlineStr">
        <is>
          <t>2éme INFO</t>
        </is>
      </c>
      <c r="B28" s="55">
        <f>IFERROR(VLOOKUP($J$4&amp;"|"&amp;$A$28&amp;"|"&amp;B$4&amp;"|1",Planning!$W:$X,2,0),"")</f>
        <v/>
      </c>
      <c r="C28" s="55">
        <f>IFERROR(VLOOKUP($J$4&amp;"|"&amp;$A$28&amp;"|"&amp;C$4&amp;"|1",Planning!$W:$X,2,0),"")</f>
        <v/>
      </c>
      <c r="D28" s="55">
        <f>IFERROR(VLOOKUP($J$4&amp;"|"&amp;$A$28&amp;"|"&amp;D$4&amp;"|1",Planning!$W:$X,2,0),"")</f>
        <v/>
      </c>
      <c r="E28" s="55">
        <f>IFERROR(VLOOKUP($J$4&amp;"|"&amp;$A$28&amp;"|"&amp;E$4&amp;"|1",Planning!$W:$X,2,0),"")</f>
        <v/>
      </c>
      <c r="F28" s="55">
        <f>IFERROR(VLOOKUP($J$4&amp;"|"&amp;$A$28&amp;"|"&amp;F$4&amp;"|1",Planning!$W:$X,2,0),"")</f>
        <v/>
      </c>
      <c r="G28" s="56">
        <f>IFERROR(VLOOKUP($J$4&amp;"|"&amp;$A$28&amp;"|"&amp;G$4&amp;"|1",Planning!$W:$X,2,0),"")</f>
        <v/>
      </c>
      <c r="H28" s="56">
        <f>IFERROR(VLOOKUP($J$4&amp;"|"&amp;$A$28&amp;"|"&amp;H$4&amp;"|1",Planning!$W:$X,2,0),"")</f>
        <v/>
      </c>
    </row>
    <row r="29" ht="52.59999999999999" customHeight="1">
      <c r="A29" s="63" t="inlineStr">
        <is>
          <t>3éme Eco</t>
        </is>
      </c>
      <c r="B29" s="55">
        <f>IFERROR(VLOOKUP($J$4&amp;"|"&amp;$A$29&amp;"|"&amp;B$4&amp;"|1",Planning!$W:$X,2,0),"")</f>
        <v/>
      </c>
      <c r="C29" s="55">
        <f>IFERROR(VLOOKUP($J$4&amp;"|"&amp;$A$29&amp;"|"&amp;C$4&amp;"|1",Planning!$W:$X,2,0),"")</f>
        <v/>
      </c>
      <c r="D29" s="55">
        <f>IFERROR(VLOOKUP($J$4&amp;"|"&amp;$A$29&amp;"|"&amp;D$4&amp;"|1",Planning!$W:$X,2,0),"")</f>
        <v/>
      </c>
      <c r="E29" s="55">
        <f>IFERROR(VLOOKUP($J$4&amp;"|"&amp;$A$29&amp;"|"&amp;E$4&amp;"|1",Planning!$W:$X,2,0),"")</f>
        <v/>
      </c>
      <c r="F29" s="55">
        <f>IFERROR(VLOOKUP($J$4&amp;"|"&amp;$A$29&amp;"|"&amp;F$4&amp;"|1",Planning!$W:$X,2,0),"")</f>
        <v/>
      </c>
      <c r="G29" s="56">
        <f>IFERROR(VLOOKUP($J$4&amp;"|"&amp;$A$29&amp;"|"&amp;G$4&amp;"|1",Planning!$W:$X,2,0),"")</f>
        <v/>
      </c>
      <c r="H29" s="56">
        <f>IFERROR(VLOOKUP($J$4&amp;"|"&amp;$A$29&amp;"|"&amp;H$4&amp;"|1",Planning!$W:$X,2,0),"")</f>
        <v/>
      </c>
    </row>
    <row r="30" ht="52.59999999999999" customHeight="1">
      <c r="A30" s="64" t="n"/>
      <c r="B30" s="55">
        <f>IFERROR(VLOOKUP($J$4&amp;"|"&amp;$A$29&amp;"|"&amp;B$4&amp;"|2",Planning!$W:$X,2,0),"")</f>
        <v/>
      </c>
      <c r="C30" s="55">
        <f>IFERROR(VLOOKUP($J$4&amp;"|"&amp;$A$29&amp;"|"&amp;C$4&amp;"|2",Planning!$W:$X,2,0),"")</f>
        <v/>
      </c>
      <c r="D30" s="55">
        <f>IFERROR(VLOOKUP($J$4&amp;"|"&amp;$A$29&amp;"|"&amp;D$4&amp;"|2",Planning!$W:$X,2,0),"")</f>
        <v/>
      </c>
      <c r="E30" s="55">
        <f>IFERROR(VLOOKUP($J$4&amp;"|"&amp;$A$29&amp;"|"&amp;E$4&amp;"|2",Planning!$W:$X,2,0),"")</f>
        <v/>
      </c>
      <c r="F30" s="55">
        <f>IFERROR(VLOOKUP($J$4&amp;"|"&amp;$A$29&amp;"|"&amp;F$4&amp;"|2",Planning!$W:$X,2,0),"")</f>
        <v/>
      </c>
      <c r="G30" s="56">
        <f>IFERROR(VLOOKUP($J$4&amp;"|"&amp;$A$29&amp;"|"&amp;G$4&amp;"|2",Planning!$W:$X,2,0),"")</f>
        <v/>
      </c>
      <c r="H30" s="56">
        <f>IFERROR(VLOOKUP($J$4&amp;"|"&amp;$A$29&amp;"|"&amp;H$4&amp;"|2",Planning!$W:$X,2,0),"")</f>
        <v/>
      </c>
    </row>
    <row r="31" ht="52.59999999999999" customHeight="1">
      <c r="A31" s="63" t="inlineStr">
        <is>
          <t>3éme INFO</t>
        </is>
      </c>
      <c r="B31" s="55">
        <f>IFERROR(VLOOKUP($J$4&amp;"|"&amp;$A$31&amp;"|"&amp;B$4&amp;"|1",Planning!$W:$X,2,0),"")</f>
        <v/>
      </c>
      <c r="C31" s="55">
        <f>IFERROR(VLOOKUP($J$4&amp;"|"&amp;$A$31&amp;"|"&amp;C$4&amp;"|1",Planning!$W:$X,2,0),"")</f>
        <v/>
      </c>
      <c r="D31" s="55">
        <f>IFERROR(VLOOKUP($J$4&amp;"|"&amp;$A$31&amp;"|"&amp;D$4&amp;"|1",Planning!$W:$X,2,0),"")</f>
        <v/>
      </c>
      <c r="E31" s="55">
        <f>IFERROR(VLOOKUP($J$4&amp;"|"&amp;$A$31&amp;"|"&amp;E$4&amp;"|1",Planning!$W:$X,2,0),"")</f>
        <v/>
      </c>
      <c r="F31" s="55">
        <f>IFERROR(VLOOKUP($J$4&amp;"|"&amp;$A$31&amp;"|"&amp;F$4&amp;"|1",Planning!$W:$X,2,0),"")</f>
        <v/>
      </c>
      <c r="G31" s="56">
        <f>IFERROR(VLOOKUP($J$4&amp;"|"&amp;$A$31&amp;"|"&amp;G$4&amp;"|1",Planning!$W:$X,2,0),"")</f>
        <v/>
      </c>
      <c r="H31" s="56">
        <f>IFERROR(VLOOKUP($J$4&amp;"|"&amp;$A$31&amp;"|"&amp;H$4&amp;"|1",Planning!$W:$X,2,0),"")</f>
        <v/>
      </c>
    </row>
    <row r="32" ht="52.59999999999999" customHeight="1">
      <c r="A32" s="63" t="inlineStr">
        <is>
          <t>3éme SCE</t>
        </is>
      </c>
      <c r="B32" s="55">
        <f>IFERROR(VLOOKUP($J$4&amp;"|"&amp;$A$32&amp;"|"&amp;B$4&amp;"|1",Planning!$W:$X,2,0),"")</f>
        <v/>
      </c>
      <c r="C32" s="55">
        <f>IFERROR(VLOOKUP($J$4&amp;"|"&amp;$A$32&amp;"|"&amp;C$4&amp;"|1",Planning!$W:$X,2,0),"")</f>
        <v/>
      </c>
      <c r="D32" s="55">
        <f>IFERROR(VLOOKUP($J$4&amp;"|"&amp;$A$32&amp;"|"&amp;D$4&amp;"|1",Planning!$W:$X,2,0),"")</f>
        <v/>
      </c>
      <c r="E32" s="55">
        <f>IFERROR(VLOOKUP($J$4&amp;"|"&amp;$A$32&amp;"|"&amp;E$4&amp;"|1",Planning!$W:$X,2,0),"")</f>
        <v/>
      </c>
      <c r="F32" s="55">
        <f>IFERROR(VLOOKUP($J$4&amp;"|"&amp;$A$32&amp;"|"&amp;F$4&amp;"|1",Planning!$W:$X,2,0),"")</f>
        <v/>
      </c>
      <c r="G32" s="56">
        <f>IFERROR(VLOOKUP($J$4&amp;"|"&amp;$A$32&amp;"|"&amp;G$4&amp;"|1",Planning!$W:$X,2,0),"")</f>
        <v/>
      </c>
      <c r="H32" s="56">
        <f>IFERROR(VLOOKUP($J$4&amp;"|"&amp;$A$32&amp;"|"&amp;H$4&amp;"|1",Planning!$W:$X,2,0),"")</f>
        <v/>
      </c>
    </row>
    <row r="33" ht="52.59999999999999" customHeight="1">
      <c r="A33" s="64" t="n"/>
      <c r="B33" s="55">
        <f>IFERROR(VLOOKUP($J$4&amp;"|"&amp;$A$32&amp;"|"&amp;B$4&amp;"|2",Planning!$W:$X,2,0),"")</f>
        <v/>
      </c>
      <c r="C33" s="55">
        <f>IFERROR(VLOOKUP($J$4&amp;"|"&amp;$A$32&amp;"|"&amp;C$4&amp;"|2",Planning!$W:$X,2,0),"")</f>
        <v/>
      </c>
      <c r="D33" s="55">
        <f>IFERROR(VLOOKUP($J$4&amp;"|"&amp;$A$32&amp;"|"&amp;D$4&amp;"|2",Planning!$W:$X,2,0),"")</f>
        <v/>
      </c>
      <c r="E33" s="55">
        <f>IFERROR(VLOOKUP($J$4&amp;"|"&amp;$A$32&amp;"|"&amp;E$4&amp;"|2",Planning!$W:$X,2,0),"")</f>
        <v/>
      </c>
      <c r="F33" s="55">
        <f>IFERROR(VLOOKUP($J$4&amp;"|"&amp;$A$32&amp;"|"&amp;F$4&amp;"|2",Planning!$W:$X,2,0),"")</f>
        <v/>
      </c>
      <c r="G33" s="56">
        <f>IFERROR(VLOOKUP($J$4&amp;"|"&amp;$A$32&amp;"|"&amp;G$4&amp;"|2",Planning!$W:$X,2,0),"")</f>
        <v/>
      </c>
      <c r="H33" s="56">
        <f>IFERROR(VLOOKUP($J$4&amp;"|"&amp;$A$32&amp;"|"&amp;H$4&amp;"|2",Planning!$W:$X,2,0),"")</f>
        <v/>
      </c>
    </row>
    <row r="34" ht="21" customHeight="1">
      <c r="A34" s="65" t="inlineStr">
        <is>
          <t>CYCLE BAC   (3 classes)</t>
        </is>
      </c>
      <c r="B34" s="66" t="n"/>
      <c r="C34" s="66" t="n"/>
      <c r="D34" s="66" t="n"/>
      <c r="E34" s="66" t="n"/>
      <c r="F34" s="66" t="n"/>
      <c r="G34" s="66" t="n"/>
      <c r="H34" s="66" t="n"/>
    </row>
    <row r="35" ht="52.59999999999999" customHeight="1">
      <c r="A35" s="67" t="inlineStr">
        <is>
          <t>Bac Eco</t>
        </is>
      </c>
      <c r="B35" s="55">
        <f>IFERROR(VLOOKUP($J$4&amp;"|"&amp;$A$35&amp;"|"&amp;B$4&amp;"|1",Planning!$W:$X,2,0),"")</f>
        <v/>
      </c>
      <c r="C35" s="55">
        <f>IFERROR(VLOOKUP($J$4&amp;"|"&amp;$A$35&amp;"|"&amp;C$4&amp;"|1",Planning!$W:$X,2,0),"")</f>
        <v/>
      </c>
      <c r="D35" s="55">
        <f>IFERROR(VLOOKUP($J$4&amp;"|"&amp;$A$35&amp;"|"&amp;D$4&amp;"|1",Planning!$W:$X,2,0),"")</f>
        <v/>
      </c>
      <c r="E35" s="55">
        <f>IFERROR(VLOOKUP($J$4&amp;"|"&amp;$A$35&amp;"|"&amp;E$4&amp;"|1",Planning!$W:$X,2,0),"")</f>
        <v/>
      </c>
      <c r="F35" s="55">
        <f>IFERROR(VLOOKUP($J$4&amp;"|"&amp;$A$35&amp;"|"&amp;F$4&amp;"|1",Planning!$W:$X,2,0),"")</f>
        <v/>
      </c>
      <c r="G35" s="56">
        <f>IFERROR(VLOOKUP($J$4&amp;"|"&amp;$A$35&amp;"|"&amp;G$4&amp;"|1",Planning!$W:$X,2,0),"")</f>
        <v/>
      </c>
      <c r="H35" s="56">
        <f>IFERROR(VLOOKUP($J$4&amp;"|"&amp;$A$35&amp;"|"&amp;H$4&amp;"|1",Planning!$W:$X,2,0),"")</f>
        <v/>
      </c>
    </row>
    <row r="36" ht="52.59999999999999" customHeight="1">
      <c r="A36" s="68" t="n"/>
      <c r="B36" s="55">
        <f>IFERROR(VLOOKUP($J$4&amp;"|"&amp;$A$35&amp;"|"&amp;B$4&amp;"|2",Planning!$W:$X,2,0),"")</f>
        <v/>
      </c>
      <c r="C36" s="55">
        <f>IFERROR(VLOOKUP($J$4&amp;"|"&amp;$A$35&amp;"|"&amp;C$4&amp;"|2",Planning!$W:$X,2,0),"")</f>
        <v/>
      </c>
      <c r="D36" s="55">
        <f>IFERROR(VLOOKUP($J$4&amp;"|"&amp;$A$35&amp;"|"&amp;D$4&amp;"|2",Planning!$W:$X,2,0),"")</f>
        <v/>
      </c>
      <c r="E36" s="55">
        <f>IFERROR(VLOOKUP($J$4&amp;"|"&amp;$A$35&amp;"|"&amp;E$4&amp;"|2",Planning!$W:$X,2,0),"")</f>
        <v/>
      </c>
      <c r="F36" s="55">
        <f>IFERROR(VLOOKUP($J$4&amp;"|"&amp;$A$35&amp;"|"&amp;F$4&amp;"|2",Planning!$W:$X,2,0),"")</f>
        <v/>
      </c>
      <c r="G36" s="56">
        <f>IFERROR(VLOOKUP($J$4&amp;"|"&amp;$A$35&amp;"|"&amp;G$4&amp;"|2",Planning!$W:$X,2,0),"")</f>
        <v/>
      </c>
      <c r="H36" s="56">
        <f>IFERROR(VLOOKUP($J$4&amp;"|"&amp;$A$35&amp;"|"&amp;H$4&amp;"|2",Planning!$W:$X,2,0),"")</f>
        <v/>
      </c>
    </row>
    <row r="37" ht="52.59999999999999" customHeight="1">
      <c r="A37" s="67" t="inlineStr">
        <is>
          <t>Bac SCE</t>
        </is>
      </c>
      <c r="B37" s="55">
        <f>IFERROR(VLOOKUP($J$4&amp;"|"&amp;$A$37&amp;"|"&amp;B$4&amp;"|1",Planning!$W:$X,2,0),"")</f>
        <v/>
      </c>
      <c r="C37" s="55">
        <f>IFERROR(VLOOKUP($J$4&amp;"|"&amp;$A$37&amp;"|"&amp;C$4&amp;"|1",Planning!$W:$X,2,0),"")</f>
        <v/>
      </c>
      <c r="D37" s="55">
        <f>IFERROR(VLOOKUP($J$4&amp;"|"&amp;$A$37&amp;"|"&amp;D$4&amp;"|1",Planning!$W:$X,2,0),"")</f>
        <v/>
      </c>
      <c r="E37" s="55">
        <f>IFERROR(VLOOKUP($J$4&amp;"|"&amp;$A$37&amp;"|"&amp;E$4&amp;"|1",Planning!$W:$X,2,0),"")</f>
        <v/>
      </c>
      <c r="F37" s="55">
        <f>IFERROR(VLOOKUP($J$4&amp;"|"&amp;$A$37&amp;"|"&amp;F$4&amp;"|1",Planning!$W:$X,2,0),"")</f>
        <v/>
      </c>
      <c r="G37" s="56">
        <f>IFERROR(VLOOKUP($J$4&amp;"|"&amp;$A$37&amp;"|"&amp;G$4&amp;"|1",Planning!$W:$X,2,0),"")</f>
        <v/>
      </c>
      <c r="H37" s="56">
        <f>IFERROR(VLOOKUP($J$4&amp;"|"&amp;$A$37&amp;"|"&amp;H$4&amp;"|1",Planning!$W:$X,2,0),"")</f>
        <v/>
      </c>
    </row>
    <row r="38" ht="52.59999999999999" customHeight="1">
      <c r="A38" s="67" t="inlineStr">
        <is>
          <t>Bac INFO</t>
        </is>
      </c>
      <c r="B38" s="55">
        <f>IFERROR(VLOOKUP($J$4&amp;"|"&amp;$A$38&amp;"|"&amp;B$4&amp;"|1",Planning!$W:$X,2,0),"")</f>
        <v/>
      </c>
      <c r="C38" s="55">
        <f>IFERROR(VLOOKUP($J$4&amp;"|"&amp;$A$38&amp;"|"&amp;C$4&amp;"|1",Planning!$W:$X,2,0),"")</f>
        <v/>
      </c>
      <c r="D38" s="55">
        <f>IFERROR(VLOOKUP($J$4&amp;"|"&amp;$A$38&amp;"|"&amp;D$4&amp;"|1",Planning!$W:$X,2,0),"")</f>
        <v/>
      </c>
      <c r="E38" s="55">
        <f>IFERROR(VLOOKUP($J$4&amp;"|"&amp;$A$38&amp;"|"&amp;E$4&amp;"|1",Planning!$W:$X,2,0),"")</f>
        <v/>
      </c>
      <c r="F38" s="55">
        <f>IFERROR(VLOOKUP($J$4&amp;"|"&amp;$A$38&amp;"|"&amp;F$4&amp;"|1",Planning!$W:$X,2,0),"")</f>
        <v/>
      </c>
      <c r="G38" s="56">
        <f>IFERROR(VLOOKUP($J$4&amp;"|"&amp;$A$38&amp;"|"&amp;G$4&amp;"|1",Planning!$W:$X,2,0),"")</f>
        <v/>
      </c>
      <c r="H38" s="56">
        <f>IFERROR(VLOOKUP($J$4&amp;"|"&amp;$A$38&amp;"|"&amp;H$4&amp;"|1",Planning!$W:$X,2,0),"")</f>
        <v/>
      </c>
    </row>
    <row r="39" ht="52.59999999999999" customHeight="1">
      <c r="A39" s="68" t="n"/>
      <c r="B39" s="55">
        <f>IFERROR(VLOOKUP($J$4&amp;"|"&amp;$A$38&amp;"|"&amp;B$4&amp;"|2",Planning!$W:$X,2,0),"")</f>
        <v/>
      </c>
      <c r="C39" s="55">
        <f>IFERROR(VLOOKUP($J$4&amp;"|"&amp;$A$38&amp;"|"&amp;C$4&amp;"|2",Planning!$W:$X,2,0),"")</f>
        <v/>
      </c>
      <c r="D39" s="55">
        <f>IFERROR(VLOOKUP($J$4&amp;"|"&amp;$A$38&amp;"|"&amp;D$4&amp;"|2",Planning!$W:$X,2,0),"")</f>
        <v/>
      </c>
      <c r="E39" s="55">
        <f>IFERROR(VLOOKUP($J$4&amp;"|"&amp;$A$38&amp;"|"&amp;E$4&amp;"|2",Planning!$W:$X,2,0),"")</f>
        <v/>
      </c>
      <c r="F39" s="55">
        <f>IFERROR(VLOOKUP($J$4&amp;"|"&amp;$A$38&amp;"|"&amp;F$4&amp;"|2",Planning!$W:$X,2,0),"")</f>
        <v/>
      </c>
      <c r="G39" s="56">
        <f>IFERROR(VLOOKUP($J$4&amp;"|"&amp;$A$38&amp;"|"&amp;G$4&amp;"|2",Planning!$W:$X,2,0),"")</f>
        <v/>
      </c>
      <c r="H39" s="56">
        <f>IFERROR(VLOOKUP($J$4&amp;"|"&amp;$A$38&amp;"|"&amp;H$4&amp;"|2",Planning!$W:$X,2,0),"")</f>
        <v/>
      </c>
    </row>
  </sheetData>
  <mergeCells count="14">
    <mergeCell ref="A1:H1"/>
    <mergeCell ref="A35:A36"/>
    <mergeCell ref="A32:A33"/>
    <mergeCell ref="A38:A39"/>
    <mergeCell ref="A17:A18"/>
    <mergeCell ref="A2:H2"/>
    <mergeCell ref="A10:H10"/>
    <mergeCell ref="A29:A30"/>
    <mergeCell ref="A23:A24"/>
    <mergeCell ref="A5:H5"/>
    <mergeCell ref="A19:A20"/>
    <mergeCell ref="A11:A12"/>
    <mergeCell ref="A22:H22"/>
    <mergeCell ref="A34:H34"/>
  </mergeCells>
  <conditionalFormatting sqref="B5:H39">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6">
      <formula>ISNUMBER(SEARCH("◆ PONCTUEL",B5))</formula>
    </cfRule>
    <cfRule type="expression" priority="10" dxfId="17">
      <formula>ISNUMBER(SEARCH("◆ Q-",B5))</formula>
    </cfRule>
    <cfRule type="expression" priority="11" dxfId="1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14 au 20 septembre 2026</oddHeader>
    <oddFooter>&amp;L&amp;8 RS 2026-2027 · S1 (semaine A)&amp;R&amp;8 Page &amp;P / &amp;N</oddFooter>
    <evenHeader/>
    <evenFooter/>
    <firstHeader/>
    <firstFooter/>
  </headerFooter>
  <rowBreaks count="3" manualBreakCount="3">
    <brk id="9" min="0" max="16383" man="1"/>
    <brk id="21" min="0" max="16383" man="1"/>
    <brk id="33" min="0" max="16383" man="1"/>
  </rowBreaks>
</worksheet>
</file>

<file path=xl/worksheets/sheet5.xml><?xml version="1.0" encoding="utf-8"?>
<worksheet xmlns="http://schemas.openxmlformats.org/spreadsheetml/2006/main">
  <sheetPr>
    <tabColor rgb="008494A7"/>
    <outlinePr summaryBelow="1" summaryRight="1"/>
    <pageSetUpPr fitToPage="1"/>
  </sheetPr>
  <dimension ref="A1:J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S2 · DU 21 AU 27 SEPTEMBRE 2026   |   SEMAINE B</t>
        </is>
      </c>
      <c r="B1" s="2" t="n"/>
      <c r="C1" s="2" t="n"/>
      <c r="D1" s="2" t="n"/>
      <c r="E1" s="2" t="n"/>
      <c r="F1" s="2" t="n"/>
      <c r="G1" s="2" t="n"/>
      <c r="H1" s="2" t="n"/>
    </row>
    <row r="2" ht="26" customHeight="1">
      <c r="A2" s="37" t="inlineStr">
        <is>
          <t>Chaque case = une séance : 1re ligne l’horaire, 2e la matière, 3e l’enseignant.   La couleur indique la famille de matières.   ◆ Q-A / ◆ Q-B = séance par quinzaine.   Case grise = aucune séance.   Contenu issu du fichier d’origine, repris depuis la feuille Planning.</t>
        </is>
      </c>
      <c r="B2" s="38" t="n"/>
      <c r="C2" s="38" t="n"/>
      <c r="D2" s="38" t="n"/>
      <c r="E2" s="38" t="n"/>
      <c r="F2" s="38" t="n"/>
      <c r="G2" s="38" t="n"/>
      <c r="H2" s="38" t="n"/>
    </row>
    <row r="3" ht="36" customHeight="1">
      <c r="A3" s="50" t="inlineStr">
        <is>
          <t>Classe / Groupe</t>
        </is>
      </c>
      <c r="B3" s="50" t="inlineStr">
        <is>
          <t>Lundi
21/09</t>
        </is>
      </c>
      <c r="C3" s="50" t="inlineStr">
        <is>
          <t>Mardi
22/09</t>
        </is>
      </c>
      <c r="D3" s="50" t="inlineStr">
        <is>
          <t>Mercredi
23/09</t>
        </is>
      </c>
      <c r="E3" s="50" t="inlineStr">
        <is>
          <t>Jeudi
24/09</t>
        </is>
      </c>
      <c r="F3" s="50" t="inlineStr">
        <is>
          <t>Vendredi
25/09</t>
        </is>
      </c>
      <c r="G3" s="51" t="inlineStr">
        <is>
          <t>Samedi
26/09</t>
        </is>
      </c>
      <c r="H3" s="51" t="inlineStr">
        <is>
          <t>Dimanche
27/09</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S2</t>
        </is>
      </c>
    </row>
    <row r="5" ht="21" customHeight="1">
      <c r="A5" s="52" t="inlineStr">
        <is>
          <t>CYCLE PRIMAIRE   (4 classes)</t>
        </is>
      </c>
      <c r="B5" s="53" t="n"/>
      <c r="C5" s="53" t="n"/>
      <c r="D5" s="53" t="n"/>
      <c r="E5" s="53" t="n"/>
      <c r="F5" s="53" t="n"/>
      <c r="G5" s="53" t="n"/>
      <c r="H5" s="53" t="n"/>
    </row>
    <row r="6" ht="52.59999999999999" customHeight="1">
      <c r="A6" s="54" t="inlineStr">
        <is>
          <t>4éme</t>
        </is>
      </c>
      <c r="B6" s="55">
        <f>IFERROR(VLOOKUP($J$4&amp;"|"&amp;$A$6&amp;"|"&amp;B$4&amp;"|1",Planning!$W:$X,2,0),"")</f>
        <v/>
      </c>
      <c r="C6" s="55">
        <f>IFERROR(VLOOKUP($J$4&amp;"|"&amp;$A$6&amp;"|"&amp;C$4&amp;"|1",Planning!$W:$X,2,0),"")</f>
        <v/>
      </c>
      <c r="D6" s="55">
        <f>IFERROR(VLOOKUP($J$4&amp;"|"&amp;$A$6&amp;"|"&amp;D$4&amp;"|1",Planning!$W:$X,2,0),"")</f>
        <v/>
      </c>
      <c r="E6" s="55">
        <f>IFERROR(VLOOKUP($J$4&amp;"|"&amp;$A$6&amp;"|"&amp;E$4&amp;"|1",Planning!$W:$X,2,0),"")</f>
        <v/>
      </c>
      <c r="F6" s="55">
        <f>IFERROR(VLOOKUP($J$4&amp;"|"&amp;$A$6&amp;"|"&amp;F$4&amp;"|1",Planning!$W:$X,2,0),"")</f>
        <v/>
      </c>
      <c r="G6" s="56">
        <f>IFERROR(VLOOKUP($J$4&amp;"|"&amp;$A$6&amp;"|"&amp;G$4&amp;"|1",Planning!$W:$X,2,0),"")</f>
        <v/>
      </c>
      <c r="H6" s="56">
        <f>IFERROR(VLOOKUP($J$4&amp;"|"&amp;$A$6&amp;"|"&amp;H$4&amp;"|1",Planning!$W:$X,2,0),"")</f>
        <v/>
      </c>
    </row>
    <row r="7" ht="52.59999999999999" customHeight="1">
      <c r="A7" s="54" t="inlineStr">
        <is>
          <t>5éme</t>
        </is>
      </c>
      <c r="B7" s="55">
        <f>IFERROR(VLOOKUP($J$4&amp;"|"&amp;$A$7&amp;"|"&amp;B$4&amp;"|1",Planning!$W:$X,2,0),"")</f>
        <v/>
      </c>
      <c r="C7" s="55">
        <f>IFERROR(VLOOKUP($J$4&amp;"|"&amp;$A$7&amp;"|"&amp;C$4&amp;"|1",Planning!$W:$X,2,0),"")</f>
        <v/>
      </c>
      <c r="D7" s="55">
        <f>IFERROR(VLOOKUP($J$4&amp;"|"&amp;$A$7&amp;"|"&amp;D$4&amp;"|1",Planning!$W:$X,2,0),"")</f>
        <v/>
      </c>
      <c r="E7" s="55">
        <f>IFERROR(VLOOKUP($J$4&amp;"|"&amp;$A$7&amp;"|"&amp;E$4&amp;"|1",Planning!$W:$X,2,0),"")</f>
        <v/>
      </c>
      <c r="F7" s="55">
        <f>IFERROR(VLOOKUP($J$4&amp;"|"&amp;$A$7&amp;"|"&amp;F$4&amp;"|1",Planning!$W:$X,2,0),"")</f>
        <v/>
      </c>
      <c r="G7" s="56">
        <f>IFERROR(VLOOKUP($J$4&amp;"|"&amp;$A$7&amp;"|"&amp;G$4&amp;"|1",Planning!$W:$X,2,0),"")</f>
        <v/>
      </c>
      <c r="H7" s="56">
        <f>IFERROR(VLOOKUP($J$4&amp;"|"&amp;$A$7&amp;"|"&amp;H$4&amp;"|1",Planning!$W:$X,2,0),"")</f>
        <v/>
      </c>
    </row>
    <row r="8" ht="67.8" customHeight="1">
      <c r="A8" s="54" t="inlineStr">
        <is>
          <t>6éme Pilote (A)</t>
        </is>
      </c>
      <c r="B8" s="55">
        <f>IFERROR(VLOOKUP($J$4&amp;"|"&amp;$A$8&amp;"|"&amp;B$4&amp;"|1",Planning!$W:$X,2,0),"")</f>
        <v/>
      </c>
      <c r="C8" s="55">
        <f>IFERROR(VLOOKUP($J$4&amp;"|"&amp;$A$8&amp;"|"&amp;C$4&amp;"|1",Planning!$W:$X,2,0),"")</f>
        <v/>
      </c>
      <c r="D8" s="55">
        <f>IFERROR(VLOOKUP($J$4&amp;"|"&amp;$A$8&amp;"|"&amp;D$4&amp;"|1",Planning!$W:$X,2,0),"")</f>
        <v/>
      </c>
      <c r="E8" s="55">
        <f>IFERROR(VLOOKUP($J$4&amp;"|"&amp;$A$8&amp;"|"&amp;E$4&amp;"|1",Planning!$W:$X,2,0),"")</f>
        <v/>
      </c>
      <c r="F8" s="55">
        <f>IFERROR(VLOOKUP($J$4&amp;"|"&amp;$A$8&amp;"|"&amp;F$4&amp;"|1",Planning!$W:$X,2,0),"")</f>
        <v/>
      </c>
      <c r="G8" s="56">
        <f>IFERROR(VLOOKUP($J$4&amp;"|"&amp;$A$8&amp;"|"&amp;G$4&amp;"|1",Planning!$W:$X,2,0),"")</f>
        <v/>
      </c>
      <c r="H8" s="56">
        <f>IFERROR(VLOOKUP($J$4&amp;"|"&amp;$A$8&amp;"|"&amp;H$4&amp;"|1",Planning!$W:$X,2,0),"")</f>
        <v/>
      </c>
    </row>
    <row r="9" ht="52.59999999999999" customHeight="1">
      <c r="A9" s="54" t="inlineStr">
        <is>
          <t>6éme (B)</t>
        </is>
      </c>
      <c r="B9" s="55">
        <f>IFERROR(VLOOKUP($J$4&amp;"|"&amp;$A$9&amp;"|"&amp;B$4&amp;"|1",Planning!$W:$X,2,0),"")</f>
        <v/>
      </c>
      <c r="C9" s="55">
        <f>IFERROR(VLOOKUP($J$4&amp;"|"&amp;$A$9&amp;"|"&amp;C$4&amp;"|1",Planning!$W:$X,2,0),"")</f>
        <v/>
      </c>
      <c r="D9" s="55">
        <f>IFERROR(VLOOKUP($J$4&amp;"|"&amp;$A$9&amp;"|"&amp;D$4&amp;"|1",Planning!$W:$X,2,0),"")</f>
        <v/>
      </c>
      <c r="E9" s="55">
        <f>IFERROR(VLOOKUP($J$4&amp;"|"&amp;$A$9&amp;"|"&amp;E$4&amp;"|1",Planning!$W:$X,2,0),"")</f>
        <v/>
      </c>
      <c r="F9" s="55">
        <f>IFERROR(VLOOKUP($J$4&amp;"|"&amp;$A$9&amp;"|"&amp;F$4&amp;"|1",Planning!$W:$X,2,0),"")</f>
        <v/>
      </c>
      <c r="G9" s="56">
        <f>IFERROR(VLOOKUP($J$4&amp;"|"&amp;$A$9&amp;"|"&amp;G$4&amp;"|1",Planning!$W:$X,2,0),"")</f>
        <v/>
      </c>
      <c r="H9" s="56">
        <f>IFERROR(VLOOKUP($J$4&amp;"|"&amp;$A$9&amp;"|"&amp;H$4&amp;"|1",Planning!$W:$X,2,0),"")</f>
        <v/>
      </c>
    </row>
    <row r="10" ht="21" customHeight="1">
      <c r="A10" s="57" t="inlineStr">
        <is>
          <t>CYCLE COLLÈGE   (8 classes)</t>
        </is>
      </c>
      <c r="B10" s="58" t="n"/>
      <c r="C10" s="58" t="n"/>
      <c r="D10" s="58" t="n"/>
      <c r="E10" s="58" t="n"/>
      <c r="F10" s="58" t="n"/>
      <c r="G10" s="58" t="n"/>
      <c r="H10" s="58" t="n"/>
    </row>
    <row r="11" ht="52.59999999999999" customHeight="1">
      <c r="A11" s="59" t="inlineStr">
        <is>
          <t>7éme (A)</t>
        </is>
      </c>
      <c r="B11" s="55">
        <f>IFERROR(VLOOKUP($J$4&amp;"|"&amp;$A$11&amp;"|"&amp;B$4&amp;"|1",Planning!$W:$X,2,0),"")</f>
        <v/>
      </c>
      <c r="C11" s="55">
        <f>IFERROR(VLOOKUP($J$4&amp;"|"&amp;$A$11&amp;"|"&amp;C$4&amp;"|1",Planning!$W:$X,2,0),"")</f>
        <v/>
      </c>
      <c r="D11" s="55">
        <f>IFERROR(VLOOKUP($J$4&amp;"|"&amp;$A$11&amp;"|"&amp;D$4&amp;"|1",Planning!$W:$X,2,0),"")</f>
        <v/>
      </c>
      <c r="E11" s="55">
        <f>IFERROR(VLOOKUP($J$4&amp;"|"&amp;$A$11&amp;"|"&amp;E$4&amp;"|1",Planning!$W:$X,2,0),"")</f>
        <v/>
      </c>
      <c r="F11" s="55">
        <f>IFERROR(VLOOKUP($J$4&amp;"|"&amp;$A$11&amp;"|"&amp;F$4&amp;"|1",Planning!$W:$X,2,0),"")</f>
        <v/>
      </c>
      <c r="G11" s="56">
        <f>IFERROR(VLOOKUP($J$4&amp;"|"&amp;$A$11&amp;"|"&amp;G$4&amp;"|1",Planning!$W:$X,2,0),"")</f>
        <v/>
      </c>
      <c r="H11" s="56">
        <f>IFERROR(VLOOKUP($J$4&amp;"|"&amp;$A$11&amp;"|"&amp;H$4&amp;"|1",Planning!$W:$X,2,0),"")</f>
        <v/>
      </c>
    </row>
    <row r="12" ht="52.59999999999999" customHeight="1">
      <c r="A12" s="59" t="inlineStr">
        <is>
          <t>7éme (B)</t>
        </is>
      </c>
      <c r="B12" s="55">
        <f>IFERROR(VLOOKUP($J$4&amp;"|"&amp;$A$12&amp;"|"&amp;B$4&amp;"|1",Planning!$W:$X,2,0),"")</f>
        <v/>
      </c>
      <c r="C12" s="55">
        <f>IFERROR(VLOOKUP($J$4&amp;"|"&amp;$A$12&amp;"|"&amp;C$4&amp;"|1",Planning!$W:$X,2,0),"")</f>
        <v/>
      </c>
      <c r="D12" s="55">
        <f>IFERROR(VLOOKUP($J$4&amp;"|"&amp;$A$12&amp;"|"&amp;D$4&amp;"|1",Planning!$W:$X,2,0),"")</f>
        <v/>
      </c>
      <c r="E12" s="55">
        <f>IFERROR(VLOOKUP($J$4&amp;"|"&amp;$A$12&amp;"|"&amp;E$4&amp;"|1",Planning!$W:$X,2,0),"")</f>
        <v/>
      </c>
      <c r="F12" s="55">
        <f>IFERROR(VLOOKUP($J$4&amp;"|"&amp;$A$12&amp;"|"&amp;F$4&amp;"|1",Planning!$W:$X,2,0),"")</f>
        <v/>
      </c>
      <c r="G12" s="56">
        <f>IFERROR(VLOOKUP($J$4&amp;"|"&amp;$A$12&amp;"|"&amp;G$4&amp;"|1",Planning!$W:$X,2,0),"")</f>
        <v/>
      </c>
      <c r="H12" s="56">
        <f>IFERROR(VLOOKUP($J$4&amp;"|"&amp;$A$12&amp;"|"&amp;H$4&amp;"|1",Planning!$W:$X,2,0),"")</f>
        <v/>
      </c>
    </row>
    <row r="13" ht="52.59999999999999" customHeight="1">
      <c r="A13" s="59" t="inlineStr">
        <is>
          <t>8éme (A)</t>
        </is>
      </c>
      <c r="B13" s="55">
        <f>IFERROR(VLOOKUP($J$4&amp;"|"&amp;$A$13&amp;"|"&amp;B$4&amp;"|1",Planning!$W:$X,2,0),"")</f>
        <v/>
      </c>
      <c r="C13" s="55">
        <f>IFERROR(VLOOKUP($J$4&amp;"|"&amp;$A$13&amp;"|"&amp;C$4&amp;"|1",Planning!$W:$X,2,0),"")</f>
        <v/>
      </c>
      <c r="D13" s="55">
        <f>IFERROR(VLOOKUP($J$4&amp;"|"&amp;$A$13&amp;"|"&amp;D$4&amp;"|1",Planning!$W:$X,2,0),"")</f>
        <v/>
      </c>
      <c r="E13" s="55">
        <f>IFERROR(VLOOKUP($J$4&amp;"|"&amp;$A$13&amp;"|"&amp;E$4&amp;"|1",Planning!$W:$X,2,0),"")</f>
        <v/>
      </c>
      <c r="F13" s="55">
        <f>IFERROR(VLOOKUP($J$4&amp;"|"&amp;$A$13&amp;"|"&amp;F$4&amp;"|1",Planning!$W:$X,2,0),"")</f>
        <v/>
      </c>
      <c r="G13" s="56">
        <f>IFERROR(VLOOKUP($J$4&amp;"|"&amp;$A$13&amp;"|"&amp;G$4&amp;"|1",Planning!$W:$X,2,0),"")</f>
        <v/>
      </c>
      <c r="H13" s="56">
        <f>IFERROR(VLOOKUP($J$4&amp;"|"&amp;$A$13&amp;"|"&amp;H$4&amp;"|1",Planning!$W:$X,2,0),"")</f>
        <v/>
      </c>
    </row>
    <row r="14" ht="52.59999999999999" customHeight="1">
      <c r="A14" s="59" t="inlineStr">
        <is>
          <t>8éme (B)</t>
        </is>
      </c>
      <c r="B14" s="55">
        <f>IFERROR(VLOOKUP($J$4&amp;"|"&amp;$A$14&amp;"|"&amp;B$4&amp;"|1",Planning!$W:$X,2,0),"")</f>
        <v/>
      </c>
      <c r="C14" s="55">
        <f>IFERROR(VLOOKUP($J$4&amp;"|"&amp;$A$14&amp;"|"&amp;C$4&amp;"|1",Planning!$W:$X,2,0),"")</f>
        <v/>
      </c>
      <c r="D14" s="55">
        <f>IFERROR(VLOOKUP($J$4&amp;"|"&amp;$A$14&amp;"|"&amp;D$4&amp;"|1",Planning!$W:$X,2,0),"")</f>
        <v/>
      </c>
      <c r="E14" s="55">
        <f>IFERROR(VLOOKUP($J$4&amp;"|"&amp;$A$14&amp;"|"&amp;E$4&amp;"|1",Planning!$W:$X,2,0),"")</f>
        <v/>
      </c>
      <c r="F14" s="55">
        <f>IFERROR(VLOOKUP($J$4&amp;"|"&amp;$A$14&amp;"|"&amp;F$4&amp;"|1",Planning!$W:$X,2,0),"")</f>
        <v/>
      </c>
      <c r="G14" s="56">
        <f>IFERROR(VLOOKUP($J$4&amp;"|"&amp;$A$14&amp;"|"&amp;G$4&amp;"|1",Planning!$W:$X,2,0),"")</f>
        <v/>
      </c>
      <c r="H14" s="56">
        <f>IFERROR(VLOOKUP($J$4&amp;"|"&amp;$A$14&amp;"|"&amp;H$4&amp;"|1",Planning!$W:$X,2,0),"")</f>
        <v/>
      </c>
    </row>
    <row r="15" ht="52.59999999999999" customHeight="1">
      <c r="A15" s="59" t="inlineStr">
        <is>
          <t>8éme (C)</t>
        </is>
      </c>
      <c r="B15" s="55">
        <f>IFERROR(VLOOKUP($J$4&amp;"|"&amp;$A$15&amp;"|"&amp;B$4&amp;"|1",Planning!$W:$X,2,0),"")</f>
        <v/>
      </c>
      <c r="C15" s="55">
        <f>IFERROR(VLOOKUP($J$4&amp;"|"&amp;$A$15&amp;"|"&amp;C$4&amp;"|1",Planning!$W:$X,2,0),"")</f>
        <v/>
      </c>
      <c r="D15" s="55">
        <f>IFERROR(VLOOKUP($J$4&amp;"|"&amp;$A$15&amp;"|"&amp;D$4&amp;"|1",Planning!$W:$X,2,0),"")</f>
        <v/>
      </c>
      <c r="E15" s="55">
        <f>IFERROR(VLOOKUP($J$4&amp;"|"&amp;$A$15&amp;"|"&amp;E$4&amp;"|1",Planning!$W:$X,2,0),"")</f>
        <v/>
      </c>
      <c r="F15" s="55">
        <f>IFERROR(VLOOKUP($J$4&amp;"|"&amp;$A$15&amp;"|"&amp;F$4&amp;"|1",Planning!$W:$X,2,0),"")</f>
        <v/>
      </c>
      <c r="G15" s="56">
        <f>IFERROR(VLOOKUP($J$4&amp;"|"&amp;$A$15&amp;"|"&amp;G$4&amp;"|1",Planning!$W:$X,2,0),"")</f>
        <v/>
      </c>
      <c r="H15" s="56">
        <f>IFERROR(VLOOKUP($J$4&amp;"|"&amp;$A$15&amp;"|"&amp;H$4&amp;"|1",Planning!$W:$X,2,0),"")</f>
        <v/>
      </c>
    </row>
    <row r="16" ht="52.59999999999999" customHeight="1">
      <c r="A16" s="59" t="inlineStr">
        <is>
          <t>9éme (A)</t>
        </is>
      </c>
      <c r="B16" s="55">
        <f>IFERROR(VLOOKUP($J$4&amp;"|"&amp;$A$16&amp;"|"&amp;B$4&amp;"|1",Planning!$W:$X,2,0),"")</f>
        <v/>
      </c>
      <c r="C16" s="55">
        <f>IFERROR(VLOOKUP($J$4&amp;"|"&amp;$A$16&amp;"|"&amp;C$4&amp;"|1",Planning!$W:$X,2,0),"")</f>
        <v/>
      </c>
      <c r="D16" s="55">
        <f>IFERROR(VLOOKUP($J$4&amp;"|"&amp;$A$16&amp;"|"&amp;D$4&amp;"|1",Planning!$W:$X,2,0),"")</f>
        <v/>
      </c>
      <c r="E16" s="55">
        <f>IFERROR(VLOOKUP($J$4&amp;"|"&amp;$A$16&amp;"|"&amp;E$4&amp;"|1",Planning!$W:$X,2,0),"")</f>
        <v/>
      </c>
      <c r="F16" s="55">
        <f>IFERROR(VLOOKUP($J$4&amp;"|"&amp;$A$16&amp;"|"&amp;F$4&amp;"|1",Planning!$W:$X,2,0),"")</f>
        <v/>
      </c>
      <c r="G16" s="56">
        <f>IFERROR(VLOOKUP($J$4&amp;"|"&amp;$A$16&amp;"|"&amp;G$4&amp;"|1",Planning!$W:$X,2,0),"")</f>
        <v/>
      </c>
      <c r="H16" s="56">
        <f>IFERROR(VLOOKUP($J$4&amp;"|"&amp;$A$16&amp;"|"&amp;H$4&amp;"|1",Planning!$W:$X,2,0),"")</f>
        <v/>
      </c>
    </row>
    <row r="17" ht="52.59999999999999" customHeight="1">
      <c r="A17" s="60" t="n"/>
      <c r="B17" s="55">
        <f>IFERROR(VLOOKUP($J$4&amp;"|"&amp;$A$16&amp;"|"&amp;B$4&amp;"|2",Planning!$W:$X,2,0),"")</f>
        <v/>
      </c>
      <c r="C17" s="55">
        <f>IFERROR(VLOOKUP($J$4&amp;"|"&amp;$A$16&amp;"|"&amp;C$4&amp;"|2",Planning!$W:$X,2,0),"")</f>
        <v/>
      </c>
      <c r="D17" s="55">
        <f>IFERROR(VLOOKUP($J$4&amp;"|"&amp;$A$16&amp;"|"&amp;D$4&amp;"|2",Planning!$W:$X,2,0),"")</f>
        <v/>
      </c>
      <c r="E17" s="55">
        <f>IFERROR(VLOOKUP($J$4&amp;"|"&amp;$A$16&amp;"|"&amp;E$4&amp;"|2",Planning!$W:$X,2,0),"")</f>
        <v/>
      </c>
      <c r="F17" s="55">
        <f>IFERROR(VLOOKUP($J$4&amp;"|"&amp;$A$16&amp;"|"&amp;F$4&amp;"|2",Planning!$W:$X,2,0),"")</f>
        <v/>
      </c>
      <c r="G17" s="56">
        <f>IFERROR(VLOOKUP($J$4&amp;"|"&amp;$A$16&amp;"|"&amp;G$4&amp;"|2",Planning!$W:$X,2,0),"")</f>
        <v/>
      </c>
      <c r="H17" s="56">
        <f>IFERROR(VLOOKUP($J$4&amp;"|"&amp;$A$16&amp;"|"&amp;H$4&amp;"|2",Planning!$W:$X,2,0),"")</f>
        <v/>
      </c>
    </row>
    <row r="18" ht="52.59999999999999" customHeight="1">
      <c r="A18" s="59" t="inlineStr">
        <is>
          <t>9éme (B)</t>
        </is>
      </c>
      <c r="B18" s="55">
        <f>IFERROR(VLOOKUP($J$4&amp;"|"&amp;$A$18&amp;"|"&amp;B$4&amp;"|1",Planning!$W:$X,2,0),"")</f>
        <v/>
      </c>
      <c r="C18" s="55">
        <f>IFERROR(VLOOKUP($J$4&amp;"|"&amp;$A$18&amp;"|"&amp;C$4&amp;"|1",Planning!$W:$X,2,0),"")</f>
        <v/>
      </c>
      <c r="D18" s="55">
        <f>IFERROR(VLOOKUP($J$4&amp;"|"&amp;$A$18&amp;"|"&amp;D$4&amp;"|1",Planning!$W:$X,2,0),"")</f>
        <v/>
      </c>
      <c r="E18" s="55">
        <f>IFERROR(VLOOKUP($J$4&amp;"|"&amp;$A$18&amp;"|"&amp;E$4&amp;"|1",Planning!$W:$X,2,0),"")</f>
        <v/>
      </c>
      <c r="F18" s="55">
        <f>IFERROR(VLOOKUP($J$4&amp;"|"&amp;$A$18&amp;"|"&amp;F$4&amp;"|1",Planning!$W:$X,2,0),"")</f>
        <v/>
      </c>
      <c r="G18" s="56">
        <f>IFERROR(VLOOKUP($J$4&amp;"|"&amp;$A$18&amp;"|"&amp;G$4&amp;"|1",Planning!$W:$X,2,0),"")</f>
        <v/>
      </c>
      <c r="H18" s="56">
        <f>IFERROR(VLOOKUP($J$4&amp;"|"&amp;$A$18&amp;"|"&amp;H$4&amp;"|1",Planning!$W:$X,2,0),"")</f>
        <v/>
      </c>
    </row>
    <row r="19" ht="52.59999999999999" customHeight="1">
      <c r="A19" s="60" t="n"/>
      <c r="B19" s="55">
        <f>IFERROR(VLOOKUP($J$4&amp;"|"&amp;$A$18&amp;"|"&amp;B$4&amp;"|2",Planning!$W:$X,2,0),"")</f>
        <v/>
      </c>
      <c r="C19" s="55">
        <f>IFERROR(VLOOKUP($J$4&amp;"|"&amp;$A$18&amp;"|"&amp;C$4&amp;"|2",Planning!$W:$X,2,0),"")</f>
        <v/>
      </c>
      <c r="D19" s="55">
        <f>IFERROR(VLOOKUP($J$4&amp;"|"&amp;$A$18&amp;"|"&amp;D$4&amp;"|2",Planning!$W:$X,2,0),"")</f>
        <v/>
      </c>
      <c r="E19" s="55">
        <f>IFERROR(VLOOKUP($J$4&amp;"|"&amp;$A$18&amp;"|"&amp;E$4&amp;"|2",Planning!$W:$X,2,0),"")</f>
        <v/>
      </c>
      <c r="F19" s="55">
        <f>IFERROR(VLOOKUP($J$4&amp;"|"&amp;$A$18&amp;"|"&amp;F$4&amp;"|2",Planning!$W:$X,2,0),"")</f>
        <v/>
      </c>
      <c r="G19" s="56">
        <f>IFERROR(VLOOKUP($J$4&amp;"|"&amp;$A$18&amp;"|"&amp;G$4&amp;"|2",Planning!$W:$X,2,0),"")</f>
        <v/>
      </c>
      <c r="H19" s="56">
        <f>IFERROR(VLOOKUP($J$4&amp;"|"&amp;$A$18&amp;"|"&amp;H$4&amp;"|2",Planning!$W:$X,2,0),"")</f>
        <v/>
      </c>
    </row>
    <row r="20" ht="52.59999999999999" customHeight="1">
      <c r="A20" s="59" t="inlineStr">
        <is>
          <t>9éme (C)</t>
        </is>
      </c>
      <c r="B20" s="55">
        <f>IFERROR(VLOOKUP($J$4&amp;"|"&amp;$A$20&amp;"|"&amp;B$4&amp;"|1",Planning!$W:$X,2,0),"")</f>
        <v/>
      </c>
      <c r="C20" s="55">
        <f>IFERROR(VLOOKUP($J$4&amp;"|"&amp;$A$20&amp;"|"&amp;C$4&amp;"|1",Planning!$W:$X,2,0),"")</f>
        <v/>
      </c>
      <c r="D20" s="55">
        <f>IFERROR(VLOOKUP($J$4&amp;"|"&amp;$A$20&amp;"|"&amp;D$4&amp;"|1",Planning!$W:$X,2,0),"")</f>
        <v/>
      </c>
      <c r="E20" s="55">
        <f>IFERROR(VLOOKUP($J$4&amp;"|"&amp;$A$20&amp;"|"&amp;E$4&amp;"|1",Planning!$W:$X,2,0),"")</f>
        <v/>
      </c>
      <c r="F20" s="55">
        <f>IFERROR(VLOOKUP($J$4&amp;"|"&amp;$A$20&amp;"|"&amp;F$4&amp;"|1",Planning!$W:$X,2,0),"")</f>
        <v/>
      </c>
      <c r="G20" s="56">
        <f>IFERROR(VLOOKUP($J$4&amp;"|"&amp;$A$20&amp;"|"&amp;G$4&amp;"|1",Planning!$W:$X,2,0),"")</f>
        <v/>
      </c>
      <c r="H20" s="56">
        <f>IFERROR(VLOOKUP($J$4&amp;"|"&amp;$A$20&amp;"|"&amp;H$4&amp;"|1",Planning!$W:$X,2,0),"")</f>
        <v/>
      </c>
    </row>
    <row r="21" ht="21" customHeight="1">
      <c r="A21" s="61" t="inlineStr">
        <is>
          <t>CYCLE SECONDAIRE   (8 classes)</t>
        </is>
      </c>
      <c r="B21" s="62" t="n"/>
      <c r="C21" s="62" t="n"/>
      <c r="D21" s="62" t="n"/>
      <c r="E21" s="62" t="n"/>
      <c r="F21" s="62" t="n"/>
      <c r="G21" s="62" t="n"/>
      <c r="H21" s="62" t="n"/>
    </row>
    <row r="22" ht="52.59999999999999" customHeight="1">
      <c r="A22" s="63" t="inlineStr">
        <is>
          <t>1ére (A)</t>
        </is>
      </c>
      <c r="B22" s="55">
        <f>IFERROR(VLOOKUP($J$4&amp;"|"&amp;$A$22&amp;"|"&amp;B$4&amp;"|1",Planning!$W:$X,2,0),"")</f>
        <v/>
      </c>
      <c r="C22" s="55">
        <f>IFERROR(VLOOKUP($J$4&amp;"|"&amp;$A$22&amp;"|"&amp;C$4&amp;"|1",Planning!$W:$X,2,0),"")</f>
        <v/>
      </c>
      <c r="D22" s="55">
        <f>IFERROR(VLOOKUP($J$4&amp;"|"&amp;$A$22&amp;"|"&amp;D$4&amp;"|1",Planning!$W:$X,2,0),"")</f>
        <v/>
      </c>
      <c r="E22" s="55">
        <f>IFERROR(VLOOKUP($J$4&amp;"|"&amp;$A$22&amp;"|"&amp;E$4&amp;"|1",Planning!$W:$X,2,0),"")</f>
        <v/>
      </c>
      <c r="F22" s="55">
        <f>IFERROR(VLOOKUP($J$4&amp;"|"&amp;$A$22&amp;"|"&amp;F$4&amp;"|1",Planning!$W:$X,2,0),"")</f>
        <v/>
      </c>
      <c r="G22" s="56">
        <f>IFERROR(VLOOKUP($J$4&amp;"|"&amp;$A$22&amp;"|"&amp;G$4&amp;"|1",Planning!$W:$X,2,0),"")</f>
        <v/>
      </c>
      <c r="H22" s="56">
        <f>IFERROR(VLOOKUP($J$4&amp;"|"&amp;$A$22&amp;"|"&amp;H$4&amp;"|1",Planning!$W:$X,2,0),"")</f>
        <v/>
      </c>
    </row>
    <row r="23" ht="52.59999999999999" customHeight="1">
      <c r="A23" s="63" t="inlineStr">
        <is>
          <t>1ére (B)</t>
        </is>
      </c>
      <c r="B23" s="55">
        <f>IFERROR(VLOOKUP($J$4&amp;"|"&amp;$A$23&amp;"|"&amp;B$4&amp;"|1",Planning!$W:$X,2,0),"")</f>
        <v/>
      </c>
      <c r="C23" s="55">
        <f>IFERROR(VLOOKUP($J$4&amp;"|"&amp;$A$23&amp;"|"&amp;C$4&amp;"|1",Planning!$W:$X,2,0),"")</f>
        <v/>
      </c>
      <c r="D23" s="55">
        <f>IFERROR(VLOOKUP($J$4&amp;"|"&amp;$A$23&amp;"|"&amp;D$4&amp;"|1",Planning!$W:$X,2,0),"")</f>
        <v/>
      </c>
      <c r="E23" s="55">
        <f>IFERROR(VLOOKUP($J$4&amp;"|"&amp;$A$23&amp;"|"&amp;E$4&amp;"|1",Planning!$W:$X,2,0),"")</f>
        <v/>
      </c>
      <c r="F23" s="55">
        <f>IFERROR(VLOOKUP($J$4&amp;"|"&amp;$A$23&amp;"|"&amp;F$4&amp;"|1",Planning!$W:$X,2,0),"")</f>
        <v/>
      </c>
      <c r="G23" s="56">
        <f>IFERROR(VLOOKUP($J$4&amp;"|"&amp;$A$23&amp;"|"&amp;G$4&amp;"|1",Planning!$W:$X,2,0),"")</f>
        <v/>
      </c>
      <c r="H23" s="56">
        <f>IFERROR(VLOOKUP($J$4&amp;"|"&amp;$A$23&amp;"|"&amp;H$4&amp;"|1",Planning!$W:$X,2,0),"")</f>
        <v/>
      </c>
    </row>
    <row r="24" ht="52.59999999999999" customHeight="1">
      <c r="A24" s="64" t="n"/>
      <c r="B24" s="55">
        <f>IFERROR(VLOOKUP($J$4&amp;"|"&amp;$A$23&amp;"|"&amp;B$4&amp;"|2",Planning!$W:$X,2,0),"")</f>
        <v/>
      </c>
      <c r="C24" s="55">
        <f>IFERROR(VLOOKUP($J$4&amp;"|"&amp;$A$23&amp;"|"&amp;C$4&amp;"|2",Planning!$W:$X,2,0),"")</f>
        <v/>
      </c>
      <c r="D24" s="55">
        <f>IFERROR(VLOOKUP($J$4&amp;"|"&amp;$A$23&amp;"|"&amp;D$4&amp;"|2",Planning!$W:$X,2,0),"")</f>
        <v/>
      </c>
      <c r="E24" s="55">
        <f>IFERROR(VLOOKUP($J$4&amp;"|"&amp;$A$23&amp;"|"&amp;E$4&amp;"|2",Planning!$W:$X,2,0),"")</f>
        <v/>
      </c>
      <c r="F24" s="55">
        <f>IFERROR(VLOOKUP($J$4&amp;"|"&amp;$A$23&amp;"|"&amp;F$4&amp;"|2",Planning!$W:$X,2,0),"")</f>
        <v/>
      </c>
      <c r="G24" s="56">
        <f>IFERROR(VLOOKUP($J$4&amp;"|"&amp;$A$23&amp;"|"&amp;G$4&amp;"|2",Planning!$W:$X,2,0),"")</f>
        <v/>
      </c>
      <c r="H24" s="56">
        <f>IFERROR(VLOOKUP($J$4&amp;"|"&amp;$A$23&amp;"|"&amp;H$4&amp;"|2",Planning!$W:$X,2,0),"")</f>
        <v/>
      </c>
    </row>
    <row r="25" ht="52.59999999999999" customHeight="1">
      <c r="A25" s="63" t="inlineStr">
        <is>
          <t>2éme Eco</t>
        </is>
      </c>
      <c r="B25" s="55">
        <f>IFERROR(VLOOKUP($J$4&amp;"|"&amp;$A$25&amp;"|"&amp;B$4&amp;"|1",Planning!$W:$X,2,0),"")</f>
        <v/>
      </c>
      <c r="C25" s="55">
        <f>IFERROR(VLOOKUP($J$4&amp;"|"&amp;$A$25&amp;"|"&amp;C$4&amp;"|1",Planning!$W:$X,2,0),"")</f>
        <v/>
      </c>
      <c r="D25" s="55">
        <f>IFERROR(VLOOKUP($J$4&amp;"|"&amp;$A$25&amp;"|"&amp;D$4&amp;"|1",Planning!$W:$X,2,0),"")</f>
        <v/>
      </c>
      <c r="E25" s="55">
        <f>IFERROR(VLOOKUP($J$4&amp;"|"&amp;$A$25&amp;"|"&amp;E$4&amp;"|1",Planning!$W:$X,2,0),"")</f>
        <v/>
      </c>
      <c r="F25" s="55">
        <f>IFERROR(VLOOKUP($J$4&amp;"|"&amp;$A$25&amp;"|"&amp;F$4&amp;"|1",Planning!$W:$X,2,0),"")</f>
        <v/>
      </c>
      <c r="G25" s="56">
        <f>IFERROR(VLOOKUP($J$4&amp;"|"&amp;$A$25&amp;"|"&amp;G$4&amp;"|1",Planning!$W:$X,2,0),"")</f>
        <v/>
      </c>
      <c r="H25" s="56">
        <f>IFERROR(VLOOKUP($J$4&amp;"|"&amp;$A$25&amp;"|"&amp;H$4&amp;"|1",Planning!$W:$X,2,0),"")</f>
        <v/>
      </c>
    </row>
    <row r="26" ht="52.59999999999999" customHeight="1">
      <c r="A26" s="63" t="inlineStr">
        <is>
          <t>2éme SCE</t>
        </is>
      </c>
      <c r="B26" s="55">
        <f>IFERROR(VLOOKUP($J$4&amp;"|"&amp;$A$26&amp;"|"&amp;B$4&amp;"|1",Planning!$W:$X,2,0),"")</f>
        <v/>
      </c>
      <c r="C26" s="55">
        <f>IFERROR(VLOOKUP($J$4&amp;"|"&amp;$A$26&amp;"|"&amp;C$4&amp;"|1",Planning!$W:$X,2,0),"")</f>
        <v/>
      </c>
      <c r="D26" s="55">
        <f>IFERROR(VLOOKUP($J$4&amp;"|"&amp;$A$26&amp;"|"&amp;D$4&amp;"|1",Planning!$W:$X,2,0),"")</f>
        <v/>
      </c>
      <c r="E26" s="55">
        <f>IFERROR(VLOOKUP($J$4&amp;"|"&amp;$A$26&amp;"|"&amp;E$4&amp;"|1",Planning!$W:$X,2,0),"")</f>
        <v/>
      </c>
      <c r="F26" s="55">
        <f>IFERROR(VLOOKUP($J$4&amp;"|"&amp;$A$26&amp;"|"&amp;F$4&amp;"|1",Planning!$W:$X,2,0),"")</f>
        <v/>
      </c>
      <c r="G26" s="56">
        <f>IFERROR(VLOOKUP($J$4&amp;"|"&amp;$A$26&amp;"|"&amp;G$4&amp;"|1",Planning!$W:$X,2,0),"")</f>
        <v/>
      </c>
      <c r="H26" s="56">
        <f>IFERROR(VLOOKUP($J$4&amp;"|"&amp;$A$26&amp;"|"&amp;H$4&amp;"|1",Planning!$W:$X,2,0),"")</f>
        <v/>
      </c>
    </row>
    <row r="27" ht="52.59999999999999" customHeight="1">
      <c r="A27" s="63" t="inlineStr">
        <is>
          <t>2éme INFO</t>
        </is>
      </c>
      <c r="B27" s="55">
        <f>IFERROR(VLOOKUP($J$4&amp;"|"&amp;$A$27&amp;"|"&amp;B$4&amp;"|1",Planning!$W:$X,2,0),"")</f>
        <v/>
      </c>
      <c r="C27" s="55">
        <f>IFERROR(VLOOKUP($J$4&amp;"|"&amp;$A$27&amp;"|"&amp;C$4&amp;"|1",Planning!$W:$X,2,0),"")</f>
        <v/>
      </c>
      <c r="D27" s="55">
        <f>IFERROR(VLOOKUP($J$4&amp;"|"&amp;$A$27&amp;"|"&amp;D$4&amp;"|1",Planning!$W:$X,2,0),"")</f>
        <v/>
      </c>
      <c r="E27" s="55">
        <f>IFERROR(VLOOKUP($J$4&amp;"|"&amp;$A$27&amp;"|"&amp;E$4&amp;"|1",Planning!$W:$X,2,0),"")</f>
        <v/>
      </c>
      <c r="F27" s="55">
        <f>IFERROR(VLOOKUP($J$4&amp;"|"&amp;$A$27&amp;"|"&amp;F$4&amp;"|1",Planning!$W:$X,2,0),"")</f>
        <v/>
      </c>
      <c r="G27" s="56">
        <f>IFERROR(VLOOKUP($J$4&amp;"|"&amp;$A$27&amp;"|"&amp;G$4&amp;"|1",Planning!$W:$X,2,0),"")</f>
        <v/>
      </c>
      <c r="H27" s="56">
        <f>IFERROR(VLOOKUP($J$4&amp;"|"&amp;$A$27&amp;"|"&amp;H$4&amp;"|1",Planning!$W:$X,2,0),"")</f>
        <v/>
      </c>
    </row>
    <row r="28" ht="52.59999999999999" customHeight="1">
      <c r="A28" s="63" t="inlineStr">
        <is>
          <t>3éme Eco</t>
        </is>
      </c>
      <c r="B28" s="55">
        <f>IFERROR(VLOOKUP($J$4&amp;"|"&amp;$A$28&amp;"|"&amp;B$4&amp;"|1",Planning!$W:$X,2,0),"")</f>
        <v/>
      </c>
      <c r="C28" s="55">
        <f>IFERROR(VLOOKUP($J$4&amp;"|"&amp;$A$28&amp;"|"&amp;C$4&amp;"|1",Planning!$W:$X,2,0),"")</f>
        <v/>
      </c>
      <c r="D28" s="55">
        <f>IFERROR(VLOOKUP($J$4&amp;"|"&amp;$A$28&amp;"|"&amp;D$4&amp;"|1",Planning!$W:$X,2,0),"")</f>
        <v/>
      </c>
      <c r="E28" s="55">
        <f>IFERROR(VLOOKUP($J$4&amp;"|"&amp;$A$28&amp;"|"&amp;E$4&amp;"|1",Planning!$W:$X,2,0),"")</f>
        <v/>
      </c>
      <c r="F28" s="55">
        <f>IFERROR(VLOOKUP($J$4&amp;"|"&amp;$A$28&amp;"|"&amp;F$4&amp;"|1",Planning!$W:$X,2,0),"")</f>
        <v/>
      </c>
      <c r="G28" s="56">
        <f>IFERROR(VLOOKUP($J$4&amp;"|"&amp;$A$28&amp;"|"&amp;G$4&amp;"|1",Planning!$W:$X,2,0),"")</f>
        <v/>
      </c>
      <c r="H28" s="56">
        <f>IFERROR(VLOOKUP($J$4&amp;"|"&amp;$A$28&amp;"|"&amp;H$4&amp;"|1",Planning!$W:$X,2,0),"")</f>
        <v/>
      </c>
    </row>
    <row r="29" ht="52.59999999999999" customHeight="1">
      <c r="A29" s="64" t="n"/>
      <c r="B29" s="55">
        <f>IFERROR(VLOOKUP($J$4&amp;"|"&amp;$A$28&amp;"|"&amp;B$4&amp;"|2",Planning!$W:$X,2,0),"")</f>
        <v/>
      </c>
      <c r="C29" s="55">
        <f>IFERROR(VLOOKUP($J$4&amp;"|"&amp;$A$28&amp;"|"&amp;C$4&amp;"|2",Planning!$W:$X,2,0),"")</f>
        <v/>
      </c>
      <c r="D29" s="55">
        <f>IFERROR(VLOOKUP($J$4&amp;"|"&amp;$A$28&amp;"|"&amp;D$4&amp;"|2",Planning!$W:$X,2,0),"")</f>
        <v/>
      </c>
      <c r="E29" s="55">
        <f>IFERROR(VLOOKUP($J$4&amp;"|"&amp;$A$28&amp;"|"&amp;E$4&amp;"|2",Planning!$W:$X,2,0),"")</f>
        <v/>
      </c>
      <c r="F29" s="55">
        <f>IFERROR(VLOOKUP($J$4&amp;"|"&amp;$A$28&amp;"|"&amp;F$4&amp;"|2",Planning!$W:$X,2,0),"")</f>
        <v/>
      </c>
      <c r="G29" s="56">
        <f>IFERROR(VLOOKUP($J$4&amp;"|"&amp;$A$28&amp;"|"&amp;G$4&amp;"|2",Planning!$W:$X,2,0),"")</f>
        <v/>
      </c>
      <c r="H29" s="56">
        <f>IFERROR(VLOOKUP($J$4&amp;"|"&amp;$A$28&amp;"|"&amp;H$4&amp;"|2",Planning!$W:$X,2,0),"")</f>
        <v/>
      </c>
    </row>
    <row r="30" ht="52.59999999999999" customHeight="1">
      <c r="A30" s="63" t="inlineStr">
        <is>
          <t>3éme INFO</t>
        </is>
      </c>
      <c r="B30" s="55">
        <f>IFERROR(VLOOKUP($J$4&amp;"|"&amp;$A$30&amp;"|"&amp;B$4&amp;"|1",Planning!$W:$X,2,0),"")</f>
        <v/>
      </c>
      <c r="C30" s="55">
        <f>IFERROR(VLOOKUP($J$4&amp;"|"&amp;$A$30&amp;"|"&amp;C$4&amp;"|1",Planning!$W:$X,2,0),"")</f>
        <v/>
      </c>
      <c r="D30" s="55">
        <f>IFERROR(VLOOKUP($J$4&amp;"|"&amp;$A$30&amp;"|"&amp;D$4&amp;"|1",Planning!$W:$X,2,0),"")</f>
        <v/>
      </c>
      <c r="E30" s="55">
        <f>IFERROR(VLOOKUP($J$4&amp;"|"&amp;$A$30&amp;"|"&amp;E$4&amp;"|1",Planning!$W:$X,2,0),"")</f>
        <v/>
      </c>
      <c r="F30" s="55">
        <f>IFERROR(VLOOKUP($J$4&amp;"|"&amp;$A$30&amp;"|"&amp;F$4&amp;"|1",Planning!$W:$X,2,0),"")</f>
        <v/>
      </c>
      <c r="G30" s="56">
        <f>IFERROR(VLOOKUP($J$4&amp;"|"&amp;$A$30&amp;"|"&amp;G$4&amp;"|1",Planning!$W:$X,2,0),"")</f>
        <v/>
      </c>
      <c r="H30" s="56">
        <f>IFERROR(VLOOKUP($J$4&amp;"|"&amp;$A$30&amp;"|"&amp;H$4&amp;"|1",Planning!$W:$X,2,0),"")</f>
        <v/>
      </c>
    </row>
    <row r="31" ht="52.59999999999999" customHeight="1">
      <c r="A31" s="64" t="n"/>
      <c r="B31" s="55">
        <f>IFERROR(VLOOKUP($J$4&amp;"|"&amp;$A$30&amp;"|"&amp;B$4&amp;"|2",Planning!$W:$X,2,0),"")</f>
        <v/>
      </c>
      <c r="C31" s="55">
        <f>IFERROR(VLOOKUP($J$4&amp;"|"&amp;$A$30&amp;"|"&amp;C$4&amp;"|2",Planning!$W:$X,2,0),"")</f>
        <v/>
      </c>
      <c r="D31" s="55">
        <f>IFERROR(VLOOKUP($J$4&amp;"|"&amp;$A$30&amp;"|"&amp;D$4&amp;"|2",Planning!$W:$X,2,0),"")</f>
        <v/>
      </c>
      <c r="E31" s="55">
        <f>IFERROR(VLOOKUP($J$4&amp;"|"&amp;$A$30&amp;"|"&amp;E$4&amp;"|2",Planning!$W:$X,2,0),"")</f>
        <v/>
      </c>
      <c r="F31" s="55">
        <f>IFERROR(VLOOKUP($J$4&amp;"|"&amp;$A$30&amp;"|"&amp;F$4&amp;"|2",Planning!$W:$X,2,0),"")</f>
        <v/>
      </c>
      <c r="G31" s="56">
        <f>IFERROR(VLOOKUP($J$4&amp;"|"&amp;$A$30&amp;"|"&amp;G$4&amp;"|2",Planning!$W:$X,2,0),"")</f>
        <v/>
      </c>
      <c r="H31" s="56">
        <f>IFERROR(VLOOKUP($J$4&amp;"|"&amp;$A$30&amp;"|"&amp;H$4&amp;"|2",Planning!$W:$X,2,0),"")</f>
        <v/>
      </c>
    </row>
    <row r="32" ht="52.59999999999999" customHeight="1">
      <c r="A32" s="63" t="inlineStr">
        <is>
          <t>3éme SCE</t>
        </is>
      </c>
      <c r="B32" s="55">
        <f>IFERROR(VLOOKUP($J$4&amp;"|"&amp;$A$32&amp;"|"&amp;B$4&amp;"|1",Planning!$W:$X,2,0),"")</f>
        <v/>
      </c>
      <c r="C32" s="55">
        <f>IFERROR(VLOOKUP($J$4&amp;"|"&amp;$A$32&amp;"|"&amp;C$4&amp;"|1",Planning!$W:$X,2,0),"")</f>
        <v/>
      </c>
      <c r="D32" s="55">
        <f>IFERROR(VLOOKUP($J$4&amp;"|"&amp;$A$32&amp;"|"&amp;D$4&amp;"|1",Planning!$W:$X,2,0),"")</f>
        <v/>
      </c>
      <c r="E32" s="55">
        <f>IFERROR(VLOOKUP($J$4&amp;"|"&amp;$A$32&amp;"|"&amp;E$4&amp;"|1",Planning!$W:$X,2,0),"")</f>
        <v/>
      </c>
      <c r="F32" s="55">
        <f>IFERROR(VLOOKUP($J$4&amp;"|"&amp;$A$32&amp;"|"&amp;F$4&amp;"|1",Planning!$W:$X,2,0),"")</f>
        <v/>
      </c>
      <c r="G32" s="56">
        <f>IFERROR(VLOOKUP($J$4&amp;"|"&amp;$A$32&amp;"|"&amp;G$4&amp;"|1",Planning!$W:$X,2,0),"")</f>
        <v/>
      </c>
      <c r="H32" s="56">
        <f>IFERROR(VLOOKUP($J$4&amp;"|"&amp;$A$32&amp;"|"&amp;H$4&amp;"|1",Planning!$W:$X,2,0),"")</f>
        <v/>
      </c>
    </row>
    <row r="33" ht="52.59999999999999" customHeight="1">
      <c r="A33" s="64" t="n"/>
      <c r="B33" s="55">
        <f>IFERROR(VLOOKUP($J$4&amp;"|"&amp;$A$32&amp;"|"&amp;B$4&amp;"|2",Planning!$W:$X,2,0),"")</f>
        <v/>
      </c>
      <c r="C33" s="55">
        <f>IFERROR(VLOOKUP($J$4&amp;"|"&amp;$A$32&amp;"|"&amp;C$4&amp;"|2",Planning!$W:$X,2,0),"")</f>
        <v/>
      </c>
      <c r="D33" s="55">
        <f>IFERROR(VLOOKUP($J$4&amp;"|"&amp;$A$32&amp;"|"&amp;D$4&amp;"|2",Planning!$W:$X,2,0),"")</f>
        <v/>
      </c>
      <c r="E33" s="55">
        <f>IFERROR(VLOOKUP($J$4&amp;"|"&amp;$A$32&amp;"|"&amp;E$4&amp;"|2",Planning!$W:$X,2,0),"")</f>
        <v/>
      </c>
      <c r="F33" s="55">
        <f>IFERROR(VLOOKUP($J$4&amp;"|"&amp;$A$32&amp;"|"&amp;F$4&amp;"|2",Planning!$W:$X,2,0),"")</f>
        <v/>
      </c>
      <c r="G33" s="56">
        <f>IFERROR(VLOOKUP($J$4&amp;"|"&amp;$A$32&amp;"|"&amp;G$4&amp;"|2",Planning!$W:$X,2,0),"")</f>
        <v/>
      </c>
      <c r="H33" s="56">
        <f>IFERROR(VLOOKUP($J$4&amp;"|"&amp;$A$32&amp;"|"&amp;H$4&amp;"|2",Planning!$W:$X,2,0),"")</f>
        <v/>
      </c>
    </row>
    <row r="34" ht="21" customHeight="1">
      <c r="A34" s="65" t="inlineStr">
        <is>
          <t>CYCLE BAC   (3 classes)</t>
        </is>
      </c>
      <c r="B34" s="66" t="n"/>
      <c r="C34" s="66" t="n"/>
      <c r="D34" s="66" t="n"/>
      <c r="E34" s="66" t="n"/>
      <c r="F34" s="66" t="n"/>
      <c r="G34" s="66" t="n"/>
      <c r="H34" s="66" t="n"/>
    </row>
    <row r="35" ht="52.59999999999999" customHeight="1">
      <c r="A35" s="67" t="inlineStr">
        <is>
          <t>Bac Eco</t>
        </is>
      </c>
      <c r="B35" s="55">
        <f>IFERROR(VLOOKUP($J$4&amp;"|"&amp;$A$35&amp;"|"&amp;B$4&amp;"|1",Planning!$W:$X,2,0),"")</f>
        <v/>
      </c>
      <c r="C35" s="55">
        <f>IFERROR(VLOOKUP($J$4&amp;"|"&amp;$A$35&amp;"|"&amp;C$4&amp;"|1",Planning!$W:$X,2,0),"")</f>
        <v/>
      </c>
      <c r="D35" s="55">
        <f>IFERROR(VLOOKUP($J$4&amp;"|"&amp;$A$35&amp;"|"&amp;D$4&amp;"|1",Planning!$W:$X,2,0),"")</f>
        <v/>
      </c>
      <c r="E35" s="55">
        <f>IFERROR(VLOOKUP($J$4&amp;"|"&amp;$A$35&amp;"|"&amp;E$4&amp;"|1",Planning!$W:$X,2,0),"")</f>
        <v/>
      </c>
      <c r="F35" s="55">
        <f>IFERROR(VLOOKUP($J$4&amp;"|"&amp;$A$35&amp;"|"&amp;F$4&amp;"|1",Planning!$W:$X,2,0),"")</f>
        <v/>
      </c>
      <c r="G35" s="56">
        <f>IFERROR(VLOOKUP($J$4&amp;"|"&amp;$A$35&amp;"|"&amp;G$4&amp;"|1",Planning!$W:$X,2,0),"")</f>
        <v/>
      </c>
      <c r="H35" s="56">
        <f>IFERROR(VLOOKUP($J$4&amp;"|"&amp;$A$35&amp;"|"&amp;H$4&amp;"|1",Planning!$W:$X,2,0),"")</f>
        <v/>
      </c>
    </row>
    <row r="36" ht="52.59999999999999" customHeight="1">
      <c r="A36" s="68" t="n"/>
      <c r="B36" s="55">
        <f>IFERROR(VLOOKUP($J$4&amp;"|"&amp;$A$35&amp;"|"&amp;B$4&amp;"|2",Planning!$W:$X,2,0),"")</f>
        <v/>
      </c>
      <c r="C36" s="55">
        <f>IFERROR(VLOOKUP($J$4&amp;"|"&amp;$A$35&amp;"|"&amp;C$4&amp;"|2",Planning!$W:$X,2,0),"")</f>
        <v/>
      </c>
      <c r="D36" s="55">
        <f>IFERROR(VLOOKUP($J$4&amp;"|"&amp;$A$35&amp;"|"&amp;D$4&amp;"|2",Planning!$W:$X,2,0),"")</f>
        <v/>
      </c>
      <c r="E36" s="55">
        <f>IFERROR(VLOOKUP($J$4&amp;"|"&amp;$A$35&amp;"|"&amp;E$4&amp;"|2",Planning!$W:$X,2,0),"")</f>
        <v/>
      </c>
      <c r="F36" s="55">
        <f>IFERROR(VLOOKUP($J$4&amp;"|"&amp;$A$35&amp;"|"&amp;F$4&amp;"|2",Planning!$W:$X,2,0),"")</f>
        <v/>
      </c>
      <c r="G36" s="56">
        <f>IFERROR(VLOOKUP($J$4&amp;"|"&amp;$A$35&amp;"|"&amp;G$4&amp;"|2",Planning!$W:$X,2,0),"")</f>
        <v/>
      </c>
      <c r="H36" s="56">
        <f>IFERROR(VLOOKUP($J$4&amp;"|"&amp;$A$35&amp;"|"&amp;H$4&amp;"|2",Planning!$W:$X,2,0),"")</f>
        <v/>
      </c>
    </row>
    <row r="37" ht="52.59999999999999" customHeight="1">
      <c r="A37" s="67" t="inlineStr">
        <is>
          <t>Bac SCE</t>
        </is>
      </c>
      <c r="B37" s="55">
        <f>IFERROR(VLOOKUP($J$4&amp;"|"&amp;$A$37&amp;"|"&amp;B$4&amp;"|1",Planning!$W:$X,2,0),"")</f>
        <v/>
      </c>
      <c r="C37" s="55">
        <f>IFERROR(VLOOKUP($J$4&amp;"|"&amp;$A$37&amp;"|"&amp;C$4&amp;"|1",Planning!$W:$X,2,0),"")</f>
        <v/>
      </c>
      <c r="D37" s="55">
        <f>IFERROR(VLOOKUP($J$4&amp;"|"&amp;$A$37&amp;"|"&amp;D$4&amp;"|1",Planning!$W:$X,2,0),"")</f>
        <v/>
      </c>
      <c r="E37" s="55">
        <f>IFERROR(VLOOKUP($J$4&amp;"|"&amp;$A$37&amp;"|"&amp;E$4&amp;"|1",Planning!$W:$X,2,0),"")</f>
        <v/>
      </c>
      <c r="F37" s="55">
        <f>IFERROR(VLOOKUP($J$4&amp;"|"&amp;$A$37&amp;"|"&amp;F$4&amp;"|1",Planning!$W:$X,2,0),"")</f>
        <v/>
      </c>
      <c r="G37" s="56">
        <f>IFERROR(VLOOKUP($J$4&amp;"|"&amp;$A$37&amp;"|"&amp;G$4&amp;"|1",Planning!$W:$X,2,0),"")</f>
        <v/>
      </c>
      <c r="H37" s="56">
        <f>IFERROR(VLOOKUP($J$4&amp;"|"&amp;$A$37&amp;"|"&amp;H$4&amp;"|1",Planning!$W:$X,2,0),"")</f>
        <v/>
      </c>
    </row>
    <row r="38" ht="52.59999999999999" customHeight="1">
      <c r="A38" s="67" t="inlineStr">
        <is>
          <t>Bac INFO</t>
        </is>
      </c>
      <c r="B38" s="55">
        <f>IFERROR(VLOOKUP($J$4&amp;"|"&amp;$A$38&amp;"|"&amp;B$4&amp;"|1",Planning!$W:$X,2,0),"")</f>
        <v/>
      </c>
      <c r="C38" s="55">
        <f>IFERROR(VLOOKUP($J$4&amp;"|"&amp;$A$38&amp;"|"&amp;C$4&amp;"|1",Planning!$W:$X,2,0),"")</f>
        <v/>
      </c>
      <c r="D38" s="55">
        <f>IFERROR(VLOOKUP($J$4&amp;"|"&amp;$A$38&amp;"|"&amp;D$4&amp;"|1",Planning!$W:$X,2,0),"")</f>
        <v/>
      </c>
      <c r="E38" s="55">
        <f>IFERROR(VLOOKUP($J$4&amp;"|"&amp;$A$38&amp;"|"&amp;E$4&amp;"|1",Planning!$W:$X,2,0),"")</f>
        <v/>
      </c>
      <c r="F38" s="55">
        <f>IFERROR(VLOOKUP($J$4&amp;"|"&amp;$A$38&amp;"|"&amp;F$4&amp;"|1",Planning!$W:$X,2,0),"")</f>
        <v/>
      </c>
      <c r="G38" s="56">
        <f>IFERROR(VLOOKUP($J$4&amp;"|"&amp;$A$38&amp;"|"&amp;G$4&amp;"|1",Planning!$W:$X,2,0),"")</f>
        <v/>
      </c>
      <c r="H38" s="56">
        <f>IFERROR(VLOOKUP($J$4&amp;"|"&amp;$A$38&amp;"|"&amp;H$4&amp;"|1",Planning!$W:$X,2,0),"")</f>
        <v/>
      </c>
    </row>
  </sheetData>
  <mergeCells count="13">
    <mergeCell ref="A1:H1"/>
    <mergeCell ref="A35:A36"/>
    <mergeCell ref="A32:A33"/>
    <mergeCell ref="A21:H21"/>
    <mergeCell ref="A28:A29"/>
    <mergeCell ref="A2:H2"/>
    <mergeCell ref="A10:H10"/>
    <mergeCell ref="A23:A24"/>
    <mergeCell ref="A16:A17"/>
    <mergeCell ref="A5:H5"/>
    <mergeCell ref="A18:A19"/>
    <mergeCell ref="A30:A31"/>
    <mergeCell ref="A34:H34"/>
  </mergeCells>
  <conditionalFormatting sqref="B5:H38">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6">
      <formula>ISNUMBER(SEARCH("◆ PONCTUEL",B5))</formula>
    </cfRule>
    <cfRule type="expression" priority="10" dxfId="17">
      <formula>ISNUMBER(SEARCH("◆ Q-",B5))</formula>
    </cfRule>
    <cfRule type="expression" priority="11" dxfId="1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21 au 27 septembre 2026</oddHeader>
    <oddFooter>&amp;L&amp;8 RS 2026-2027 · S2 (semaine B)&amp;R&amp;8 Page &amp;P / &amp;N</oddFooter>
    <evenHeader/>
    <evenFooter/>
    <firstHeader/>
    <firstFooter/>
  </headerFooter>
  <rowBreaks count="3" manualBreakCount="3">
    <brk id="9" min="0" max="16383" man="1"/>
    <brk id="20" min="0" max="16383" man="1"/>
    <brk id="33" min="0" max="16383" man="1"/>
  </rowBreaks>
</worksheet>
</file>

<file path=xl/worksheets/sheet6.xml><?xml version="1.0" encoding="utf-8"?>
<worksheet xmlns="http://schemas.openxmlformats.org/spreadsheetml/2006/main">
  <sheetPr>
    <tabColor rgb="002E4763"/>
    <outlinePr summaryBelow="1" summaryRight="1"/>
    <pageSetUpPr fitToPage="1"/>
  </sheetPr>
  <dimension ref="A1:J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S3 · DU 28 SEPTEMBRE AU 4 OCTOBRE 2026   |   SEMAINE A — SEMAINE DE RÉFÉRENCE</t>
        </is>
      </c>
      <c r="B1" s="2" t="n"/>
      <c r="C1" s="2" t="n"/>
      <c r="D1" s="2" t="n"/>
      <c r="E1" s="2" t="n"/>
      <c r="F1" s="2" t="n"/>
      <c r="G1" s="2" t="n"/>
      <c r="H1" s="2" t="n"/>
    </row>
    <row r="2" ht="26" customHeight="1">
      <c r="A2" s="37" t="inlineStr">
        <is>
          <t>Chaque case = une séance : 1re ligne l’horaire, 2e la matière, 3e l’enseignant.   La couleur indique la famille de matières.   ◆ Q-A / ◆ Q-B = séance par quinzaine.   Case grise = aucune séance.   Contenu issu du fichier d’origine, repris depuis la feuille Planning.</t>
        </is>
      </c>
      <c r="B2" s="38" t="n"/>
      <c r="C2" s="38" t="n"/>
      <c r="D2" s="38" t="n"/>
      <c r="E2" s="38" t="n"/>
      <c r="F2" s="38" t="n"/>
      <c r="G2" s="38" t="n"/>
      <c r="H2" s="38" t="n"/>
    </row>
    <row r="3" ht="36" customHeight="1">
      <c r="A3" s="50" t="inlineStr">
        <is>
          <t>Classe / Groupe</t>
        </is>
      </c>
      <c r="B3" s="50" t="inlineStr">
        <is>
          <t>Lundi
28/09</t>
        </is>
      </c>
      <c r="C3" s="50" t="inlineStr">
        <is>
          <t>Mardi
29/09</t>
        </is>
      </c>
      <c r="D3" s="50" t="inlineStr">
        <is>
          <t>Mercredi
30/09</t>
        </is>
      </c>
      <c r="E3" s="50" t="inlineStr">
        <is>
          <t>Jeudi
01/10</t>
        </is>
      </c>
      <c r="F3" s="50" t="inlineStr">
        <is>
          <t>Vendredi
02/10</t>
        </is>
      </c>
      <c r="G3" s="51" t="inlineStr">
        <is>
          <t>Samedi
03/10</t>
        </is>
      </c>
      <c r="H3" s="51" t="inlineStr">
        <is>
          <t>Dimanche
04/10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S3</t>
        </is>
      </c>
    </row>
    <row r="5" ht="21" customHeight="1">
      <c r="A5" s="52" t="inlineStr">
        <is>
          <t>CYCLE PRIMAIRE   (4 classes)</t>
        </is>
      </c>
      <c r="B5" s="53" t="n"/>
      <c r="C5" s="53" t="n"/>
      <c r="D5" s="53" t="n"/>
      <c r="E5" s="53" t="n"/>
      <c r="F5" s="53" t="n"/>
      <c r="G5" s="53" t="n"/>
      <c r="H5" s="53" t="n"/>
    </row>
    <row r="6" ht="52.59999999999999" customHeight="1">
      <c r="A6" s="54" t="inlineStr">
        <is>
          <t>4éme</t>
        </is>
      </c>
      <c r="B6" s="55">
        <f>IFERROR(VLOOKUP($J$4&amp;"|"&amp;$A$6&amp;"|"&amp;B$4&amp;"|1",Planning!$W:$X,2,0),"")</f>
        <v/>
      </c>
      <c r="C6" s="55">
        <f>IFERROR(VLOOKUP($J$4&amp;"|"&amp;$A$6&amp;"|"&amp;C$4&amp;"|1",Planning!$W:$X,2,0),"")</f>
        <v/>
      </c>
      <c r="D6" s="55">
        <f>IFERROR(VLOOKUP($J$4&amp;"|"&amp;$A$6&amp;"|"&amp;D$4&amp;"|1",Planning!$W:$X,2,0),"")</f>
        <v/>
      </c>
      <c r="E6" s="55">
        <f>IFERROR(VLOOKUP($J$4&amp;"|"&amp;$A$6&amp;"|"&amp;E$4&amp;"|1",Planning!$W:$X,2,0),"")</f>
        <v/>
      </c>
      <c r="F6" s="55">
        <f>IFERROR(VLOOKUP($J$4&amp;"|"&amp;$A$6&amp;"|"&amp;F$4&amp;"|1",Planning!$W:$X,2,0),"")</f>
        <v/>
      </c>
      <c r="G6" s="56">
        <f>IFERROR(VLOOKUP($J$4&amp;"|"&amp;$A$6&amp;"|"&amp;G$4&amp;"|1",Planning!$W:$X,2,0),"")</f>
        <v/>
      </c>
      <c r="H6" s="56">
        <f>IFERROR(VLOOKUP($J$4&amp;"|"&amp;$A$6&amp;"|"&amp;H$4&amp;"|1",Planning!$W:$X,2,0),"")</f>
        <v/>
      </c>
    </row>
    <row r="7" ht="52.59999999999999" customHeight="1">
      <c r="A7" s="54" t="inlineStr">
        <is>
          <t>5éme</t>
        </is>
      </c>
      <c r="B7" s="55">
        <f>IFERROR(VLOOKUP($J$4&amp;"|"&amp;$A$7&amp;"|"&amp;B$4&amp;"|1",Planning!$W:$X,2,0),"")</f>
        <v/>
      </c>
      <c r="C7" s="55">
        <f>IFERROR(VLOOKUP($J$4&amp;"|"&amp;$A$7&amp;"|"&amp;C$4&amp;"|1",Planning!$W:$X,2,0),"")</f>
        <v/>
      </c>
      <c r="D7" s="55">
        <f>IFERROR(VLOOKUP($J$4&amp;"|"&amp;$A$7&amp;"|"&amp;D$4&amp;"|1",Planning!$W:$X,2,0),"")</f>
        <v/>
      </c>
      <c r="E7" s="55">
        <f>IFERROR(VLOOKUP($J$4&amp;"|"&amp;$A$7&amp;"|"&amp;E$4&amp;"|1",Planning!$W:$X,2,0),"")</f>
        <v/>
      </c>
      <c r="F7" s="55">
        <f>IFERROR(VLOOKUP($J$4&amp;"|"&amp;$A$7&amp;"|"&amp;F$4&amp;"|1",Planning!$W:$X,2,0),"")</f>
        <v/>
      </c>
      <c r="G7" s="56">
        <f>IFERROR(VLOOKUP($J$4&amp;"|"&amp;$A$7&amp;"|"&amp;G$4&amp;"|1",Planning!$W:$X,2,0),"")</f>
        <v/>
      </c>
      <c r="H7" s="56">
        <f>IFERROR(VLOOKUP($J$4&amp;"|"&amp;$A$7&amp;"|"&amp;H$4&amp;"|1",Planning!$W:$X,2,0),"")</f>
        <v/>
      </c>
    </row>
    <row r="8" ht="52.59999999999999" customHeight="1">
      <c r="A8" s="54" t="inlineStr">
        <is>
          <t>6éme Pilote (A)</t>
        </is>
      </c>
      <c r="B8" s="55">
        <f>IFERROR(VLOOKUP($J$4&amp;"|"&amp;$A$8&amp;"|"&amp;B$4&amp;"|1",Planning!$W:$X,2,0),"")</f>
        <v/>
      </c>
      <c r="C8" s="55">
        <f>IFERROR(VLOOKUP($J$4&amp;"|"&amp;$A$8&amp;"|"&amp;C$4&amp;"|1",Planning!$W:$X,2,0),"")</f>
        <v/>
      </c>
      <c r="D8" s="55">
        <f>IFERROR(VLOOKUP($J$4&amp;"|"&amp;$A$8&amp;"|"&amp;D$4&amp;"|1",Planning!$W:$X,2,0),"")</f>
        <v/>
      </c>
      <c r="E8" s="55">
        <f>IFERROR(VLOOKUP($J$4&amp;"|"&amp;$A$8&amp;"|"&amp;E$4&amp;"|1",Planning!$W:$X,2,0),"")</f>
        <v/>
      </c>
      <c r="F8" s="55">
        <f>IFERROR(VLOOKUP($J$4&amp;"|"&amp;$A$8&amp;"|"&amp;F$4&amp;"|1",Planning!$W:$X,2,0),"")</f>
        <v/>
      </c>
      <c r="G8" s="56">
        <f>IFERROR(VLOOKUP($J$4&amp;"|"&amp;$A$8&amp;"|"&amp;G$4&amp;"|1",Planning!$W:$X,2,0),"")</f>
        <v/>
      </c>
      <c r="H8" s="56">
        <f>IFERROR(VLOOKUP($J$4&amp;"|"&amp;$A$8&amp;"|"&amp;H$4&amp;"|1",Planning!$W:$X,2,0),"")</f>
        <v/>
      </c>
    </row>
    <row r="9" ht="52.59999999999999" customHeight="1">
      <c r="A9" s="54" t="inlineStr">
        <is>
          <t>6éme (B)</t>
        </is>
      </c>
      <c r="B9" s="55">
        <f>IFERROR(VLOOKUP($J$4&amp;"|"&amp;$A$9&amp;"|"&amp;B$4&amp;"|1",Planning!$W:$X,2,0),"")</f>
        <v/>
      </c>
      <c r="C9" s="55">
        <f>IFERROR(VLOOKUP($J$4&amp;"|"&amp;$A$9&amp;"|"&amp;C$4&amp;"|1",Planning!$W:$X,2,0),"")</f>
        <v/>
      </c>
      <c r="D9" s="55">
        <f>IFERROR(VLOOKUP($J$4&amp;"|"&amp;$A$9&amp;"|"&amp;D$4&amp;"|1",Planning!$W:$X,2,0),"")</f>
        <v/>
      </c>
      <c r="E9" s="55">
        <f>IFERROR(VLOOKUP($J$4&amp;"|"&amp;$A$9&amp;"|"&amp;E$4&amp;"|1",Planning!$W:$X,2,0),"")</f>
        <v/>
      </c>
      <c r="F9" s="55">
        <f>IFERROR(VLOOKUP($J$4&amp;"|"&amp;$A$9&amp;"|"&amp;F$4&amp;"|1",Planning!$W:$X,2,0),"")</f>
        <v/>
      </c>
      <c r="G9" s="56">
        <f>IFERROR(VLOOKUP($J$4&amp;"|"&amp;$A$9&amp;"|"&amp;G$4&amp;"|1",Planning!$W:$X,2,0),"")</f>
        <v/>
      </c>
      <c r="H9" s="56">
        <f>IFERROR(VLOOKUP($J$4&amp;"|"&amp;$A$9&amp;"|"&amp;H$4&amp;"|1",Planning!$W:$X,2,0),"")</f>
        <v/>
      </c>
    </row>
    <row r="10" ht="21" customHeight="1">
      <c r="A10" s="57" t="inlineStr">
        <is>
          <t>CYCLE COLLÈGE   (8 classes)</t>
        </is>
      </c>
      <c r="B10" s="58" t="n"/>
      <c r="C10" s="58" t="n"/>
      <c r="D10" s="58" t="n"/>
      <c r="E10" s="58" t="n"/>
      <c r="F10" s="58" t="n"/>
      <c r="G10" s="58" t="n"/>
      <c r="H10" s="58" t="n"/>
    </row>
    <row r="11" ht="52.59999999999999" customHeight="1">
      <c r="A11" s="59" t="inlineStr">
        <is>
          <t>7éme (A)</t>
        </is>
      </c>
      <c r="B11" s="55">
        <f>IFERROR(VLOOKUP($J$4&amp;"|"&amp;$A$11&amp;"|"&amp;B$4&amp;"|1",Planning!$W:$X,2,0),"")</f>
        <v/>
      </c>
      <c r="C11" s="55">
        <f>IFERROR(VLOOKUP($J$4&amp;"|"&amp;$A$11&amp;"|"&amp;C$4&amp;"|1",Planning!$W:$X,2,0),"")</f>
        <v/>
      </c>
      <c r="D11" s="55">
        <f>IFERROR(VLOOKUP($J$4&amp;"|"&amp;$A$11&amp;"|"&amp;D$4&amp;"|1",Planning!$W:$X,2,0),"")</f>
        <v/>
      </c>
      <c r="E11" s="55">
        <f>IFERROR(VLOOKUP($J$4&amp;"|"&amp;$A$11&amp;"|"&amp;E$4&amp;"|1",Planning!$W:$X,2,0),"")</f>
        <v/>
      </c>
      <c r="F11" s="55">
        <f>IFERROR(VLOOKUP($J$4&amp;"|"&amp;$A$11&amp;"|"&amp;F$4&amp;"|1",Planning!$W:$X,2,0),"")</f>
        <v/>
      </c>
      <c r="G11" s="56">
        <f>IFERROR(VLOOKUP($J$4&amp;"|"&amp;$A$11&amp;"|"&amp;G$4&amp;"|1",Planning!$W:$X,2,0),"")</f>
        <v/>
      </c>
      <c r="H11" s="56">
        <f>IFERROR(VLOOKUP($J$4&amp;"|"&amp;$A$11&amp;"|"&amp;H$4&amp;"|1",Planning!$W:$X,2,0),"")</f>
        <v/>
      </c>
    </row>
    <row r="12" ht="52.59999999999999" customHeight="1">
      <c r="A12" s="60" t="n"/>
      <c r="B12" s="55">
        <f>IFERROR(VLOOKUP($J$4&amp;"|"&amp;$A$11&amp;"|"&amp;B$4&amp;"|2",Planning!$W:$X,2,0),"")</f>
        <v/>
      </c>
      <c r="C12" s="55">
        <f>IFERROR(VLOOKUP($J$4&amp;"|"&amp;$A$11&amp;"|"&amp;C$4&amp;"|2",Planning!$W:$X,2,0),"")</f>
        <v/>
      </c>
      <c r="D12" s="55">
        <f>IFERROR(VLOOKUP($J$4&amp;"|"&amp;$A$11&amp;"|"&amp;D$4&amp;"|2",Planning!$W:$X,2,0),"")</f>
        <v/>
      </c>
      <c r="E12" s="55">
        <f>IFERROR(VLOOKUP($J$4&amp;"|"&amp;$A$11&amp;"|"&amp;E$4&amp;"|2",Planning!$W:$X,2,0),"")</f>
        <v/>
      </c>
      <c r="F12" s="55">
        <f>IFERROR(VLOOKUP($J$4&amp;"|"&amp;$A$11&amp;"|"&amp;F$4&amp;"|2",Planning!$W:$X,2,0),"")</f>
        <v/>
      </c>
      <c r="G12" s="56">
        <f>IFERROR(VLOOKUP($J$4&amp;"|"&amp;$A$11&amp;"|"&amp;G$4&amp;"|2",Planning!$W:$X,2,0),"")</f>
        <v/>
      </c>
      <c r="H12" s="56">
        <f>IFERROR(VLOOKUP($J$4&amp;"|"&amp;$A$11&amp;"|"&amp;H$4&amp;"|2",Planning!$W:$X,2,0),"")</f>
        <v/>
      </c>
    </row>
    <row r="13" ht="52.59999999999999" customHeight="1">
      <c r="A13" s="59" t="inlineStr">
        <is>
          <t>7éme (B)</t>
        </is>
      </c>
      <c r="B13" s="55">
        <f>IFERROR(VLOOKUP($J$4&amp;"|"&amp;$A$13&amp;"|"&amp;B$4&amp;"|1",Planning!$W:$X,2,0),"")</f>
        <v/>
      </c>
      <c r="C13" s="55">
        <f>IFERROR(VLOOKUP($J$4&amp;"|"&amp;$A$13&amp;"|"&amp;C$4&amp;"|1",Planning!$W:$X,2,0),"")</f>
        <v/>
      </c>
      <c r="D13" s="55">
        <f>IFERROR(VLOOKUP($J$4&amp;"|"&amp;$A$13&amp;"|"&amp;D$4&amp;"|1",Planning!$W:$X,2,0),"")</f>
        <v/>
      </c>
      <c r="E13" s="55">
        <f>IFERROR(VLOOKUP($J$4&amp;"|"&amp;$A$13&amp;"|"&amp;E$4&amp;"|1",Planning!$W:$X,2,0),"")</f>
        <v/>
      </c>
      <c r="F13" s="55">
        <f>IFERROR(VLOOKUP($J$4&amp;"|"&amp;$A$13&amp;"|"&amp;F$4&amp;"|1",Planning!$W:$X,2,0),"")</f>
        <v/>
      </c>
      <c r="G13" s="56">
        <f>IFERROR(VLOOKUP($J$4&amp;"|"&amp;$A$13&amp;"|"&amp;G$4&amp;"|1",Planning!$W:$X,2,0),"")</f>
        <v/>
      </c>
      <c r="H13" s="56">
        <f>IFERROR(VLOOKUP($J$4&amp;"|"&amp;$A$13&amp;"|"&amp;H$4&amp;"|1",Planning!$W:$X,2,0),"")</f>
        <v/>
      </c>
    </row>
    <row r="14" ht="52.59999999999999" customHeight="1">
      <c r="A14" s="59" t="inlineStr">
        <is>
          <t>8éme (A)</t>
        </is>
      </c>
      <c r="B14" s="55">
        <f>IFERROR(VLOOKUP($J$4&amp;"|"&amp;$A$14&amp;"|"&amp;B$4&amp;"|1",Planning!$W:$X,2,0),"")</f>
        <v/>
      </c>
      <c r="C14" s="55">
        <f>IFERROR(VLOOKUP($J$4&amp;"|"&amp;$A$14&amp;"|"&amp;C$4&amp;"|1",Planning!$W:$X,2,0),"")</f>
        <v/>
      </c>
      <c r="D14" s="55">
        <f>IFERROR(VLOOKUP($J$4&amp;"|"&amp;$A$14&amp;"|"&amp;D$4&amp;"|1",Planning!$W:$X,2,0),"")</f>
        <v/>
      </c>
      <c r="E14" s="55">
        <f>IFERROR(VLOOKUP($J$4&amp;"|"&amp;$A$14&amp;"|"&amp;E$4&amp;"|1",Planning!$W:$X,2,0),"")</f>
        <v/>
      </c>
      <c r="F14" s="55">
        <f>IFERROR(VLOOKUP($J$4&amp;"|"&amp;$A$14&amp;"|"&amp;F$4&amp;"|1",Planning!$W:$X,2,0),"")</f>
        <v/>
      </c>
      <c r="G14" s="56">
        <f>IFERROR(VLOOKUP($J$4&amp;"|"&amp;$A$14&amp;"|"&amp;G$4&amp;"|1",Planning!$W:$X,2,0),"")</f>
        <v/>
      </c>
      <c r="H14" s="56">
        <f>IFERROR(VLOOKUP($J$4&amp;"|"&amp;$A$14&amp;"|"&amp;H$4&amp;"|1",Planning!$W:$X,2,0),"")</f>
        <v/>
      </c>
    </row>
    <row r="15" ht="52.59999999999999" customHeight="1">
      <c r="A15" s="59" t="inlineStr">
        <is>
          <t>8éme (B)</t>
        </is>
      </c>
      <c r="B15" s="55">
        <f>IFERROR(VLOOKUP($J$4&amp;"|"&amp;$A$15&amp;"|"&amp;B$4&amp;"|1",Planning!$W:$X,2,0),"")</f>
        <v/>
      </c>
      <c r="C15" s="55">
        <f>IFERROR(VLOOKUP($J$4&amp;"|"&amp;$A$15&amp;"|"&amp;C$4&amp;"|1",Planning!$W:$X,2,0),"")</f>
        <v/>
      </c>
      <c r="D15" s="55">
        <f>IFERROR(VLOOKUP($J$4&amp;"|"&amp;$A$15&amp;"|"&amp;D$4&amp;"|1",Planning!$W:$X,2,0),"")</f>
        <v/>
      </c>
      <c r="E15" s="55">
        <f>IFERROR(VLOOKUP($J$4&amp;"|"&amp;$A$15&amp;"|"&amp;E$4&amp;"|1",Planning!$W:$X,2,0),"")</f>
        <v/>
      </c>
      <c r="F15" s="55">
        <f>IFERROR(VLOOKUP($J$4&amp;"|"&amp;$A$15&amp;"|"&amp;F$4&amp;"|1",Planning!$W:$X,2,0),"")</f>
        <v/>
      </c>
      <c r="G15" s="56">
        <f>IFERROR(VLOOKUP($J$4&amp;"|"&amp;$A$15&amp;"|"&amp;G$4&amp;"|1",Planning!$W:$X,2,0),"")</f>
        <v/>
      </c>
      <c r="H15" s="56">
        <f>IFERROR(VLOOKUP($J$4&amp;"|"&amp;$A$15&amp;"|"&amp;H$4&amp;"|1",Planning!$W:$X,2,0),"")</f>
        <v/>
      </c>
    </row>
    <row r="16" ht="52.59999999999999" customHeight="1">
      <c r="A16" s="59" t="inlineStr">
        <is>
          <t>8éme (C)</t>
        </is>
      </c>
      <c r="B16" s="55">
        <f>IFERROR(VLOOKUP($J$4&amp;"|"&amp;$A$16&amp;"|"&amp;B$4&amp;"|1",Planning!$W:$X,2,0),"")</f>
        <v/>
      </c>
      <c r="C16" s="55">
        <f>IFERROR(VLOOKUP($J$4&amp;"|"&amp;$A$16&amp;"|"&amp;C$4&amp;"|1",Planning!$W:$X,2,0),"")</f>
        <v/>
      </c>
      <c r="D16" s="55">
        <f>IFERROR(VLOOKUP($J$4&amp;"|"&amp;$A$16&amp;"|"&amp;D$4&amp;"|1",Planning!$W:$X,2,0),"")</f>
        <v/>
      </c>
      <c r="E16" s="55">
        <f>IFERROR(VLOOKUP($J$4&amp;"|"&amp;$A$16&amp;"|"&amp;E$4&amp;"|1",Planning!$W:$X,2,0),"")</f>
        <v/>
      </c>
      <c r="F16" s="55">
        <f>IFERROR(VLOOKUP($J$4&amp;"|"&amp;$A$16&amp;"|"&amp;F$4&amp;"|1",Planning!$W:$X,2,0),"")</f>
        <v/>
      </c>
      <c r="G16" s="56">
        <f>IFERROR(VLOOKUP($J$4&amp;"|"&amp;$A$16&amp;"|"&amp;G$4&amp;"|1",Planning!$W:$X,2,0),"")</f>
        <v/>
      </c>
      <c r="H16" s="56">
        <f>IFERROR(VLOOKUP($J$4&amp;"|"&amp;$A$16&amp;"|"&amp;H$4&amp;"|1",Planning!$W:$X,2,0),"")</f>
        <v/>
      </c>
    </row>
    <row r="17" ht="52.59999999999999" customHeight="1">
      <c r="A17" s="59" t="inlineStr">
        <is>
          <t>9éme (A)</t>
        </is>
      </c>
      <c r="B17" s="55">
        <f>IFERROR(VLOOKUP($J$4&amp;"|"&amp;$A$17&amp;"|"&amp;B$4&amp;"|1",Planning!$W:$X,2,0),"")</f>
        <v/>
      </c>
      <c r="C17" s="55">
        <f>IFERROR(VLOOKUP($J$4&amp;"|"&amp;$A$17&amp;"|"&amp;C$4&amp;"|1",Planning!$W:$X,2,0),"")</f>
        <v/>
      </c>
      <c r="D17" s="55">
        <f>IFERROR(VLOOKUP($J$4&amp;"|"&amp;$A$17&amp;"|"&amp;D$4&amp;"|1",Planning!$W:$X,2,0),"")</f>
        <v/>
      </c>
      <c r="E17" s="55">
        <f>IFERROR(VLOOKUP($J$4&amp;"|"&amp;$A$17&amp;"|"&amp;E$4&amp;"|1",Planning!$W:$X,2,0),"")</f>
        <v/>
      </c>
      <c r="F17" s="55">
        <f>IFERROR(VLOOKUP($J$4&amp;"|"&amp;$A$17&amp;"|"&amp;F$4&amp;"|1",Planning!$W:$X,2,0),"")</f>
        <v/>
      </c>
      <c r="G17" s="56">
        <f>IFERROR(VLOOKUP($J$4&amp;"|"&amp;$A$17&amp;"|"&amp;G$4&amp;"|1",Planning!$W:$X,2,0),"")</f>
        <v/>
      </c>
      <c r="H17" s="56">
        <f>IFERROR(VLOOKUP($J$4&amp;"|"&amp;$A$17&amp;"|"&amp;H$4&amp;"|1",Planning!$W:$X,2,0),"")</f>
        <v/>
      </c>
    </row>
    <row r="18" ht="52.59999999999999" customHeight="1">
      <c r="A18" s="60" t="n"/>
      <c r="B18" s="55">
        <f>IFERROR(VLOOKUP($J$4&amp;"|"&amp;$A$17&amp;"|"&amp;B$4&amp;"|2",Planning!$W:$X,2,0),"")</f>
        <v/>
      </c>
      <c r="C18" s="55">
        <f>IFERROR(VLOOKUP($J$4&amp;"|"&amp;$A$17&amp;"|"&amp;C$4&amp;"|2",Planning!$W:$X,2,0),"")</f>
        <v/>
      </c>
      <c r="D18" s="55">
        <f>IFERROR(VLOOKUP($J$4&amp;"|"&amp;$A$17&amp;"|"&amp;D$4&amp;"|2",Planning!$W:$X,2,0),"")</f>
        <v/>
      </c>
      <c r="E18" s="55">
        <f>IFERROR(VLOOKUP($J$4&amp;"|"&amp;$A$17&amp;"|"&amp;E$4&amp;"|2",Planning!$W:$X,2,0),"")</f>
        <v/>
      </c>
      <c r="F18" s="55">
        <f>IFERROR(VLOOKUP($J$4&amp;"|"&amp;$A$17&amp;"|"&amp;F$4&amp;"|2",Planning!$W:$X,2,0),"")</f>
        <v/>
      </c>
      <c r="G18" s="56">
        <f>IFERROR(VLOOKUP($J$4&amp;"|"&amp;$A$17&amp;"|"&amp;G$4&amp;"|2",Planning!$W:$X,2,0),"")</f>
        <v/>
      </c>
      <c r="H18" s="56">
        <f>IFERROR(VLOOKUP($J$4&amp;"|"&amp;$A$17&amp;"|"&amp;H$4&amp;"|2",Planning!$W:$X,2,0),"")</f>
        <v/>
      </c>
    </row>
    <row r="19" ht="52.59999999999999" customHeight="1">
      <c r="A19" s="59" t="inlineStr">
        <is>
          <t>9éme (B)</t>
        </is>
      </c>
      <c r="B19" s="55">
        <f>IFERROR(VLOOKUP($J$4&amp;"|"&amp;$A$19&amp;"|"&amp;B$4&amp;"|1",Planning!$W:$X,2,0),"")</f>
        <v/>
      </c>
      <c r="C19" s="55">
        <f>IFERROR(VLOOKUP($J$4&amp;"|"&amp;$A$19&amp;"|"&amp;C$4&amp;"|1",Planning!$W:$X,2,0),"")</f>
        <v/>
      </c>
      <c r="D19" s="55">
        <f>IFERROR(VLOOKUP($J$4&amp;"|"&amp;$A$19&amp;"|"&amp;D$4&amp;"|1",Planning!$W:$X,2,0),"")</f>
        <v/>
      </c>
      <c r="E19" s="55">
        <f>IFERROR(VLOOKUP($J$4&amp;"|"&amp;$A$19&amp;"|"&amp;E$4&amp;"|1",Planning!$W:$X,2,0),"")</f>
        <v/>
      </c>
      <c r="F19" s="55">
        <f>IFERROR(VLOOKUP($J$4&amp;"|"&amp;$A$19&amp;"|"&amp;F$4&amp;"|1",Planning!$W:$X,2,0),"")</f>
        <v/>
      </c>
      <c r="G19" s="56">
        <f>IFERROR(VLOOKUP($J$4&amp;"|"&amp;$A$19&amp;"|"&amp;G$4&amp;"|1",Planning!$W:$X,2,0),"")</f>
        <v/>
      </c>
      <c r="H19" s="56">
        <f>IFERROR(VLOOKUP($J$4&amp;"|"&amp;$A$19&amp;"|"&amp;H$4&amp;"|1",Planning!$W:$X,2,0),"")</f>
        <v/>
      </c>
    </row>
    <row r="20" ht="52.59999999999999" customHeight="1">
      <c r="A20" s="60" t="n"/>
      <c r="B20" s="55">
        <f>IFERROR(VLOOKUP($J$4&amp;"|"&amp;$A$19&amp;"|"&amp;B$4&amp;"|2",Planning!$W:$X,2,0),"")</f>
        <v/>
      </c>
      <c r="C20" s="55">
        <f>IFERROR(VLOOKUP($J$4&amp;"|"&amp;$A$19&amp;"|"&amp;C$4&amp;"|2",Planning!$W:$X,2,0),"")</f>
        <v/>
      </c>
      <c r="D20" s="55">
        <f>IFERROR(VLOOKUP($J$4&amp;"|"&amp;$A$19&amp;"|"&amp;D$4&amp;"|2",Planning!$W:$X,2,0),"")</f>
        <v/>
      </c>
      <c r="E20" s="55">
        <f>IFERROR(VLOOKUP($J$4&amp;"|"&amp;$A$19&amp;"|"&amp;E$4&amp;"|2",Planning!$W:$X,2,0),"")</f>
        <v/>
      </c>
      <c r="F20" s="55">
        <f>IFERROR(VLOOKUP($J$4&amp;"|"&amp;$A$19&amp;"|"&amp;F$4&amp;"|2",Planning!$W:$X,2,0),"")</f>
        <v/>
      </c>
      <c r="G20" s="56">
        <f>IFERROR(VLOOKUP($J$4&amp;"|"&amp;$A$19&amp;"|"&amp;G$4&amp;"|2",Planning!$W:$X,2,0),"")</f>
        <v/>
      </c>
      <c r="H20" s="56">
        <f>IFERROR(VLOOKUP($J$4&amp;"|"&amp;$A$19&amp;"|"&amp;H$4&amp;"|2",Planning!$W:$X,2,0),"")</f>
        <v/>
      </c>
    </row>
    <row r="21" ht="52.59999999999999" customHeight="1">
      <c r="A21" s="59" t="inlineStr">
        <is>
          <t>9éme (C)</t>
        </is>
      </c>
      <c r="B21" s="55">
        <f>IFERROR(VLOOKUP($J$4&amp;"|"&amp;$A$21&amp;"|"&amp;B$4&amp;"|1",Planning!$W:$X,2,0),"")</f>
        <v/>
      </c>
      <c r="C21" s="55">
        <f>IFERROR(VLOOKUP($J$4&amp;"|"&amp;$A$21&amp;"|"&amp;C$4&amp;"|1",Planning!$W:$X,2,0),"")</f>
        <v/>
      </c>
      <c r="D21" s="55">
        <f>IFERROR(VLOOKUP($J$4&amp;"|"&amp;$A$21&amp;"|"&amp;D$4&amp;"|1",Planning!$W:$X,2,0),"")</f>
        <v/>
      </c>
      <c r="E21" s="55">
        <f>IFERROR(VLOOKUP($J$4&amp;"|"&amp;$A$21&amp;"|"&amp;E$4&amp;"|1",Planning!$W:$X,2,0),"")</f>
        <v/>
      </c>
      <c r="F21" s="55">
        <f>IFERROR(VLOOKUP($J$4&amp;"|"&amp;$A$21&amp;"|"&amp;F$4&amp;"|1",Planning!$W:$X,2,0),"")</f>
        <v/>
      </c>
      <c r="G21" s="56">
        <f>IFERROR(VLOOKUP($J$4&amp;"|"&amp;$A$21&amp;"|"&amp;G$4&amp;"|1",Planning!$W:$X,2,0),"")</f>
        <v/>
      </c>
      <c r="H21" s="56">
        <f>IFERROR(VLOOKUP($J$4&amp;"|"&amp;$A$21&amp;"|"&amp;H$4&amp;"|1",Planning!$W:$X,2,0),"")</f>
        <v/>
      </c>
    </row>
    <row r="22" ht="21" customHeight="1">
      <c r="A22" s="61" t="inlineStr">
        <is>
          <t>CYCLE SECONDAIRE   (8 classes)</t>
        </is>
      </c>
      <c r="B22" s="62" t="n"/>
      <c r="C22" s="62" t="n"/>
      <c r="D22" s="62" t="n"/>
      <c r="E22" s="62" t="n"/>
      <c r="F22" s="62" t="n"/>
      <c r="G22" s="62" t="n"/>
      <c r="H22" s="62" t="n"/>
    </row>
    <row r="23" ht="52.59999999999999" customHeight="1">
      <c r="A23" s="63" t="inlineStr">
        <is>
          <t>1ére (A)</t>
        </is>
      </c>
      <c r="B23" s="55">
        <f>IFERROR(VLOOKUP($J$4&amp;"|"&amp;$A$23&amp;"|"&amp;B$4&amp;"|1",Planning!$W:$X,2,0),"")</f>
        <v/>
      </c>
      <c r="C23" s="55">
        <f>IFERROR(VLOOKUP($J$4&amp;"|"&amp;$A$23&amp;"|"&amp;C$4&amp;"|1",Planning!$W:$X,2,0),"")</f>
        <v/>
      </c>
      <c r="D23" s="55">
        <f>IFERROR(VLOOKUP($J$4&amp;"|"&amp;$A$23&amp;"|"&amp;D$4&amp;"|1",Planning!$W:$X,2,0),"")</f>
        <v/>
      </c>
      <c r="E23" s="55">
        <f>IFERROR(VLOOKUP($J$4&amp;"|"&amp;$A$23&amp;"|"&amp;E$4&amp;"|1",Planning!$W:$X,2,0),"")</f>
        <v/>
      </c>
      <c r="F23" s="55">
        <f>IFERROR(VLOOKUP($J$4&amp;"|"&amp;$A$23&amp;"|"&amp;F$4&amp;"|1",Planning!$W:$X,2,0),"")</f>
        <v/>
      </c>
      <c r="G23" s="56">
        <f>IFERROR(VLOOKUP($J$4&amp;"|"&amp;$A$23&amp;"|"&amp;G$4&amp;"|1",Planning!$W:$X,2,0),"")</f>
        <v/>
      </c>
      <c r="H23" s="56">
        <f>IFERROR(VLOOKUP($J$4&amp;"|"&amp;$A$23&amp;"|"&amp;H$4&amp;"|1",Planning!$W:$X,2,0),"")</f>
        <v/>
      </c>
    </row>
    <row r="24" ht="52.59999999999999" customHeight="1">
      <c r="A24" s="64" t="n"/>
      <c r="B24" s="55">
        <f>IFERROR(VLOOKUP($J$4&amp;"|"&amp;$A$23&amp;"|"&amp;B$4&amp;"|2",Planning!$W:$X,2,0),"")</f>
        <v/>
      </c>
      <c r="C24" s="55">
        <f>IFERROR(VLOOKUP($J$4&amp;"|"&amp;$A$23&amp;"|"&amp;C$4&amp;"|2",Planning!$W:$X,2,0),"")</f>
        <v/>
      </c>
      <c r="D24" s="55">
        <f>IFERROR(VLOOKUP($J$4&amp;"|"&amp;$A$23&amp;"|"&amp;D$4&amp;"|2",Planning!$W:$X,2,0),"")</f>
        <v/>
      </c>
      <c r="E24" s="55">
        <f>IFERROR(VLOOKUP($J$4&amp;"|"&amp;$A$23&amp;"|"&amp;E$4&amp;"|2",Planning!$W:$X,2,0),"")</f>
        <v/>
      </c>
      <c r="F24" s="55">
        <f>IFERROR(VLOOKUP($J$4&amp;"|"&amp;$A$23&amp;"|"&amp;F$4&amp;"|2",Planning!$W:$X,2,0),"")</f>
        <v/>
      </c>
      <c r="G24" s="56">
        <f>IFERROR(VLOOKUP($J$4&amp;"|"&amp;$A$23&amp;"|"&amp;G$4&amp;"|2",Planning!$W:$X,2,0),"")</f>
        <v/>
      </c>
      <c r="H24" s="56">
        <f>IFERROR(VLOOKUP($J$4&amp;"|"&amp;$A$23&amp;"|"&amp;H$4&amp;"|2",Planning!$W:$X,2,0),"")</f>
        <v/>
      </c>
    </row>
    <row r="25" ht="52.59999999999999" customHeight="1">
      <c r="A25" s="63" t="inlineStr">
        <is>
          <t>1ére (B)</t>
        </is>
      </c>
      <c r="B25" s="55">
        <f>IFERROR(VLOOKUP($J$4&amp;"|"&amp;$A$25&amp;"|"&amp;B$4&amp;"|1",Planning!$W:$X,2,0),"")</f>
        <v/>
      </c>
      <c r="C25" s="55">
        <f>IFERROR(VLOOKUP($J$4&amp;"|"&amp;$A$25&amp;"|"&amp;C$4&amp;"|1",Planning!$W:$X,2,0),"")</f>
        <v/>
      </c>
      <c r="D25" s="55">
        <f>IFERROR(VLOOKUP($J$4&amp;"|"&amp;$A$25&amp;"|"&amp;D$4&amp;"|1",Planning!$W:$X,2,0),"")</f>
        <v/>
      </c>
      <c r="E25" s="55">
        <f>IFERROR(VLOOKUP($J$4&amp;"|"&amp;$A$25&amp;"|"&amp;E$4&amp;"|1",Planning!$W:$X,2,0),"")</f>
        <v/>
      </c>
      <c r="F25" s="55">
        <f>IFERROR(VLOOKUP($J$4&amp;"|"&amp;$A$25&amp;"|"&amp;F$4&amp;"|1",Planning!$W:$X,2,0),"")</f>
        <v/>
      </c>
      <c r="G25" s="56">
        <f>IFERROR(VLOOKUP($J$4&amp;"|"&amp;$A$25&amp;"|"&amp;G$4&amp;"|1",Planning!$W:$X,2,0),"")</f>
        <v/>
      </c>
      <c r="H25" s="56">
        <f>IFERROR(VLOOKUP($J$4&amp;"|"&amp;$A$25&amp;"|"&amp;H$4&amp;"|1",Planning!$W:$X,2,0),"")</f>
        <v/>
      </c>
    </row>
    <row r="26" ht="52.59999999999999" customHeight="1">
      <c r="A26" s="63" t="inlineStr">
        <is>
          <t>2éme Eco</t>
        </is>
      </c>
      <c r="B26" s="55">
        <f>IFERROR(VLOOKUP($J$4&amp;"|"&amp;$A$26&amp;"|"&amp;B$4&amp;"|1",Planning!$W:$X,2,0),"")</f>
        <v/>
      </c>
      <c r="C26" s="55">
        <f>IFERROR(VLOOKUP($J$4&amp;"|"&amp;$A$26&amp;"|"&amp;C$4&amp;"|1",Planning!$W:$X,2,0),"")</f>
        <v/>
      </c>
      <c r="D26" s="55">
        <f>IFERROR(VLOOKUP($J$4&amp;"|"&amp;$A$26&amp;"|"&amp;D$4&amp;"|1",Planning!$W:$X,2,0),"")</f>
        <v/>
      </c>
      <c r="E26" s="55">
        <f>IFERROR(VLOOKUP($J$4&amp;"|"&amp;$A$26&amp;"|"&amp;E$4&amp;"|1",Planning!$W:$X,2,0),"")</f>
        <v/>
      </c>
      <c r="F26" s="55">
        <f>IFERROR(VLOOKUP($J$4&amp;"|"&amp;$A$26&amp;"|"&amp;F$4&amp;"|1",Planning!$W:$X,2,0),"")</f>
        <v/>
      </c>
      <c r="G26" s="56">
        <f>IFERROR(VLOOKUP($J$4&amp;"|"&amp;$A$26&amp;"|"&amp;G$4&amp;"|1",Planning!$W:$X,2,0),"")</f>
        <v/>
      </c>
      <c r="H26" s="56">
        <f>IFERROR(VLOOKUP($J$4&amp;"|"&amp;$A$26&amp;"|"&amp;H$4&amp;"|1",Planning!$W:$X,2,0),"")</f>
        <v/>
      </c>
    </row>
    <row r="27" ht="52.59999999999999" customHeight="1">
      <c r="A27" s="63" t="inlineStr">
        <is>
          <t>2éme SCE</t>
        </is>
      </c>
      <c r="B27" s="55">
        <f>IFERROR(VLOOKUP($J$4&amp;"|"&amp;$A$27&amp;"|"&amp;B$4&amp;"|1",Planning!$W:$X,2,0),"")</f>
        <v/>
      </c>
      <c r="C27" s="55">
        <f>IFERROR(VLOOKUP($J$4&amp;"|"&amp;$A$27&amp;"|"&amp;C$4&amp;"|1",Planning!$W:$X,2,0),"")</f>
        <v/>
      </c>
      <c r="D27" s="55">
        <f>IFERROR(VLOOKUP($J$4&amp;"|"&amp;$A$27&amp;"|"&amp;D$4&amp;"|1",Planning!$W:$X,2,0),"")</f>
        <v/>
      </c>
      <c r="E27" s="55">
        <f>IFERROR(VLOOKUP($J$4&amp;"|"&amp;$A$27&amp;"|"&amp;E$4&amp;"|1",Planning!$W:$X,2,0),"")</f>
        <v/>
      </c>
      <c r="F27" s="55">
        <f>IFERROR(VLOOKUP($J$4&amp;"|"&amp;$A$27&amp;"|"&amp;F$4&amp;"|1",Planning!$W:$X,2,0),"")</f>
        <v/>
      </c>
      <c r="G27" s="56">
        <f>IFERROR(VLOOKUP($J$4&amp;"|"&amp;$A$27&amp;"|"&amp;G$4&amp;"|1",Planning!$W:$X,2,0),"")</f>
        <v/>
      </c>
      <c r="H27" s="56">
        <f>IFERROR(VLOOKUP($J$4&amp;"|"&amp;$A$27&amp;"|"&amp;H$4&amp;"|1",Planning!$W:$X,2,0),"")</f>
        <v/>
      </c>
    </row>
    <row r="28" ht="52.59999999999999" customHeight="1">
      <c r="A28" s="63" t="inlineStr">
        <is>
          <t>2éme INFO</t>
        </is>
      </c>
      <c r="B28" s="55">
        <f>IFERROR(VLOOKUP($J$4&amp;"|"&amp;$A$28&amp;"|"&amp;B$4&amp;"|1",Planning!$W:$X,2,0),"")</f>
        <v/>
      </c>
      <c r="C28" s="55">
        <f>IFERROR(VLOOKUP($J$4&amp;"|"&amp;$A$28&amp;"|"&amp;C$4&amp;"|1",Planning!$W:$X,2,0),"")</f>
        <v/>
      </c>
      <c r="D28" s="55">
        <f>IFERROR(VLOOKUP($J$4&amp;"|"&amp;$A$28&amp;"|"&amp;D$4&amp;"|1",Planning!$W:$X,2,0),"")</f>
        <v/>
      </c>
      <c r="E28" s="55">
        <f>IFERROR(VLOOKUP($J$4&amp;"|"&amp;$A$28&amp;"|"&amp;E$4&amp;"|1",Planning!$W:$X,2,0),"")</f>
        <v/>
      </c>
      <c r="F28" s="55">
        <f>IFERROR(VLOOKUP($J$4&amp;"|"&amp;$A$28&amp;"|"&amp;F$4&amp;"|1",Planning!$W:$X,2,0),"")</f>
        <v/>
      </c>
      <c r="G28" s="56">
        <f>IFERROR(VLOOKUP($J$4&amp;"|"&amp;$A$28&amp;"|"&amp;G$4&amp;"|1",Planning!$W:$X,2,0),"")</f>
        <v/>
      </c>
      <c r="H28" s="56">
        <f>IFERROR(VLOOKUP($J$4&amp;"|"&amp;$A$28&amp;"|"&amp;H$4&amp;"|1",Planning!$W:$X,2,0),"")</f>
        <v/>
      </c>
    </row>
    <row r="29" ht="52.59999999999999" customHeight="1">
      <c r="A29" s="63" t="inlineStr">
        <is>
          <t>3éme Eco</t>
        </is>
      </c>
      <c r="B29" s="55">
        <f>IFERROR(VLOOKUP($J$4&amp;"|"&amp;$A$29&amp;"|"&amp;B$4&amp;"|1",Planning!$W:$X,2,0),"")</f>
        <v/>
      </c>
      <c r="C29" s="55">
        <f>IFERROR(VLOOKUP($J$4&amp;"|"&amp;$A$29&amp;"|"&amp;C$4&amp;"|1",Planning!$W:$X,2,0),"")</f>
        <v/>
      </c>
      <c r="D29" s="55">
        <f>IFERROR(VLOOKUP($J$4&amp;"|"&amp;$A$29&amp;"|"&amp;D$4&amp;"|1",Planning!$W:$X,2,0),"")</f>
        <v/>
      </c>
      <c r="E29" s="55">
        <f>IFERROR(VLOOKUP($J$4&amp;"|"&amp;$A$29&amp;"|"&amp;E$4&amp;"|1",Planning!$W:$X,2,0),"")</f>
        <v/>
      </c>
      <c r="F29" s="55">
        <f>IFERROR(VLOOKUP($J$4&amp;"|"&amp;$A$29&amp;"|"&amp;F$4&amp;"|1",Planning!$W:$X,2,0),"")</f>
        <v/>
      </c>
      <c r="G29" s="56">
        <f>IFERROR(VLOOKUP($J$4&amp;"|"&amp;$A$29&amp;"|"&amp;G$4&amp;"|1",Planning!$W:$X,2,0),"")</f>
        <v/>
      </c>
      <c r="H29" s="56">
        <f>IFERROR(VLOOKUP($J$4&amp;"|"&amp;$A$29&amp;"|"&amp;H$4&amp;"|1",Planning!$W:$X,2,0),"")</f>
        <v/>
      </c>
    </row>
    <row r="30" ht="52.59999999999999" customHeight="1">
      <c r="A30" s="64" t="n"/>
      <c r="B30" s="55">
        <f>IFERROR(VLOOKUP($J$4&amp;"|"&amp;$A$29&amp;"|"&amp;B$4&amp;"|2",Planning!$W:$X,2,0),"")</f>
        <v/>
      </c>
      <c r="C30" s="55">
        <f>IFERROR(VLOOKUP($J$4&amp;"|"&amp;$A$29&amp;"|"&amp;C$4&amp;"|2",Planning!$W:$X,2,0),"")</f>
        <v/>
      </c>
      <c r="D30" s="55">
        <f>IFERROR(VLOOKUP($J$4&amp;"|"&amp;$A$29&amp;"|"&amp;D$4&amp;"|2",Planning!$W:$X,2,0),"")</f>
        <v/>
      </c>
      <c r="E30" s="55">
        <f>IFERROR(VLOOKUP($J$4&amp;"|"&amp;$A$29&amp;"|"&amp;E$4&amp;"|2",Planning!$W:$X,2,0),"")</f>
        <v/>
      </c>
      <c r="F30" s="55">
        <f>IFERROR(VLOOKUP($J$4&amp;"|"&amp;$A$29&amp;"|"&amp;F$4&amp;"|2",Planning!$W:$X,2,0),"")</f>
        <v/>
      </c>
      <c r="G30" s="56">
        <f>IFERROR(VLOOKUP($J$4&amp;"|"&amp;$A$29&amp;"|"&amp;G$4&amp;"|2",Planning!$W:$X,2,0),"")</f>
        <v/>
      </c>
      <c r="H30" s="56">
        <f>IFERROR(VLOOKUP($J$4&amp;"|"&amp;$A$29&amp;"|"&amp;H$4&amp;"|2",Planning!$W:$X,2,0),"")</f>
        <v/>
      </c>
    </row>
    <row r="31" ht="52.59999999999999" customHeight="1">
      <c r="A31" s="63" t="inlineStr">
        <is>
          <t>3éme INFO</t>
        </is>
      </c>
      <c r="B31" s="55">
        <f>IFERROR(VLOOKUP($J$4&amp;"|"&amp;$A$31&amp;"|"&amp;B$4&amp;"|1",Planning!$W:$X,2,0),"")</f>
        <v/>
      </c>
      <c r="C31" s="55">
        <f>IFERROR(VLOOKUP($J$4&amp;"|"&amp;$A$31&amp;"|"&amp;C$4&amp;"|1",Planning!$W:$X,2,0),"")</f>
        <v/>
      </c>
      <c r="D31" s="55">
        <f>IFERROR(VLOOKUP($J$4&amp;"|"&amp;$A$31&amp;"|"&amp;D$4&amp;"|1",Planning!$W:$X,2,0),"")</f>
        <v/>
      </c>
      <c r="E31" s="55">
        <f>IFERROR(VLOOKUP($J$4&amp;"|"&amp;$A$31&amp;"|"&amp;E$4&amp;"|1",Planning!$W:$X,2,0),"")</f>
        <v/>
      </c>
      <c r="F31" s="55">
        <f>IFERROR(VLOOKUP($J$4&amp;"|"&amp;$A$31&amp;"|"&amp;F$4&amp;"|1",Planning!$W:$X,2,0),"")</f>
        <v/>
      </c>
      <c r="G31" s="56">
        <f>IFERROR(VLOOKUP($J$4&amp;"|"&amp;$A$31&amp;"|"&amp;G$4&amp;"|1",Planning!$W:$X,2,0),"")</f>
        <v/>
      </c>
      <c r="H31" s="56">
        <f>IFERROR(VLOOKUP($J$4&amp;"|"&amp;$A$31&amp;"|"&amp;H$4&amp;"|1",Planning!$W:$X,2,0),"")</f>
        <v/>
      </c>
    </row>
    <row r="32" ht="52.59999999999999" customHeight="1">
      <c r="A32" s="63" t="inlineStr">
        <is>
          <t>3éme SCE</t>
        </is>
      </c>
      <c r="B32" s="55">
        <f>IFERROR(VLOOKUP($J$4&amp;"|"&amp;$A$32&amp;"|"&amp;B$4&amp;"|1",Planning!$W:$X,2,0),"")</f>
        <v/>
      </c>
      <c r="C32" s="55">
        <f>IFERROR(VLOOKUP($J$4&amp;"|"&amp;$A$32&amp;"|"&amp;C$4&amp;"|1",Planning!$W:$X,2,0),"")</f>
        <v/>
      </c>
      <c r="D32" s="55">
        <f>IFERROR(VLOOKUP($J$4&amp;"|"&amp;$A$32&amp;"|"&amp;D$4&amp;"|1",Planning!$W:$X,2,0),"")</f>
        <v/>
      </c>
      <c r="E32" s="55">
        <f>IFERROR(VLOOKUP($J$4&amp;"|"&amp;$A$32&amp;"|"&amp;E$4&amp;"|1",Planning!$W:$X,2,0),"")</f>
        <v/>
      </c>
      <c r="F32" s="55">
        <f>IFERROR(VLOOKUP($J$4&amp;"|"&amp;$A$32&amp;"|"&amp;F$4&amp;"|1",Planning!$W:$X,2,0),"")</f>
        <v/>
      </c>
      <c r="G32" s="56">
        <f>IFERROR(VLOOKUP($J$4&amp;"|"&amp;$A$32&amp;"|"&amp;G$4&amp;"|1",Planning!$W:$X,2,0),"")</f>
        <v/>
      </c>
      <c r="H32" s="56">
        <f>IFERROR(VLOOKUP($J$4&amp;"|"&amp;$A$32&amp;"|"&amp;H$4&amp;"|1",Planning!$W:$X,2,0),"")</f>
        <v/>
      </c>
    </row>
    <row r="33" ht="21" customHeight="1">
      <c r="A33" s="65" t="inlineStr">
        <is>
          <t>CYCLE BAC   (3 classes)</t>
        </is>
      </c>
      <c r="B33" s="66" t="n"/>
      <c r="C33" s="66" t="n"/>
      <c r="D33" s="66" t="n"/>
      <c r="E33" s="66" t="n"/>
      <c r="F33" s="66" t="n"/>
      <c r="G33" s="66" t="n"/>
      <c r="H33" s="66" t="n"/>
    </row>
    <row r="34" ht="52.59999999999999" customHeight="1">
      <c r="A34" s="67" t="inlineStr">
        <is>
          <t>Bac Eco</t>
        </is>
      </c>
      <c r="B34" s="55">
        <f>IFERROR(VLOOKUP($J$4&amp;"|"&amp;$A$34&amp;"|"&amp;B$4&amp;"|1",Planning!$W:$X,2,0),"")</f>
        <v/>
      </c>
      <c r="C34" s="55">
        <f>IFERROR(VLOOKUP($J$4&amp;"|"&amp;$A$34&amp;"|"&amp;C$4&amp;"|1",Planning!$W:$X,2,0),"")</f>
        <v/>
      </c>
      <c r="D34" s="55">
        <f>IFERROR(VLOOKUP($J$4&amp;"|"&amp;$A$34&amp;"|"&amp;D$4&amp;"|1",Planning!$W:$X,2,0),"")</f>
        <v/>
      </c>
      <c r="E34" s="55">
        <f>IFERROR(VLOOKUP($J$4&amp;"|"&amp;$A$34&amp;"|"&amp;E$4&amp;"|1",Planning!$W:$X,2,0),"")</f>
        <v/>
      </c>
      <c r="F34" s="55">
        <f>IFERROR(VLOOKUP($J$4&amp;"|"&amp;$A$34&amp;"|"&amp;F$4&amp;"|1",Planning!$W:$X,2,0),"")</f>
        <v/>
      </c>
      <c r="G34" s="56">
        <f>IFERROR(VLOOKUP($J$4&amp;"|"&amp;$A$34&amp;"|"&amp;G$4&amp;"|1",Planning!$W:$X,2,0),"")</f>
        <v/>
      </c>
      <c r="H34" s="56">
        <f>IFERROR(VLOOKUP($J$4&amp;"|"&amp;$A$34&amp;"|"&amp;H$4&amp;"|1",Planning!$W:$X,2,0),"")</f>
        <v/>
      </c>
    </row>
    <row r="35" ht="52.59999999999999" customHeight="1">
      <c r="A35" s="68" t="n"/>
      <c r="B35" s="55">
        <f>IFERROR(VLOOKUP($J$4&amp;"|"&amp;$A$34&amp;"|"&amp;B$4&amp;"|2",Planning!$W:$X,2,0),"")</f>
        <v/>
      </c>
      <c r="C35" s="55">
        <f>IFERROR(VLOOKUP($J$4&amp;"|"&amp;$A$34&amp;"|"&amp;C$4&amp;"|2",Planning!$W:$X,2,0),"")</f>
        <v/>
      </c>
      <c r="D35" s="55">
        <f>IFERROR(VLOOKUP($J$4&amp;"|"&amp;$A$34&amp;"|"&amp;D$4&amp;"|2",Planning!$W:$X,2,0),"")</f>
        <v/>
      </c>
      <c r="E35" s="55">
        <f>IFERROR(VLOOKUP($J$4&amp;"|"&amp;$A$34&amp;"|"&amp;E$4&amp;"|2",Planning!$W:$X,2,0),"")</f>
        <v/>
      </c>
      <c r="F35" s="55">
        <f>IFERROR(VLOOKUP($J$4&amp;"|"&amp;$A$34&amp;"|"&amp;F$4&amp;"|2",Planning!$W:$X,2,0),"")</f>
        <v/>
      </c>
      <c r="G35" s="56">
        <f>IFERROR(VLOOKUP($J$4&amp;"|"&amp;$A$34&amp;"|"&amp;G$4&amp;"|2",Planning!$W:$X,2,0),"")</f>
        <v/>
      </c>
      <c r="H35" s="56">
        <f>IFERROR(VLOOKUP($J$4&amp;"|"&amp;$A$34&amp;"|"&amp;H$4&amp;"|2",Planning!$W:$X,2,0),"")</f>
        <v/>
      </c>
    </row>
    <row r="36" ht="52.59999999999999" customHeight="1">
      <c r="A36" s="67" t="inlineStr">
        <is>
          <t>Bac SCE</t>
        </is>
      </c>
      <c r="B36" s="55">
        <f>IFERROR(VLOOKUP($J$4&amp;"|"&amp;$A$36&amp;"|"&amp;B$4&amp;"|1",Planning!$W:$X,2,0),"")</f>
        <v/>
      </c>
      <c r="C36" s="55">
        <f>IFERROR(VLOOKUP($J$4&amp;"|"&amp;$A$36&amp;"|"&amp;C$4&amp;"|1",Planning!$W:$X,2,0),"")</f>
        <v/>
      </c>
      <c r="D36" s="55">
        <f>IFERROR(VLOOKUP($J$4&amp;"|"&amp;$A$36&amp;"|"&amp;D$4&amp;"|1",Planning!$W:$X,2,0),"")</f>
        <v/>
      </c>
      <c r="E36" s="55">
        <f>IFERROR(VLOOKUP($J$4&amp;"|"&amp;$A$36&amp;"|"&amp;E$4&amp;"|1",Planning!$W:$X,2,0),"")</f>
        <v/>
      </c>
      <c r="F36" s="55">
        <f>IFERROR(VLOOKUP($J$4&amp;"|"&amp;$A$36&amp;"|"&amp;F$4&amp;"|1",Planning!$W:$X,2,0),"")</f>
        <v/>
      </c>
      <c r="G36" s="56">
        <f>IFERROR(VLOOKUP($J$4&amp;"|"&amp;$A$36&amp;"|"&amp;G$4&amp;"|1",Planning!$W:$X,2,0),"")</f>
        <v/>
      </c>
      <c r="H36" s="56">
        <f>IFERROR(VLOOKUP($J$4&amp;"|"&amp;$A$36&amp;"|"&amp;H$4&amp;"|1",Planning!$W:$X,2,0),"")</f>
        <v/>
      </c>
    </row>
    <row r="37" ht="52.59999999999999" customHeight="1">
      <c r="A37" s="67" t="inlineStr">
        <is>
          <t>Bac INFO</t>
        </is>
      </c>
      <c r="B37" s="55">
        <f>IFERROR(VLOOKUP($J$4&amp;"|"&amp;$A$37&amp;"|"&amp;B$4&amp;"|1",Planning!$W:$X,2,0),"")</f>
        <v/>
      </c>
      <c r="C37" s="55">
        <f>IFERROR(VLOOKUP($J$4&amp;"|"&amp;$A$37&amp;"|"&amp;C$4&amp;"|1",Planning!$W:$X,2,0),"")</f>
        <v/>
      </c>
      <c r="D37" s="55">
        <f>IFERROR(VLOOKUP($J$4&amp;"|"&amp;$A$37&amp;"|"&amp;D$4&amp;"|1",Planning!$W:$X,2,0),"")</f>
        <v/>
      </c>
      <c r="E37" s="55">
        <f>IFERROR(VLOOKUP($J$4&amp;"|"&amp;$A$37&amp;"|"&amp;E$4&amp;"|1",Planning!$W:$X,2,0),"")</f>
        <v/>
      </c>
      <c r="F37" s="55">
        <f>IFERROR(VLOOKUP($J$4&amp;"|"&amp;$A$37&amp;"|"&amp;F$4&amp;"|1",Planning!$W:$X,2,0),"")</f>
        <v/>
      </c>
      <c r="G37" s="56">
        <f>IFERROR(VLOOKUP($J$4&amp;"|"&amp;$A$37&amp;"|"&amp;G$4&amp;"|1",Planning!$W:$X,2,0),"")</f>
        <v/>
      </c>
      <c r="H37" s="56">
        <f>IFERROR(VLOOKUP($J$4&amp;"|"&amp;$A$37&amp;"|"&amp;H$4&amp;"|1",Planning!$W:$X,2,0),"")</f>
        <v/>
      </c>
    </row>
  </sheetData>
  <mergeCells count="12">
    <mergeCell ref="A1:H1"/>
    <mergeCell ref="A34:A35"/>
    <mergeCell ref="A17:A18"/>
    <mergeCell ref="A2:H2"/>
    <mergeCell ref="A10:H10"/>
    <mergeCell ref="A29:A30"/>
    <mergeCell ref="A23:A24"/>
    <mergeCell ref="A33:H33"/>
    <mergeCell ref="A5:H5"/>
    <mergeCell ref="A19:A20"/>
    <mergeCell ref="A11:A12"/>
    <mergeCell ref="A22:H22"/>
  </mergeCells>
  <conditionalFormatting sqref="B5:H37">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6">
      <formula>ISNUMBER(SEARCH("◆ PONCTUEL",B5))</formula>
    </cfRule>
    <cfRule type="expression" priority="10" dxfId="17">
      <formula>ISNUMBER(SEARCH("◆ Q-",B5))</formula>
    </cfRule>
    <cfRule type="expression" priority="11" dxfId="1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28 septembre au 4 octobre 2026</oddHeader>
    <oddFooter>&amp;L&amp;8 RS 2026-2027 · S3 (semaine A)&amp;R&amp;8 Page &amp;P / &amp;N</oddFooter>
    <evenHeader/>
    <evenFooter/>
    <firstHeader/>
    <firstFooter/>
  </headerFooter>
  <rowBreaks count="3" manualBreakCount="3">
    <brk id="9" min="0" max="16383" man="1"/>
    <brk id="21" min="0" max="16383" man="1"/>
    <brk id="32" min="0" max="16383" man="1"/>
  </rowBreaks>
</worksheet>
</file>

<file path=xl/worksheets/sheet7.xml><?xml version="1.0" encoding="utf-8"?>
<worksheet xmlns="http://schemas.openxmlformats.org/spreadsheetml/2006/main">
  <sheetPr>
    <tabColor rgb="002F6F7E"/>
    <outlinePr summaryBelow="1" summaryRight="1"/>
    <pageSetUpPr fitToPage="1"/>
  </sheetPr>
  <dimension ref="A1:J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S4 · DU 5 AU 11 OCTOBRE 2026   |   SEMAINE B</t>
        </is>
      </c>
      <c r="B1" s="2" t="n"/>
      <c r="C1" s="2" t="n"/>
      <c r="D1" s="2" t="n"/>
      <c r="E1" s="2" t="n"/>
      <c r="F1" s="2" t="n"/>
      <c r="G1" s="2" t="n"/>
      <c r="H1" s="2" t="n"/>
    </row>
    <row r="2" ht="26" customHeight="1">
      <c r="A2" s="37" t="inlineStr">
        <is>
          <t>Chaque case = une séance : 1re ligne l’horaire, 2e la matière, 3e l’enseignant.   La couleur indique la famille de matières.   ◆ Q-A / ◆ Q-B = séance par quinzaine.   Case grise = aucune séance.   Contenu généré automatiquement depuis la feuille Planning.</t>
        </is>
      </c>
      <c r="B2" s="38" t="n"/>
      <c r="C2" s="38" t="n"/>
      <c r="D2" s="38" t="n"/>
      <c r="E2" s="38" t="n"/>
      <c r="F2" s="38" t="n"/>
      <c r="G2" s="38" t="n"/>
      <c r="H2" s="38" t="n"/>
    </row>
    <row r="3" ht="36" customHeight="1">
      <c r="A3" s="50" t="inlineStr">
        <is>
          <t>Classe / Groupe</t>
        </is>
      </c>
      <c r="B3" s="50" t="inlineStr">
        <is>
          <t>Lundi
05/10</t>
        </is>
      </c>
      <c r="C3" s="50" t="inlineStr">
        <is>
          <t>Mardi
06/10</t>
        </is>
      </c>
      <c r="D3" s="50" t="inlineStr">
        <is>
          <t>Mercredi
07/10</t>
        </is>
      </c>
      <c r="E3" s="50" t="inlineStr">
        <is>
          <t>Jeudi
08/10</t>
        </is>
      </c>
      <c r="F3" s="50" t="inlineStr">
        <is>
          <t>Vendredi
09/10</t>
        </is>
      </c>
      <c r="G3" s="51" t="inlineStr">
        <is>
          <t>Samedi
10/10</t>
        </is>
      </c>
      <c r="H3" s="51" t="inlineStr">
        <is>
          <t>Dimanche
11/10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S4</t>
        </is>
      </c>
    </row>
    <row r="5" ht="21" customHeight="1">
      <c r="A5" s="52" t="inlineStr">
        <is>
          <t>CYCLE PRIMAIRE   (4 classes)</t>
        </is>
      </c>
      <c r="B5" s="53" t="n"/>
      <c r="C5" s="53" t="n"/>
      <c r="D5" s="53" t="n"/>
      <c r="E5" s="53" t="n"/>
      <c r="F5" s="53" t="n"/>
      <c r="G5" s="53" t="n"/>
      <c r="H5" s="53" t="n"/>
    </row>
    <row r="6" ht="52.59999999999999" customHeight="1">
      <c r="A6" s="54" t="inlineStr">
        <is>
          <t>4éme</t>
        </is>
      </c>
      <c r="B6" s="55">
        <f>IFERROR(VLOOKUP($J$4&amp;"|"&amp;$A$6&amp;"|"&amp;B$4&amp;"|1",Planning!$W:$X,2,0),"")</f>
        <v/>
      </c>
      <c r="C6" s="55">
        <f>IFERROR(VLOOKUP($J$4&amp;"|"&amp;$A$6&amp;"|"&amp;C$4&amp;"|1",Planning!$W:$X,2,0),"")</f>
        <v/>
      </c>
      <c r="D6" s="55">
        <f>IFERROR(VLOOKUP($J$4&amp;"|"&amp;$A$6&amp;"|"&amp;D$4&amp;"|1",Planning!$W:$X,2,0),"")</f>
        <v/>
      </c>
      <c r="E6" s="55">
        <f>IFERROR(VLOOKUP($J$4&amp;"|"&amp;$A$6&amp;"|"&amp;E$4&amp;"|1",Planning!$W:$X,2,0),"")</f>
        <v/>
      </c>
      <c r="F6" s="55">
        <f>IFERROR(VLOOKUP($J$4&amp;"|"&amp;$A$6&amp;"|"&amp;F$4&amp;"|1",Planning!$W:$X,2,0),"")</f>
        <v/>
      </c>
      <c r="G6" s="56">
        <f>IFERROR(VLOOKUP($J$4&amp;"|"&amp;$A$6&amp;"|"&amp;G$4&amp;"|1",Planning!$W:$X,2,0),"")</f>
        <v/>
      </c>
      <c r="H6" s="56">
        <f>IFERROR(VLOOKUP($J$4&amp;"|"&amp;$A$6&amp;"|"&amp;H$4&amp;"|1",Planning!$W:$X,2,0),"")</f>
        <v/>
      </c>
    </row>
    <row r="7" ht="52.59999999999999" customHeight="1">
      <c r="A7" s="54" t="inlineStr">
        <is>
          <t>5éme</t>
        </is>
      </c>
      <c r="B7" s="55">
        <f>IFERROR(VLOOKUP($J$4&amp;"|"&amp;$A$7&amp;"|"&amp;B$4&amp;"|1",Planning!$W:$X,2,0),"")</f>
        <v/>
      </c>
      <c r="C7" s="55">
        <f>IFERROR(VLOOKUP($J$4&amp;"|"&amp;$A$7&amp;"|"&amp;C$4&amp;"|1",Planning!$W:$X,2,0),"")</f>
        <v/>
      </c>
      <c r="D7" s="55">
        <f>IFERROR(VLOOKUP($J$4&amp;"|"&amp;$A$7&amp;"|"&amp;D$4&amp;"|1",Planning!$W:$X,2,0),"")</f>
        <v/>
      </c>
      <c r="E7" s="55">
        <f>IFERROR(VLOOKUP($J$4&amp;"|"&amp;$A$7&amp;"|"&amp;E$4&amp;"|1",Planning!$W:$X,2,0),"")</f>
        <v/>
      </c>
      <c r="F7" s="55">
        <f>IFERROR(VLOOKUP($J$4&amp;"|"&amp;$A$7&amp;"|"&amp;F$4&amp;"|1",Planning!$W:$X,2,0),"")</f>
        <v/>
      </c>
      <c r="G7" s="56">
        <f>IFERROR(VLOOKUP($J$4&amp;"|"&amp;$A$7&amp;"|"&amp;G$4&amp;"|1",Planning!$W:$X,2,0),"")</f>
        <v/>
      </c>
      <c r="H7" s="56">
        <f>IFERROR(VLOOKUP($J$4&amp;"|"&amp;$A$7&amp;"|"&amp;H$4&amp;"|1",Planning!$W:$X,2,0),"")</f>
        <v/>
      </c>
    </row>
    <row r="8" ht="52.59999999999999" customHeight="1">
      <c r="A8" s="54" t="inlineStr">
        <is>
          <t>6éme Pilote (A)</t>
        </is>
      </c>
      <c r="B8" s="55">
        <f>IFERROR(VLOOKUP($J$4&amp;"|"&amp;$A$8&amp;"|"&amp;B$4&amp;"|1",Planning!$W:$X,2,0),"")</f>
        <v/>
      </c>
      <c r="C8" s="55">
        <f>IFERROR(VLOOKUP($J$4&amp;"|"&amp;$A$8&amp;"|"&amp;C$4&amp;"|1",Planning!$W:$X,2,0),"")</f>
        <v/>
      </c>
      <c r="D8" s="55">
        <f>IFERROR(VLOOKUP($J$4&amp;"|"&amp;$A$8&amp;"|"&amp;D$4&amp;"|1",Planning!$W:$X,2,0),"")</f>
        <v/>
      </c>
      <c r="E8" s="55">
        <f>IFERROR(VLOOKUP($J$4&amp;"|"&amp;$A$8&amp;"|"&amp;E$4&amp;"|1",Planning!$W:$X,2,0),"")</f>
        <v/>
      </c>
      <c r="F8" s="55">
        <f>IFERROR(VLOOKUP($J$4&amp;"|"&amp;$A$8&amp;"|"&amp;F$4&amp;"|1",Planning!$W:$X,2,0),"")</f>
        <v/>
      </c>
      <c r="G8" s="56">
        <f>IFERROR(VLOOKUP($J$4&amp;"|"&amp;$A$8&amp;"|"&amp;G$4&amp;"|1",Planning!$W:$X,2,0),"")</f>
        <v/>
      </c>
      <c r="H8" s="56">
        <f>IFERROR(VLOOKUP($J$4&amp;"|"&amp;$A$8&amp;"|"&amp;H$4&amp;"|1",Planning!$W:$X,2,0),"")</f>
        <v/>
      </c>
    </row>
    <row r="9" ht="52.59999999999999" customHeight="1">
      <c r="A9" s="54" t="inlineStr">
        <is>
          <t>6éme (B)</t>
        </is>
      </c>
      <c r="B9" s="55">
        <f>IFERROR(VLOOKUP($J$4&amp;"|"&amp;$A$9&amp;"|"&amp;B$4&amp;"|1",Planning!$W:$X,2,0),"")</f>
        <v/>
      </c>
      <c r="C9" s="55">
        <f>IFERROR(VLOOKUP($J$4&amp;"|"&amp;$A$9&amp;"|"&amp;C$4&amp;"|1",Planning!$W:$X,2,0),"")</f>
        <v/>
      </c>
      <c r="D9" s="55">
        <f>IFERROR(VLOOKUP($J$4&amp;"|"&amp;$A$9&amp;"|"&amp;D$4&amp;"|1",Planning!$W:$X,2,0),"")</f>
        <v/>
      </c>
      <c r="E9" s="55">
        <f>IFERROR(VLOOKUP($J$4&amp;"|"&amp;$A$9&amp;"|"&amp;E$4&amp;"|1",Planning!$W:$X,2,0),"")</f>
        <v/>
      </c>
      <c r="F9" s="55">
        <f>IFERROR(VLOOKUP($J$4&amp;"|"&amp;$A$9&amp;"|"&amp;F$4&amp;"|1",Planning!$W:$X,2,0),"")</f>
        <v/>
      </c>
      <c r="G9" s="56">
        <f>IFERROR(VLOOKUP($J$4&amp;"|"&amp;$A$9&amp;"|"&amp;G$4&amp;"|1",Planning!$W:$X,2,0),"")</f>
        <v/>
      </c>
      <c r="H9" s="56">
        <f>IFERROR(VLOOKUP($J$4&amp;"|"&amp;$A$9&amp;"|"&amp;H$4&amp;"|1",Planning!$W:$X,2,0),"")</f>
        <v/>
      </c>
    </row>
    <row r="10" ht="21" customHeight="1">
      <c r="A10" s="57" t="inlineStr">
        <is>
          <t>CYCLE COLLÈGE   (8 classes)</t>
        </is>
      </c>
      <c r="B10" s="58" t="n"/>
      <c r="C10" s="58" t="n"/>
      <c r="D10" s="58" t="n"/>
      <c r="E10" s="58" t="n"/>
      <c r="F10" s="58" t="n"/>
      <c r="G10" s="58" t="n"/>
      <c r="H10" s="58" t="n"/>
    </row>
    <row r="11" ht="52.59999999999999" customHeight="1">
      <c r="A11" s="59" t="inlineStr">
        <is>
          <t>7éme (A)</t>
        </is>
      </c>
      <c r="B11" s="55">
        <f>IFERROR(VLOOKUP($J$4&amp;"|"&amp;$A$11&amp;"|"&amp;B$4&amp;"|1",Planning!$W:$X,2,0),"")</f>
        <v/>
      </c>
      <c r="C11" s="55">
        <f>IFERROR(VLOOKUP($J$4&amp;"|"&amp;$A$11&amp;"|"&amp;C$4&amp;"|1",Planning!$W:$X,2,0),"")</f>
        <v/>
      </c>
      <c r="D11" s="55">
        <f>IFERROR(VLOOKUP($J$4&amp;"|"&amp;$A$11&amp;"|"&amp;D$4&amp;"|1",Planning!$W:$X,2,0),"")</f>
        <v/>
      </c>
      <c r="E11" s="55">
        <f>IFERROR(VLOOKUP($J$4&amp;"|"&amp;$A$11&amp;"|"&amp;E$4&amp;"|1",Planning!$W:$X,2,0),"")</f>
        <v/>
      </c>
      <c r="F11" s="55">
        <f>IFERROR(VLOOKUP($J$4&amp;"|"&amp;$A$11&amp;"|"&amp;F$4&amp;"|1",Planning!$W:$X,2,0),"")</f>
        <v/>
      </c>
      <c r="G11" s="56">
        <f>IFERROR(VLOOKUP($J$4&amp;"|"&amp;$A$11&amp;"|"&amp;G$4&amp;"|1",Planning!$W:$X,2,0),"")</f>
        <v/>
      </c>
      <c r="H11" s="56">
        <f>IFERROR(VLOOKUP($J$4&amp;"|"&amp;$A$11&amp;"|"&amp;H$4&amp;"|1",Planning!$W:$X,2,0),"")</f>
        <v/>
      </c>
    </row>
    <row r="12" ht="52.59999999999999" customHeight="1">
      <c r="A12" s="59" t="inlineStr">
        <is>
          <t>7éme (B)</t>
        </is>
      </c>
      <c r="B12" s="55">
        <f>IFERROR(VLOOKUP($J$4&amp;"|"&amp;$A$12&amp;"|"&amp;B$4&amp;"|1",Planning!$W:$X,2,0),"")</f>
        <v/>
      </c>
      <c r="C12" s="55">
        <f>IFERROR(VLOOKUP($J$4&amp;"|"&amp;$A$12&amp;"|"&amp;C$4&amp;"|1",Planning!$W:$X,2,0),"")</f>
        <v/>
      </c>
      <c r="D12" s="55">
        <f>IFERROR(VLOOKUP($J$4&amp;"|"&amp;$A$12&amp;"|"&amp;D$4&amp;"|1",Planning!$W:$X,2,0),"")</f>
        <v/>
      </c>
      <c r="E12" s="55">
        <f>IFERROR(VLOOKUP($J$4&amp;"|"&amp;$A$12&amp;"|"&amp;E$4&amp;"|1",Planning!$W:$X,2,0),"")</f>
        <v/>
      </c>
      <c r="F12" s="55">
        <f>IFERROR(VLOOKUP($J$4&amp;"|"&amp;$A$12&amp;"|"&amp;F$4&amp;"|1",Planning!$W:$X,2,0),"")</f>
        <v/>
      </c>
      <c r="G12" s="56">
        <f>IFERROR(VLOOKUP($J$4&amp;"|"&amp;$A$12&amp;"|"&amp;G$4&amp;"|1",Planning!$W:$X,2,0),"")</f>
        <v/>
      </c>
      <c r="H12" s="56">
        <f>IFERROR(VLOOKUP($J$4&amp;"|"&amp;$A$12&amp;"|"&amp;H$4&amp;"|1",Planning!$W:$X,2,0),"")</f>
        <v/>
      </c>
    </row>
    <row r="13" ht="52.59999999999999" customHeight="1">
      <c r="A13" s="59" t="inlineStr">
        <is>
          <t>8éme (A)</t>
        </is>
      </c>
      <c r="B13" s="55">
        <f>IFERROR(VLOOKUP($J$4&amp;"|"&amp;$A$13&amp;"|"&amp;B$4&amp;"|1",Planning!$W:$X,2,0),"")</f>
        <v/>
      </c>
      <c r="C13" s="55">
        <f>IFERROR(VLOOKUP($J$4&amp;"|"&amp;$A$13&amp;"|"&amp;C$4&amp;"|1",Planning!$W:$X,2,0),"")</f>
        <v/>
      </c>
      <c r="D13" s="55">
        <f>IFERROR(VLOOKUP($J$4&amp;"|"&amp;$A$13&amp;"|"&amp;D$4&amp;"|1",Planning!$W:$X,2,0),"")</f>
        <v/>
      </c>
      <c r="E13" s="55">
        <f>IFERROR(VLOOKUP($J$4&amp;"|"&amp;$A$13&amp;"|"&amp;E$4&amp;"|1",Planning!$W:$X,2,0),"")</f>
        <v/>
      </c>
      <c r="F13" s="55">
        <f>IFERROR(VLOOKUP($J$4&amp;"|"&amp;$A$13&amp;"|"&amp;F$4&amp;"|1",Planning!$W:$X,2,0),"")</f>
        <v/>
      </c>
      <c r="G13" s="56">
        <f>IFERROR(VLOOKUP($J$4&amp;"|"&amp;$A$13&amp;"|"&amp;G$4&amp;"|1",Planning!$W:$X,2,0),"")</f>
        <v/>
      </c>
      <c r="H13" s="56">
        <f>IFERROR(VLOOKUP($J$4&amp;"|"&amp;$A$13&amp;"|"&amp;H$4&amp;"|1",Planning!$W:$X,2,0),"")</f>
        <v/>
      </c>
    </row>
    <row r="14" ht="52.59999999999999" customHeight="1">
      <c r="A14" s="59" t="inlineStr">
        <is>
          <t>8éme (B)</t>
        </is>
      </c>
      <c r="B14" s="55">
        <f>IFERROR(VLOOKUP($J$4&amp;"|"&amp;$A$14&amp;"|"&amp;B$4&amp;"|1",Planning!$W:$X,2,0),"")</f>
        <v/>
      </c>
      <c r="C14" s="55">
        <f>IFERROR(VLOOKUP($J$4&amp;"|"&amp;$A$14&amp;"|"&amp;C$4&amp;"|1",Planning!$W:$X,2,0),"")</f>
        <v/>
      </c>
      <c r="D14" s="55">
        <f>IFERROR(VLOOKUP($J$4&amp;"|"&amp;$A$14&amp;"|"&amp;D$4&amp;"|1",Planning!$W:$X,2,0),"")</f>
        <v/>
      </c>
      <c r="E14" s="55">
        <f>IFERROR(VLOOKUP($J$4&amp;"|"&amp;$A$14&amp;"|"&amp;E$4&amp;"|1",Planning!$W:$X,2,0),"")</f>
        <v/>
      </c>
      <c r="F14" s="55">
        <f>IFERROR(VLOOKUP($J$4&amp;"|"&amp;$A$14&amp;"|"&amp;F$4&amp;"|1",Planning!$W:$X,2,0),"")</f>
        <v/>
      </c>
      <c r="G14" s="56">
        <f>IFERROR(VLOOKUP($J$4&amp;"|"&amp;$A$14&amp;"|"&amp;G$4&amp;"|1",Planning!$W:$X,2,0),"")</f>
        <v/>
      </c>
      <c r="H14" s="56">
        <f>IFERROR(VLOOKUP($J$4&amp;"|"&amp;$A$14&amp;"|"&amp;H$4&amp;"|1",Planning!$W:$X,2,0),"")</f>
        <v/>
      </c>
    </row>
    <row r="15" ht="52.59999999999999" customHeight="1">
      <c r="A15" s="59" t="inlineStr">
        <is>
          <t>8éme (C)</t>
        </is>
      </c>
      <c r="B15" s="55">
        <f>IFERROR(VLOOKUP($J$4&amp;"|"&amp;$A$15&amp;"|"&amp;B$4&amp;"|1",Planning!$W:$X,2,0),"")</f>
        <v/>
      </c>
      <c r="C15" s="55">
        <f>IFERROR(VLOOKUP($J$4&amp;"|"&amp;$A$15&amp;"|"&amp;C$4&amp;"|1",Planning!$W:$X,2,0),"")</f>
        <v/>
      </c>
      <c r="D15" s="55">
        <f>IFERROR(VLOOKUP($J$4&amp;"|"&amp;$A$15&amp;"|"&amp;D$4&amp;"|1",Planning!$W:$X,2,0),"")</f>
        <v/>
      </c>
      <c r="E15" s="55">
        <f>IFERROR(VLOOKUP($J$4&amp;"|"&amp;$A$15&amp;"|"&amp;E$4&amp;"|1",Planning!$W:$X,2,0),"")</f>
        <v/>
      </c>
      <c r="F15" s="55">
        <f>IFERROR(VLOOKUP($J$4&amp;"|"&amp;$A$15&amp;"|"&amp;F$4&amp;"|1",Planning!$W:$X,2,0),"")</f>
        <v/>
      </c>
      <c r="G15" s="56">
        <f>IFERROR(VLOOKUP($J$4&amp;"|"&amp;$A$15&amp;"|"&amp;G$4&amp;"|1",Planning!$W:$X,2,0),"")</f>
        <v/>
      </c>
      <c r="H15" s="56">
        <f>IFERROR(VLOOKUP($J$4&amp;"|"&amp;$A$15&amp;"|"&amp;H$4&amp;"|1",Planning!$W:$X,2,0),"")</f>
        <v/>
      </c>
    </row>
    <row r="16" ht="52.59999999999999" customHeight="1">
      <c r="A16" s="59" t="inlineStr">
        <is>
          <t>9éme (A)</t>
        </is>
      </c>
      <c r="B16" s="55">
        <f>IFERROR(VLOOKUP($J$4&amp;"|"&amp;$A$16&amp;"|"&amp;B$4&amp;"|1",Planning!$W:$X,2,0),"")</f>
        <v/>
      </c>
      <c r="C16" s="55">
        <f>IFERROR(VLOOKUP($J$4&amp;"|"&amp;$A$16&amp;"|"&amp;C$4&amp;"|1",Planning!$W:$X,2,0),"")</f>
        <v/>
      </c>
      <c r="D16" s="55">
        <f>IFERROR(VLOOKUP($J$4&amp;"|"&amp;$A$16&amp;"|"&amp;D$4&amp;"|1",Planning!$W:$X,2,0),"")</f>
        <v/>
      </c>
      <c r="E16" s="55">
        <f>IFERROR(VLOOKUP($J$4&amp;"|"&amp;$A$16&amp;"|"&amp;E$4&amp;"|1",Planning!$W:$X,2,0),"")</f>
        <v/>
      </c>
      <c r="F16" s="55">
        <f>IFERROR(VLOOKUP($J$4&amp;"|"&amp;$A$16&amp;"|"&amp;F$4&amp;"|1",Planning!$W:$X,2,0),"")</f>
        <v/>
      </c>
      <c r="G16" s="56">
        <f>IFERROR(VLOOKUP($J$4&amp;"|"&amp;$A$16&amp;"|"&amp;G$4&amp;"|1",Planning!$W:$X,2,0),"")</f>
        <v/>
      </c>
      <c r="H16" s="56">
        <f>IFERROR(VLOOKUP($J$4&amp;"|"&amp;$A$16&amp;"|"&amp;H$4&amp;"|1",Planning!$W:$X,2,0),"")</f>
        <v/>
      </c>
    </row>
    <row r="17" ht="52.59999999999999" customHeight="1">
      <c r="A17" s="60" t="n"/>
      <c r="B17" s="55">
        <f>IFERROR(VLOOKUP($J$4&amp;"|"&amp;$A$16&amp;"|"&amp;B$4&amp;"|2",Planning!$W:$X,2,0),"")</f>
        <v/>
      </c>
      <c r="C17" s="55">
        <f>IFERROR(VLOOKUP($J$4&amp;"|"&amp;$A$16&amp;"|"&amp;C$4&amp;"|2",Planning!$W:$X,2,0),"")</f>
        <v/>
      </c>
      <c r="D17" s="55">
        <f>IFERROR(VLOOKUP($J$4&amp;"|"&amp;$A$16&amp;"|"&amp;D$4&amp;"|2",Planning!$W:$X,2,0),"")</f>
        <v/>
      </c>
      <c r="E17" s="55">
        <f>IFERROR(VLOOKUP($J$4&amp;"|"&amp;$A$16&amp;"|"&amp;E$4&amp;"|2",Planning!$W:$X,2,0),"")</f>
        <v/>
      </c>
      <c r="F17" s="55">
        <f>IFERROR(VLOOKUP($J$4&amp;"|"&amp;$A$16&amp;"|"&amp;F$4&amp;"|2",Planning!$W:$X,2,0),"")</f>
        <v/>
      </c>
      <c r="G17" s="56">
        <f>IFERROR(VLOOKUP($J$4&amp;"|"&amp;$A$16&amp;"|"&amp;G$4&amp;"|2",Planning!$W:$X,2,0),"")</f>
        <v/>
      </c>
      <c r="H17" s="56">
        <f>IFERROR(VLOOKUP($J$4&amp;"|"&amp;$A$16&amp;"|"&amp;H$4&amp;"|2",Planning!$W:$X,2,0),"")</f>
        <v/>
      </c>
    </row>
    <row r="18" ht="52.59999999999999" customHeight="1">
      <c r="A18" s="59" t="inlineStr">
        <is>
          <t>9éme (B)</t>
        </is>
      </c>
      <c r="B18" s="55">
        <f>IFERROR(VLOOKUP($J$4&amp;"|"&amp;$A$18&amp;"|"&amp;B$4&amp;"|1",Planning!$W:$X,2,0),"")</f>
        <v/>
      </c>
      <c r="C18" s="55">
        <f>IFERROR(VLOOKUP($J$4&amp;"|"&amp;$A$18&amp;"|"&amp;C$4&amp;"|1",Planning!$W:$X,2,0),"")</f>
        <v/>
      </c>
      <c r="D18" s="55">
        <f>IFERROR(VLOOKUP($J$4&amp;"|"&amp;$A$18&amp;"|"&amp;D$4&amp;"|1",Planning!$W:$X,2,0),"")</f>
        <v/>
      </c>
      <c r="E18" s="55">
        <f>IFERROR(VLOOKUP($J$4&amp;"|"&amp;$A$18&amp;"|"&amp;E$4&amp;"|1",Planning!$W:$X,2,0),"")</f>
        <v/>
      </c>
      <c r="F18" s="55">
        <f>IFERROR(VLOOKUP($J$4&amp;"|"&amp;$A$18&amp;"|"&amp;F$4&amp;"|1",Planning!$W:$X,2,0),"")</f>
        <v/>
      </c>
      <c r="G18" s="56">
        <f>IFERROR(VLOOKUP($J$4&amp;"|"&amp;$A$18&amp;"|"&amp;G$4&amp;"|1",Planning!$W:$X,2,0),"")</f>
        <v/>
      </c>
      <c r="H18" s="56">
        <f>IFERROR(VLOOKUP($J$4&amp;"|"&amp;$A$18&amp;"|"&amp;H$4&amp;"|1",Planning!$W:$X,2,0),"")</f>
        <v/>
      </c>
    </row>
    <row r="19" ht="52.59999999999999" customHeight="1">
      <c r="A19" s="60" t="n"/>
      <c r="B19" s="55">
        <f>IFERROR(VLOOKUP($J$4&amp;"|"&amp;$A$18&amp;"|"&amp;B$4&amp;"|2",Planning!$W:$X,2,0),"")</f>
        <v/>
      </c>
      <c r="C19" s="55">
        <f>IFERROR(VLOOKUP($J$4&amp;"|"&amp;$A$18&amp;"|"&amp;C$4&amp;"|2",Planning!$W:$X,2,0),"")</f>
        <v/>
      </c>
      <c r="D19" s="55">
        <f>IFERROR(VLOOKUP($J$4&amp;"|"&amp;$A$18&amp;"|"&amp;D$4&amp;"|2",Planning!$W:$X,2,0),"")</f>
        <v/>
      </c>
      <c r="E19" s="55">
        <f>IFERROR(VLOOKUP($J$4&amp;"|"&amp;$A$18&amp;"|"&amp;E$4&amp;"|2",Planning!$W:$X,2,0),"")</f>
        <v/>
      </c>
      <c r="F19" s="55">
        <f>IFERROR(VLOOKUP($J$4&amp;"|"&amp;$A$18&amp;"|"&amp;F$4&amp;"|2",Planning!$W:$X,2,0),"")</f>
        <v/>
      </c>
      <c r="G19" s="56">
        <f>IFERROR(VLOOKUP($J$4&amp;"|"&amp;$A$18&amp;"|"&amp;G$4&amp;"|2",Planning!$W:$X,2,0),"")</f>
        <v/>
      </c>
      <c r="H19" s="56">
        <f>IFERROR(VLOOKUP($J$4&amp;"|"&amp;$A$18&amp;"|"&amp;H$4&amp;"|2",Planning!$W:$X,2,0),"")</f>
        <v/>
      </c>
    </row>
    <row r="20" ht="52.59999999999999" customHeight="1">
      <c r="A20" s="59" t="inlineStr">
        <is>
          <t>9éme (C)</t>
        </is>
      </c>
      <c r="B20" s="55">
        <f>IFERROR(VLOOKUP($J$4&amp;"|"&amp;$A$20&amp;"|"&amp;B$4&amp;"|1",Planning!$W:$X,2,0),"")</f>
        <v/>
      </c>
      <c r="C20" s="55">
        <f>IFERROR(VLOOKUP($J$4&amp;"|"&amp;$A$20&amp;"|"&amp;C$4&amp;"|1",Planning!$W:$X,2,0),"")</f>
        <v/>
      </c>
      <c r="D20" s="55">
        <f>IFERROR(VLOOKUP($J$4&amp;"|"&amp;$A$20&amp;"|"&amp;D$4&amp;"|1",Planning!$W:$X,2,0),"")</f>
        <v/>
      </c>
      <c r="E20" s="55">
        <f>IFERROR(VLOOKUP($J$4&amp;"|"&amp;$A$20&amp;"|"&amp;E$4&amp;"|1",Planning!$W:$X,2,0),"")</f>
        <v/>
      </c>
      <c r="F20" s="55">
        <f>IFERROR(VLOOKUP($J$4&amp;"|"&amp;$A$20&amp;"|"&amp;F$4&amp;"|1",Planning!$W:$X,2,0),"")</f>
        <v/>
      </c>
      <c r="G20" s="56">
        <f>IFERROR(VLOOKUP($J$4&amp;"|"&amp;$A$20&amp;"|"&amp;G$4&amp;"|1",Planning!$W:$X,2,0),"")</f>
        <v/>
      </c>
      <c r="H20" s="56">
        <f>IFERROR(VLOOKUP($J$4&amp;"|"&amp;$A$20&amp;"|"&amp;H$4&amp;"|1",Planning!$W:$X,2,0),"")</f>
        <v/>
      </c>
    </row>
    <row r="21" ht="21" customHeight="1">
      <c r="A21" s="61" t="inlineStr">
        <is>
          <t>CYCLE SECONDAIRE   (8 classes)</t>
        </is>
      </c>
      <c r="B21" s="62" t="n"/>
      <c r="C21" s="62" t="n"/>
      <c r="D21" s="62" t="n"/>
      <c r="E21" s="62" t="n"/>
      <c r="F21" s="62" t="n"/>
      <c r="G21" s="62" t="n"/>
      <c r="H21" s="62" t="n"/>
    </row>
    <row r="22" ht="52.59999999999999" customHeight="1">
      <c r="A22" s="63" t="inlineStr">
        <is>
          <t>1ére (A)</t>
        </is>
      </c>
      <c r="B22" s="55">
        <f>IFERROR(VLOOKUP($J$4&amp;"|"&amp;$A$22&amp;"|"&amp;B$4&amp;"|1",Planning!$W:$X,2,0),"")</f>
        <v/>
      </c>
      <c r="C22" s="55">
        <f>IFERROR(VLOOKUP($J$4&amp;"|"&amp;$A$22&amp;"|"&amp;C$4&amp;"|1",Planning!$W:$X,2,0),"")</f>
        <v/>
      </c>
      <c r="D22" s="55">
        <f>IFERROR(VLOOKUP($J$4&amp;"|"&amp;$A$22&amp;"|"&amp;D$4&amp;"|1",Planning!$W:$X,2,0),"")</f>
        <v/>
      </c>
      <c r="E22" s="55">
        <f>IFERROR(VLOOKUP($J$4&amp;"|"&amp;$A$22&amp;"|"&amp;E$4&amp;"|1",Planning!$W:$X,2,0),"")</f>
        <v/>
      </c>
      <c r="F22" s="55">
        <f>IFERROR(VLOOKUP($J$4&amp;"|"&amp;$A$22&amp;"|"&amp;F$4&amp;"|1",Planning!$W:$X,2,0),"")</f>
        <v/>
      </c>
      <c r="G22" s="56">
        <f>IFERROR(VLOOKUP($J$4&amp;"|"&amp;$A$22&amp;"|"&amp;G$4&amp;"|1",Planning!$W:$X,2,0),"")</f>
        <v/>
      </c>
      <c r="H22" s="56">
        <f>IFERROR(VLOOKUP($J$4&amp;"|"&amp;$A$22&amp;"|"&amp;H$4&amp;"|1",Planning!$W:$X,2,0),"")</f>
        <v/>
      </c>
    </row>
    <row r="23" ht="52.59999999999999" customHeight="1">
      <c r="A23" s="63" t="inlineStr">
        <is>
          <t>1ére (B)</t>
        </is>
      </c>
      <c r="B23" s="55">
        <f>IFERROR(VLOOKUP($J$4&amp;"|"&amp;$A$23&amp;"|"&amp;B$4&amp;"|1",Planning!$W:$X,2,0),"")</f>
        <v/>
      </c>
      <c r="C23" s="55">
        <f>IFERROR(VLOOKUP($J$4&amp;"|"&amp;$A$23&amp;"|"&amp;C$4&amp;"|1",Planning!$W:$X,2,0),"")</f>
        <v/>
      </c>
      <c r="D23" s="55">
        <f>IFERROR(VLOOKUP($J$4&amp;"|"&amp;$A$23&amp;"|"&amp;D$4&amp;"|1",Planning!$W:$X,2,0),"")</f>
        <v/>
      </c>
      <c r="E23" s="55">
        <f>IFERROR(VLOOKUP($J$4&amp;"|"&amp;$A$23&amp;"|"&amp;E$4&amp;"|1",Planning!$W:$X,2,0),"")</f>
        <v/>
      </c>
      <c r="F23" s="55">
        <f>IFERROR(VLOOKUP($J$4&amp;"|"&amp;$A$23&amp;"|"&amp;F$4&amp;"|1",Planning!$W:$X,2,0),"")</f>
        <v/>
      </c>
      <c r="G23" s="56">
        <f>IFERROR(VLOOKUP($J$4&amp;"|"&amp;$A$23&amp;"|"&amp;G$4&amp;"|1",Planning!$W:$X,2,0),"")</f>
        <v/>
      </c>
      <c r="H23" s="56">
        <f>IFERROR(VLOOKUP($J$4&amp;"|"&amp;$A$23&amp;"|"&amp;H$4&amp;"|1",Planning!$W:$X,2,0),"")</f>
        <v/>
      </c>
    </row>
    <row r="24" ht="52.59999999999999" customHeight="1">
      <c r="A24" s="64" t="n"/>
      <c r="B24" s="55">
        <f>IFERROR(VLOOKUP($J$4&amp;"|"&amp;$A$23&amp;"|"&amp;B$4&amp;"|2",Planning!$W:$X,2,0),"")</f>
        <v/>
      </c>
      <c r="C24" s="55">
        <f>IFERROR(VLOOKUP($J$4&amp;"|"&amp;$A$23&amp;"|"&amp;C$4&amp;"|2",Planning!$W:$X,2,0),"")</f>
        <v/>
      </c>
      <c r="D24" s="55">
        <f>IFERROR(VLOOKUP($J$4&amp;"|"&amp;$A$23&amp;"|"&amp;D$4&amp;"|2",Planning!$W:$X,2,0),"")</f>
        <v/>
      </c>
      <c r="E24" s="55">
        <f>IFERROR(VLOOKUP($J$4&amp;"|"&amp;$A$23&amp;"|"&amp;E$4&amp;"|2",Planning!$W:$X,2,0),"")</f>
        <v/>
      </c>
      <c r="F24" s="55">
        <f>IFERROR(VLOOKUP($J$4&amp;"|"&amp;$A$23&amp;"|"&amp;F$4&amp;"|2",Planning!$W:$X,2,0),"")</f>
        <v/>
      </c>
      <c r="G24" s="56">
        <f>IFERROR(VLOOKUP($J$4&amp;"|"&amp;$A$23&amp;"|"&amp;G$4&amp;"|2",Planning!$W:$X,2,0),"")</f>
        <v/>
      </c>
      <c r="H24" s="56">
        <f>IFERROR(VLOOKUP($J$4&amp;"|"&amp;$A$23&amp;"|"&amp;H$4&amp;"|2",Planning!$W:$X,2,0),"")</f>
        <v/>
      </c>
    </row>
    <row r="25" ht="52.59999999999999" customHeight="1">
      <c r="A25" s="63" t="inlineStr">
        <is>
          <t>2éme Eco</t>
        </is>
      </c>
      <c r="B25" s="55">
        <f>IFERROR(VLOOKUP($J$4&amp;"|"&amp;$A$25&amp;"|"&amp;B$4&amp;"|1",Planning!$W:$X,2,0),"")</f>
        <v/>
      </c>
      <c r="C25" s="55">
        <f>IFERROR(VLOOKUP($J$4&amp;"|"&amp;$A$25&amp;"|"&amp;C$4&amp;"|1",Planning!$W:$X,2,0),"")</f>
        <v/>
      </c>
      <c r="D25" s="55">
        <f>IFERROR(VLOOKUP($J$4&amp;"|"&amp;$A$25&amp;"|"&amp;D$4&amp;"|1",Planning!$W:$X,2,0),"")</f>
        <v/>
      </c>
      <c r="E25" s="55">
        <f>IFERROR(VLOOKUP($J$4&amp;"|"&amp;$A$25&amp;"|"&amp;E$4&amp;"|1",Planning!$W:$X,2,0),"")</f>
        <v/>
      </c>
      <c r="F25" s="55">
        <f>IFERROR(VLOOKUP($J$4&amp;"|"&amp;$A$25&amp;"|"&amp;F$4&amp;"|1",Planning!$W:$X,2,0),"")</f>
        <v/>
      </c>
      <c r="G25" s="56">
        <f>IFERROR(VLOOKUP($J$4&amp;"|"&amp;$A$25&amp;"|"&amp;G$4&amp;"|1",Planning!$W:$X,2,0),"")</f>
        <v/>
      </c>
      <c r="H25" s="56">
        <f>IFERROR(VLOOKUP($J$4&amp;"|"&amp;$A$25&amp;"|"&amp;H$4&amp;"|1",Planning!$W:$X,2,0),"")</f>
        <v/>
      </c>
    </row>
    <row r="26" ht="52.59999999999999" customHeight="1">
      <c r="A26" s="63" t="inlineStr">
        <is>
          <t>2éme SCE</t>
        </is>
      </c>
      <c r="B26" s="55">
        <f>IFERROR(VLOOKUP($J$4&amp;"|"&amp;$A$26&amp;"|"&amp;B$4&amp;"|1",Planning!$W:$X,2,0),"")</f>
        <v/>
      </c>
      <c r="C26" s="55">
        <f>IFERROR(VLOOKUP($J$4&amp;"|"&amp;$A$26&amp;"|"&amp;C$4&amp;"|1",Planning!$W:$X,2,0),"")</f>
        <v/>
      </c>
      <c r="D26" s="55">
        <f>IFERROR(VLOOKUP($J$4&amp;"|"&amp;$A$26&amp;"|"&amp;D$4&amp;"|1",Planning!$W:$X,2,0),"")</f>
        <v/>
      </c>
      <c r="E26" s="55">
        <f>IFERROR(VLOOKUP($J$4&amp;"|"&amp;$A$26&amp;"|"&amp;E$4&amp;"|1",Planning!$W:$X,2,0),"")</f>
        <v/>
      </c>
      <c r="F26" s="55">
        <f>IFERROR(VLOOKUP($J$4&amp;"|"&amp;$A$26&amp;"|"&amp;F$4&amp;"|1",Planning!$W:$X,2,0),"")</f>
        <v/>
      </c>
      <c r="G26" s="56">
        <f>IFERROR(VLOOKUP($J$4&amp;"|"&amp;$A$26&amp;"|"&amp;G$4&amp;"|1",Planning!$W:$X,2,0),"")</f>
        <v/>
      </c>
      <c r="H26" s="56">
        <f>IFERROR(VLOOKUP($J$4&amp;"|"&amp;$A$26&amp;"|"&amp;H$4&amp;"|1",Planning!$W:$X,2,0),"")</f>
        <v/>
      </c>
    </row>
    <row r="27" ht="52.59999999999999" customHeight="1">
      <c r="A27" s="63" t="inlineStr">
        <is>
          <t>2éme INFO</t>
        </is>
      </c>
      <c r="B27" s="55">
        <f>IFERROR(VLOOKUP($J$4&amp;"|"&amp;$A$27&amp;"|"&amp;B$4&amp;"|1",Planning!$W:$X,2,0),"")</f>
        <v/>
      </c>
      <c r="C27" s="55">
        <f>IFERROR(VLOOKUP($J$4&amp;"|"&amp;$A$27&amp;"|"&amp;C$4&amp;"|1",Planning!$W:$X,2,0),"")</f>
        <v/>
      </c>
      <c r="D27" s="55">
        <f>IFERROR(VLOOKUP($J$4&amp;"|"&amp;$A$27&amp;"|"&amp;D$4&amp;"|1",Planning!$W:$X,2,0),"")</f>
        <v/>
      </c>
      <c r="E27" s="55">
        <f>IFERROR(VLOOKUP($J$4&amp;"|"&amp;$A$27&amp;"|"&amp;E$4&amp;"|1",Planning!$W:$X,2,0),"")</f>
        <v/>
      </c>
      <c r="F27" s="55">
        <f>IFERROR(VLOOKUP($J$4&amp;"|"&amp;$A$27&amp;"|"&amp;F$4&amp;"|1",Planning!$W:$X,2,0),"")</f>
        <v/>
      </c>
      <c r="G27" s="56">
        <f>IFERROR(VLOOKUP($J$4&amp;"|"&amp;$A$27&amp;"|"&amp;G$4&amp;"|1",Planning!$W:$X,2,0),"")</f>
        <v/>
      </c>
      <c r="H27" s="56">
        <f>IFERROR(VLOOKUP($J$4&amp;"|"&amp;$A$27&amp;"|"&amp;H$4&amp;"|1",Planning!$W:$X,2,0),"")</f>
        <v/>
      </c>
    </row>
    <row r="28" ht="52.59999999999999" customHeight="1">
      <c r="A28" s="63" t="inlineStr">
        <is>
          <t>3éme Eco</t>
        </is>
      </c>
      <c r="B28" s="55">
        <f>IFERROR(VLOOKUP($J$4&amp;"|"&amp;$A$28&amp;"|"&amp;B$4&amp;"|1",Planning!$W:$X,2,0),"")</f>
        <v/>
      </c>
      <c r="C28" s="55">
        <f>IFERROR(VLOOKUP($J$4&amp;"|"&amp;$A$28&amp;"|"&amp;C$4&amp;"|1",Planning!$W:$X,2,0),"")</f>
        <v/>
      </c>
      <c r="D28" s="55">
        <f>IFERROR(VLOOKUP($J$4&amp;"|"&amp;$A$28&amp;"|"&amp;D$4&amp;"|1",Planning!$W:$X,2,0),"")</f>
        <v/>
      </c>
      <c r="E28" s="55">
        <f>IFERROR(VLOOKUP($J$4&amp;"|"&amp;$A$28&amp;"|"&amp;E$4&amp;"|1",Planning!$W:$X,2,0),"")</f>
        <v/>
      </c>
      <c r="F28" s="55">
        <f>IFERROR(VLOOKUP($J$4&amp;"|"&amp;$A$28&amp;"|"&amp;F$4&amp;"|1",Planning!$W:$X,2,0),"")</f>
        <v/>
      </c>
      <c r="G28" s="56">
        <f>IFERROR(VLOOKUP($J$4&amp;"|"&amp;$A$28&amp;"|"&amp;G$4&amp;"|1",Planning!$W:$X,2,0),"")</f>
        <v/>
      </c>
      <c r="H28" s="56">
        <f>IFERROR(VLOOKUP($J$4&amp;"|"&amp;$A$28&amp;"|"&amp;H$4&amp;"|1",Planning!$W:$X,2,0),"")</f>
        <v/>
      </c>
    </row>
    <row r="29" ht="52.59999999999999" customHeight="1">
      <c r="A29" s="64" t="n"/>
      <c r="B29" s="55">
        <f>IFERROR(VLOOKUP($J$4&amp;"|"&amp;$A$28&amp;"|"&amp;B$4&amp;"|2",Planning!$W:$X,2,0),"")</f>
        <v/>
      </c>
      <c r="C29" s="55">
        <f>IFERROR(VLOOKUP($J$4&amp;"|"&amp;$A$28&amp;"|"&amp;C$4&amp;"|2",Planning!$W:$X,2,0),"")</f>
        <v/>
      </c>
      <c r="D29" s="55">
        <f>IFERROR(VLOOKUP($J$4&amp;"|"&amp;$A$28&amp;"|"&amp;D$4&amp;"|2",Planning!$W:$X,2,0),"")</f>
        <v/>
      </c>
      <c r="E29" s="55">
        <f>IFERROR(VLOOKUP($J$4&amp;"|"&amp;$A$28&amp;"|"&amp;E$4&amp;"|2",Planning!$W:$X,2,0),"")</f>
        <v/>
      </c>
      <c r="F29" s="55">
        <f>IFERROR(VLOOKUP($J$4&amp;"|"&amp;$A$28&amp;"|"&amp;F$4&amp;"|2",Planning!$W:$X,2,0),"")</f>
        <v/>
      </c>
      <c r="G29" s="56">
        <f>IFERROR(VLOOKUP($J$4&amp;"|"&amp;$A$28&amp;"|"&amp;G$4&amp;"|2",Planning!$W:$X,2,0),"")</f>
        <v/>
      </c>
      <c r="H29" s="56">
        <f>IFERROR(VLOOKUP($J$4&amp;"|"&amp;$A$28&amp;"|"&amp;H$4&amp;"|2",Planning!$W:$X,2,0),"")</f>
        <v/>
      </c>
    </row>
    <row r="30" ht="52.59999999999999" customHeight="1">
      <c r="A30" s="63" t="inlineStr">
        <is>
          <t>3éme INFO</t>
        </is>
      </c>
      <c r="B30" s="55">
        <f>IFERROR(VLOOKUP($J$4&amp;"|"&amp;$A$30&amp;"|"&amp;B$4&amp;"|1",Planning!$W:$X,2,0),"")</f>
        <v/>
      </c>
      <c r="C30" s="55">
        <f>IFERROR(VLOOKUP($J$4&amp;"|"&amp;$A$30&amp;"|"&amp;C$4&amp;"|1",Planning!$W:$X,2,0),"")</f>
        <v/>
      </c>
      <c r="D30" s="55">
        <f>IFERROR(VLOOKUP($J$4&amp;"|"&amp;$A$30&amp;"|"&amp;D$4&amp;"|1",Planning!$W:$X,2,0),"")</f>
        <v/>
      </c>
      <c r="E30" s="55">
        <f>IFERROR(VLOOKUP($J$4&amp;"|"&amp;$A$30&amp;"|"&amp;E$4&amp;"|1",Planning!$W:$X,2,0),"")</f>
        <v/>
      </c>
      <c r="F30" s="55">
        <f>IFERROR(VLOOKUP($J$4&amp;"|"&amp;$A$30&amp;"|"&amp;F$4&amp;"|1",Planning!$W:$X,2,0),"")</f>
        <v/>
      </c>
      <c r="G30" s="56">
        <f>IFERROR(VLOOKUP($J$4&amp;"|"&amp;$A$30&amp;"|"&amp;G$4&amp;"|1",Planning!$W:$X,2,0),"")</f>
        <v/>
      </c>
      <c r="H30" s="56">
        <f>IFERROR(VLOOKUP($J$4&amp;"|"&amp;$A$30&amp;"|"&amp;H$4&amp;"|1",Planning!$W:$X,2,0),"")</f>
        <v/>
      </c>
    </row>
    <row r="31" ht="52.59999999999999" customHeight="1">
      <c r="A31" s="63" t="inlineStr">
        <is>
          <t>3éme SCE</t>
        </is>
      </c>
      <c r="B31" s="55">
        <f>IFERROR(VLOOKUP($J$4&amp;"|"&amp;$A$31&amp;"|"&amp;B$4&amp;"|1",Planning!$W:$X,2,0),"")</f>
        <v/>
      </c>
      <c r="C31" s="55">
        <f>IFERROR(VLOOKUP($J$4&amp;"|"&amp;$A$31&amp;"|"&amp;C$4&amp;"|1",Planning!$W:$X,2,0),"")</f>
        <v/>
      </c>
      <c r="D31" s="55">
        <f>IFERROR(VLOOKUP($J$4&amp;"|"&amp;$A$31&amp;"|"&amp;D$4&amp;"|1",Planning!$W:$X,2,0),"")</f>
        <v/>
      </c>
      <c r="E31" s="55">
        <f>IFERROR(VLOOKUP($J$4&amp;"|"&amp;$A$31&amp;"|"&amp;E$4&amp;"|1",Planning!$W:$X,2,0),"")</f>
        <v/>
      </c>
      <c r="F31" s="55">
        <f>IFERROR(VLOOKUP($J$4&amp;"|"&amp;$A$31&amp;"|"&amp;F$4&amp;"|1",Planning!$W:$X,2,0),"")</f>
        <v/>
      </c>
      <c r="G31" s="56">
        <f>IFERROR(VLOOKUP($J$4&amp;"|"&amp;$A$31&amp;"|"&amp;G$4&amp;"|1",Planning!$W:$X,2,0),"")</f>
        <v/>
      </c>
      <c r="H31" s="56">
        <f>IFERROR(VLOOKUP($J$4&amp;"|"&amp;$A$31&amp;"|"&amp;H$4&amp;"|1",Planning!$W:$X,2,0),"")</f>
        <v/>
      </c>
    </row>
    <row r="32" ht="21" customHeight="1">
      <c r="A32" s="65" t="inlineStr">
        <is>
          <t>CYCLE BAC   (3 classes)</t>
        </is>
      </c>
      <c r="B32" s="66" t="n"/>
      <c r="C32" s="66" t="n"/>
      <c r="D32" s="66" t="n"/>
      <c r="E32" s="66" t="n"/>
      <c r="F32" s="66" t="n"/>
      <c r="G32" s="66" t="n"/>
      <c r="H32" s="66" t="n"/>
    </row>
    <row r="33" ht="52.59999999999999" customHeight="1">
      <c r="A33" s="67" t="inlineStr">
        <is>
          <t>Bac Eco</t>
        </is>
      </c>
      <c r="B33" s="55">
        <f>IFERROR(VLOOKUP($J$4&amp;"|"&amp;$A$33&amp;"|"&amp;B$4&amp;"|1",Planning!$W:$X,2,0),"")</f>
        <v/>
      </c>
      <c r="C33" s="55">
        <f>IFERROR(VLOOKUP($J$4&amp;"|"&amp;$A$33&amp;"|"&amp;C$4&amp;"|1",Planning!$W:$X,2,0),"")</f>
        <v/>
      </c>
      <c r="D33" s="55">
        <f>IFERROR(VLOOKUP($J$4&amp;"|"&amp;$A$33&amp;"|"&amp;D$4&amp;"|1",Planning!$W:$X,2,0),"")</f>
        <v/>
      </c>
      <c r="E33" s="55">
        <f>IFERROR(VLOOKUP($J$4&amp;"|"&amp;$A$33&amp;"|"&amp;E$4&amp;"|1",Planning!$W:$X,2,0),"")</f>
        <v/>
      </c>
      <c r="F33" s="55">
        <f>IFERROR(VLOOKUP($J$4&amp;"|"&amp;$A$33&amp;"|"&amp;F$4&amp;"|1",Planning!$W:$X,2,0),"")</f>
        <v/>
      </c>
      <c r="G33" s="56">
        <f>IFERROR(VLOOKUP($J$4&amp;"|"&amp;$A$33&amp;"|"&amp;G$4&amp;"|1",Planning!$W:$X,2,0),"")</f>
        <v/>
      </c>
      <c r="H33" s="56">
        <f>IFERROR(VLOOKUP($J$4&amp;"|"&amp;$A$33&amp;"|"&amp;H$4&amp;"|1",Planning!$W:$X,2,0),"")</f>
        <v/>
      </c>
    </row>
    <row r="34" ht="52.59999999999999" customHeight="1">
      <c r="A34" s="68" t="n"/>
      <c r="B34" s="55">
        <f>IFERROR(VLOOKUP($J$4&amp;"|"&amp;$A$33&amp;"|"&amp;B$4&amp;"|2",Planning!$W:$X,2,0),"")</f>
        <v/>
      </c>
      <c r="C34" s="55">
        <f>IFERROR(VLOOKUP($J$4&amp;"|"&amp;$A$33&amp;"|"&amp;C$4&amp;"|2",Planning!$W:$X,2,0),"")</f>
        <v/>
      </c>
      <c r="D34" s="55">
        <f>IFERROR(VLOOKUP($J$4&amp;"|"&amp;$A$33&amp;"|"&amp;D$4&amp;"|2",Planning!$W:$X,2,0),"")</f>
        <v/>
      </c>
      <c r="E34" s="55">
        <f>IFERROR(VLOOKUP($J$4&amp;"|"&amp;$A$33&amp;"|"&amp;E$4&amp;"|2",Planning!$W:$X,2,0),"")</f>
        <v/>
      </c>
      <c r="F34" s="55">
        <f>IFERROR(VLOOKUP($J$4&amp;"|"&amp;$A$33&amp;"|"&amp;F$4&amp;"|2",Planning!$W:$X,2,0),"")</f>
        <v/>
      </c>
      <c r="G34" s="56">
        <f>IFERROR(VLOOKUP($J$4&amp;"|"&amp;$A$33&amp;"|"&amp;G$4&amp;"|2",Planning!$W:$X,2,0),"")</f>
        <v/>
      </c>
      <c r="H34" s="56">
        <f>IFERROR(VLOOKUP($J$4&amp;"|"&amp;$A$33&amp;"|"&amp;H$4&amp;"|2",Planning!$W:$X,2,0),"")</f>
        <v/>
      </c>
    </row>
    <row r="35" ht="52.59999999999999" customHeight="1">
      <c r="A35" s="67" t="inlineStr">
        <is>
          <t>Bac SCE</t>
        </is>
      </c>
      <c r="B35" s="55">
        <f>IFERROR(VLOOKUP($J$4&amp;"|"&amp;$A$35&amp;"|"&amp;B$4&amp;"|1",Planning!$W:$X,2,0),"")</f>
        <v/>
      </c>
      <c r="C35" s="55">
        <f>IFERROR(VLOOKUP($J$4&amp;"|"&amp;$A$35&amp;"|"&amp;C$4&amp;"|1",Planning!$W:$X,2,0),"")</f>
        <v/>
      </c>
      <c r="D35" s="55">
        <f>IFERROR(VLOOKUP($J$4&amp;"|"&amp;$A$35&amp;"|"&amp;D$4&amp;"|1",Planning!$W:$X,2,0),"")</f>
        <v/>
      </c>
      <c r="E35" s="55">
        <f>IFERROR(VLOOKUP($J$4&amp;"|"&amp;$A$35&amp;"|"&amp;E$4&amp;"|1",Planning!$W:$X,2,0),"")</f>
        <v/>
      </c>
      <c r="F35" s="55">
        <f>IFERROR(VLOOKUP($J$4&amp;"|"&amp;$A$35&amp;"|"&amp;F$4&amp;"|1",Planning!$W:$X,2,0),"")</f>
        <v/>
      </c>
      <c r="G35" s="56">
        <f>IFERROR(VLOOKUP($J$4&amp;"|"&amp;$A$35&amp;"|"&amp;G$4&amp;"|1",Planning!$W:$X,2,0),"")</f>
        <v/>
      </c>
      <c r="H35" s="56">
        <f>IFERROR(VLOOKUP($J$4&amp;"|"&amp;$A$35&amp;"|"&amp;H$4&amp;"|1",Planning!$W:$X,2,0),"")</f>
        <v/>
      </c>
    </row>
    <row r="36" ht="52.59999999999999" customHeight="1">
      <c r="A36" s="67" t="inlineStr">
        <is>
          <t>Bac INFO</t>
        </is>
      </c>
      <c r="B36" s="55">
        <f>IFERROR(VLOOKUP($J$4&amp;"|"&amp;$A$36&amp;"|"&amp;B$4&amp;"|1",Planning!$W:$X,2,0),"")</f>
        <v/>
      </c>
      <c r="C36" s="55">
        <f>IFERROR(VLOOKUP($J$4&amp;"|"&amp;$A$36&amp;"|"&amp;C$4&amp;"|1",Planning!$W:$X,2,0),"")</f>
        <v/>
      </c>
      <c r="D36" s="55">
        <f>IFERROR(VLOOKUP($J$4&amp;"|"&amp;$A$36&amp;"|"&amp;D$4&amp;"|1",Planning!$W:$X,2,0),"")</f>
        <v/>
      </c>
      <c r="E36" s="55">
        <f>IFERROR(VLOOKUP($J$4&amp;"|"&amp;$A$36&amp;"|"&amp;E$4&amp;"|1",Planning!$W:$X,2,0),"")</f>
        <v/>
      </c>
      <c r="F36" s="55">
        <f>IFERROR(VLOOKUP($J$4&amp;"|"&amp;$A$36&amp;"|"&amp;F$4&amp;"|1",Planning!$W:$X,2,0),"")</f>
        <v/>
      </c>
      <c r="G36" s="56">
        <f>IFERROR(VLOOKUP($J$4&amp;"|"&amp;$A$36&amp;"|"&amp;G$4&amp;"|1",Planning!$W:$X,2,0),"")</f>
        <v/>
      </c>
      <c r="H36" s="56">
        <f>IFERROR(VLOOKUP($J$4&amp;"|"&amp;$A$36&amp;"|"&amp;H$4&amp;"|1",Planning!$W:$X,2,0),"")</f>
        <v/>
      </c>
    </row>
  </sheetData>
  <mergeCells count="11">
    <mergeCell ref="A1:H1"/>
    <mergeCell ref="A21:H21"/>
    <mergeCell ref="A28:A29"/>
    <mergeCell ref="A2:H2"/>
    <mergeCell ref="A33:A34"/>
    <mergeCell ref="A10:H10"/>
    <mergeCell ref="A23:A24"/>
    <mergeCell ref="A16:A17"/>
    <mergeCell ref="A5:H5"/>
    <mergeCell ref="A32:H32"/>
    <mergeCell ref="A18:A19"/>
  </mergeCells>
  <conditionalFormatting sqref="B5:H36">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6">
      <formula>ISNUMBER(SEARCH("◆ PONCTUEL",B5))</formula>
    </cfRule>
    <cfRule type="expression" priority="10" dxfId="17">
      <formula>ISNUMBER(SEARCH("◆ Q-",B5))</formula>
    </cfRule>
    <cfRule type="expression" priority="11" dxfId="1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5 au 11 octobre 2026</oddHeader>
    <oddFooter>&amp;L&amp;8 RS 2026-2027 · S4 (semaine B)&amp;R&amp;8 Page &amp;P / &amp;N</oddFooter>
    <evenHeader/>
    <evenFooter/>
    <firstHeader/>
    <firstFooter/>
  </headerFooter>
  <rowBreaks count="3" manualBreakCount="3">
    <brk id="9" min="0" max="16383" man="1"/>
    <brk id="20" min="0" max="16383" man="1"/>
    <brk id="31" min="0" max="16383" man="1"/>
  </rowBreaks>
</worksheet>
</file>

<file path=xl/worksheets/sheet8.xml><?xml version="1.0" encoding="utf-8"?>
<worksheet xmlns="http://schemas.openxmlformats.org/spreadsheetml/2006/main">
  <sheetPr>
    <tabColor rgb="002F6F7E"/>
    <outlinePr summaryBelow="1" summaryRight="1"/>
    <pageSetUpPr fitToPage="1"/>
  </sheetPr>
  <dimension ref="A1:J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S5 · DU 12 AU 18 OCTOBRE 2026   |   SEMAINE A</t>
        </is>
      </c>
      <c r="B1" s="2" t="n"/>
      <c r="C1" s="2" t="n"/>
      <c r="D1" s="2" t="n"/>
      <c r="E1" s="2" t="n"/>
      <c r="F1" s="2" t="n"/>
      <c r="G1" s="2" t="n"/>
      <c r="H1" s="2" t="n"/>
    </row>
    <row r="2" ht="26" customHeight="1">
      <c r="A2" s="37" t="inlineStr">
        <is>
          <t>Chaque case = une séance : 1re ligne l’horaire, 2e la matière, 3e l’enseignant.   La couleur indique la famille de matières.   ◆ Q-A / ◆ Q-B = séance par quinzaine.   Case grise = aucune séance.   Contenu généré automatiquement depuis la feuille Planning.</t>
        </is>
      </c>
      <c r="B2" s="38" t="n"/>
      <c r="C2" s="38" t="n"/>
      <c r="D2" s="38" t="n"/>
      <c r="E2" s="38" t="n"/>
      <c r="F2" s="38" t="n"/>
      <c r="G2" s="38" t="n"/>
      <c r="H2" s="38" t="n"/>
    </row>
    <row r="3" ht="36" customHeight="1">
      <c r="A3" s="50" t="inlineStr">
        <is>
          <t>Classe / Groupe</t>
        </is>
      </c>
      <c r="B3" s="50" t="inlineStr">
        <is>
          <t>Lundi
12/10</t>
        </is>
      </c>
      <c r="C3" s="50" t="inlineStr">
        <is>
          <t>Mardi
13/10</t>
        </is>
      </c>
      <c r="D3" s="50" t="inlineStr">
        <is>
          <t>Mercredi
14/10</t>
        </is>
      </c>
      <c r="E3" s="50" t="inlineStr">
        <is>
          <t>Jeudi
15/10</t>
        </is>
      </c>
      <c r="F3" s="50" t="inlineStr">
        <is>
          <t>Vendredi
16/10</t>
        </is>
      </c>
      <c r="G3" s="51" t="inlineStr">
        <is>
          <t>Samedi
17/10</t>
        </is>
      </c>
      <c r="H3" s="51" t="inlineStr">
        <is>
          <t>Dimanche
18/10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S5</t>
        </is>
      </c>
    </row>
    <row r="5" ht="21" customHeight="1">
      <c r="A5" s="52" t="inlineStr">
        <is>
          <t>CYCLE PRIMAIRE   (4 classes)</t>
        </is>
      </c>
      <c r="B5" s="53" t="n"/>
      <c r="C5" s="53" t="n"/>
      <c r="D5" s="53" t="n"/>
      <c r="E5" s="53" t="n"/>
      <c r="F5" s="53" t="n"/>
      <c r="G5" s="53" t="n"/>
      <c r="H5" s="53" t="n"/>
    </row>
    <row r="6" ht="52.59999999999999" customHeight="1">
      <c r="A6" s="54" t="inlineStr">
        <is>
          <t>4éme</t>
        </is>
      </c>
      <c r="B6" s="55">
        <f>IFERROR(VLOOKUP($J$4&amp;"|"&amp;$A$6&amp;"|"&amp;B$4&amp;"|1",Planning!$W:$X,2,0),"")</f>
        <v/>
      </c>
      <c r="C6" s="55">
        <f>IFERROR(VLOOKUP($J$4&amp;"|"&amp;$A$6&amp;"|"&amp;C$4&amp;"|1",Planning!$W:$X,2,0),"")</f>
        <v/>
      </c>
      <c r="D6" s="55">
        <f>IFERROR(VLOOKUP($J$4&amp;"|"&amp;$A$6&amp;"|"&amp;D$4&amp;"|1",Planning!$W:$X,2,0),"")</f>
        <v/>
      </c>
      <c r="E6" s="55">
        <f>IFERROR(VLOOKUP($J$4&amp;"|"&amp;$A$6&amp;"|"&amp;E$4&amp;"|1",Planning!$W:$X,2,0),"")</f>
        <v/>
      </c>
      <c r="F6" s="55">
        <f>IFERROR(VLOOKUP($J$4&amp;"|"&amp;$A$6&amp;"|"&amp;F$4&amp;"|1",Planning!$W:$X,2,0),"")</f>
        <v/>
      </c>
      <c r="G6" s="56">
        <f>IFERROR(VLOOKUP($J$4&amp;"|"&amp;$A$6&amp;"|"&amp;G$4&amp;"|1",Planning!$W:$X,2,0),"")</f>
        <v/>
      </c>
      <c r="H6" s="56">
        <f>IFERROR(VLOOKUP($J$4&amp;"|"&amp;$A$6&amp;"|"&amp;H$4&amp;"|1",Planning!$W:$X,2,0),"")</f>
        <v/>
      </c>
    </row>
    <row r="7" ht="83" customHeight="1">
      <c r="A7" s="54" t="inlineStr">
        <is>
          <t>5éme</t>
        </is>
      </c>
      <c r="B7" s="55">
        <f>IFERROR(VLOOKUP($J$4&amp;"|"&amp;$A$7&amp;"|"&amp;B$4&amp;"|1",Planning!$W:$X,2,0),"")</f>
        <v/>
      </c>
      <c r="C7" s="55">
        <f>IFERROR(VLOOKUP($J$4&amp;"|"&amp;$A$7&amp;"|"&amp;C$4&amp;"|1",Planning!$W:$X,2,0),"")</f>
        <v/>
      </c>
      <c r="D7" s="55">
        <f>IFERROR(VLOOKUP($J$4&amp;"|"&amp;$A$7&amp;"|"&amp;D$4&amp;"|1",Planning!$W:$X,2,0),"")</f>
        <v/>
      </c>
      <c r="E7" s="55">
        <f>IFERROR(VLOOKUP($J$4&amp;"|"&amp;$A$7&amp;"|"&amp;E$4&amp;"|1",Planning!$W:$X,2,0),"")</f>
        <v/>
      </c>
      <c r="F7" s="55">
        <f>IFERROR(VLOOKUP($J$4&amp;"|"&amp;$A$7&amp;"|"&amp;F$4&amp;"|1",Planning!$W:$X,2,0),"")</f>
        <v/>
      </c>
      <c r="G7" s="56">
        <f>IFERROR(VLOOKUP($J$4&amp;"|"&amp;$A$7&amp;"|"&amp;G$4&amp;"|1",Planning!$W:$X,2,0),"")</f>
        <v/>
      </c>
      <c r="H7" s="56">
        <f>IFERROR(VLOOKUP($J$4&amp;"|"&amp;$A$7&amp;"|"&amp;H$4&amp;"|1",Planning!$W:$X,2,0),"")</f>
        <v/>
      </c>
    </row>
    <row r="8" ht="52.59999999999999" customHeight="1">
      <c r="A8" s="54" t="inlineStr">
        <is>
          <t>6éme Pilote (A)</t>
        </is>
      </c>
      <c r="B8" s="55">
        <f>IFERROR(VLOOKUP($J$4&amp;"|"&amp;$A$8&amp;"|"&amp;B$4&amp;"|1",Planning!$W:$X,2,0),"")</f>
        <v/>
      </c>
      <c r="C8" s="55">
        <f>IFERROR(VLOOKUP($J$4&amp;"|"&amp;$A$8&amp;"|"&amp;C$4&amp;"|1",Planning!$W:$X,2,0),"")</f>
        <v/>
      </c>
      <c r="D8" s="55">
        <f>IFERROR(VLOOKUP($J$4&amp;"|"&amp;$A$8&amp;"|"&amp;D$4&amp;"|1",Planning!$W:$X,2,0),"")</f>
        <v/>
      </c>
      <c r="E8" s="55">
        <f>IFERROR(VLOOKUP($J$4&amp;"|"&amp;$A$8&amp;"|"&amp;E$4&amp;"|1",Planning!$W:$X,2,0),"")</f>
        <v/>
      </c>
      <c r="F8" s="55">
        <f>IFERROR(VLOOKUP($J$4&amp;"|"&amp;$A$8&amp;"|"&amp;F$4&amp;"|1",Planning!$W:$X,2,0),"")</f>
        <v/>
      </c>
      <c r="G8" s="56">
        <f>IFERROR(VLOOKUP($J$4&amp;"|"&amp;$A$8&amp;"|"&amp;G$4&amp;"|1",Planning!$W:$X,2,0),"")</f>
        <v/>
      </c>
      <c r="H8" s="56">
        <f>IFERROR(VLOOKUP($J$4&amp;"|"&amp;$A$8&amp;"|"&amp;H$4&amp;"|1",Planning!$W:$X,2,0),"")</f>
        <v/>
      </c>
    </row>
    <row r="9" ht="83" customHeight="1">
      <c r="A9" s="54" t="inlineStr">
        <is>
          <t>6éme (B)</t>
        </is>
      </c>
      <c r="B9" s="55">
        <f>IFERROR(VLOOKUP($J$4&amp;"|"&amp;$A$9&amp;"|"&amp;B$4&amp;"|1",Planning!$W:$X,2,0),"")</f>
        <v/>
      </c>
      <c r="C9" s="55">
        <f>IFERROR(VLOOKUP($J$4&amp;"|"&amp;$A$9&amp;"|"&amp;C$4&amp;"|1",Planning!$W:$X,2,0),"")</f>
        <v/>
      </c>
      <c r="D9" s="55">
        <f>IFERROR(VLOOKUP($J$4&amp;"|"&amp;$A$9&amp;"|"&amp;D$4&amp;"|1",Planning!$W:$X,2,0),"")</f>
        <v/>
      </c>
      <c r="E9" s="55">
        <f>IFERROR(VLOOKUP($J$4&amp;"|"&amp;$A$9&amp;"|"&amp;E$4&amp;"|1",Planning!$W:$X,2,0),"")</f>
        <v/>
      </c>
      <c r="F9" s="55">
        <f>IFERROR(VLOOKUP($J$4&amp;"|"&amp;$A$9&amp;"|"&amp;F$4&amp;"|1",Planning!$W:$X,2,0),"")</f>
        <v/>
      </c>
      <c r="G9" s="56">
        <f>IFERROR(VLOOKUP($J$4&amp;"|"&amp;$A$9&amp;"|"&amp;G$4&amp;"|1",Planning!$W:$X,2,0),"")</f>
        <v/>
      </c>
      <c r="H9" s="56">
        <f>IFERROR(VLOOKUP($J$4&amp;"|"&amp;$A$9&amp;"|"&amp;H$4&amp;"|1",Planning!$W:$X,2,0),"")</f>
        <v/>
      </c>
    </row>
    <row r="10" ht="21" customHeight="1">
      <c r="A10" s="57" t="inlineStr">
        <is>
          <t>CYCLE COLLÈGE   (8 classes)</t>
        </is>
      </c>
      <c r="B10" s="58" t="n"/>
      <c r="C10" s="58" t="n"/>
      <c r="D10" s="58" t="n"/>
      <c r="E10" s="58" t="n"/>
      <c r="F10" s="58" t="n"/>
      <c r="G10" s="58" t="n"/>
      <c r="H10" s="58" t="n"/>
    </row>
    <row r="11" ht="52.59999999999999" customHeight="1">
      <c r="A11" s="59" t="inlineStr">
        <is>
          <t>7éme (A)</t>
        </is>
      </c>
      <c r="B11" s="55">
        <f>IFERROR(VLOOKUP($J$4&amp;"|"&amp;$A$11&amp;"|"&amp;B$4&amp;"|1",Planning!$W:$X,2,0),"")</f>
        <v/>
      </c>
      <c r="C11" s="55">
        <f>IFERROR(VLOOKUP($J$4&amp;"|"&amp;$A$11&amp;"|"&amp;C$4&amp;"|1",Planning!$W:$X,2,0),"")</f>
        <v/>
      </c>
      <c r="D11" s="55">
        <f>IFERROR(VLOOKUP($J$4&amp;"|"&amp;$A$11&amp;"|"&amp;D$4&amp;"|1",Planning!$W:$X,2,0),"")</f>
        <v/>
      </c>
      <c r="E11" s="55">
        <f>IFERROR(VLOOKUP($J$4&amp;"|"&amp;$A$11&amp;"|"&amp;E$4&amp;"|1",Planning!$W:$X,2,0),"")</f>
        <v/>
      </c>
      <c r="F11" s="55">
        <f>IFERROR(VLOOKUP($J$4&amp;"|"&amp;$A$11&amp;"|"&amp;F$4&amp;"|1",Planning!$W:$X,2,0),"")</f>
        <v/>
      </c>
      <c r="G11" s="56">
        <f>IFERROR(VLOOKUP($J$4&amp;"|"&amp;$A$11&amp;"|"&amp;G$4&amp;"|1",Planning!$W:$X,2,0),"")</f>
        <v/>
      </c>
      <c r="H11" s="56">
        <f>IFERROR(VLOOKUP($J$4&amp;"|"&amp;$A$11&amp;"|"&amp;H$4&amp;"|1",Planning!$W:$X,2,0),"")</f>
        <v/>
      </c>
    </row>
    <row r="12" ht="52.59999999999999" customHeight="1">
      <c r="A12" s="60" t="n"/>
      <c r="B12" s="55">
        <f>IFERROR(VLOOKUP($J$4&amp;"|"&amp;$A$11&amp;"|"&amp;B$4&amp;"|2",Planning!$W:$X,2,0),"")</f>
        <v/>
      </c>
      <c r="C12" s="55">
        <f>IFERROR(VLOOKUP($J$4&amp;"|"&amp;$A$11&amp;"|"&amp;C$4&amp;"|2",Planning!$W:$X,2,0),"")</f>
        <v/>
      </c>
      <c r="D12" s="55">
        <f>IFERROR(VLOOKUP($J$4&amp;"|"&amp;$A$11&amp;"|"&amp;D$4&amp;"|2",Planning!$W:$X,2,0),"")</f>
        <v/>
      </c>
      <c r="E12" s="55">
        <f>IFERROR(VLOOKUP($J$4&amp;"|"&amp;$A$11&amp;"|"&amp;E$4&amp;"|2",Planning!$W:$X,2,0),"")</f>
        <v/>
      </c>
      <c r="F12" s="55">
        <f>IFERROR(VLOOKUP($J$4&amp;"|"&amp;$A$11&amp;"|"&amp;F$4&amp;"|2",Planning!$W:$X,2,0),"")</f>
        <v/>
      </c>
      <c r="G12" s="56">
        <f>IFERROR(VLOOKUP($J$4&amp;"|"&amp;$A$11&amp;"|"&amp;G$4&amp;"|2",Planning!$W:$X,2,0),"")</f>
        <v/>
      </c>
      <c r="H12" s="56">
        <f>IFERROR(VLOOKUP($J$4&amp;"|"&amp;$A$11&amp;"|"&amp;H$4&amp;"|2",Planning!$W:$X,2,0),"")</f>
        <v/>
      </c>
    </row>
    <row r="13" ht="52.59999999999999" customHeight="1">
      <c r="A13" s="59" t="inlineStr">
        <is>
          <t>7éme (B)</t>
        </is>
      </c>
      <c r="B13" s="55">
        <f>IFERROR(VLOOKUP($J$4&amp;"|"&amp;$A$13&amp;"|"&amp;B$4&amp;"|1",Planning!$W:$X,2,0),"")</f>
        <v/>
      </c>
      <c r="C13" s="55">
        <f>IFERROR(VLOOKUP($J$4&amp;"|"&amp;$A$13&amp;"|"&amp;C$4&amp;"|1",Planning!$W:$X,2,0),"")</f>
        <v/>
      </c>
      <c r="D13" s="55">
        <f>IFERROR(VLOOKUP($J$4&amp;"|"&amp;$A$13&amp;"|"&amp;D$4&amp;"|1",Planning!$W:$X,2,0),"")</f>
        <v/>
      </c>
      <c r="E13" s="55">
        <f>IFERROR(VLOOKUP($J$4&amp;"|"&amp;$A$13&amp;"|"&amp;E$4&amp;"|1",Planning!$W:$X,2,0),"")</f>
        <v/>
      </c>
      <c r="F13" s="55">
        <f>IFERROR(VLOOKUP($J$4&amp;"|"&amp;$A$13&amp;"|"&amp;F$4&amp;"|1",Planning!$W:$X,2,0),"")</f>
        <v/>
      </c>
      <c r="G13" s="56">
        <f>IFERROR(VLOOKUP($J$4&amp;"|"&amp;$A$13&amp;"|"&amp;G$4&amp;"|1",Planning!$W:$X,2,0),"")</f>
        <v/>
      </c>
      <c r="H13" s="56">
        <f>IFERROR(VLOOKUP($J$4&amp;"|"&amp;$A$13&amp;"|"&amp;H$4&amp;"|1",Planning!$W:$X,2,0),"")</f>
        <v/>
      </c>
    </row>
    <row r="14" ht="83" customHeight="1">
      <c r="A14" s="59" t="inlineStr">
        <is>
          <t>8éme (A)</t>
        </is>
      </c>
      <c r="B14" s="55">
        <f>IFERROR(VLOOKUP($J$4&amp;"|"&amp;$A$14&amp;"|"&amp;B$4&amp;"|1",Planning!$W:$X,2,0),"")</f>
        <v/>
      </c>
      <c r="C14" s="55">
        <f>IFERROR(VLOOKUP($J$4&amp;"|"&amp;$A$14&amp;"|"&amp;C$4&amp;"|1",Planning!$W:$X,2,0),"")</f>
        <v/>
      </c>
      <c r="D14" s="55">
        <f>IFERROR(VLOOKUP($J$4&amp;"|"&amp;$A$14&amp;"|"&amp;D$4&amp;"|1",Planning!$W:$X,2,0),"")</f>
        <v/>
      </c>
      <c r="E14" s="55">
        <f>IFERROR(VLOOKUP($J$4&amp;"|"&amp;$A$14&amp;"|"&amp;E$4&amp;"|1",Planning!$W:$X,2,0),"")</f>
        <v/>
      </c>
      <c r="F14" s="55">
        <f>IFERROR(VLOOKUP($J$4&amp;"|"&amp;$A$14&amp;"|"&amp;F$4&amp;"|1",Planning!$W:$X,2,0),"")</f>
        <v/>
      </c>
      <c r="G14" s="56">
        <f>IFERROR(VLOOKUP($J$4&amp;"|"&amp;$A$14&amp;"|"&amp;G$4&amp;"|1",Planning!$W:$X,2,0),"")</f>
        <v/>
      </c>
      <c r="H14" s="56">
        <f>IFERROR(VLOOKUP($J$4&amp;"|"&amp;$A$14&amp;"|"&amp;H$4&amp;"|1",Planning!$W:$X,2,0),"")</f>
        <v/>
      </c>
    </row>
    <row r="15" ht="52.59999999999999" customHeight="1">
      <c r="A15" s="59" t="inlineStr">
        <is>
          <t>8éme (B)</t>
        </is>
      </c>
      <c r="B15" s="55">
        <f>IFERROR(VLOOKUP($J$4&amp;"|"&amp;$A$15&amp;"|"&amp;B$4&amp;"|1",Planning!$W:$X,2,0),"")</f>
        <v/>
      </c>
      <c r="C15" s="55">
        <f>IFERROR(VLOOKUP($J$4&amp;"|"&amp;$A$15&amp;"|"&amp;C$4&amp;"|1",Planning!$W:$X,2,0),"")</f>
        <v/>
      </c>
      <c r="D15" s="55">
        <f>IFERROR(VLOOKUP($J$4&amp;"|"&amp;$A$15&amp;"|"&amp;D$4&amp;"|1",Planning!$W:$X,2,0),"")</f>
        <v/>
      </c>
      <c r="E15" s="55">
        <f>IFERROR(VLOOKUP($J$4&amp;"|"&amp;$A$15&amp;"|"&amp;E$4&amp;"|1",Planning!$W:$X,2,0),"")</f>
        <v/>
      </c>
      <c r="F15" s="55">
        <f>IFERROR(VLOOKUP($J$4&amp;"|"&amp;$A$15&amp;"|"&amp;F$4&amp;"|1",Planning!$W:$X,2,0),"")</f>
        <v/>
      </c>
      <c r="G15" s="56">
        <f>IFERROR(VLOOKUP($J$4&amp;"|"&amp;$A$15&amp;"|"&amp;G$4&amp;"|1",Planning!$W:$X,2,0),"")</f>
        <v/>
      </c>
      <c r="H15" s="56">
        <f>IFERROR(VLOOKUP($J$4&amp;"|"&amp;$A$15&amp;"|"&amp;H$4&amp;"|1",Planning!$W:$X,2,0),"")</f>
        <v/>
      </c>
    </row>
    <row r="16" ht="83" customHeight="1">
      <c r="A16" s="59" t="inlineStr">
        <is>
          <t>8éme (C)</t>
        </is>
      </c>
      <c r="B16" s="55">
        <f>IFERROR(VLOOKUP($J$4&amp;"|"&amp;$A$16&amp;"|"&amp;B$4&amp;"|1",Planning!$W:$X,2,0),"")</f>
        <v/>
      </c>
      <c r="C16" s="55">
        <f>IFERROR(VLOOKUP($J$4&amp;"|"&amp;$A$16&amp;"|"&amp;C$4&amp;"|1",Planning!$W:$X,2,0),"")</f>
        <v/>
      </c>
      <c r="D16" s="55">
        <f>IFERROR(VLOOKUP($J$4&amp;"|"&amp;$A$16&amp;"|"&amp;D$4&amp;"|1",Planning!$W:$X,2,0),"")</f>
        <v/>
      </c>
      <c r="E16" s="55">
        <f>IFERROR(VLOOKUP($J$4&amp;"|"&amp;$A$16&amp;"|"&amp;E$4&amp;"|1",Planning!$W:$X,2,0),"")</f>
        <v/>
      </c>
      <c r="F16" s="55">
        <f>IFERROR(VLOOKUP($J$4&amp;"|"&amp;$A$16&amp;"|"&amp;F$4&amp;"|1",Planning!$W:$X,2,0),"")</f>
        <v/>
      </c>
      <c r="G16" s="56">
        <f>IFERROR(VLOOKUP($J$4&amp;"|"&amp;$A$16&amp;"|"&amp;G$4&amp;"|1",Planning!$W:$X,2,0),"")</f>
        <v/>
      </c>
      <c r="H16" s="56">
        <f>IFERROR(VLOOKUP($J$4&amp;"|"&amp;$A$16&amp;"|"&amp;H$4&amp;"|1",Planning!$W:$X,2,0),"")</f>
        <v/>
      </c>
    </row>
    <row r="17" ht="83" customHeight="1">
      <c r="A17" s="59" t="inlineStr">
        <is>
          <t>9éme (A)</t>
        </is>
      </c>
      <c r="B17" s="55">
        <f>IFERROR(VLOOKUP($J$4&amp;"|"&amp;$A$17&amp;"|"&amp;B$4&amp;"|1",Planning!$W:$X,2,0),"")</f>
        <v/>
      </c>
      <c r="C17" s="55">
        <f>IFERROR(VLOOKUP($J$4&amp;"|"&amp;$A$17&amp;"|"&amp;C$4&amp;"|1",Planning!$W:$X,2,0),"")</f>
        <v/>
      </c>
      <c r="D17" s="55">
        <f>IFERROR(VLOOKUP($J$4&amp;"|"&amp;$A$17&amp;"|"&amp;D$4&amp;"|1",Planning!$W:$X,2,0),"")</f>
        <v/>
      </c>
      <c r="E17" s="55">
        <f>IFERROR(VLOOKUP($J$4&amp;"|"&amp;$A$17&amp;"|"&amp;E$4&amp;"|1",Planning!$W:$X,2,0),"")</f>
        <v/>
      </c>
      <c r="F17" s="55">
        <f>IFERROR(VLOOKUP($J$4&amp;"|"&amp;$A$17&amp;"|"&amp;F$4&amp;"|1",Planning!$W:$X,2,0),"")</f>
        <v/>
      </c>
      <c r="G17" s="56">
        <f>IFERROR(VLOOKUP($J$4&amp;"|"&amp;$A$17&amp;"|"&amp;G$4&amp;"|1",Planning!$W:$X,2,0),"")</f>
        <v/>
      </c>
      <c r="H17" s="56">
        <f>IFERROR(VLOOKUP($J$4&amp;"|"&amp;$A$17&amp;"|"&amp;H$4&amp;"|1",Planning!$W:$X,2,0),"")</f>
        <v/>
      </c>
    </row>
    <row r="18" ht="52.59999999999999" customHeight="1">
      <c r="A18" s="60" t="n"/>
      <c r="B18" s="55">
        <f>IFERROR(VLOOKUP($J$4&amp;"|"&amp;$A$17&amp;"|"&amp;B$4&amp;"|2",Planning!$W:$X,2,0),"")</f>
        <v/>
      </c>
      <c r="C18" s="55">
        <f>IFERROR(VLOOKUP($J$4&amp;"|"&amp;$A$17&amp;"|"&amp;C$4&amp;"|2",Planning!$W:$X,2,0),"")</f>
        <v/>
      </c>
      <c r="D18" s="55">
        <f>IFERROR(VLOOKUP($J$4&amp;"|"&amp;$A$17&amp;"|"&amp;D$4&amp;"|2",Planning!$W:$X,2,0),"")</f>
        <v/>
      </c>
      <c r="E18" s="55">
        <f>IFERROR(VLOOKUP($J$4&amp;"|"&amp;$A$17&amp;"|"&amp;E$4&amp;"|2",Planning!$W:$X,2,0),"")</f>
        <v/>
      </c>
      <c r="F18" s="55">
        <f>IFERROR(VLOOKUP($J$4&amp;"|"&amp;$A$17&amp;"|"&amp;F$4&amp;"|2",Planning!$W:$X,2,0),"")</f>
        <v/>
      </c>
      <c r="G18" s="56">
        <f>IFERROR(VLOOKUP($J$4&amp;"|"&amp;$A$17&amp;"|"&amp;G$4&amp;"|2",Planning!$W:$X,2,0),"")</f>
        <v/>
      </c>
      <c r="H18" s="56">
        <f>IFERROR(VLOOKUP($J$4&amp;"|"&amp;$A$17&amp;"|"&amp;H$4&amp;"|2",Planning!$W:$X,2,0),"")</f>
        <v/>
      </c>
    </row>
    <row r="19" ht="52.59999999999999" customHeight="1">
      <c r="A19" s="59" t="inlineStr">
        <is>
          <t>9éme (B)</t>
        </is>
      </c>
      <c r="B19" s="55">
        <f>IFERROR(VLOOKUP($J$4&amp;"|"&amp;$A$19&amp;"|"&amp;B$4&amp;"|1",Planning!$W:$X,2,0),"")</f>
        <v/>
      </c>
      <c r="C19" s="55">
        <f>IFERROR(VLOOKUP($J$4&amp;"|"&amp;$A$19&amp;"|"&amp;C$4&amp;"|1",Planning!$W:$X,2,0),"")</f>
        <v/>
      </c>
      <c r="D19" s="55">
        <f>IFERROR(VLOOKUP($J$4&amp;"|"&amp;$A$19&amp;"|"&amp;D$4&amp;"|1",Planning!$W:$X,2,0),"")</f>
        <v/>
      </c>
      <c r="E19" s="55">
        <f>IFERROR(VLOOKUP($J$4&amp;"|"&amp;$A$19&amp;"|"&amp;E$4&amp;"|1",Planning!$W:$X,2,0),"")</f>
        <v/>
      </c>
      <c r="F19" s="55">
        <f>IFERROR(VLOOKUP($J$4&amp;"|"&amp;$A$19&amp;"|"&amp;F$4&amp;"|1",Planning!$W:$X,2,0),"")</f>
        <v/>
      </c>
      <c r="G19" s="56">
        <f>IFERROR(VLOOKUP($J$4&amp;"|"&amp;$A$19&amp;"|"&amp;G$4&amp;"|1",Planning!$W:$X,2,0),"")</f>
        <v/>
      </c>
      <c r="H19" s="56">
        <f>IFERROR(VLOOKUP($J$4&amp;"|"&amp;$A$19&amp;"|"&amp;H$4&amp;"|1",Planning!$W:$X,2,0),"")</f>
        <v/>
      </c>
    </row>
    <row r="20" ht="52.59999999999999" customHeight="1">
      <c r="A20" s="60" t="n"/>
      <c r="B20" s="55">
        <f>IFERROR(VLOOKUP($J$4&amp;"|"&amp;$A$19&amp;"|"&amp;B$4&amp;"|2",Planning!$W:$X,2,0),"")</f>
        <v/>
      </c>
      <c r="C20" s="55">
        <f>IFERROR(VLOOKUP($J$4&amp;"|"&amp;$A$19&amp;"|"&amp;C$4&amp;"|2",Planning!$W:$X,2,0),"")</f>
        <v/>
      </c>
      <c r="D20" s="55">
        <f>IFERROR(VLOOKUP($J$4&amp;"|"&amp;$A$19&amp;"|"&amp;D$4&amp;"|2",Planning!$W:$X,2,0),"")</f>
        <v/>
      </c>
      <c r="E20" s="55">
        <f>IFERROR(VLOOKUP($J$4&amp;"|"&amp;$A$19&amp;"|"&amp;E$4&amp;"|2",Planning!$W:$X,2,0),"")</f>
        <v/>
      </c>
      <c r="F20" s="55">
        <f>IFERROR(VLOOKUP($J$4&amp;"|"&amp;$A$19&amp;"|"&amp;F$4&amp;"|2",Planning!$W:$X,2,0),"")</f>
        <v/>
      </c>
      <c r="G20" s="56">
        <f>IFERROR(VLOOKUP($J$4&amp;"|"&amp;$A$19&amp;"|"&amp;G$4&amp;"|2",Planning!$W:$X,2,0),"")</f>
        <v/>
      </c>
      <c r="H20" s="56">
        <f>IFERROR(VLOOKUP($J$4&amp;"|"&amp;$A$19&amp;"|"&amp;H$4&amp;"|2",Planning!$W:$X,2,0),"")</f>
        <v/>
      </c>
    </row>
    <row r="21" ht="83" customHeight="1">
      <c r="A21" s="59" t="inlineStr">
        <is>
          <t>9éme (C)</t>
        </is>
      </c>
      <c r="B21" s="55">
        <f>IFERROR(VLOOKUP($J$4&amp;"|"&amp;$A$21&amp;"|"&amp;B$4&amp;"|1",Planning!$W:$X,2,0),"")</f>
        <v/>
      </c>
      <c r="C21" s="55">
        <f>IFERROR(VLOOKUP($J$4&amp;"|"&amp;$A$21&amp;"|"&amp;C$4&amp;"|1",Planning!$W:$X,2,0),"")</f>
        <v/>
      </c>
      <c r="D21" s="55">
        <f>IFERROR(VLOOKUP($J$4&amp;"|"&amp;$A$21&amp;"|"&amp;D$4&amp;"|1",Planning!$W:$X,2,0),"")</f>
        <v/>
      </c>
      <c r="E21" s="55">
        <f>IFERROR(VLOOKUP($J$4&amp;"|"&amp;$A$21&amp;"|"&amp;E$4&amp;"|1",Planning!$W:$X,2,0),"")</f>
        <v/>
      </c>
      <c r="F21" s="55">
        <f>IFERROR(VLOOKUP($J$4&amp;"|"&amp;$A$21&amp;"|"&amp;F$4&amp;"|1",Planning!$W:$X,2,0),"")</f>
        <v/>
      </c>
      <c r="G21" s="56">
        <f>IFERROR(VLOOKUP($J$4&amp;"|"&amp;$A$21&amp;"|"&amp;G$4&amp;"|1",Planning!$W:$X,2,0),"")</f>
        <v/>
      </c>
      <c r="H21" s="56">
        <f>IFERROR(VLOOKUP($J$4&amp;"|"&amp;$A$21&amp;"|"&amp;H$4&amp;"|1",Planning!$W:$X,2,0),"")</f>
        <v/>
      </c>
    </row>
    <row r="22" ht="21" customHeight="1">
      <c r="A22" s="61" t="inlineStr">
        <is>
          <t>CYCLE SECONDAIRE   (8 classes)</t>
        </is>
      </c>
      <c r="B22" s="62" t="n"/>
      <c r="C22" s="62" t="n"/>
      <c r="D22" s="62" t="n"/>
      <c r="E22" s="62" t="n"/>
      <c r="F22" s="62" t="n"/>
      <c r="G22" s="62" t="n"/>
      <c r="H22" s="62" t="n"/>
    </row>
    <row r="23" ht="83" customHeight="1">
      <c r="A23" s="63" t="inlineStr">
        <is>
          <t>1ére (A)</t>
        </is>
      </c>
      <c r="B23" s="55">
        <f>IFERROR(VLOOKUP($J$4&amp;"|"&amp;$A$23&amp;"|"&amp;B$4&amp;"|1",Planning!$W:$X,2,0),"")</f>
        <v/>
      </c>
      <c r="C23" s="55">
        <f>IFERROR(VLOOKUP($J$4&amp;"|"&amp;$A$23&amp;"|"&amp;C$4&amp;"|1",Planning!$W:$X,2,0),"")</f>
        <v/>
      </c>
      <c r="D23" s="55">
        <f>IFERROR(VLOOKUP($J$4&amp;"|"&amp;$A$23&amp;"|"&amp;D$4&amp;"|1",Planning!$W:$X,2,0),"")</f>
        <v/>
      </c>
      <c r="E23" s="55">
        <f>IFERROR(VLOOKUP($J$4&amp;"|"&amp;$A$23&amp;"|"&amp;E$4&amp;"|1",Planning!$W:$X,2,0),"")</f>
        <v/>
      </c>
      <c r="F23" s="55">
        <f>IFERROR(VLOOKUP($J$4&amp;"|"&amp;$A$23&amp;"|"&amp;F$4&amp;"|1",Planning!$W:$X,2,0),"")</f>
        <v/>
      </c>
      <c r="G23" s="56">
        <f>IFERROR(VLOOKUP($J$4&amp;"|"&amp;$A$23&amp;"|"&amp;G$4&amp;"|1",Planning!$W:$X,2,0),"")</f>
        <v/>
      </c>
      <c r="H23" s="56">
        <f>IFERROR(VLOOKUP($J$4&amp;"|"&amp;$A$23&amp;"|"&amp;H$4&amp;"|1",Planning!$W:$X,2,0),"")</f>
        <v/>
      </c>
    </row>
    <row r="24" ht="52.59999999999999" customHeight="1">
      <c r="A24" s="64" t="n"/>
      <c r="B24" s="55">
        <f>IFERROR(VLOOKUP($J$4&amp;"|"&amp;$A$23&amp;"|"&amp;B$4&amp;"|2",Planning!$W:$X,2,0),"")</f>
        <v/>
      </c>
      <c r="C24" s="55">
        <f>IFERROR(VLOOKUP($J$4&amp;"|"&amp;$A$23&amp;"|"&amp;C$4&amp;"|2",Planning!$W:$X,2,0),"")</f>
        <v/>
      </c>
      <c r="D24" s="55">
        <f>IFERROR(VLOOKUP($J$4&amp;"|"&amp;$A$23&amp;"|"&amp;D$4&amp;"|2",Planning!$W:$X,2,0),"")</f>
        <v/>
      </c>
      <c r="E24" s="55">
        <f>IFERROR(VLOOKUP($J$4&amp;"|"&amp;$A$23&amp;"|"&amp;E$4&amp;"|2",Planning!$W:$X,2,0),"")</f>
        <v/>
      </c>
      <c r="F24" s="55">
        <f>IFERROR(VLOOKUP($J$4&amp;"|"&amp;$A$23&amp;"|"&amp;F$4&amp;"|2",Planning!$W:$X,2,0),"")</f>
        <v/>
      </c>
      <c r="G24" s="56">
        <f>IFERROR(VLOOKUP($J$4&amp;"|"&amp;$A$23&amp;"|"&amp;G$4&amp;"|2",Planning!$W:$X,2,0),"")</f>
        <v/>
      </c>
      <c r="H24" s="56">
        <f>IFERROR(VLOOKUP($J$4&amp;"|"&amp;$A$23&amp;"|"&amp;H$4&amp;"|2",Planning!$W:$X,2,0),"")</f>
        <v/>
      </c>
    </row>
    <row r="25" ht="52.59999999999999" customHeight="1">
      <c r="A25" s="63" t="inlineStr">
        <is>
          <t>1ére (B)</t>
        </is>
      </c>
      <c r="B25" s="55">
        <f>IFERROR(VLOOKUP($J$4&amp;"|"&amp;$A$25&amp;"|"&amp;B$4&amp;"|1",Planning!$W:$X,2,0),"")</f>
        <v/>
      </c>
      <c r="C25" s="55">
        <f>IFERROR(VLOOKUP($J$4&amp;"|"&amp;$A$25&amp;"|"&amp;C$4&amp;"|1",Planning!$W:$X,2,0),"")</f>
        <v/>
      </c>
      <c r="D25" s="55">
        <f>IFERROR(VLOOKUP($J$4&amp;"|"&amp;$A$25&amp;"|"&amp;D$4&amp;"|1",Planning!$W:$X,2,0),"")</f>
        <v/>
      </c>
      <c r="E25" s="55">
        <f>IFERROR(VLOOKUP($J$4&amp;"|"&amp;$A$25&amp;"|"&amp;E$4&amp;"|1",Planning!$W:$X,2,0),"")</f>
        <v/>
      </c>
      <c r="F25" s="55">
        <f>IFERROR(VLOOKUP($J$4&amp;"|"&amp;$A$25&amp;"|"&amp;F$4&amp;"|1",Planning!$W:$X,2,0),"")</f>
        <v/>
      </c>
      <c r="G25" s="56">
        <f>IFERROR(VLOOKUP($J$4&amp;"|"&amp;$A$25&amp;"|"&amp;G$4&amp;"|1",Planning!$W:$X,2,0),"")</f>
        <v/>
      </c>
      <c r="H25" s="56">
        <f>IFERROR(VLOOKUP($J$4&amp;"|"&amp;$A$25&amp;"|"&amp;H$4&amp;"|1",Planning!$W:$X,2,0),"")</f>
        <v/>
      </c>
    </row>
    <row r="26" ht="83" customHeight="1">
      <c r="A26" s="63" t="inlineStr">
        <is>
          <t>2éme Eco</t>
        </is>
      </c>
      <c r="B26" s="55">
        <f>IFERROR(VLOOKUP($J$4&amp;"|"&amp;$A$26&amp;"|"&amp;B$4&amp;"|1",Planning!$W:$X,2,0),"")</f>
        <v/>
      </c>
      <c r="C26" s="55">
        <f>IFERROR(VLOOKUP($J$4&amp;"|"&amp;$A$26&amp;"|"&amp;C$4&amp;"|1",Planning!$W:$X,2,0),"")</f>
        <v/>
      </c>
      <c r="D26" s="55">
        <f>IFERROR(VLOOKUP($J$4&amp;"|"&amp;$A$26&amp;"|"&amp;D$4&amp;"|1",Planning!$W:$X,2,0),"")</f>
        <v/>
      </c>
      <c r="E26" s="55">
        <f>IFERROR(VLOOKUP($J$4&amp;"|"&amp;$A$26&amp;"|"&amp;E$4&amp;"|1",Planning!$W:$X,2,0),"")</f>
        <v/>
      </c>
      <c r="F26" s="55">
        <f>IFERROR(VLOOKUP($J$4&amp;"|"&amp;$A$26&amp;"|"&amp;F$4&amp;"|1",Planning!$W:$X,2,0),"")</f>
        <v/>
      </c>
      <c r="G26" s="56">
        <f>IFERROR(VLOOKUP($J$4&amp;"|"&amp;$A$26&amp;"|"&amp;G$4&amp;"|1",Planning!$W:$X,2,0),"")</f>
        <v/>
      </c>
      <c r="H26" s="56">
        <f>IFERROR(VLOOKUP($J$4&amp;"|"&amp;$A$26&amp;"|"&amp;H$4&amp;"|1",Planning!$W:$X,2,0),"")</f>
        <v/>
      </c>
    </row>
    <row r="27" ht="83" customHeight="1">
      <c r="A27" s="63" t="inlineStr">
        <is>
          <t>2éme SCE</t>
        </is>
      </c>
      <c r="B27" s="55">
        <f>IFERROR(VLOOKUP($J$4&amp;"|"&amp;$A$27&amp;"|"&amp;B$4&amp;"|1",Planning!$W:$X,2,0),"")</f>
        <v/>
      </c>
      <c r="C27" s="55">
        <f>IFERROR(VLOOKUP($J$4&amp;"|"&amp;$A$27&amp;"|"&amp;C$4&amp;"|1",Planning!$W:$X,2,0),"")</f>
        <v/>
      </c>
      <c r="D27" s="55">
        <f>IFERROR(VLOOKUP($J$4&amp;"|"&amp;$A$27&amp;"|"&amp;D$4&amp;"|1",Planning!$W:$X,2,0),"")</f>
        <v/>
      </c>
      <c r="E27" s="55">
        <f>IFERROR(VLOOKUP($J$4&amp;"|"&amp;$A$27&amp;"|"&amp;E$4&amp;"|1",Planning!$W:$X,2,0),"")</f>
        <v/>
      </c>
      <c r="F27" s="55">
        <f>IFERROR(VLOOKUP($J$4&amp;"|"&amp;$A$27&amp;"|"&amp;F$4&amp;"|1",Planning!$W:$X,2,0),"")</f>
        <v/>
      </c>
      <c r="G27" s="56">
        <f>IFERROR(VLOOKUP($J$4&amp;"|"&amp;$A$27&amp;"|"&amp;G$4&amp;"|1",Planning!$W:$X,2,0),"")</f>
        <v/>
      </c>
      <c r="H27" s="56">
        <f>IFERROR(VLOOKUP($J$4&amp;"|"&amp;$A$27&amp;"|"&amp;H$4&amp;"|1",Planning!$W:$X,2,0),"")</f>
        <v/>
      </c>
    </row>
    <row r="28" ht="83" customHeight="1">
      <c r="A28" s="63" t="inlineStr">
        <is>
          <t>2éme INFO</t>
        </is>
      </c>
      <c r="B28" s="55">
        <f>IFERROR(VLOOKUP($J$4&amp;"|"&amp;$A$28&amp;"|"&amp;B$4&amp;"|1",Planning!$W:$X,2,0),"")</f>
        <v/>
      </c>
      <c r="C28" s="55">
        <f>IFERROR(VLOOKUP($J$4&amp;"|"&amp;$A$28&amp;"|"&amp;C$4&amp;"|1",Planning!$W:$X,2,0),"")</f>
        <v/>
      </c>
      <c r="D28" s="55">
        <f>IFERROR(VLOOKUP($J$4&amp;"|"&amp;$A$28&amp;"|"&amp;D$4&amp;"|1",Planning!$W:$X,2,0),"")</f>
        <v/>
      </c>
      <c r="E28" s="55">
        <f>IFERROR(VLOOKUP($J$4&amp;"|"&amp;$A$28&amp;"|"&amp;E$4&amp;"|1",Planning!$W:$X,2,0),"")</f>
        <v/>
      </c>
      <c r="F28" s="55">
        <f>IFERROR(VLOOKUP($J$4&amp;"|"&amp;$A$28&amp;"|"&amp;F$4&amp;"|1",Planning!$W:$X,2,0),"")</f>
        <v/>
      </c>
      <c r="G28" s="56">
        <f>IFERROR(VLOOKUP($J$4&amp;"|"&amp;$A$28&amp;"|"&amp;G$4&amp;"|1",Planning!$W:$X,2,0),"")</f>
        <v/>
      </c>
      <c r="H28" s="56">
        <f>IFERROR(VLOOKUP($J$4&amp;"|"&amp;$A$28&amp;"|"&amp;H$4&amp;"|1",Planning!$W:$X,2,0),"")</f>
        <v/>
      </c>
    </row>
    <row r="29" ht="83" customHeight="1">
      <c r="A29" s="63" t="inlineStr">
        <is>
          <t>3éme Eco</t>
        </is>
      </c>
      <c r="B29" s="55">
        <f>IFERROR(VLOOKUP($J$4&amp;"|"&amp;$A$29&amp;"|"&amp;B$4&amp;"|1",Planning!$W:$X,2,0),"")</f>
        <v/>
      </c>
      <c r="C29" s="55">
        <f>IFERROR(VLOOKUP($J$4&amp;"|"&amp;$A$29&amp;"|"&amp;C$4&amp;"|1",Planning!$W:$X,2,0),"")</f>
        <v/>
      </c>
      <c r="D29" s="55">
        <f>IFERROR(VLOOKUP($J$4&amp;"|"&amp;$A$29&amp;"|"&amp;D$4&amp;"|1",Planning!$W:$X,2,0),"")</f>
        <v/>
      </c>
      <c r="E29" s="55">
        <f>IFERROR(VLOOKUP($J$4&amp;"|"&amp;$A$29&amp;"|"&amp;E$4&amp;"|1",Planning!$W:$X,2,0),"")</f>
        <v/>
      </c>
      <c r="F29" s="55">
        <f>IFERROR(VLOOKUP($J$4&amp;"|"&amp;$A$29&amp;"|"&amp;F$4&amp;"|1",Planning!$W:$X,2,0),"")</f>
        <v/>
      </c>
      <c r="G29" s="56">
        <f>IFERROR(VLOOKUP($J$4&amp;"|"&amp;$A$29&amp;"|"&amp;G$4&amp;"|1",Planning!$W:$X,2,0),"")</f>
        <v/>
      </c>
      <c r="H29" s="56">
        <f>IFERROR(VLOOKUP($J$4&amp;"|"&amp;$A$29&amp;"|"&amp;H$4&amp;"|1",Planning!$W:$X,2,0),"")</f>
        <v/>
      </c>
    </row>
    <row r="30" ht="52.59999999999999" customHeight="1">
      <c r="A30" s="64" t="n"/>
      <c r="B30" s="55">
        <f>IFERROR(VLOOKUP($J$4&amp;"|"&amp;$A$29&amp;"|"&amp;B$4&amp;"|2",Planning!$W:$X,2,0),"")</f>
        <v/>
      </c>
      <c r="C30" s="55">
        <f>IFERROR(VLOOKUP($J$4&amp;"|"&amp;$A$29&amp;"|"&amp;C$4&amp;"|2",Planning!$W:$X,2,0),"")</f>
        <v/>
      </c>
      <c r="D30" s="55">
        <f>IFERROR(VLOOKUP($J$4&amp;"|"&amp;$A$29&amp;"|"&amp;D$4&amp;"|2",Planning!$W:$X,2,0),"")</f>
        <v/>
      </c>
      <c r="E30" s="55">
        <f>IFERROR(VLOOKUP($J$4&amp;"|"&amp;$A$29&amp;"|"&amp;E$4&amp;"|2",Planning!$W:$X,2,0),"")</f>
        <v/>
      </c>
      <c r="F30" s="55">
        <f>IFERROR(VLOOKUP($J$4&amp;"|"&amp;$A$29&amp;"|"&amp;F$4&amp;"|2",Planning!$W:$X,2,0),"")</f>
        <v/>
      </c>
      <c r="G30" s="56">
        <f>IFERROR(VLOOKUP($J$4&amp;"|"&amp;$A$29&amp;"|"&amp;G$4&amp;"|2",Planning!$W:$X,2,0),"")</f>
        <v/>
      </c>
      <c r="H30" s="56">
        <f>IFERROR(VLOOKUP($J$4&amp;"|"&amp;$A$29&amp;"|"&amp;H$4&amp;"|2",Planning!$W:$X,2,0),"")</f>
        <v/>
      </c>
    </row>
    <row r="31" ht="52.59999999999999" customHeight="1">
      <c r="A31" s="63" t="inlineStr">
        <is>
          <t>3éme INFO</t>
        </is>
      </c>
      <c r="B31" s="55">
        <f>IFERROR(VLOOKUP($J$4&amp;"|"&amp;$A$31&amp;"|"&amp;B$4&amp;"|1",Planning!$W:$X,2,0),"")</f>
        <v/>
      </c>
      <c r="C31" s="55">
        <f>IFERROR(VLOOKUP($J$4&amp;"|"&amp;$A$31&amp;"|"&amp;C$4&amp;"|1",Planning!$W:$X,2,0),"")</f>
        <v/>
      </c>
      <c r="D31" s="55">
        <f>IFERROR(VLOOKUP($J$4&amp;"|"&amp;$A$31&amp;"|"&amp;D$4&amp;"|1",Planning!$W:$X,2,0),"")</f>
        <v/>
      </c>
      <c r="E31" s="55">
        <f>IFERROR(VLOOKUP($J$4&amp;"|"&amp;$A$31&amp;"|"&amp;E$4&amp;"|1",Planning!$W:$X,2,0),"")</f>
        <v/>
      </c>
      <c r="F31" s="55">
        <f>IFERROR(VLOOKUP($J$4&amp;"|"&amp;$A$31&amp;"|"&amp;F$4&amp;"|1",Planning!$W:$X,2,0),"")</f>
        <v/>
      </c>
      <c r="G31" s="56">
        <f>IFERROR(VLOOKUP($J$4&amp;"|"&amp;$A$31&amp;"|"&amp;G$4&amp;"|1",Planning!$W:$X,2,0),"")</f>
        <v/>
      </c>
      <c r="H31" s="56">
        <f>IFERROR(VLOOKUP($J$4&amp;"|"&amp;$A$31&amp;"|"&amp;H$4&amp;"|1",Planning!$W:$X,2,0),"")</f>
        <v/>
      </c>
    </row>
    <row r="32" ht="52.59999999999999" customHeight="1">
      <c r="A32" s="63" t="inlineStr">
        <is>
          <t>3éme SCE</t>
        </is>
      </c>
      <c r="B32" s="55">
        <f>IFERROR(VLOOKUP($J$4&amp;"|"&amp;$A$32&amp;"|"&amp;B$4&amp;"|1",Planning!$W:$X,2,0),"")</f>
        <v/>
      </c>
      <c r="C32" s="55">
        <f>IFERROR(VLOOKUP($J$4&amp;"|"&amp;$A$32&amp;"|"&amp;C$4&amp;"|1",Planning!$W:$X,2,0),"")</f>
        <v/>
      </c>
      <c r="D32" s="55">
        <f>IFERROR(VLOOKUP($J$4&amp;"|"&amp;$A$32&amp;"|"&amp;D$4&amp;"|1",Planning!$W:$X,2,0),"")</f>
        <v/>
      </c>
      <c r="E32" s="55">
        <f>IFERROR(VLOOKUP($J$4&amp;"|"&amp;$A$32&amp;"|"&amp;E$4&amp;"|1",Planning!$W:$X,2,0),"")</f>
        <v/>
      </c>
      <c r="F32" s="55">
        <f>IFERROR(VLOOKUP($J$4&amp;"|"&amp;$A$32&amp;"|"&amp;F$4&amp;"|1",Planning!$W:$X,2,0),"")</f>
        <v/>
      </c>
      <c r="G32" s="56">
        <f>IFERROR(VLOOKUP($J$4&amp;"|"&amp;$A$32&amp;"|"&amp;G$4&amp;"|1",Planning!$W:$X,2,0),"")</f>
        <v/>
      </c>
      <c r="H32" s="56">
        <f>IFERROR(VLOOKUP($J$4&amp;"|"&amp;$A$32&amp;"|"&amp;H$4&amp;"|1",Planning!$W:$X,2,0),"")</f>
        <v/>
      </c>
    </row>
    <row r="33" ht="21" customHeight="1">
      <c r="A33" s="65" t="inlineStr">
        <is>
          <t>CYCLE BAC   (3 classes)</t>
        </is>
      </c>
      <c r="B33" s="66" t="n"/>
      <c r="C33" s="66" t="n"/>
      <c r="D33" s="66" t="n"/>
      <c r="E33" s="66" t="n"/>
      <c r="F33" s="66" t="n"/>
      <c r="G33" s="66" t="n"/>
      <c r="H33" s="66" t="n"/>
    </row>
    <row r="34" ht="83" customHeight="1">
      <c r="A34" s="67" t="inlineStr">
        <is>
          <t>Bac Eco</t>
        </is>
      </c>
      <c r="B34" s="55">
        <f>IFERROR(VLOOKUP($J$4&amp;"|"&amp;$A$34&amp;"|"&amp;B$4&amp;"|1",Planning!$W:$X,2,0),"")</f>
        <v/>
      </c>
      <c r="C34" s="55">
        <f>IFERROR(VLOOKUP($J$4&amp;"|"&amp;$A$34&amp;"|"&amp;C$4&amp;"|1",Planning!$W:$X,2,0),"")</f>
        <v/>
      </c>
      <c r="D34" s="55">
        <f>IFERROR(VLOOKUP($J$4&amp;"|"&amp;$A$34&amp;"|"&amp;D$4&amp;"|1",Planning!$W:$X,2,0),"")</f>
        <v/>
      </c>
      <c r="E34" s="55">
        <f>IFERROR(VLOOKUP($J$4&amp;"|"&amp;$A$34&amp;"|"&amp;E$4&amp;"|1",Planning!$W:$X,2,0),"")</f>
        <v/>
      </c>
      <c r="F34" s="55">
        <f>IFERROR(VLOOKUP($J$4&amp;"|"&amp;$A$34&amp;"|"&amp;F$4&amp;"|1",Planning!$W:$X,2,0),"")</f>
        <v/>
      </c>
      <c r="G34" s="56">
        <f>IFERROR(VLOOKUP($J$4&amp;"|"&amp;$A$34&amp;"|"&amp;G$4&amp;"|1",Planning!$W:$X,2,0),"")</f>
        <v/>
      </c>
      <c r="H34" s="56">
        <f>IFERROR(VLOOKUP($J$4&amp;"|"&amp;$A$34&amp;"|"&amp;H$4&amp;"|1",Planning!$W:$X,2,0),"")</f>
        <v/>
      </c>
    </row>
    <row r="35" ht="52.59999999999999" customHeight="1">
      <c r="A35" s="68" t="n"/>
      <c r="B35" s="55">
        <f>IFERROR(VLOOKUP($J$4&amp;"|"&amp;$A$34&amp;"|"&amp;B$4&amp;"|2",Planning!$W:$X,2,0),"")</f>
        <v/>
      </c>
      <c r="C35" s="55">
        <f>IFERROR(VLOOKUP($J$4&amp;"|"&amp;$A$34&amp;"|"&amp;C$4&amp;"|2",Planning!$W:$X,2,0),"")</f>
        <v/>
      </c>
      <c r="D35" s="55">
        <f>IFERROR(VLOOKUP($J$4&amp;"|"&amp;$A$34&amp;"|"&amp;D$4&amp;"|2",Planning!$W:$X,2,0),"")</f>
        <v/>
      </c>
      <c r="E35" s="55">
        <f>IFERROR(VLOOKUP($J$4&amp;"|"&amp;$A$34&amp;"|"&amp;E$4&amp;"|2",Planning!$W:$X,2,0),"")</f>
        <v/>
      </c>
      <c r="F35" s="55">
        <f>IFERROR(VLOOKUP($J$4&amp;"|"&amp;$A$34&amp;"|"&amp;F$4&amp;"|2",Planning!$W:$X,2,0),"")</f>
        <v/>
      </c>
      <c r="G35" s="56">
        <f>IFERROR(VLOOKUP($J$4&amp;"|"&amp;$A$34&amp;"|"&amp;G$4&amp;"|2",Planning!$W:$X,2,0),"")</f>
        <v/>
      </c>
      <c r="H35" s="56">
        <f>IFERROR(VLOOKUP($J$4&amp;"|"&amp;$A$34&amp;"|"&amp;H$4&amp;"|2",Planning!$W:$X,2,0),"")</f>
        <v/>
      </c>
    </row>
    <row r="36" ht="52.59999999999999" customHeight="1">
      <c r="A36" s="67" t="inlineStr">
        <is>
          <t>Bac SCE</t>
        </is>
      </c>
      <c r="B36" s="55">
        <f>IFERROR(VLOOKUP($J$4&amp;"|"&amp;$A$36&amp;"|"&amp;B$4&amp;"|1",Planning!$W:$X,2,0),"")</f>
        <v/>
      </c>
      <c r="C36" s="55">
        <f>IFERROR(VLOOKUP($J$4&amp;"|"&amp;$A$36&amp;"|"&amp;C$4&amp;"|1",Planning!$W:$X,2,0),"")</f>
        <v/>
      </c>
      <c r="D36" s="55">
        <f>IFERROR(VLOOKUP($J$4&amp;"|"&amp;$A$36&amp;"|"&amp;D$4&amp;"|1",Planning!$W:$X,2,0),"")</f>
        <v/>
      </c>
      <c r="E36" s="55">
        <f>IFERROR(VLOOKUP($J$4&amp;"|"&amp;$A$36&amp;"|"&amp;E$4&amp;"|1",Planning!$W:$X,2,0),"")</f>
        <v/>
      </c>
      <c r="F36" s="55">
        <f>IFERROR(VLOOKUP($J$4&amp;"|"&amp;$A$36&amp;"|"&amp;F$4&amp;"|1",Planning!$W:$X,2,0),"")</f>
        <v/>
      </c>
      <c r="G36" s="56">
        <f>IFERROR(VLOOKUP($J$4&amp;"|"&amp;$A$36&amp;"|"&amp;G$4&amp;"|1",Planning!$W:$X,2,0),"")</f>
        <v/>
      </c>
      <c r="H36" s="56">
        <f>IFERROR(VLOOKUP($J$4&amp;"|"&amp;$A$36&amp;"|"&amp;H$4&amp;"|1",Planning!$W:$X,2,0),"")</f>
        <v/>
      </c>
    </row>
    <row r="37" ht="52.59999999999999" customHeight="1">
      <c r="A37" s="67" t="inlineStr">
        <is>
          <t>Bac INFO</t>
        </is>
      </c>
      <c r="B37" s="55">
        <f>IFERROR(VLOOKUP($J$4&amp;"|"&amp;$A$37&amp;"|"&amp;B$4&amp;"|1",Planning!$W:$X,2,0),"")</f>
        <v/>
      </c>
      <c r="C37" s="55">
        <f>IFERROR(VLOOKUP($J$4&amp;"|"&amp;$A$37&amp;"|"&amp;C$4&amp;"|1",Planning!$W:$X,2,0),"")</f>
        <v/>
      </c>
      <c r="D37" s="55">
        <f>IFERROR(VLOOKUP($J$4&amp;"|"&amp;$A$37&amp;"|"&amp;D$4&amp;"|1",Planning!$W:$X,2,0),"")</f>
        <v/>
      </c>
      <c r="E37" s="55">
        <f>IFERROR(VLOOKUP($J$4&amp;"|"&amp;$A$37&amp;"|"&amp;E$4&amp;"|1",Planning!$W:$X,2,0),"")</f>
        <v/>
      </c>
      <c r="F37" s="55">
        <f>IFERROR(VLOOKUP($J$4&amp;"|"&amp;$A$37&amp;"|"&amp;F$4&amp;"|1",Planning!$W:$X,2,0),"")</f>
        <v/>
      </c>
      <c r="G37" s="56">
        <f>IFERROR(VLOOKUP($J$4&amp;"|"&amp;$A$37&amp;"|"&amp;G$4&amp;"|1",Planning!$W:$X,2,0),"")</f>
        <v/>
      </c>
      <c r="H37" s="56">
        <f>IFERROR(VLOOKUP($J$4&amp;"|"&amp;$A$37&amp;"|"&amp;H$4&amp;"|1",Planning!$W:$X,2,0),"")</f>
        <v/>
      </c>
    </row>
  </sheetData>
  <mergeCells count="12">
    <mergeCell ref="A1:H1"/>
    <mergeCell ref="A34:A35"/>
    <mergeCell ref="A17:A18"/>
    <mergeCell ref="A2:H2"/>
    <mergeCell ref="A10:H10"/>
    <mergeCell ref="A29:A30"/>
    <mergeCell ref="A23:A24"/>
    <mergeCell ref="A33:H33"/>
    <mergeCell ref="A5:H5"/>
    <mergeCell ref="A19:A20"/>
    <mergeCell ref="A11:A12"/>
    <mergeCell ref="A22:H22"/>
  </mergeCells>
  <conditionalFormatting sqref="B5:H37">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6">
      <formula>ISNUMBER(SEARCH("◆ PONCTUEL",B5))</formula>
    </cfRule>
    <cfRule type="expression" priority="10" dxfId="17">
      <formula>ISNUMBER(SEARCH("◆ Q-",B5))</formula>
    </cfRule>
    <cfRule type="expression" priority="11" dxfId="1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12 au 18 octobre 2026</oddHeader>
    <oddFooter>&amp;L&amp;8 RS 2026-2027 · S5 (semaine A)&amp;R&amp;8 Page &amp;P / &amp;N</oddFooter>
    <evenHeader/>
    <evenFooter/>
    <firstHeader/>
    <firstFooter/>
  </headerFooter>
  <rowBreaks count="3" manualBreakCount="3">
    <brk id="9" min="0" max="16383" man="1"/>
    <brk id="21" min="0" max="16383" man="1"/>
    <brk id="32" min="0" max="16383" man="1"/>
  </rowBreaks>
</worksheet>
</file>

<file path=xl/worksheets/sheet9.xml><?xml version="1.0" encoding="utf-8"?>
<worksheet xmlns="http://schemas.openxmlformats.org/spreadsheetml/2006/main">
  <sheetPr>
    <tabColor rgb="002F6F7E"/>
    <outlinePr summaryBelow="1" summaryRight="1"/>
    <pageSetUpPr fitToPage="1"/>
  </sheetPr>
  <dimension ref="A1:J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S6 · DU 19 AU 25 OCTOBRE 2026   |   SEMAINE B</t>
        </is>
      </c>
      <c r="B1" s="2" t="n"/>
      <c r="C1" s="2" t="n"/>
      <c r="D1" s="2" t="n"/>
      <c r="E1" s="2" t="n"/>
      <c r="F1" s="2" t="n"/>
      <c r="G1" s="2" t="n"/>
      <c r="H1" s="2" t="n"/>
    </row>
    <row r="2" ht="26" customHeight="1">
      <c r="A2" s="37" t="inlineStr">
        <is>
          <t>Chaque case = une séance : 1re ligne l’horaire, 2e la matière, 3e l’enseignant.   La couleur indique la famille de matières.   ◆ Q-A / ◆ Q-B = séance par quinzaine.   Case grise = aucune séance.   Contenu généré automatiquement depuis la feuille Planning.</t>
        </is>
      </c>
      <c r="B2" s="38" t="n"/>
      <c r="C2" s="38" t="n"/>
      <c r="D2" s="38" t="n"/>
      <c r="E2" s="38" t="n"/>
      <c r="F2" s="38" t="n"/>
      <c r="G2" s="38" t="n"/>
      <c r="H2" s="38" t="n"/>
    </row>
    <row r="3" ht="36" customHeight="1">
      <c r="A3" s="50" t="inlineStr">
        <is>
          <t>Classe / Groupe</t>
        </is>
      </c>
      <c r="B3" s="50" t="inlineStr">
        <is>
          <t>Lundi
19/10</t>
        </is>
      </c>
      <c r="C3" s="50" t="inlineStr">
        <is>
          <t>Mardi
20/10</t>
        </is>
      </c>
      <c r="D3" s="50" t="inlineStr">
        <is>
          <t>Mercredi
21/10</t>
        </is>
      </c>
      <c r="E3" s="50" t="inlineStr">
        <is>
          <t>Jeudi
22/10</t>
        </is>
      </c>
      <c r="F3" s="50" t="inlineStr">
        <is>
          <t>Vendredi
23/10</t>
        </is>
      </c>
      <c r="G3" s="51" t="inlineStr">
        <is>
          <t>Samedi
24/10</t>
        </is>
      </c>
      <c r="H3" s="51" t="inlineStr">
        <is>
          <t>Dimanche
25/10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S6</t>
        </is>
      </c>
    </row>
    <row r="5" ht="21" customHeight="1">
      <c r="A5" s="52" t="inlineStr">
        <is>
          <t>CYCLE PRIMAIRE   (4 classes)</t>
        </is>
      </c>
      <c r="B5" s="53" t="n"/>
      <c r="C5" s="53" t="n"/>
      <c r="D5" s="53" t="n"/>
      <c r="E5" s="53" t="n"/>
      <c r="F5" s="53" t="n"/>
      <c r="G5" s="53" t="n"/>
      <c r="H5" s="53" t="n"/>
    </row>
    <row r="6" ht="52.59999999999999" customHeight="1">
      <c r="A6" s="54" t="inlineStr">
        <is>
          <t>4éme</t>
        </is>
      </c>
      <c r="B6" s="55">
        <f>IFERROR(VLOOKUP($J$4&amp;"|"&amp;$A$6&amp;"|"&amp;B$4&amp;"|1",Planning!$W:$X,2,0),"")</f>
        <v/>
      </c>
      <c r="C6" s="55">
        <f>IFERROR(VLOOKUP($J$4&amp;"|"&amp;$A$6&amp;"|"&amp;C$4&amp;"|1",Planning!$W:$X,2,0),"")</f>
        <v/>
      </c>
      <c r="D6" s="55">
        <f>IFERROR(VLOOKUP($J$4&amp;"|"&amp;$A$6&amp;"|"&amp;D$4&amp;"|1",Planning!$W:$X,2,0),"")</f>
        <v/>
      </c>
      <c r="E6" s="55">
        <f>IFERROR(VLOOKUP($J$4&amp;"|"&amp;$A$6&amp;"|"&amp;E$4&amp;"|1",Planning!$W:$X,2,0),"")</f>
        <v/>
      </c>
      <c r="F6" s="55">
        <f>IFERROR(VLOOKUP($J$4&amp;"|"&amp;$A$6&amp;"|"&amp;F$4&amp;"|1",Planning!$W:$X,2,0),"")</f>
        <v/>
      </c>
      <c r="G6" s="56">
        <f>IFERROR(VLOOKUP($J$4&amp;"|"&amp;$A$6&amp;"|"&amp;G$4&amp;"|1",Planning!$W:$X,2,0),"")</f>
        <v/>
      </c>
      <c r="H6" s="56">
        <f>IFERROR(VLOOKUP($J$4&amp;"|"&amp;$A$6&amp;"|"&amp;H$4&amp;"|1",Planning!$W:$X,2,0),"")</f>
        <v/>
      </c>
    </row>
    <row r="7" ht="52.59999999999999" customHeight="1">
      <c r="A7" s="54" t="inlineStr">
        <is>
          <t>5éme</t>
        </is>
      </c>
      <c r="B7" s="55">
        <f>IFERROR(VLOOKUP($J$4&amp;"|"&amp;$A$7&amp;"|"&amp;B$4&amp;"|1",Planning!$W:$X,2,0),"")</f>
        <v/>
      </c>
      <c r="C7" s="55">
        <f>IFERROR(VLOOKUP($J$4&amp;"|"&amp;$A$7&amp;"|"&amp;C$4&amp;"|1",Planning!$W:$X,2,0),"")</f>
        <v/>
      </c>
      <c r="D7" s="55">
        <f>IFERROR(VLOOKUP($J$4&amp;"|"&amp;$A$7&amp;"|"&amp;D$4&amp;"|1",Planning!$W:$X,2,0),"")</f>
        <v/>
      </c>
      <c r="E7" s="55">
        <f>IFERROR(VLOOKUP($J$4&amp;"|"&amp;$A$7&amp;"|"&amp;E$4&amp;"|1",Planning!$W:$X,2,0),"")</f>
        <v/>
      </c>
      <c r="F7" s="55">
        <f>IFERROR(VLOOKUP($J$4&amp;"|"&amp;$A$7&amp;"|"&amp;F$4&amp;"|1",Planning!$W:$X,2,0),"")</f>
        <v/>
      </c>
      <c r="G7" s="56">
        <f>IFERROR(VLOOKUP($J$4&amp;"|"&amp;$A$7&amp;"|"&amp;G$4&amp;"|1",Planning!$W:$X,2,0),"")</f>
        <v/>
      </c>
      <c r="H7" s="56">
        <f>IFERROR(VLOOKUP($J$4&amp;"|"&amp;$A$7&amp;"|"&amp;H$4&amp;"|1",Planning!$W:$X,2,0),"")</f>
        <v/>
      </c>
    </row>
    <row r="8" ht="52.59999999999999" customHeight="1">
      <c r="A8" s="54" t="inlineStr">
        <is>
          <t>6éme Pilote (A)</t>
        </is>
      </c>
      <c r="B8" s="55">
        <f>IFERROR(VLOOKUP($J$4&amp;"|"&amp;$A$8&amp;"|"&amp;B$4&amp;"|1",Planning!$W:$X,2,0),"")</f>
        <v/>
      </c>
      <c r="C8" s="55">
        <f>IFERROR(VLOOKUP($J$4&amp;"|"&amp;$A$8&amp;"|"&amp;C$4&amp;"|1",Planning!$W:$X,2,0),"")</f>
        <v/>
      </c>
      <c r="D8" s="55">
        <f>IFERROR(VLOOKUP($J$4&amp;"|"&amp;$A$8&amp;"|"&amp;D$4&amp;"|1",Planning!$W:$X,2,0),"")</f>
        <v/>
      </c>
      <c r="E8" s="55">
        <f>IFERROR(VLOOKUP($J$4&amp;"|"&amp;$A$8&amp;"|"&amp;E$4&amp;"|1",Planning!$W:$X,2,0),"")</f>
        <v/>
      </c>
      <c r="F8" s="55">
        <f>IFERROR(VLOOKUP($J$4&amp;"|"&amp;$A$8&amp;"|"&amp;F$4&amp;"|1",Planning!$W:$X,2,0),"")</f>
        <v/>
      </c>
      <c r="G8" s="56">
        <f>IFERROR(VLOOKUP($J$4&amp;"|"&amp;$A$8&amp;"|"&amp;G$4&amp;"|1",Planning!$W:$X,2,0),"")</f>
        <v/>
      </c>
      <c r="H8" s="56">
        <f>IFERROR(VLOOKUP($J$4&amp;"|"&amp;$A$8&amp;"|"&amp;H$4&amp;"|1",Planning!$W:$X,2,0),"")</f>
        <v/>
      </c>
    </row>
    <row r="9" ht="52.59999999999999" customHeight="1">
      <c r="A9" s="54" t="inlineStr">
        <is>
          <t>6éme (B)</t>
        </is>
      </c>
      <c r="B9" s="55">
        <f>IFERROR(VLOOKUP($J$4&amp;"|"&amp;$A$9&amp;"|"&amp;B$4&amp;"|1",Planning!$W:$X,2,0),"")</f>
        <v/>
      </c>
      <c r="C9" s="55">
        <f>IFERROR(VLOOKUP($J$4&amp;"|"&amp;$A$9&amp;"|"&amp;C$4&amp;"|1",Planning!$W:$X,2,0),"")</f>
        <v/>
      </c>
      <c r="D9" s="55">
        <f>IFERROR(VLOOKUP($J$4&amp;"|"&amp;$A$9&amp;"|"&amp;D$4&amp;"|1",Planning!$W:$X,2,0),"")</f>
        <v/>
      </c>
      <c r="E9" s="55">
        <f>IFERROR(VLOOKUP($J$4&amp;"|"&amp;$A$9&amp;"|"&amp;E$4&amp;"|1",Planning!$W:$X,2,0),"")</f>
        <v/>
      </c>
      <c r="F9" s="55">
        <f>IFERROR(VLOOKUP($J$4&amp;"|"&amp;$A$9&amp;"|"&amp;F$4&amp;"|1",Planning!$W:$X,2,0),"")</f>
        <v/>
      </c>
      <c r="G9" s="56">
        <f>IFERROR(VLOOKUP($J$4&amp;"|"&amp;$A$9&amp;"|"&amp;G$4&amp;"|1",Planning!$W:$X,2,0),"")</f>
        <v/>
      </c>
      <c r="H9" s="56">
        <f>IFERROR(VLOOKUP($J$4&amp;"|"&amp;$A$9&amp;"|"&amp;H$4&amp;"|1",Planning!$W:$X,2,0),"")</f>
        <v/>
      </c>
    </row>
    <row r="10" ht="21" customHeight="1">
      <c r="A10" s="57" t="inlineStr">
        <is>
          <t>CYCLE COLLÈGE   (8 classes)</t>
        </is>
      </c>
      <c r="B10" s="58" t="n"/>
      <c r="C10" s="58" t="n"/>
      <c r="D10" s="58" t="n"/>
      <c r="E10" s="58" t="n"/>
      <c r="F10" s="58" t="n"/>
      <c r="G10" s="58" t="n"/>
      <c r="H10" s="58" t="n"/>
    </row>
    <row r="11" ht="52.59999999999999" customHeight="1">
      <c r="A11" s="59" t="inlineStr">
        <is>
          <t>7éme (A)</t>
        </is>
      </c>
      <c r="B11" s="55">
        <f>IFERROR(VLOOKUP($J$4&amp;"|"&amp;$A$11&amp;"|"&amp;B$4&amp;"|1",Planning!$W:$X,2,0),"")</f>
        <v/>
      </c>
      <c r="C11" s="55">
        <f>IFERROR(VLOOKUP($J$4&amp;"|"&amp;$A$11&amp;"|"&amp;C$4&amp;"|1",Planning!$W:$X,2,0),"")</f>
        <v/>
      </c>
      <c r="D11" s="55">
        <f>IFERROR(VLOOKUP($J$4&amp;"|"&amp;$A$11&amp;"|"&amp;D$4&amp;"|1",Planning!$W:$X,2,0),"")</f>
        <v/>
      </c>
      <c r="E11" s="55">
        <f>IFERROR(VLOOKUP($J$4&amp;"|"&amp;$A$11&amp;"|"&amp;E$4&amp;"|1",Planning!$W:$X,2,0),"")</f>
        <v/>
      </c>
      <c r="F11" s="55">
        <f>IFERROR(VLOOKUP($J$4&amp;"|"&amp;$A$11&amp;"|"&amp;F$4&amp;"|1",Planning!$W:$X,2,0),"")</f>
        <v/>
      </c>
      <c r="G11" s="56">
        <f>IFERROR(VLOOKUP($J$4&amp;"|"&amp;$A$11&amp;"|"&amp;G$4&amp;"|1",Planning!$W:$X,2,0),"")</f>
        <v/>
      </c>
      <c r="H11" s="56">
        <f>IFERROR(VLOOKUP($J$4&amp;"|"&amp;$A$11&amp;"|"&amp;H$4&amp;"|1",Planning!$W:$X,2,0),"")</f>
        <v/>
      </c>
    </row>
    <row r="12" ht="52.59999999999999" customHeight="1">
      <c r="A12" s="59" t="inlineStr">
        <is>
          <t>7éme (B)</t>
        </is>
      </c>
      <c r="B12" s="55">
        <f>IFERROR(VLOOKUP($J$4&amp;"|"&amp;$A$12&amp;"|"&amp;B$4&amp;"|1",Planning!$W:$X,2,0),"")</f>
        <v/>
      </c>
      <c r="C12" s="55">
        <f>IFERROR(VLOOKUP($J$4&amp;"|"&amp;$A$12&amp;"|"&amp;C$4&amp;"|1",Planning!$W:$X,2,0),"")</f>
        <v/>
      </c>
      <c r="D12" s="55">
        <f>IFERROR(VLOOKUP($J$4&amp;"|"&amp;$A$12&amp;"|"&amp;D$4&amp;"|1",Planning!$W:$X,2,0),"")</f>
        <v/>
      </c>
      <c r="E12" s="55">
        <f>IFERROR(VLOOKUP($J$4&amp;"|"&amp;$A$12&amp;"|"&amp;E$4&amp;"|1",Planning!$W:$X,2,0),"")</f>
        <v/>
      </c>
      <c r="F12" s="55">
        <f>IFERROR(VLOOKUP($J$4&amp;"|"&amp;$A$12&amp;"|"&amp;F$4&amp;"|1",Planning!$W:$X,2,0),"")</f>
        <v/>
      </c>
      <c r="G12" s="56">
        <f>IFERROR(VLOOKUP($J$4&amp;"|"&amp;$A$12&amp;"|"&amp;G$4&amp;"|1",Planning!$W:$X,2,0),"")</f>
        <v/>
      </c>
      <c r="H12" s="56">
        <f>IFERROR(VLOOKUP($J$4&amp;"|"&amp;$A$12&amp;"|"&amp;H$4&amp;"|1",Planning!$W:$X,2,0),"")</f>
        <v/>
      </c>
    </row>
    <row r="13" ht="52.59999999999999" customHeight="1">
      <c r="A13" s="59" t="inlineStr">
        <is>
          <t>8éme (A)</t>
        </is>
      </c>
      <c r="B13" s="55">
        <f>IFERROR(VLOOKUP($J$4&amp;"|"&amp;$A$13&amp;"|"&amp;B$4&amp;"|1",Planning!$W:$X,2,0),"")</f>
        <v/>
      </c>
      <c r="C13" s="55">
        <f>IFERROR(VLOOKUP($J$4&amp;"|"&amp;$A$13&amp;"|"&amp;C$4&amp;"|1",Planning!$W:$X,2,0),"")</f>
        <v/>
      </c>
      <c r="D13" s="55">
        <f>IFERROR(VLOOKUP($J$4&amp;"|"&amp;$A$13&amp;"|"&amp;D$4&amp;"|1",Planning!$W:$X,2,0),"")</f>
        <v/>
      </c>
      <c r="E13" s="55">
        <f>IFERROR(VLOOKUP($J$4&amp;"|"&amp;$A$13&amp;"|"&amp;E$4&amp;"|1",Planning!$W:$X,2,0),"")</f>
        <v/>
      </c>
      <c r="F13" s="55">
        <f>IFERROR(VLOOKUP($J$4&amp;"|"&amp;$A$13&amp;"|"&amp;F$4&amp;"|1",Planning!$W:$X,2,0),"")</f>
        <v/>
      </c>
      <c r="G13" s="56">
        <f>IFERROR(VLOOKUP($J$4&amp;"|"&amp;$A$13&amp;"|"&amp;G$4&amp;"|1",Planning!$W:$X,2,0),"")</f>
        <v/>
      </c>
      <c r="H13" s="56">
        <f>IFERROR(VLOOKUP($J$4&amp;"|"&amp;$A$13&amp;"|"&amp;H$4&amp;"|1",Planning!$W:$X,2,0),"")</f>
        <v/>
      </c>
    </row>
    <row r="14" ht="52.59999999999999" customHeight="1">
      <c r="A14" s="59" t="inlineStr">
        <is>
          <t>8éme (B)</t>
        </is>
      </c>
      <c r="B14" s="55">
        <f>IFERROR(VLOOKUP($J$4&amp;"|"&amp;$A$14&amp;"|"&amp;B$4&amp;"|1",Planning!$W:$X,2,0),"")</f>
        <v/>
      </c>
      <c r="C14" s="55">
        <f>IFERROR(VLOOKUP($J$4&amp;"|"&amp;$A$14&amp;"|"&amp;C$4&amp;"|1",Planning!$W:$X,2,0),"")</f>
        <v/>
      </c>
      <c r="D14" s="55">
        <f>IFERROR(VLOOKUP($J$4&amp;"|"&amp;$A$14&amp;"|"&amp;D$4&amp;"|1",Planning!$W:$X,2,0),"")</f>
        <v/>
      </c>
      <c r="E14" s="55">
        <f>IFERROR(VLOOKUP($J$4&amp;"|"&amp;$A$14&amp;"|"&amp;E$4&amp;"|1",Planning!$W:$X,2,0),"")</f>
        <v/>
      </c>
      <c r="F14" s="55">
        <f>IFERROR(VLOOKUP($J$4&amp;"|"&amp;$A$14&amp;"|"&amp;F$4&amp;"|1",Planning!$W:$X,2,0),"")</f>
        <v/>
      </c>
      <c r="G14" s="56">
        <f>IFERROR(VLOOKUP($J$4&amp;"|"&amp;$A$14&amp;"|"&amp;G$4&amp;"|1",Planning!$W:$X,2,0),"")</f>
        <v/>
      </c>
      <c r="H14" s="56">
        <f>IFERROR(VLOOKUP($J$4&amp;"|"&amp;$A$14&amp;"|"&amp;H$4&amp;"|1",Planning!$W:$X,2,0),"")</f>
        <v/>
      </c>
    </row>
    <row r="15" ht="52.59999999999999" customHeight="1">
      <c r="A15" s="59" t="inlineStr">
        <is>
          <t>8éme (C)</t>
        </is>
      </c>
      <c r="B15" s="55">
        <f>IFERROR(VLOOKUP($J$4&amp;"|"&amp;$A$15&amp;"|"&amp;B$4&amp;"|1",Planning!$W:$X,2,0),"")</f>
        <v/>
      </c>
      <c r="C15" s="55">
        <f>IFERROR(VLOOKUP($J$4&amp;"|"&amp;$A$15&amp;"|"&amp;C$4&amp;"|1",Planning!$W:$X,2,0),"")</f>
        <v/>
      </c>
      <c r="D15" s="55">
        <f>IFERROR(VLOOKUP($J$4&amp;"|"&amp;$A$15&amp;"|"&amp;D$4&amp;"|1",Planning!$W:$X,2,0),"")</f>
        <v/>
      </c>
      <c r="E15" s="55">
        <f>IFERROR(VLOOKUP($J$4&amp;"|"&amp;$A$15&amp;"|"&amp;E$4&amp;"|1",Planning!$W:$X,2,0),"")</f>
        <v/>
      </c>
      <c r="F15" s="55">
        <f>IFERROR(VLOOKUP($J$4&amp;"|"&amp;$A$15&amp;"|"&amp;F$4&amp;"|1",Planning!$W:$X,2,0),"")</f>
        <v/>
      </c>
      <c r="G15" s="56">
        <f>IFERROR(VLOOKUP($J$4&amp;"|"&amp;$A$15&amp;"|"&amp;G$4&amp;"|1",Planning!$W:$X,2,0),"")</f>
        <v/>
      </c>
      <c r="H15" s="56">
        <f>IFERROR(VLOOKUP($J$4&amp;"|"&amp;$A$15&amp;"|"&amp;H$4&amp;"|1",Planning!$W:$X,2,0),"")</f>
        <v/>
      </c>
    </row>
    <row r="16" ht="52.59999999999999" customHeight="1">
      <c r="A16" s="59" t="inlineStr">
        <is>
          <t>9éme (A)</t>
        </is>
      </c>
      <c r="B16" s="55">
        <f>IFERROR(VLOOKUP($J$4&amp;"|"&amp;$A$16&amp;"|"&amp;B$4&amp;"|1",Planning!$W:$X,2,0),"")</f>
        <v/>
      </c>
      <c r="C16" s="55">
        <f>IFERROR(VLOOKUP($J$4&amp;"|"&amp;$A$16&amp;"|"&amp;C$4&amp;"|1",Planning!$W:$X,2,0),"")</f>
        <v/>
      </c>
      <c r="D16" s="55">
        <f>IFERROR(VLOOKUP($J$4&amp;"|"&amp;$A$16&amp;"|"&amp;D$4&amp;"|1",Planning!$W:$X,2,0),"")</f>
        <v/>
      </c>
      <c r="E16" s="55">
        <f>IFERROR(VLOOKUP($J$4&amp;"|"&amp;$A$16&amp;"|"&amp;E$4&amp;"|1",Planning!$W:$X,2,0),"")</f>
        <v/>
      </c>
      <c r="F16" s="55">
        <f>IFERROR(VLOOKUP($J$4&amp;"|"&amp;$A$16&amp;"|"&amp;F$4&amp;"|1",Planning!$W:$X,2,0),"")</f>
        <v/>
      </c>
      <c r="G16" s="56">
        <f>IFERROR(VLOOKUP($J$4&amp;"|"&amp;$A$16&amp;"|"&amp;G$4&amp;"|1",Planning!$W:$X,2,0),"")</f>
        <v/>
      </c>
      <c r="H16" s="56">
        <f>IFERROR(VLOOKUP($J$4&amp;"|"&amp;$A$16&amp;"|"&amp;H$4&amp;"|1",Planning!$W:$X,2,0),"")</f>
        <v/>
      </c>
    </row>
    <row r="17" ht="52.59999999999999" customHeight="1">
      <c r="A17" s="60" t="n"/>
      <c r="B17" s="55">
        <f>IFERROR(VLOOKUP($J$4&amp;"|"&amp;$A$16&amp;"|"&amp;B$4&amp;"|2",Planning!$W:$X,2,0),"")</f>
        <v/>
      </c>
      <c r="C17" s="55">
        <f>IFERROR(VLOOKUP($J$4&amp;"|"&amp;$A$16&amp;"|"&amp;C$4&amp;"|2",Planning!$W:$X,2,0),"")</f>
        <v/>
      </c>
      <c r="D17" s="55">
        <f>IFERROR(VLOOKUP($J$4&amp;"|"&amp;$A$16&amp;"|"&amp;D$4&amp;"|2",Planning!$W:$X,2,0),"")</f>
        <v/>
      </c>
      <c r="E17" s="55">
        <f>IFERROR(VLOOKUP($J$4&amp;"|"&amp;$A$16&amp;"|"&amp;E$4&amp;"|2",Planning!$W:$X,2,0),"")</f>
        <v/>
      </c>
      <c r="F17" s="55">
        <f>IFERROR(VLOOKUP($J$4&amp;"|"&amp;$A$16&amp;"|"&amp;F$4&amp;"|2",Planning!$W:$X,2,0),"")</f>
        <v/>
      </c>
      <c r="G17" s="56">
        <f>IFERROR(VLOOKUP($J$4&amp;"|"&amp;$A$16&amp;"|"&amp;G$4&amp;"|2",Planning!$W:$X,2,0),"")</f>
        <v/>
      </c>
      <c r="H17" s="56">
        <f>IFERROR(VLOOKUP($J$4&amp;"|"&amp;$A$16&amp;"|"&amp;H$4&amp;"|2",Planning!$W:$X,2,0),"")</f>
        <v/>
      </c>
    </row>
    <row r="18" ht="52.59999999999999" customHeight="1">
      <c r="A18" s="59" t="inlineStr">
        <is>
          <t>9éme (B)</t>
        </is>
      </c>
      <c r="B18" s="55">
        <f>IFERROR(VLOOKUP($J$4&amp;"|"&amp;$A$18&amp;"|"&amp;B$4&amp;"|1",Planning!$W:$X,2,0),"")</f>
        <v/>
      </c>
      <c r="C18" s="55">
        <f>IFERROR(VLOOKUP($J$4&amp;"|"&amp;$A$18&amp;"|"&amp;C$4&amp;"|1",Planning!$W:$X,2,0),"")</f>
        <v/>
      </c>
      <c r="D18" s="55">
        <f>IFERROR(VLOOKUP($J$4&amp;"|"&amp;$A$18&amp;"|"&amp;D$4&amp;"|1",Planning!$W:$X,2,0),"")</f>
        <v/>
      </c>
      <c r="E18" s="55">
        <f>IFERROR(VLOOKUP($J$4&amp;"|"&amp;$A$18&amp;"|"&amp;E$4&amp;"|1",Planning!$W:$X,2,0),"")</f>
        <v/>
      </c>
      <c r="F18" s="55">
        <f>IFERROR(VLOOKUP($J$4&amp;"|"&amp;$A$18&amp;"|"&amp;F$4&amp;"|1",Planning!$W:$X,2,0),"")</f>
        <v/>
      </c>
      <c r="G18" s="56">
        <f>IFERROR(VLOOKUP($J$4&amp;"|"&amp;$A$18&amp;"|"&amp;G$4&amp;"|1",Planning!$W:$X,2,0),"")</f>
        <v/>
      </c>
      <c r="H18" s="56">
        <f>IFERROR(VLOOKUP($J$4&amp;"|"&amp;$A$18&amp;"|"&amp;H$4&amp;"|1",Planning!$W:$X,2,0),"")</f>
        <v/>
      </c>
    </row>
    <row r="19" ht="52.59999999999999" customHeight="1">
      <c r="A19" s="60" t="n"/>
      <c r="B19" s="55">
        <f>IFERROR(VLOOKUP($J$4&amp;"|"&amp;$A$18&amp;"|"&amp;B$4&amp;"|2",Planning!$W:$X,2,0),"")</f>
        <v/>
      </c>
      <c r="C19" s="55">
        <f>IFERROR(VLOOKUP($J$4&amp;"|"&amp;$A$18&amp;"|"&amp;C$4&amp;"|2",Planning!$W:$X,2,0),"")</f>
        <v/>
      </c>
      <c r="D19" s="55">
        <f>IFERROR(VLOOKUP($J$4&amp;"|"&amp;$A$18&amp;"|"&amp;D$4&amp;"|2",Planning!$W:$X,2,0),"")</f>
        <v/>
      </c>
      <c r="E19" s="55">
        <f>IFERROR(VLOOKUP($J$4&amp;"|"&amp;$A$18&amp;"|"&amp;E$4&amp;"|2",Planning!$W:$X,2,0),"")</f>
        <v/>
      </c>
      <c r="F19" s="55">
        <f>IFERROR(VLOOKUP($J$4&amp;"|"&amp;$A$18&amp;"|"&amp;F$4&amp;"|2",Planning!$W:$X,2,0),"")</f>
        <v/>
      </c>
      <c r="G19" s="56">
        <f>IFERROR(VLOOKUP($J$4&amp;"|"&amp;$A$18&amp;"|"&amp;G$4&amp;"|2",Planning!$W:$X,2,0),"")</f>
        <v/>
      </c>
      <c r="H19" s="56">
        <f>IFERROR(VLOOKUP($J$4&amp;"|"&amp;$A$18&amp;"|"&amp;H$4&amp;"|2",Planning!$W:$X,2,0),"")</f>
        <v/>
      </c>
    </row>
    <row r="20" ht="52.59999999999999" customHeight="1">
      <c r="A20" s="59" t="inlineStr">
        <is>
          <t>9éme (C)</t>
        </is>
      </c>
      <c r="B20" s="55">
        <f>IFERROR(VLOOKUP($J$4&amp;"|"&amp;$A$20&amp;"|"&amp;B$4&amp;"|1",Planning!$W:$X,2,0),"")</f>
        <v/>
      </c>
      <c r="C20" s="55">
        <f>IFERROR(VLOOKUP($J$4&amp;"|"&amp;$A$20&amp;"|"&amp;C$4&amp;"|1",Planning!$W:$X,2,0),"")</f>
        <v/>
      </c>
      <c r="D20" s="55">
        <f>IFERROR(VLOOKUP($J$4&amp;"|"&amp;$A$20&amp;"|"&amp;D$4&amp;"|1",Planning!$W:$X,2,0),"")</f>
        <v/>
      </c>
      <c r="E20" s="55">
        <f>IFERROR(VLOOKUP($J$4&amp;"|"&amp;$A$20&amp;"|"&amp;E$4&amp;"|1",Planning!$W:$X,2,0),"")</f>
        <v/>
      </c>
      <c r="F20" s="55">
        <f>IFERROR(VLOOKUP($J$4&amp;"|"&amp;$A$20&amp;"|"&amp;F$4&amp;"|1",Planning!$W:$X,2,0),"")</f>
        <v/>
      </c>
      <c r="G20" s="56">
        <f>IFERROR(VLOOKUP($J$4&amp;"|"&amp;$A$20&amp;"|"&amp;G$4&amp;"|1",Planning!$W:$X,2,0),"")</f>
        <v/>
      </c>
      <c r="H20" s="56">
        <f>IFERROR(VLOOKUP($J$4&amp;"|"&amp;$A$20&amp;"|"&amp;H$4&amp;"|1",Planning!$W:$X,2,0),"")</f>
        <v/>
      </c>
    </row>
    <row r="21" ht="21" customHeight="1">
      <c r="A21" s="61" t="inlineStr">
        <is>
          <t>CYCLE SECONDAIRE   (8 classes)</t>
        </is>
      </c>
      <c r="B21" s="62" t="n"/>
      <c r="C21" s="62" t="n"/>
      <c r="D21" s="62" t="n"/>
      <c r="E21" s="62" t="n"/>
      <c r="F21" s="62" t="n"/>
      <c r="G21" s="62" t="n"/>
      <c r="H21" s="62" t="n"/>
    </row>
    <row r="22" ht="52.59999999999999" customHeight="1">
      <c r="A22" s="63" t="inlineStr">
        <is>
          <t>1ére (A)</t>
        </is>
      </c>
      <c r="B22" s="55">
        <f>IFERROR(VLOOKUP($J$4&amp;"|"&amp;$A$22&amp;"|"&amp;B$4&amp;"|1",Planning!$W:$X,2,0),"")</f>
        <v/>
      </c>
      <c r="C22" s="55">
        <f>IFERROR(VLOOKUP($J$4&amp;"|"&amp;$A$22&amp;"|"&amp;C$4&amp;"|1",Planning!$W:$X,2,0),"")</f>
        <v/>
      </c>
      <c r="D22" s="55">
        <f>IFERROR(VLOOKUP($J$4&amp;"|"&amp;$A$22&amp;"|"&amp;D$4&amp;"|1",Planning!$W:$X,2,0),"")</f>
        <v/>
      </c>
      <c r="E22" s="55">
        <f>IFERROR(VLOOKUP($J$4&amp;"|"&amp;$A$22&amp;"|"&amp;E$4&amp;"|1",Planning!$W:$X,2,0),"")</f>
        <v/>
      </c>
      <c r="F22" s="55">
        <f>IFERROR(VLOOKUP($J$4&amp;"|"&amp;$A$22&amp;"|"&amp;F$4&amp;"|1",Planning!$W:$X,2,0),"")</f>
        <v/>
      </c>
      <c r="G22" s="56">
        <f>IFERROR(VLOOKUP($J$4&amp;"|"&amp;$A$22&amp;"|"&amp;G$4&amp;"|1",Planning!$W:$X,2,0),"")</f>
        <v/>
      </c>
      <c r="H22" s="56">
        <f>IFERROR(VLOOKUP($J$4&amp;"|"&amp;$A$22&amp;"|"&amp;H$4&amp;"|1",Planning!$W:$X,2,0),"")</f>
        <v/>
      </c>
    </row>
    <row r="23" ht="52.59999999999999" customHeight="1">
      <c r="A23" s="63" t="inlineStr">
        <is>
          <t>1ére (B)</t>
        </is>
      </c>
      <c r="B23" s="55">
        <f>IFERROR(VLOOKUP($J$4&amp;"|"&amp;$A$23&amp;"|"&amp;B$4&amp;"|1",Planning!$W:$X,2,0),"")</f>
        <v/>
      </c>
      <c r="C23" s="55">
        <f>IFERROR(VLOOKUP($J$4&amp;"|"&amp;$A$23&amp;"|"&amp;C$4&amp;"|1",Planning!$W:$X,2,0),"")</f>
        <v/>
      </c>
      <c r="D23" s="55">
        <f>IFERROR(VLOOKUP($J$4&amp;"|"&amp;$A$23&amp;"|"&amp;D$4&amp;"|1",Planning!$W:$X,2,0),"")</f>
        <v/>
      </c>
      <c r="E23" s="55">
        <f>IFERROR(VLOOKUP($J$4&amp;"|"&amp;$A$23&amp;"|"&amp;E$4&amp;"|1",Planning!$W:$X,2,0),"")</f>
        <v/>
      </c>
      <c r="F23" s="55">
        <f>IFERROR(VLOOKUP($J$4&amp;"|"&amp;$A$23&amp;"|"&amp;F$4&amp;"|1",Planning!$W:$X,2,0),"")</f>
        <v/>
      </c>
      <c r="G23" s="56">
        <f>IFERROR(VLOOKUP($J$4&amp;"|"&amp;$A$23&amp;"|"&amp;G$4&amp;"|1",Planning!$W:$X,2,0),"")</f>
        <v/>
      </c>
      <c r="H23" s="56">
        <f>IFERROR(VLOOKUP($J$4&amp;"|"&amp;$A$23&amp;"|"&amp;H$4&amp;"|1",Planning!$W:$X,2,0),"")</f>
        <v/>
      </c>
    </row>
    <row r="24" ht="52.59999999999999" customHeight="1">
      <c r="A24" s="64" t="n"/>
      <c r="B24" s="55">
        <f>IFERROR(VLOOKUP($J$4&amp;"|"&amp;$A$23&amp;"|"&amp;B$4&amp;"|2",Planning!$W:$X,2,0),"")</f>
        <v/>
      </c>
      <c r="C24" s="55">
        <f>IFERROR(VLOOKUP($J$4&amp;"|"&amp;$A$23&amp;"|"&amp;C$4&amp;"|2",Planning!$W:$X,2,0),"")</f>
        <v/>
      </c>
      <c r="D24" s="55">
        <f>IFERROR(VLOOKUP($J$4&amp;"|"&amp;$A$23&amp;"|"&amp;D$4&amp;"|2",Planning!$W:$X,2,0),"")</f>
        <v/>
      </c>
      <c r="E24" s="55">
        <f>IFERROR(VLOOKUP($J$4&amp;"|"&amp;$A$23&amp;"|"&amp;E$4&amp;"|2",Planning!$W:$X,2,0),"")</f>
        <v/>
      </c>
      <c r="F24" s="55">
        <f>IFERROR(VLOOKUP($J$4&amp;"|"&amp;$A$23&amp;"|"&amp;F$4&amp;"|2",Planning!$W:$X,2,0),"")</f>
        <v/>
      </c>
      <c r="G24" s="56">
        <f>IFERROR(VLOOKUP($J$4&amp;"|"&amp;$A$23&amp;"|"&amp;G$4&amp;"|2",Planning!$W:$X,2,0),"")</f>
        <v/>
      </c>
      <c r="H24" s="56">
        <f>IFERROR(VLOOKUP($J$4&amp;"|"&amp;$A$23&amp;"|"&amp;H$4&amp;"|2",Planning!$W:$X,2,0),"")</f>
        <v/>
      </c>
    </row>
    <row r="25" ht="52.59999999999999" customHeight="1">
      <c r="A25" s="63" t="inlineStr">
        <is>
          <t>2éme Eco</t>
        </is>
      </c>
      <c r="B25" s="55">
        <f>IFERROR(VLOOKUP($J$4&amp;"|"&amp;$A$25&amp;"|"&amp;B$4&amp;"|1",Planning!$W:$X,2,0),"")</f>
        <v/>
      </c>
      <c r="C25" s="55">
        <f>IFERROR(VLOOKUP($J$4&amp;"|"&amp;$A$25&amp;"|"&amp;C$4&amp;"|1",Planning!$W:$X,2,0),"")</f>
        <v/>
      </c>
      <c r="D25" s="55">
        <f>IFERROR(VLOOKUP($J$4&amp;"|"&amp;$A$25&amp;"|"&amp;D$4&amp;"|1",Planning!$W:$X,2,0),"")</f>
        <v/>
      </c>
      <c r="E25" s="55">
        <f>IFERROR(VLOOKUP($J$4&amp;"|"&amp;$A$25&amp;"|"&amp;E$4&amp;"|1",Planning!$W:$X,2,0),"")</f>
        <v/>
      </c>
      <c r="F25" s="55">
        <f>IFERROR(VLOOKUP($J$4&amp;"|"&amp;$A$25&amp;"|"&amp;F$4&amp;"|1",Planning!$W:$X,2,0),"")</f>
        <v/>
      </c>
      <c r="G25" s="56">
        <f>IFERROR(VLOOKUP($J$4&amp;"|"&amp;$A$25&amp;"|"&amp;G$4&amp;"|1",Planning!$W:$X,2,0),"")</f>
        <v/>
      </c>
      <c r="H25" s="56">
        <f>IFERROR(VLOOKUP($J$4&amp;"|"&amp;$A$25&amp;"|"&amp;H$4&amp;"|1",Planning!$W:$X,2,0),"")</f>
        <v/>
      </c>
    </row>
    <row r="26" ht="52.59999999999999" customHeight="1">
      <c r="A26" s="63" t="inlineStr">
        <is>
          <t>2éme SCE</t>
        </is>
      </c>
      <c r="B26" s="55">
        <f>IFERROR(VLOOKUP($J$4&amp;"|"&amp;$A$26&amp;"|"&amp;B$4&amp;"|1",Planning!$W:$X,2,0),"")</f>
        <v/>
      </c>
      <c r="C26" s="55">
        <f>IFERROR(VLOOKUP($J$4&amp;"|"&amp;$A$26&amp;"|"&amp;C$4&amp;"|1",Planning!$W:$X,2,0),"")</f>
        <v/>
      </c>
      <c r="D26" s="55">
        <f>IFERROR(VLOOKUP($J$4&amp;"|"&amp;$A$26&amp;"|"&amp;D$4&amp;"|1",Planning!$W:$X,2,0),"")</f>
        <v/>
      </c>
      <c r="E26" s="55">
        <f>IFERROR(VLOOKUP($J$4&amp;"|"&amp;$A$26&amp;"|"&amp;E$4&amp;"|1",Planning!$W:$X,2,0),"")</f>
        <v/>
      </c>
      <c r="F26" s="55">
        <f>IFERROR(VLOOKUP($J$4&amp;"|"&amp;$A$26&amp;"|"&amp;F$4&amp;"|1",Planning!$W:$X,2,0),"")</f>
        <v/>
      </c>
      <c r="G26" s="56">
        <f>IFERROR(VLOOKUP($J$4&amp;"|"&amp;$A$26&amp;"|"&amp;G$4&amp;"|1",Planning!$W:$X,2,0),"")</f>
        <v/>
      </c>
      <c r="H26" s="56">
        <f>IFERROR(VLOOKUP($J$4&amp;"|"&amp;$A$26&amp;"|"&amp;H$4&amp;"|1",Planning!$W:$X,2,0),"")</f>
        <v/>
      </c>
    </row>
    <row r="27" ht="52.59999999999999" customHeight="1">
      <c r="A27" s="63" t="inlineStr">
        <is>
          <t>2éme INFO</t>
        </is>
      </c>
      <c r="B27" s="55">
        <f>IFERROR(VLOOKUP($J$4&amp;"|"&amp;$A$27&amp;"|"&amp;B$4&amp;"|1",Planning!$W:$X,2,0),"")</f>
        <v/>
      </c>
      <c r="C27" s="55">
        <f>IFERROR(VLOOKUP($J$4&amp;"|"&amp;$A$27&amp;"|"&amp;C$4&amp;"|1",Planning!$W:$X,2,0),"")</f>
        <v/>
      </c>
      <c r="D27" s="55">
        <f>IFERROR(VLOOKUP($J$4&amp;"|"&amp;$A$27&amp;"|"&amp;D$4&amp;"|1",Planning!$W:$X,2,0),"")</f>
        <v/>
      </c>
      <c r="E27" s="55">
        <f>IFERROR(VLOOKUP($J$4&amp;"|"&amp;$A$27&amp;"|"&amp;E$4&amp;"|1",Planning!$W:$X,2,0),"")</f>
        <v/>
      </c>
      <c r="F27" s="55">
        <f>IFERROR(VLOOKUP($J$4&amp;"|"&amp;$A$27&amp;"|"&amp;F$4&amp;"|1",Planning!$W:$X,2,0),"")</f>
        <v/>
      </c>
      <c r="G27" s="56">
        <f>IFERROR(VLOOKUP($J$4&amp;"|"&amp;$A$27&amp;"|"&amp;G$4&amp;"|1",Planning!$W:$X,2,0),"")</f>
        <v/>
      </c>
      <c r="H27" s="56">
        <f>IFERROR(VLOOKUP($J$4&amp;"|"&amp;$A$27&amp;"|"&amp;H$4&amp;"|1",Planning!$W:$X,2,0),"")</f>
        <v/>
      </c>
    </row>
    <row r="28" ht="52.59999999999999" customHeight="1">
      <c r="A28" s="63" t="inlineStr">
        <is>
          <t>3éme Eco</t>
        </is>
      </c>
      <c r="B28" s="55">
        <f>IFERROR(VLOOKUP($J$4&amp;"|"&amp;$A$28&amp;"|"&amp;B$4&amp;"|1",Planning!$W:$X,2,0),"")</f>
        <v/>
      </c>
      <c r="C28" s="55">
        <f>IFERROR(VLOOKUP($J$4&amp;"|"&amp;$A$28&amp;"|"&amp;C$4&amp;"|1",Planning!$W:$X,2,0),"")</f>
        <v/>
      </c>
      <c r="D28" s="55">
        <f>IFERROR(VLOOKUP($J$4&amp;"|"&amp;$A$28&amp;"|"&amp;D$4&amp;"|1",Planning!$W:$X,2,0),"")</f>
        <v/>
      </c>
      <c r="E28" s="55">
        <f>IFERROR(VLOOKUP($J$4&amp;"|"&amp;$A$28&amp;"|"&amp;E$4&amp;"|1",Planning!$W:$X,2,0),"")</f>
        <v/>
      </c>
      <c r="F28" s="55">
        <f>IFERROR(VLOOKUP($J$4&amp;"|"&amp;$A$28&amp;"|"&amp;F$4&amp;"|1",Planning!$W:$X,2,0),"")</f>
        <v/>
      </c>
      <c r="G28" s="56">
        <f>IFERROR(VLOOKUP($J$4&amp;"|"&amp;$A$28&amp;"|"&amp;G$4&amp;"|1",Planning!$W:$X,2,0),"")</f>
        <v/>
      </c>
      <c r="H28" s="56">
        <f>IFERROR(VLOOKUP($J$4&amp;"|"&amp;$A$28&amp;"|"&amp;H$4&amp;"|1",Planning!$W:$X,2,0),"")</f>
        <v/>
      </c>
    </row>
    <row r="29" ht="52.59999999999999" customHeight="1">
      <c r="A29" s="64" t="n"/>
      <c r="B29" s="55">
        <f>IFERROR(VLOOKUP($J$4&amp;"|"&amp;$A$28&amp;"|"&amp;B$4&amp;"|2",Planning!$W:$X,2,0),"")</f>
        <v/>
      </c>
      <c r="C29" s="55">
        <f>IFERROR(VLOOKUP($J$4&amp;"|"&amp;$A$28&amp;"|"&amp;C$4&amp;"|2",Planning!$W:$X,2,0),"")</f>
        <v/>
      </c>
      <c r="D29" s="55">
        <f>IFERROR(VLOOKUP($J$4&amp;"|"&amp;$A$28&amp;"|"&amp;D$4&amp;"|2",Planning!$W:$X,2,0),"")</f>
        <v/>
      </c>
      <c r="E29" s="55">
        <f>IFERROR(VLOOKUP($J$4&amp;"|"&amp;$A$28&amp;"|"&amp;E$4&amp;"|2",Planning!$W:$X,2,0),"")</f>
        <v/>
      </c>
      <c r="F29" s="55">
        <f>IFERROR(VLOOKUP($J$4&amp;"|"&amp;$A$28&amp;"|"&amp;F$4&amp;"|2",Planning!$W:$X,2,0),"")</f>
        <v/>
      </c>
      <c r="G29" s="56">
        <f>IFERROR(VLOOKUP($J$4&amp;"|"&amp;$A$28&amp;"|"&amp;G$4&amp;"|2",Planning!$W:$X,2,0),"")</f>
        <v/>
      </c>
      <c r="H29" s="56">
        <f>IFERROR(VLOOKUP($J$4&amp;"|"&amp;$A$28&amp;"|"&amp;H$4&amp;"|2",Planning!$W:$X,2,0),"")</f>
        <v/>
      </c>
    </row>
    <row r="30" ht="52.59999999999999" customHeight="1">
      <c r="A30" s="63" t="inlineStr">
        <is>
          <t>3éme INFO</t>
        </is>
      </c>
      <c r="B30" s="55">
        <f>IFERROR(VLOOKUP($J$4&amp;"|"&amp;$A$30&amp;"|"&amp;B$4&amp;"|1",Planning!$W:$X,2,0),"")</f>
        <v/>
      </c>
      <c r="C30" s="55">
        <f>IFERROR(VLOOKUP($J$4&amp;"|"&amp;$A$30&amp;"|"&amp;C$4&amp;"|1",Planning!$W:$X,2,0),"")</f>
        <v/>
      </c>
      <c r="D30" s="55">
        <f>IFERROR(VLOOKUP($J$4&amp;"|"&amp;$A$30&amp;"|"&amp;D$4&amp;"|1",Planning!$W:$X,2,0),"")</f>
        <v/>
      </c>
      <c r="E30" s="55">
        <f>IFERROR(VLOOKUP($J$4&amp;"|"&amp;$A$30&amp;"|"&amp;E$4&amp;"|1",Planning!$W:$X,2,0),"")</f>
        <v/>
      </c>
      <c r="F30" s="55">
        <f>IFERROR(VLOOKUP($J$4&amp;"|"&amp;$A$30&amp;"|"&amp;F$4&amp;"|1",Planning!$W:$X,2,0),"")</f>
        <v/>
      </c>
      <c r="G30" s="56">
        <f>IFERROR(VLOOKUP($J$4&amp;"|"&amp;$A$30&amp;"|"&amp;G$4&amp;"|1",Planning!$W:$X,2,0),"")</f>
        <v/>
      </c>
      <c r="H30" s="56">
        <f>IFERROR(VLOOKUP($J$4&amp;"|"&amp;$A$30&amp;"|"&amp;H$4&amp;"|1",Planning!$W:$X,2,0),"")</f>
        <v/>
      </c>
    </row>
    <row r="31" ht="52.59999999999999" customHeight="1">
      <c r="A31" s="63" t="inlineStr">
        <is>
          <t>3éme SCE</t>
        </is>
      </c>
      <c r="B31" s="55">
        <f>IFERROR(VLOOKUP($J$4&amp;"|"&amp;$A$31&amp;"|"&amp;B$4&amp;"|1",Planning!$W:$X,2,0),"")</f>
        <v/>
      </c>
      <c r="C31" s="55">
        <f>IFERROR(VLOOKUP($J$4&amp;"|"&amp;$A$31&amp;"|"&amp;C$4&amp;"|1",Planning!$W:$X,2,0),"")</f>
        <v/>
      </c>
      <c r="D31" s="55">
        <f>IFERROR(VLOOKUP($J$4&amp;"|"&amp;$A$31&amp;"|"&amp;D$4&amp;"|1",Planning!$W:$X,2,0),"")</f>
        <v/>
      </c>
      <c r="E31" s="55">
        <f>IFERROR(VLOOKUP($J$4&amp;"|"&amp;$A$31&amp;"|"&amp;E$4&amp;"|1",Planning!$W:$X,2,0),"")</f>
        <v/>
      </c>
      <c r="F31" s="55">
        <f>IFERROR(VLOOKUP($J$4&amp;"|"&amp;$A$31&amp;"|"&amp;F$4&amp;"|1",Planning!$W:$X,2,0),"")</f>
        <v/>
      </c>
      <c r="G31" s="56">
        <f>IFERROR(VLOOKUP($J$4&amp;"|"&amp;$A$31&amp;"|"&amp;G$4&amp;"|1",Planning!$W:$X,2,0),"")</f>
        <v/>
      </c>
      <c r="H31" s="56">
        <f>IFERROR(VLOOKUP($J$4&amp;"|"&amp;$A$31&amp;"|"&amp;H$4&amp;"|1",Planning!$W:$X,2,0),"")</f>
        <v/>
      </c>
    </row>
    <row r="32" ht="21" customHeight="1">
      <c r="A32" s="65" t="inlineStr">
        <is>
          <t>CYCLE BAC   (3 classes)</t>
        </is>
      </c>
      <c r="B32" s="66" t="n"/>
      <c r="C32" s="66" t="n"/>
      <c r="D32" s="66" t="n"/>
      <c r="E32" s="66" t="n"/>
      <c r="F32" s="66" t="n"/>
      <c r="G32" s="66" t="n"/>
      <c r="H32" s="66" t="n"/>
    </row>
    <row r="33" ht="52.59999999999999" customHeight="1">
      <c r="A33" s="67" t="inlineStr">
        <is>
          <t>Bac Eco</t>
        </is>
      </c>
      <c r="B33" s="55">
        <f>IFERROR(VLOOKUP($J$4&amp;"|"&amp;$A$33&amp;"|"&amp;B$4&amp;"|1",Planning!$W:$X,2,0),"")</f>
        <v/>
      </c>
      <c r="C33" s="55">
        <f>IFERROR(VLOOKUP($J$4&amp;"|"&amp;$A$33&amp;"|"&amp;C$4&amp;"|1",Planning!$W:$X,2,0),"")</f>
        <v/>
      </c>
      <c r="D33" s="55">
        <f>IFERROR(VLOOKUP($J$4&amp;"|"&amp;$A$33&amp;"|"&amp;D$4&amp;"|1",Planning!$W:$X,2,0),"")</f>
        <v/>
      </c>
      <c r="E33" s="55">
        <f>IFERROR(VLOOKUP($J$4&amp;"|"&amp;$A$33&amp;"|"&amp;E$4&amp;"|1",Planning!$W:$X,2,0),"")</f>
        <v/>
      </c>
      <c r="F33" s="55">
        <f>IFERROR(VLOOKUP($J$4&amp;"|"&amp;$A$33&amp;"|"&amp;F$4&amp;"|1",Planning!$W:$X,2,0),"")</f>
        <v/>
      </c>
      <c r="G33" s="56">
        <f>IFERROR(VLOOKUP($J$4&amp;"|"&amp;$A$33&amp;"|"&amp;G$4&amp;"|1",Planning!$W:$X,2,0),"")</f>
        <v/>
      </c>
      <c r="H33" s="56">
        <f>IFERROR(VLOOKUP($J$4&amp;"|"&amp;$A$33&amp;"|"&amp;H$4&amp;"|1",Planning!$W:$X,2,0),"")</f>
        <v/>
      </c>
    </row>
    <row r="34" ht="52.59999999999999" customHeight="1">
      <c r="A34" s="68" t="n"/>
      <c r="B34" s="55">
        <f>IFERROR(VLOOKUP($J$4&amp;"|"&amp;$A$33&amp;"|"&amp;B$4&amp;"|2",Planning!$W:$X,2,0),"")</f>
        <v/>
      </c>
      <c r="C34" s="55">
        <f>IFERROR(VLOOKUP($J$4&amp;"|"&amp;$A$33&amp;"|"&amp;C$4&amp;"|2",Planning!$W:$X,2,0),"")</f>
        <v/>
      </c>
      <c r="D34" s="55">
        <f>IFERROR(VLOOKUP($J$4&amp;"|"&amp;$A$33&amp;"|"&amp;D$4&amp;"|2",Planning!$W:$X,2,0),"")</f>
        <v/>
      </c>
      <c r="E34" s="55">
        <f>IFERROR(VLOOKUP($J$4&amp;"|"&amp;$A$33&amp;"|"&amp;E$4&amp;"|2",Planning!$W:$X,2,0),"")</f>
        <v/>
      </c>
      <c r="F34" s="55">
        <f>IFERROR(VLOOKUP($J$4&amp;"|"&amp;$A$33&amp;"|"&amp;F$4&amp;"|2",Planning!$W:$X,2,0),"")</f>
        <v/>
      </c>
      <c r="G34" s="56">
        <f>IFERROR(VLOOKUP($J$4&amp;"|"&amp;$A$33&amp;"|"&amp;G$4&amp;"|2",Planning!$W:$X,2,0),"")</f>
        <v/>
      </c>
      <c r="H34" s="56">
        <f>IFERROR(VLOOKUP($J$4&amp;"|"&amp;$A$33&amp;"|"&amp;H$4&amp;"|2",Planning!$W:$X,2,0),"")</f>
        <v/>
      </c>
    </row>
    <row r="35" ht="52.59999999999999" customHeight="1">
      <c r="A35" s="67" t="inlineStr">
        <is>
          <t>Bac SCE</t>
        </is>
      </c>
      <c r="B35" s="55">
        <f>IFERROR(VLOOKUP($J$4&amp;"|"&amp;$A$35&amp;"|"&amp;B$4&amp;"|1",Planning!$W:$X,2,0),"")</f>
        <v/>
      </c>
      <c r="C35" s="55">
        <f>IFERROR(VLOOKUP($J$4&amp;"|"&amp;$A$35&amp;"|"&amp;C$4&amp;"|1",Planning!$W:$X,2,0),"")</f>
        <v/>
      </c>
      <c r="D35" s="55">
        <f>IFERROR(VLOOKUP($J$4&amp;"|"&amp;$A$35&amp;"|"&amp;D$4&amp;"|1",Planning!$W:$X,2,0),"")</f>
        <v/>
      </c>
      <c r="E35" s="55">
        <f>IFERROR(VLOOKUP($J$4&amp;"|"&amp;$A$35&amp;"|"&amp;E$4&amp;"|1",Planning!$W:$X,2,0),"")</f>
        <v/>
      </c>
      <c r="F35" s="55">
        <f>IFERROR(VLOOKUP($J$4&amp;"|"&amp;$A$35&amp;"|"&amp;F$4&amp;"|1",Planning!$W:$X,2,0),"")</f>
        <v/>
      </c>
      <c r="G35" s="56">
        <f>IFERROR(VLOOKUP($J$4&amp;"|"&amp;$A$35&amp;"|"&amp;G$4&amp;"|1",Planning!$W:$X,2,0),"")</f>
        <v/>
      </c>
      <c r="H35" s="56">
        <f>IFERROR(VLOOKUP($J$4&amp;"|"&amp;$A$35&amp;"|"&amp;H$4&amp;"|1",Planning!$W:$X,2,0),"")</f>
        <v/>
      </c>
    </row>
    <row r="36" ht="52.59999999999999" customHeight="1">
      <c r="A36" s="67" t="inlineStr">
        <is>
          <t>Bac INFO</t>
        </is>
      </c>
      <c r="B36" s="55">
        <f>IFERROR(VLOOKUP($J$4&amp;"|"&amp;$A$36&amp;"|"&amp;B$4&amp;"|1",Planning!$W:$X,2,0),"")</f>
        <v/>
      </c>
      <c r="C36" s="55">
        <f>IFERROR(VLOOKUP($J$4&amp;"|"&amp;$A$36&amp;"|"&amp;C$4&amp;"|1",Planning!$W:$X,2,0),"")</f>
        <v/>
      </c>
      <c r="D36" s="55">
        <f>IFERROR(VLOOKUP($J$4&amp;"|"&amp;$A$36&amp;"|"&amp;D$4&amp;"|1",Planning!$W:$X,2,0),"")</f>
        <v/>
      </c>
      <c r="E36" s="55">
        <f>IFERROR(VLOOKUP($J$4&amp;"|"&amp;$A$36&amp;"|"&amp;E$4&amp;"|1",Planning!$W:$X,2,0),"")</f>
        <v/>
      </c>
      <c r="F36" s="55">
        <f>IFERROR(VLOOKUP($J$4&amp;"|"&amp;$A$36&amp;"|"&amp;F$4&amp;"|1",Planning!$W:$X,2,0),"")</f>
        <v/>
      </c>
      <c r="G36" s="56">
        <f>IFERROR(VLOOKUP($J$4&amp;"|"&amp;$A$36&amp;"|"&amp;G$4&amp;"|1",Planning!$W:$X,2,0),"")</f>
        <v/>
      </c>
      <c r="H36" s="56">
        <f>IFERROR(VLOOKUP($J$4&amp;"|"&amp;$A$36&amp;"|"&amp;H$4&amp;"|1",Planning!$W:$X,2,0),"")</f>
        <v/>
      </c>
    </row>
  </sheetData>
  <mergeCells count="11">
    <mergeCell ref="A1:H1"/>
    <mergeCell ref="A21:H21"/>
    <mergeCell ref="A28:A29"/>
    <mergeCell ref="A2:H2"/>
    <mergeCell ref="A33:A34"/>
    <mergeCell ref="A10:H10"/>
    <mergeCell ref="A23:A24"/>
    <mergeCell ref="A16:A17"/>
    <mergeCell ref="A5:H5"/>
    <mergeCell ref="A32:H32"/>
    <mergeCell ref="A18:A19"/>
  </mergeCells>
  <conditionalFormatting sqref="B5:H36">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6">
      <formula>ISNUMBER(SEARCH("◆ PONCTUEL",B5))</formula>
    </cfRule>
    <cfRule type="expression" priority="10" dxfId="17">
      <formula>ISNUMBER(SEARCH("◆ Q-",B5))</formula>
    </cfRule>
    <cfRule type="expression" priority="11" dxfId="1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19 au 25 octobre 2026</oddHeader>
    <oddFooter>&amp;L&amp;8 RS 2026-2027 · S6 (semaine B)&amp;R&amp;8 Page &amp;P / &amp;N</oddFooter>
    <evenHeader/>
    <evenFooter/>
    <firstHeader/>
    <firstFooter/>
  </headerFooter>
  <rowBreaks count="3" manualBreakCount="3">
    <brk id="9" min="0" max="16383" man="1"/>
    <brk id="20" min="0" max="16383" man="1"/>
    <brk id="31" min="0" max="16383" man="1"/>
  </rowBreaks>
</worksheet>
</file>

<file path=xl/worksheets/sheet10.xml><?xml version="1.0" encoding="utf-8"?>
<worksheet xmlns="http://schemas.openxmlformats.org/spreadsheetml/2006/main">
  <sheetPr>
    <tabColor rgb="002F6F7E"/>
    <outlinePr summaryBelow="1" summaryRight="1"/>
    <pageSetUpPr fitToPage="1"/>
  </sheetPr>
  <dimension ref="A1:J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S7 · DU 26 OCTOBRE AU 1ER NOVEMBRE 2026   |   SEMAINE A</t>
        </is>
      </c>
      <c r="B1" s="2" t="n"/>
      <c r="C1" s="2" t="n"/>
      <c r="D1" s="2" t="n"/>
      <c r="E1" s="2" t="n"/>
      <c r="F1" s="2" t="n"/>
      <c r="G1" s="2" t="n"/>
      <c r="H1" s="2" t="n"/>
    </row>
    <row r="2" ht="26" customHeight="1">
      <c r="A2" s="37" t="inlineStr">
        <is>
          <t>Chaque case = une séance : 1re ligne l’horaire, 2e la matière, 3e l’enseignant.   La couleur indique la famille de matières.   ◆ Q-A / ◆ Q-B = séance par quinzaine.   Case grise = aucune séance.   Contenu généré automatiquement depuis la feuille Planning.</t>
        </is>
      </c>
      <c r="B2" s="38" t="n"/>
      <c r="C2" s="38" t="n"/>
      <c r="D2" s="38" t="n"/>
      <c r="E2" s="38" t="n"/>
      <c r="F2" s="38" t="n"/>
      <c r="G2" s="38" t="n"/>
      <c r="H2" s="38" t="n"/>
    </row>
    <row r="3" ht="36" customHeight="1">
      <c r="A3" s="50" t="inlineStr">
        <is>
          <t>Classe / Groupe</t>
        </is>
      </c>
      <c r="B3" s="50" t="inlineStr">
        <is>
          <t>Lundi
26/10</t>
        </is>
      </c>
      <c r="C3" s="50" t="inlineStr">
        <is>
          <t>Mardi
27/10</t>
        </is>
      </c>
      <c r="D3" s="50" t="inlineStr">
        <is>
          <t>Mercredi
28/10</t>
        </is>
      </c>
      <c r="E3" s="50" t="inlineStr">
        <is>
          <t>Jeudi
29/10</t>
        </is>
      </c>
      <c r="F3" s="50" t="inlineStr">
        <is>
          <t>Vendredi
30/10</t>
        </is>
      </c>
      <c r="G3" s="51" t="inlineStr">
        <is>
          <t>Samedi
31/10</t>
        </is>
      </c>
      <c r="H3" s="51" t="inlineStr">
        <is>
          <t>Dimanche
01/11</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S7</t>
        </is>
      </c>
    </row>
    <row r="5" ht="21" customHeight="1">
      <c r="A5" s="52" t="inlineStr">
        <is>
          <t>CYCLE PRIMAIRE   (4 classes)</t>
        </is>
      </c>
      <c r="B5" s="53" t="n"/>
      <c r="C5" s="53" t="n"/>
      <c r="D5" s="53" t="n"/>
      <c r="E5" s="53" t="n"/>
      <c r="F5" s="53" t="n"/>
      <c r="G5" s="53" t="n"/>
      <c r="H5" s="53" t="n"/>
    </row>
    <row r="6" ht="52.59999999999999" customHeight="1">
      <c r="A6" s="54" t="inlineStr">
        <is>
          <t>4éme</t>
        </is>
      </c>
      <c r="B6" s="55">
        <f>IFERROR(VLOOKUP($J$4&amp;"|"&amp;$A$6&amp;"|"&amp;B$4&amp;"|1",Planning!$W:$X,2,0),"")</f>
        <v/>
      </c>
      <c r="C6" s="55">
        <f>IFERROR(VLOOKUP($J$4&amp;"|"&amp;$A$6&amp;"|"&amp;C$4&amp;"|1",Planning!$W:$X,2,0),"")</f>
        <v/>
      </c>
      <c r="D6" s="55">
        <f>IFERROR(VLOOKUP($J$4&amp;"|"&amp;$A$6&amp;"|"&amp;D$4&amp;"|1",Planning!$W:$X,2,0),"")</f>
        <v/>
      </c>
      <c r="E6" s="55">
        <f>IFERROR(VLOOKUP($J$4&amp;"|"&amp;$A$6&amp;"|"&amp;E$4&amp;"|1",Planning!$W:$X,2,0),"")</f>
        <v/>
      </c>
      <c r="F6" s="55">
        <f>IFERROR(VLOOKUP($J$4&amp;"|"&amp;$A$6&amp;"|"&amp;F$4&amp;"|1",Planning!$W:$X,2,0),"")</f>
        <v/>
      </c>
      <c r="G6" s="56">
        <f>IFERROR(VLOOKUP($J$4&amp;"|"&amp;$A$6&amp;"|"&amp;G$4&amp;"|1",Planning!$W:$X,2,0),"")</f>
        <v/>
      </c>
      <c r="H6" s="56">
        <f>IFERROR(VLOOKUP($J$4&amp;"|"&amp;$A$6&amp;"|"&amp;H$4&amp;"|1",Planning!$W:$X,2,0),"")</f>
        <v/>
      </c>
    </row>
    <row r="7" ht="52.59999999999999" customHeight="1">
      <c r="A7" s="54" t="inlineStr">
        <is>
          <t>5éme</t>
        </is>
      </c>
      <c r="B7" s="55">
        <f>IFERROR(VLOOKUP($J$4&amp;"|"&amp;$A$7&amp;"|"&amp;B$4&amp;"|1",Planning!$W:$X,2,0),"")</f>
        <v/>
      </c>
      <c r="C7" s="55">
        <f>IFERROR(VLOOKUP($J$4&amp;"|"&amp;$A$7&amp;"|"&amp;C$4&amp;"|1",Planning!$W:$X,2,0),"")</f>
        <v/>
      </c>
      <c r="D7" s="55">
        <f>IFERROR(VLOOKUP($J$4&amp;"|"&amp;$A$7&amp;"|"&amp;D$4&amp;"|1",Planning!$W:$X,2,0),"")</f>
        <v/>
      </c>
      <c r="E7" s="55">
        <f>IFERROR(VLOOKUP($J$4&amp;"|"&amp;$A$7&amp;"|"&amp;E$4&amp;"|1",Planning!$W:$X,2,0),"")</f>
        <v/>
      </c>
      <c r="F7" s="55">
        <f>IFERROR(VLOOKUP($J$4&amp;"|"&amp;$A$7&amp;"|"&amp;F$4&amp;"|1",Planning!$W:$X,2,0),"")</f>
        <v/>
      </c>
      <c r="G7" s="56">
        <f>IFERROR(VLOOKUP($J$4&amp;"|"&amp;$A$7&amp;"|"&amp;G$4&amp;"|1",Planning!$W:$X,2,0),"")</f>
        <v/>
      </c>
      <c r="H7" s="56">
        <f>IFERROR(VLOOKUP($J$4&amp;"|"&amp;$A$7&amp;"|"&amp;H$4&amp;"|1",Planning!$W:$X,2,0),"")</f>
        <v/>
      </c>
    </row>
    <row r="8" ht="52.59999999999999" customHeight="1">
      <c r="A8" s="54" t="inlineStr">
        <is>
          <t>6éme Pilote (A)</t>
        </is>
      </c>
      <c r="B8" s="55">
        <f>IFERROR(VLOOKUP($J$4&amp;"|"&amp;$A$8&amp;"|"&amp;B$4&amp;"|1",Planning!$W:$X,2,0),"")</f>
        <v/>
      </c>
      <c r="C8" s="55">
        <f>IFERROR(VLOOKUP($J$4&amp;"|"&amp;$A$8&amp;"|"&amp;C$4&amp;"|1",Planning!$W:$X,2,0),"")</f>
        <v/>
      </c>
      <c r="D8" s="55">
        <f>IFERROR(VLOOKUP($J$4&amp;"|"&amp;$A$8&amp;"|"&amp;D$4&amp;"|1",Planning!$W:$X,2,0),"")</f>
        <v/>
      </c>
      <c r="E8" s="55">
        <f>IFERROR(VLOOKUP($J$4&amp;"|"&amp;$A$8&amp;"|"&amp;E$4&amp;"|1",Planning!$W:$X,2,0),"")</f>
        <v/>
      </c>
      <c r="F8" s="55">
        <f>IFERROR(VLOOKUP($J$4&amp;"|"&amp;$A$8&amp;"|"&amp;F$4&amp;"|1",Planning!$W:$X,2,0),"")</f>
        <v/>
      </c>
      <c r="G8" s="56">
        <f>IFERROR(VLOOKUP($J$4&amp;"|"&amp;$A$8&amp;"|"&amp;G$4&amp;"|1",Planning!$W:$X,2,0),"")</f>
        <v/>
      </c>
      <c r="H8" s="56">
        <f>IFERROR(VLOOKUP($J$4&amp;"|"&amp;$A$8&amp;"|"&amp;H$4&amp;"|1",Planning!$W:$X,2,0),"")</f>
        <v/>
      </c>
    </row>
    <row r="9" ht="52.59999999999999" customHeight="1">
      <c r="A9" s="54" t="inlineStr">
        <is>
          <t>6éme (B)</t>
        </is>
      </c>
      <c r="B9" s="55">
        <f>IFERROR(VLOOKUP($J$4&amp;"|"&amp;$A$9&amp;"|"&amp;B$4&amp;"|1",Planning!$W:$X,2,0),"")</f>
        <v/>
      </c>
      <c r="C9" s="55">
        <f>IFERROR(VLOOKUP($J$4&amp;"|"&amp;$A$9&amp;"|"&amp;C$4&amp;"|1",Planning!$W:$X,2,0),"")</f>
        <v/>
      </c>
      <c r="D9" s="55">
        <f>IFERROR(VLOOKUP($J$4&amp;"|"&amp;$A$9&amp;"|"&amp;D$4&amp;"|1",Planning!$W:$X,2,0),"")</f>
        <v/>
      </c>
      <c r="E9" s="55">
        <f>IFERROR(VLOOKUP($J$4&amp;"|"&amp;$A$9&amp;"|"&amp;E$4&amp;"|1",Planning!$W:$X,2,0),"")</f>
        <v/>
      </c>
      <c r="F9" s="55">
        <f>IFERROR(VLOOKUP($J$4&amp;"|"&amp;$A$9&amp;"|"&amp;F$4&amp;"|1",Planning!$W:$X,2,0),"")</f>
        <v/>
      </c>
      <c r="G9" s="56">
        <f>IFERROR(VLOOKUP($J$4&amp;"|"&amp;$A$9&amp;"|"&amp;G$4&amp;"|1",Planning!$W:$X,2,0),"")</f>
        <v/>
      </c>
      <c r="H9" s="56">
        <f>IFERROR(VLOOKUP($J$4&amp;"|"&amp;$A$9&amp;"|"&amp;H$4&amp;"|1",Planning!$W:$X,2,0),"")</f>
        <v/>
      </c>
    </row>
    <row r="10" ht="21" customHeight="1">
      <c r="A10" s="57" t="inlineStr">
        <is>
          <t>CYCLE COLLÈGE   (8 classes)</t>
        </is>
      </c>
      <c r="B10" s="58" t="n"/>
      <c r="C10" s="58" t="n"/>
      <c r="D10" s="58" t="n"/>
      <c r="E10" s="58" t="n"/>
      <c r="F10" s="58" t="n"/>
      <c r="G10" s="58" t="n"/>
      <c r="H10" s="58" t="n"/>
    </row>
    <row r="11" ht="52.59999999999999" customHeight="1">
      <c r="A11" s="59" t="inlineStr">
        <is>
          <t>7éme (A)</t>
        </is>
      </c>
      <c r="B11" s="55">
        <f>IFERROR(VLOOKUP($J$4&amp;"|"&amp;$A$11&amp;"|"&amp;B$4&amp;"|1",Planning!$W:$X,2,0),"")</f>
        <v/>
      </c>
      <c r="C11" s="55">
        <f>IFERROR(VLOOKUP($J$4&amp;"|"&amp;$A$11&amp;"|"&amp;C$4&amp;"|1",Planning!$W:$X,2,0),"")</f>
        <v/>
      </c>
      <c r="D11" s="55">
        <f>IFERROR(VLOOKUP($J$4&amp;"|"&amp;$A$11&amp;"|"&amp;D$4&amp;"|1",Planning!$W:$X,2,0),"")</f>
        <v/>
      </c>
      <c r="E11" s="55">
        <f>IFERROR(VLOOKUP($J$4&amp;"|"&amp;$A$11&amp;"|"&amp;E$4&amp;"|1",Planning!$W:$X,2,0),"")</f>
        <v/>
      </c>
      <c r="F11" s="55">
        <f>IFERROR(VLOOKUP($J$4&amp;"|"&amp;$A$11&amp;"|"&amp;F$4&amp;"|1",Planning!$W:$X,2,0),"")</f>
        <v/>
      </c>
      <c r="G11" s="56">
        <f>IFERROR(VLOOKUP($J$4&amp;"|"&amp;$A$11&amp;"|"&amp;G$4&amp;"|1",Planning!$W:$X,2,0),"")</f>
        <v/>
      </c>
      <c r="H11" s="56">
        <f>IFERROR(VLOOKUP($J$4&amp;"|"&amp;$A$11&amp;"|"&amp;H$4&amp;"|1",Planning!$W:$X,2,0),"")</f>
        <v/>
      </c>
    </row>
    <row r="12" ht="52.59999999999999" customHeight="1">
      <c r="A12" s="60" t="n"/>
      <c r="B12" s="55">
        <f>IFERROR(VLOOKUP($J$4&amp;"|"&amp;$A$11&amp;"|"&amp;B$4&amp;"|2",Planning!$W:$X,2,0),"")</f>
        <v/>
      </c>
      <c r="C12" s="55">
        <f>IFERROR(VLOOKUP($J$4&amp;"|"&amp;$A$11&amp;"|"&amp;C$4&amp;"|2",Planning!$W:$X,2,0),"")</f>
        <v/>
      </c>
      <c r="D12" s="55">
        <f>IFERROR(VLOOKUP($J$4&amp;"|"&amp;$A$11&amp;"|"&amp;D$4&amp;"|2",Planning!$W:$X,2,0),"")</f>
        <v/>
      </c>
      <c r="E12" s="55">
        <f>IFERROR(VLOOKUP($J$4&amp;"|"&amp;$A$11&amp;"|"&amp;E$4&amp;"|2",Planning!$W:$X,2,0),"")</f>
        <v/>
      </c>
      <c r="F12" s="55">
        <f>IFERROR(VLOOKUP($J$4&amp;"|"&amp;$A$11&amp;"|"&amp;F$4&amp;"|2",Planning!$W:$X,2,0),"")</f>
        <v/>
      </c>
      <c r="G12" s="56">
        <f>IFERROR(VLOOKUP($J$4&amp;"|"&amp;$A$11&amp;"|"&amp;G$4&amp;"|2",Planning!$W:$X,2,0),"")</f>
        <v/>
      </c>
      <c r="H12" s="56">
        <f>IFERROR(VLOOKUP($J$4&amp;"|"&amp;$A$11&amp;"|"&amp;H$4&amp;"|2",Planning!$W:$X,2,0),"")</f>
        <v/>
      </c>
    </row>
    <row r="13" ht="52.59999999999999" customHeight="1">
      <c r="A13" s="59" t="inlineStr">
        <is>
          <t>7éme (B)</t>
        </is>
      </c>
      <c r="B13" s="55">
        <f>IFERROR(VLOOKUP($J$4&amp;"|"&amp;$A$13&amp;"|"&amp;B$4&amp;"|1",Planning!$W:$X,2,0),"")</f>
        <v/>
      </c>
      <c r="C13" s="55">
        <f>IFERROR(VLOOKUP($J$4&amp;"|"&amp;$A$13&amp;"|"&amp;C$4&amp;"|1",Planning!$W:$X,2,0),"")</f>
        <v/>
      </c>
      <c r="D13" s="55">
        <f>IFERROR(VLOOKUP($J$4&amp;"|"&amp;$A$13&amp;"|"&amp;D$4&amp;"|1",Planning!$W:$X,2,0),"")</f>
        <v/>
      </c>
      <c r="E13" s="55">
        <f>IFERROR(VLOOKUP($J$4&amp;"|"&amp;$A$13&amp;"|"&amp;E$4&amp;"|1",Planning!$W:$X,2,0),"")</f>
        <v/>
      </c>
      <c r="F13" s="55">
        <f>IFERROR(VLOOKUP($J$4&amp;"|"&amp;$A$13&amp;"|"&amp;F$4&amp;"|1",Planning!$W:$X,2,0),"")</f>
        <v/>
      </c>
      <c r="G13" s="56">
        <f>IFERROR(VLOOKUP($J$4&amp;"|"&amp;$A$13&amp;"|"&amp;G$4&amp;"|1",Planning!$W:$X,2,0),"")</f>
        <v/>
      </c>
      <c r="H13" s="56">
        <f>IFERROR(VLOOKUP($J$4&amp;"|"&amp;$A$13&amp;"|"&amp;H$4&amp;"|1",Planning!$W:$X,2,0),"")</f>
        <v/>
      </c>
    </row>
    <row r="14" ht="52.59999999999999" customHeight="1">
      <c r="A14" s="59" t="inlineStr">
        <is>
          <t>8éme (A)</t>
        </is>
      </c>
      <c r="B14" s="55">
        <f>IFERROR(VLOOKUP($J$4&amp;"|"&amp;$A$14&amp;"|"&amp;B$4&amp;"|1",Planning!$W:$X,2,0),"")</f>
        <v/>
      </c>
      <c r="C14" s="55">
        <f>IFERROR(VLOOKUP($J$4&amp;"|"&amp;$A$14&amp;"|"&amp;C$4&amp;"|1",Planning!$W:$X,2,0),"")</f>
        <v/>
      </c>
      <c r="D14" s="55">
        <f>IFERROR(VLOOKUP($J$4&amp;"|"&amp;$A$14&amp;"|"&amp;D$4&amp;"|1",Planning!$W:$X,2,0),"")</f>
        <v/>
      </c>
      <c r="E14" s="55">
        <f>IFERROR(VLOOKUP($J$4&amp;"|"&amp;$A$14&amp;"|"&amp;E$4&amp;"|1",Planning!$W:$X,2,0),"")</f>
        <v/>
      </c>
      <c r="F14" s="55">
        <f>IFERROR(VLOOKUP($J$4&amp;"|"&amp;$A$14&amp;"|"&amp;F$4&amp;"|1",Planning!$W:$X,2,0),"")</f>
        <v/>
      </c>
      <c r="G14" s="56">
        <f>IFERROR(VLOOKUP($J$4&amp;"|"&amp;$A$14&amp;"|"&amp;G$4&amp;"|1",Planning!$W:$X,2,0),"")</f>
        <v/>
      </c>
      <c r="H14" s="56">
        <f>IFERROR(VLOOKUP($J$4&amp;"|"&amp;$A$14&amp;"|"&amp;H$4&amp;"|1",Planning!$W:$X,2,0),"")</f>
        <v/>
      </c>
    </row>
    <row r="15" ht="52.59999999999999" customHeight="1">
      <c r="A15" s="59" t="inlineStr">
        <is>
          <t>8éme (B)</t>
        </is>
      </c>
      <c r="B15" s="55">
        <f>IFERROR(VLOOKUP($J$4&amp;"|"&amp;$A$15&amp;"|"&amp;B$4&amp;"|1",Planning!$W:$X,2,0),"")</f>
        <v/>
      </c>
      <c r="C15" s="55">
        <f>IFERROR(VLOOKUP($J$4&amp;"|"&amp;$A$15&amp;"|"&amp;C$4&amp;"|1",Planning!$W:$X,2,0),"")</f>
        <v/>
      </c>
      <c r="D15" s="55">
        <f>IFERROR(VLOOKUP($J$4&amp;"|"&amp;$A$15&amp;"|"&amp;D$4&amp;"|1",Planning!$W:$X,2,0),"")</f>
        <v/>
      </c>
      <c r="E15" s="55">
        <f>IFERROR(VLOOKUP($J$4&amp;"|"&amp;$A$15&amp;"|"&amp;E$4&amp;"|1",Planning!$W:$X,2,0),"")</f>
        <v/>
      </c>
      <c r="F15" s="55">
        <f>IFERROR(VLOOKUP($J$4&amp;"|"&amp;$A$15&amp;"|"&amp;F$4&amp;"|1",Planning!$W:$X,2,0),"")</f>
        <v/>
      </c>
      <c r="G15" s="56">
        <f>IFERROR(VLOOKUP($J$4&amp;"|"&amp;$A$15&amp;"|"&amp;G$4&amp;"|1",Planning!$W:$X,2,0),"")</f>
        <v/>
      </c>
      <c r="H15" s="56">
        <f>IFERROR(VLOOKUP($J$4&amp;"|"&amp;$A$15&amp;"|"&amp;H$4&amp;"|1",Planning!$W:$X,2,0),"")</f>
        <v/>
      </c>
    </row>
    <row r="16" ht="52.59999999999999" customHeight="1">
      <c r="A16" s="59" t="inlineStr">
        <is>
          <t>8éme (C)</t>
        </is>
      </c>
      <c r="B16" s="55">
        <f>IFERROR(VLOOKUP($J$4&amp;"|"&amp;$A$16&amp;"|"&amp;B$4&amp;"|1",Planning!$W:$X,2,0),"")</f>
        <v/>
      </c>
      <c r="C16" s="55">
        <f>IFERROR(VLOOKUP($J$4&amp;"|"&amp;$A$16&amp;"|"&amp;C$4&amp;"|1",Planning!$W:$X,2,0),"")</f>
        <v/>
      </c>
      <c r="D16" s="55">
        <f>IFERROR(VLOOKUP($J$4&amp;"|"&amp;$A$16&amp;"|"&amp;D$4&amp;"|1",Planning!$W:$X,2,0),"")</f>
        <v/>
      </c>
      <c r="E16" s="55">
        <f>IFERROR(VLOOKUP($J$4&amp;"|"&amp;$A$16&amp;"|"&amp;E$4&amp;"|1",Planning!$W:$X,2,0),"")</f>
        <v/>
      </c>
      <c r="F16" s="55">
        <f>IFERROR(VLOOKUP($J$4&amp;"|"&amp;$A$16&amp;"|"&amp;F$4&amp;"|1",Planning!$W:$X,2,0),"")</f>
        <v/>
      </c>
      <c r="G16" s="56">
        <f>IFERROR(VLOOKUP($J$4&amp;"|"&amp;$A$16&amp;"|"&amp;G$4&amp;"|1",Planning!$W:$X,2,0),"")</f>
        <v/>
      </c>
      <c r="H16" s="56">
        <f>IFERROR(VLOOKUP($J$4&amp;"|"&amp;$A$16&amp;"|"&amp;H$4&amp;"|1",Planning!$W:$X,2,0),"")</f>
        <v/>
      </c>
    </row>
    <row r="17" ht="52.59999999999999" customHeight="1">
      <c r="A17" s="59" t="inlineStr">
        <is>
          <t>9éme (A)</t>
        </is>
      </c>
      <c r="B17" s="55">
        <f>IFERROR(VLOOKUP($J$4&amp;"|"&amp;$A$17&amp;"|"&amp;B$4&amp;"|1",Planning!$W:$X,2,0),"")</f>
        <v/>
      </c>
      <c r="C17" s="55">
        <f>IFERROR(VLOOKUP($J$4&amp;"|"&amp;$A$17&amp;"|"&amp;C$4&amp;"|1",Planning!$W:$X,2,0),"")</f>
        <v/>
      </c>
      <c r="D17" s="55">
        <f>IFERROR(VLOOKUP($J$4&amp;"|"&amp;$A$17&amp;"|"&amp;D$4&amp;"|1",Planning!$W:$X,2,0),"")</f>
        <v/>
      </c>
      <c r="E17" s="55">
        <f>IFERROR(VLOOKUP($J$4&amp;"|"&amp;$A$17&amp;"|"&amp;E$4&amp;"|1",Planning!$W:$X,2,0),"")</f>
        <v/>
      </c>
      <c r="F17" s="55">
        <f>IFERROR(VLOOKUP($J$4&amp;"|"&amp;$A$17&amp;"|"&amp;F$4&amp;"|1",Planning!$W:$X,2,0),"")</f>
        <v/>
      </c>
      <c r="G17" s="56">
        <f>IFERROR(VLOOKUP($J$4&amp;"|"&amp;$A$17&amp;"|"&amp;G$4&amp;"|1",Planning!$W:$X,2,0),"")</f>
        <v/>
      </c>
      <c r="H17" s="56">
        <f>IFERROR(VLOOKUP($J$4&amp;"|"&amp;$A$17&amp;"|"&amp;H$4&amp;"|1",Planning!$W:$X,2,0),"")</f>
        <v/>
      </c>
    </row>
    <row r="18" ht="52.59999999999999" customHeight="1">
      <c r="A18" s="60" t="n"/>
      <c r="B18" s="55">
        <f>IFERROR(VLOOKUP($J$4&amp;"|"&amp;$A$17&amp;"|"&amp;B$4&amp;"|2",Planning!$W:$X,2,0),"")</f>
        <v/>
      </c>
      <c r="C18" s="55">
        <f>IFERROR(VLOOKUP($J$4&amp;"|"&amp;$A$17&amp;"|"&amp;C$4&amp;"|2",Planning!$W:$X,2,0),"")</f>
        <v/>
      </c>
      <c r="D18" s="55">
        <f>IFERROR(VLOOKUP($J$4&amp;"|"&amp;$A$17&amp;"|"&amp;D$4&amp;"|2",Planning!$W:$X,2,0),"")</f>
        <v/>
      </c>
      <c r="E18" s="55">
        <f>IFERROR(VLOOKUP($J$4&amp;"|"&amp;$A$17&amp;"|"&amp;E$4&amp;"|2",Planning!$W:$X,2,0),"")</f>
        <v/>
      </c>
      <c r="F18" s="55">
        <f>IFERROR(VLOOKUP($J$4&amp;"|"&amp;$A$17&amp;"|"&amp;F$4&amp;"|2",Planning!$W:$X,2,0),"")</f>
        <v/>
      </c>
      <c r="G18" s="56">
        <f>IFERROR(VLOOKUP($J$4&amp;"|"&amp;$A$17&amp;"|"&amp;G$4&amp;"|2",Planning!$W:$X,2,0),"")</f>
        <v/>
      </c>
      <c r="H18" s="56">
        <f>IFERROR(VLOOKUP($J$4&amp;"|"&amp;$A$17&amp;"|"&amp;H$4&amp;"|2",Planning!$W:$X,2,0),"")</f>
        <v/>
      </c>
    </row>
    <row r="19" ht="52.59999999999999" customHeight="1">
      <c r="A19" s="59" t="inlineStr">
        <is>
          <t>9éme (B)</t>
        </is>
      </c>
      <c r="B19" s="55">
        <f>IFERROR(VLOOKUP($J$4&amp;"|"&amp;$A$19&amp;"|"&amp;B$4&amp;"|1",Planning!$W:$X,2,0),"")</f>
        <v/>
      </c>
      <c r="C19" s="55">
        <f>IFERROR(VLOOKUP($J$4&amp;"|"&amp;$A$19&amp;"|"&amp;C$4&amp;"|1",Planning!$W:$X,2,0),"")</f>
        <v/>
      </c>
      <c r="D19" s="55">
        <f>IFERROR(VLOOKUP($J$4&amp;"|"&amp;$A$19&amp;"|"&amp;D$4&amp;"|1",Planning!$W:$X,2,0),"")</f>
        <v/>
      </c>
      <c r="E19" s="55">
        <f>IFERROR(VLOOKUP($J$4&amp;"|"&amp;$A$19&amp;"|"&amp;E$4&amp;"|1",Planning!$W:$X,2,0),"")</f>
        <v/>
      </c>
      <c r="F19" s="55">
        <f>IFERROR(VLOOKUP($J$4&amp;"|"&amp;$A$19&amp;"|"&amp;F$4&amp;"|1",Planning!$W:$X,2,0),"")</f>
        <v/>
      </c>
      <c r="G19" s="56">
        <f>IFERROR(VLOOKUP($J$4&amp;"|"&amp;$A$19&amp;"|"&amp;G$4&amp;"|1",Planning!$W:$X,2,0),"")</f>
        <v/>
      </c>
      <c r="H19" s="56">
        <f>IFERROR(VLOOKUP($J$4&amp;"|"&amp;$A$19&amp;"|"&amp;H$4&amp;"|1",Planning!$W:$X,2,0),"")</f>
        <v/>
      </c>
    </row>
    <row r="20" ht="52.59999999999999" customHeight="1">
      <c r="A20" s="60" t="n"/>
      <c r="B20" s="55">
        <f>IFERROR(VLOOKUP($J$4&amp;"|"&amp;$A$19&amp;"|"&amp;B$4&amp;"|2",Planning!$W:$X,2,0),"")</f>
        <v/>
      </c>
      <c r="C20" s="55">
        <f>IFERROR(VLOOKUP($J$4&amp;"|"&amp;$A$19&amp;"|"&amp;C$4&amp;"|2",Planning!$W:$X,2,0),"")</f>
        <v/>
      </c>
      <c r="D20" s="55">
        <f>IFERROR(VLOOKUP($J$4&amp;"|"&amp;$A$19&amp;"|"&amp;D$4&amp;"|2",Planning!$W:$X,2,0),"")</f>
        <v/>
      </c>
      <c r="E20" s="55">
        <f>IFERROR(VLOOKUP($J$4&amp;"|"&amp;$A$19&amp;"|"&amp;E$4&amp;"|2",Planning!$W:$X,2,0),"")</f>
        <v/>
      </c>
      <c r="F20" s="55">
        <f>IFERROR(VLOOKUP($J$4&amp;"|"&amp;$A$19&amp;"|"&amp;F$4&amp;"|2",Planning!$W:$X,2,0),"")</f>
        <v/>
      </c>
      <c r="G20" s="56">
        <f>IFERROR(VLOOKUP($J$4&amp;"|"&amp;$A$19&amp;"|"&amp;G$4&amp;"|2",Planning!$W:$X,2,0),"")</f>
        <v/>
      </c>
      <c r="H20" s="56">
        <f>IFERROR(VLOOKUP($J$4&amp;"|"&amp;$A$19&amp;"|"&amp;H$4&amp;"|2",Planning!$W:$X,2,0),"")</f>
        <v/>
      </c>
    </row>
    <row r="21" ht="52.59999999999999" customHeight="1">
      <c r="A21" s="59" t="inlineStr">
        <is>
          <t>9éme (C)</t>
        </is>
      </c>
      <c r="B21" s="55">
        <f>IFERROR(VLOOKUP($J$4&amp;"|"&amp;$A$21&amp;"|"&amp;B$4&amp;"|1",Planning!$W:$X,2,0),"")</f>
        <v/>
      </c>
      <c r="C21" s="55">
        <f>IFERROR(VLOOKUP($J$4&amp;"|"&amp;$A$21&amp;"|"&amp;C$4&amp;"|1",Planning!$W:$X,2,0),"")</f>
        <v/>
      </c>
      <c r="D21" s="55">
        <f>IFERROR(VLOOKUP($J$4&amp;"|"&amp;$A$21&amp;"|"&amp;D$4&amp;"|1",Planning!$W:$X,2,0),"")</f>
        <v/>
      </c>
      <c r="E21" s="55">
        <f>IFERROR(VLOOKUP($J$4&amp;"|"&amp;$A$21&amp;"|"&amp;E$4&amp;"|1",Planning!$W:$X,2,0),"")</f>
        <v/>
      </c>
      <c r="F21" s="55">
        <f>IFERROR(VLOOKUP($J$4&amp;"|"&amp;$A$21&amp;"|"&amp;F$4&amp;"|1",Planning!$W:$X,2,0),"")</f>
        <v/>
      </c>
      <c r="G21" s="56">
        <f>IFERROR(VLOOKUP($J$4&amp;"|"&amp;$A$21&amp;"|"&amp;G$4&amp;"|1",Planning!$W:$X,2,0),"")</f>
        <v/>
      </c>
      <c r="H21" s="56">
        <f>IFERROR(VLOOKUP($J$4&amp;"|"&amp;$A$21&amp;"|"&amp;H$4&amp;"|1",Planning!$W:$X,2,0),"")</f>
        <v/>
      </c>
    </row>
    <row r="22" ht="21" customHeight="1">
      <c r="A22" s="61" t="inlineStr">
        <is>
          <t>CYCLE SECONDAIRE   (8 classes)</t>
        </is>
      </c>
      <c r="B22" s="62" t="n"/>
      <c r="C22" s="62" t="n"/>
      <c r="D22" s="62" t="n"/>
      <c r="E22" s="62" t="n"/>
      <c r="F22" s="62" t="n"/>
      <c r="G22" s="62" t="n"/>
      <c r="H22" s="62" t="n"/>
    </row>
    <row r="23" ht="52.59999999999999" customHeight="1">
      <c r="A23" s="63" t="inlineStr">
        <is>
          <t>1ére (A)</t>
        </is>
      </c>
      <c r="B23" s="55">
        <f>IFERROR(VLOOKUP($J$4&amp;"|"&amp;$A$23&amp;"|"&amp;B$4&amp;"|1",Planning!$W:$X,2,0),"")</f>
        <v/>
      </c>
      <c r="C23" s="55">
        <f>IFERROR(VLOOKUP($J$4&amp;"|"&amp;$A$23&amp;"|"&amp;C$4&amp;"|1",Planning!$W:$X,2,0),"")</f>
        <v/>
      </c>
      <c r="D23" s="55">
        <f>IFERROR(VLOOKUP($J$4&amp;"|"&amp;$A$23&amp;"|"&amp;D$4&amp;"|1",Planning!$W:$X,2,0),"")</f>
        <v/>
      </c>
      <c r="E23" s="55">
        <f>IFERROR(VLOOKUP($J$4&amp;"|"&amp;$A$23&amp;"|"&amp;E$4&amp;"|1",Planning!$W:$X,2,0),"")</f>
        <v/>
      </c>
      <c r="F23" s="55">
        <f>IFERROR(VLOOKUP($J$4&amp;"|"&amp;$A$23&amp;"|"&amp;F$4&amp;"|1",Planning!$W:$X,2,0),"")</f>
        <v/>
      </c>
      <c r="G23" s="56">
        <f>IFERROR(VLOOKUP($J$4&amp;"|"&amp;$A$23&amp;"|"&amp;G$4&amp;"|1",Planning!$W:$X,2,0),"")</f>
        <v/>
      </c>
      <c r="H23" s="56">
        <f>IFERROR(VLOOKUP($J$4&amp;"|"&amp;$A$23&amp;"|"&amp;H$4&amp;"|1",Planning!$W:$X,2,0),"")</f>
        <v/>
      </c>
    </row>
    <row r="24" ht="52.59999999999999" customHeight="1">
      <c r="A24" s="64" t="n"/>
      <c r="B24" s="55">
        <f>IFERROR(VLOOKUP($J$4&amp;"|"&amp;$A$23&amp;"|"&amp;B$4&amp;"|2",Planning!$W:$X,2,0),"")</f>
        <v/>
      </c>
      <c r="C24" s="55">
        <f>IFERROR(VLOOKUP($J$4&amp;"|"&amp;$A$23&amp;"|"&amp;C$4&amp;"|2",Planning!$W:$X,2,0),"")</f>
        <v/>
      </c>
      <c r="D24" s="55">
        <f>IFERROR(VLOOKUP($J$4&amp;"|"&amp;$A$23&amp;"|"&amp;D$4&amp;"|2",Planning!$W:$X,2,0),"")</f>
        <v/>
      </c>
      <c r="E24" s="55">
        <f>IFERROR(VLOOKUP($J$4&amp;"|"&amp;$A$23&amp;"|"&amp;E$4&amp;"|2",Planning!$W:$X,2,0),"")</f>
        <v/>
      </c>
      <c r="F24" s="55">
        <f>IFERROR(VLOOKUP($J$4&amp;"|"&amp;$A$23&amp;"|"&amp;F$4&amp;"|2",Planning!$W:$X,2,0),"")</f>
        <v/>
      </c>
      <c r="G24" s="56">
        <f>IFERROR(VLOOKUP($J$4&amp;"|"&amp;$A$23&amp;"|"&amp;G$4&amp;"|2",Planning!$W:$X,2,0),"")</f>
        <v/>
      </c>
      <c r="H24" s="56">
        <f>IFERROR(VLOOKUP($J$4&amp;"|"&amp;$A$23&amp;"|"&amp;H$4&amp;"|2",Planning!$W:$X,2,0),"")</f>
        <v/>
      </c>
    </row>
    <row r="25" ht="52.59999999999999" customHeight="1">
      <c r="A25" s="63" t="inlineStr">
        <is>
          <t>1ére (B)</t>
        </is>
      </c>
      <c r="B25" s="55">
        <f>IFERROR(VLOOKUP($J$4&amp;"|"&amp;$A$25&amp;"|"&amp;B$4&amp;"|1",Planning!$W:$X,2,0),"")</f>
        <v/>
      </c>
      <c r="C25" s="55">
        <f>IFERROR(VLOOKUP($J$4&amp;"|"&amp;$A$25&amp;"|"&amp;C$4&amp;"|1",Planning!$W:$X,2,0),"")</f>
        <v/>
      </c>
      <c r="D25" s="55">
        <f>IFERROR(VLOOKUP($J$4&amp;"|"&amp;$A$25&amp;"|"&amp;D$4&amp;"|1",Planning!$W:$X,2,0),"")</f>
        <v/>
      </c>
      <c r="E25" s="55">
        <f>IFERROR(VLOOKUP($J$4&amp;"|"&amp;$A$25&amp;"|"&amp;E$4&amp;"|1",Planning!$W:$X,2,0),"")</f>
        <v/>
      </c>
      <c r="F25" s="55">
        <f>IFERROR(VLOOKUP($J$4&amp;"|"&amp;$A$25&amp;"|"&amp;F$4&amp;"|1",Planning!$W:$X,2,0),"")</f>
        <v/>
      </c>
      <c r="G25" s="56">
        <f>IFERROR(VLOOKUP($J$4&amp;"|"&amp;$A$25&amp;"|"&amp;G$4&amp;"|1",Planning!$W:$X,2,0),"")</f>
        <v/>
      </c>
      <c r="H25" s="56">
        <f>IFERROR(VLOOKUP($J$4&amp;"|"&amp;$A$25&amp;"|"&amp;H$4&amp;"|1",Planning!$W:$X,2,0),"")</f>
        <v/>
      </c>
    </row>
    <row r="26" ht="52.59999999999999" customHeight="1">
      <c r="A26" s="63" t="inlineStr">
        <is>
          <t>2éme Eco</t>
        </is>
      </c>
      <c r="B26" s="55">
        <f>IFERROR(VLOOKUP($J$4&amp;"|"&amp;$A$26&amp;"|"&amp;B$4&amp;"|1",Planning!$W:$X,2,0),"")</f>
        <v/>
      </c>
      <c r="C26" s="55">
        <f>IFERROR(VLOOKUP($J$4&amp;"|"&amp;$A$26&amp;"|"&amp;C$4&amp;"|1",Planning!$W:$X,2,0),"")</f>
        <v/>
      </c>
      <c r="D26" s="55">
        <f>IFERROR(VLOOKUP($J$4&amp;"|"&amp;$A$26&amp;"|"&amp;D$4&amp;"|1",Planning!$W:$X,2,0),"")</f>
        <v/>
      </c>
      <c r="E26" s="55">
        <f>IFERROR(VLOOKUP($J$4&amp;"|"&amp;$A$26&amp;"|"&amp;E$4&amp;"|1",Planning!$W:$X,2,0),"")</f>
        <v/>
      </c>
      <c r="F26" s="55">
        <f>IFERROR(VLOOKUP($J$4&amp;"|"&amp;$A$26&amp;"|"&amp;F$4&amp;"|1",Planning!$W:$X,2,0),"")</f>
        <v/>
      </c>
      <c r="G26" s="56">
        <f>IFERROR(VLOOKUP($J$4&amp;"|"&amp;$A$26&amp;"|"&amp;G$4&amp;"|1",Planning!$W:$X,2,0),"")</f>
        <v/>
      </c>
      <c r="H26" s="56">
        <f>IFERROR(VLOOKUP($J$4&amp;"|"&amp;$A$26&amp;"|"&amp;H$4&amp;"|1",Planning!$W:$X,2,0),"")</f>
        <v/>
      </c>
    </row>
    <row r="27" ht="52.59999999999999" customHeight="1">
      <c r="A27" s="63" t="inlineStr">
        <is>
          <t>2éme SCE</t>
        </is>
      </c>
      <c r="B27" s="55">
        <f>IFERROR(VLOOKUP($J$4&amp;"|"&amp;$A$27&amp;"|"&amp;B$4&amp;"|1",Planning!$W:$X,2,0),"")</f>
        <v/>
      </c>
      <c r="C27" s="55">
        <f>IFERROR(VLOOKUP($J$4&amp;"|"&amp;$A$27&amp;"|"&amp;C$4&amp;"|1",Planning!$W:$X,2,0),"")</f>
        <v/>
      </c>
      <c r="D27" s="55">
        <f>IFERROR(VLOOKUP($J$4&amp;"|"&amp;$A$27&amp;"|"&amp;D$4&amp;"|1",Planning!$W:$X,2,0),"")</f>
        <v/>
      </c>
      <c r="E27" s="55">
        <f>IFERROR(VLOOKUP($J$4&amp;"|"&amp;$A$27&amp;"|"&amp;E$4&amp;"|1",Planning!$W:$X,2,0),"")</f>
        <v/>
      </c>
      <c r="F27" s="55">
        <f>IFERROR(VLOOKUP($J$4&amp;"|"&amp;$A$27&amp;"|"&amp;F$4&amp;"|1",Planning!$W:$X,2,0),"")</f>
        <v/>
      </c>
      <c r="G27" s="56">
        <f>IFERROR(VLOOKUP($J$4&amp;"|"&amp;$A$27&amp;"|"&amp;G$4&amp;"|1",Planning!$W:$X,2,0),"")</f>
        <v/>
      </c>
      <c r="H27" s="56">
        <f>IFERROR(VLOOKUP($J$4&amp;"|"&amp;$A$27&amp;"|"&amp;H$4&amp;"|1",Planning!$W:$X,2,0),"")</f>
        <v/>
      </c>
    </row>
    <row r="28" ht="52.59999999999999" customHeight="1">
      <c r="A28" s="63" t="inlineStr">
        <is>
          <t>2éme INFO</t>
        </is>
      </c>
      <c r="B28" s="55">
        <f>IFERROR(VLOOKUP($J$4&amp;"|"&amp;$A$28&amp;"|"&amp;B$4&amp;"|1",Planning!$W:$X,2,0),"")</f>
        <v/>
      </c>
      <c r="C28" s="55">
        <f>IFERROR(VLOOKUP($J$4&amp;"|"&amp;$A$28&amp;"|"&amp;C$4&amp;"|1",Planning!$W:$X,2,0),"")</f>
        <v/>
      </c>
      <c r="D28" s="55">
        <f>IFERROR(VLOOKUP($J$4&amp;"|"&amp;$A$28&amp;"|"&amp;D$4&amp;"|1",Planning!$W:$X,2,0),"")</f>
        <v/>
      </c>
      <c r="E28" s="55">
        <f>IFERROR(VLOOKUP($J$4&amp;"|"&amp;$A$28&amp;"|"&amp;E$4&amp;"|1",Planning!$W:$X,2,0),"")</f>
        <v/>
      </c>
      <c r="F28" s="55">
        <f>IFERROR(VLOOKUP($J$4&amp;"|"&amp;$A$28&amp;"|"&amp;F$4&amp;"|1",Planning!$W:$X,2,0),"")</f>
        <v/>
      </c>
      <c r="G28" s="56">
        <f>IFERROR(VLOOKUP($J$4&amp;"|"&amp;$A$28&amp;"|"&amp;G$4&amp;"|1",Planning!$W:$X,2,0),"")</f>
        <v/>
      </c>
      <c r="H28" s="56">
        <f>IFERROR(VLOOKUP($J$4&amp;"|"&amp;$A$28&amp;"|"&amp;H$4&amp;"|1",Planning!$W:$X,2,0),"")</f>
        <v/>
      </c>
    </row>
    <row r="29" ht="52.59999999999999" customHeight="1">
      <c r="A29" s="63" t="inlineStr">
        <is>
          <t>3éme Eco</t>
        </is>
      </c>
      <c r="B29" s="55">
        <f>IFERROR(VLOOKUP($J$4&amp;"|"&amp;$A$29&amp;"|"&amp;B$4&amp;"|1",Planning!$W:$X,2,0),"")</f>
        <v/>
      </c>
      <c r="C29" s="55">
        <f>IFERROR(VLOOKUP($J$4&amp;"|"&amp;$A$29&amp;"|"&amp;C$4&amp;"|1",Planning!$W:$X,2,0),"")</f>
        <v/>
      </c>
      <c r="D29" s="55">
        <f>IFERROR(VLOOKUP($J$4&amp;"|"&amp;$A$29&amp;"|"&amp;D$4&amp;"|1",Planning!$W:$X,2,0),"")</f>
        <v/>
      </c>
      <c r="E29" s="55">
        <f>IFERROR(VLOOKUP($J$4&amp;"|"&amp;$A$29&amp;"|"&amp;E$4&amp;"|1",Planning!$W:$X,2,0),"")</f>
        <v/>
      </c>
      <c r="F29" s="55">
        <f>IFERROR(VLOOKUP($J$4&amp;"|"&amp;$A$29&amp;"|"&amp;F$4&amp;"|1",Planning!$W:$X,2,0),"")</f>
        <v/>
      </c>
      <c r="G29" s="56">
        <f>IFERROR(VLOOKUP($J$4&amp;"|"&amp;$A$29&amp;"|"&amp;G$4&amp;"|1",Planning!$W:$X,2,0),"")</f>
        <v/>
      </c>
      <c r="H29" s="56">
        <f>IFERROR(VLOOKUP($J$4&amp;"|"&amp;$A$29&amp;"|"&amp;H$4&amp;"|1",Planning!$W:$X,2,0),"")</f>
        <v/>
      </c>
    </row>
    <row r="30" ht="52.59999999999999" customHeight="1">
      <c r="A30" s="64" t="n"/>
      <c r="B30" s="55">
        <f>IFERROR(VLOOKUP($J$4&amp;"|"&amp;$A$29&amp;"|"&amp;B$4&amp;"|2",Planning!$W:$X,2,0),"")</f>
        <v/>
      </c>
      <c r="C30" s="55">
        <f>IFERROR(VLOOKUP($J$4&amp;"|"&amp;$A$29&amp;"|"&amp;C$4&amp;"|2",Planning!$W:$X,2,0),"")</f>
        <v/>
      </c>
      <c r="D30" s="55">
        <f>IFERROR(VLOOKUP($J$4&amp;"|"&amp;$A$29&amp;"|"&amp;D$4&amp;"|2",Planning!$W:$X,2,0),"")</f>
        <v/>
      </c>
      <c r="E30" s="55">
        <f>IFERROR(VLOOKUP($J$4&amp;"|"&amp;$A$29&amp;"|"&amp;E$4&amp;"|2",Planning!$W:$X,2,0),"")</f>
        <v/>
      </c>
      <c r="F30" s="55">
        <f>IFERROR(VLOOKUP($J$4&amp;"|"&amp;$A$29&amp;"|"&amp;F$4&amp;"|2",Planning!$W:$X,2,0),"")</f>
        <v/>
      </c>
      <c r="G30" s="56">
        <f>IFERROR(VLOOKUP($J$4&amp;"|"&amp;$A$29&amp;"|"&amp;G$4&amp;"|2",Planning!$W:$X,2,0),"")</f>
        <v/>
      </c>
      <c r="H30" s="56">
        <f>IFERROR(VLOOKUP($J$4&amp;"|"&amp;$A$29&amp;"|"&amp;H$4&amp;"|2",Planning!$W:$X,2,0),"")</f>
        <v/>
      </c>
    </row>
    <row r="31" ht="52.59999999999999" customHeight="1">
      <c r="A31" s="63" t="inlineStr">
        <is>
          <t>3éme INFO</t>
        </is>
      </c>
      <c r="B31" s="55">
        <f>IFERROR(VLOOKUP($J$4&amp;"|"&amp;$A$31&amp;"|"&amp;B$4&amp;"|1",Planning!$W:$X,2,0),"")</f>
        <v/>
      </c>
      <c r="C31" s="55">
        <f>IFERROR(VLOOKUP($J$4&amp;"|"&amp;$A$31&amp;"|"&amp;C$4&amp;"|1",Planning!$W:$X,2,0),"")</f>
        <v/>
      </c>
      <c r="D31" s="55">
        <f>IFERROR(VLOOKUP($J$4&amp;"|"&amp;$A$31&amp;"|"&amp;D$4&amp;"|1",Planning!$W:$X,2,0),"")</f>
        <v/>
      </c>
      <c r="E31" s="55">
        <f>IFERROR(VLOOKUP($J$4&amp;"|"&amp;$A$31&amp;"|"&amp;E$4&amp;"|1",Planning!$W:$X,2,0),"")</f>
        <v/>
      </c>
      <c r="F31" s="55">
        <f>IFERROR(VLOOKUP($J$4&amp;"|"&amp;$A$31&amp;"|"&amp;F$4&amp;"|1",Planning!$W:$X,2,0),"")</f>
        <v/>
      </c>
      <c r="G31" s="56">
        <f>IFERROR(VLOOKUP($J$4&amp;"|"&amp;$A$31&amp;"|"&amp;G$4&amp;"|1",Planning!$W:$X,2,0),"")</f>
        <v/>
      </c>
      <c r="H31" s="56">
        <f>IFERROR(VLOOKUP($J$4&amp;"|"&amp;$A$31&amp;"|"&amp;H$4&amp;"|1",Planning!$W:$X,2,0),"")</f>
        <v/>
      </c>
    </row>
    <row r="32" ht="52.59999999999999" customHeight="1">
      <c r="A32" s="63" t="inlineStr">
        <is>
          <t>3éme SCE</t>
        </is>
      </c>
      <c r="B32" s="55">
        <f>IFERROR(VLOOKUP($J$4&amp;"|"&amp;$A$32&amp;"|"&amp;B$4&amp;"|1",Planning!$W:$X,2,0),"")</f>
        <v/>
      </c>
      <c r="C32" s="55">
        <f>IFERROR(VLOOKUP($J$4&amp;"|"&amp;$A$32&amp;"|"&amp;C$4&amp;"|1",Planning!$W:$X,2,0),"")</f>
        <v/>
      </c>
      <c r="D32" s="55">
        <f>IFERROR(VLOOKUP($J$4&amp;"|"&amp;$A$32&amp;"|"&amp;D$4&amp;"|1",Planning!$W:$X,2,0),"")</f>
        <v/>
      </c>
      <c r="E32" s="55">
        <f>IFERROR(VLOOKUP($J$4&amp;"|"&amp;$A$32&amp;"|"&amp;E$4&amp;"|1",Planning!$W:$X,2,0),"")</f>
        <v/>
      </c>
      <c r="F32" s="55">
        <f>IFERROR(VLOOKUP($J$4&amp;"|"&amp;$A$32&amp;"|"&amp;F$4&amp;"|1",Planning!$W:$X,2,0),"")</f>
        <v/>
      </c>
      <c r="G32" s="56">
        <f>IFERROR(VLOOKUP($J$4&amp;"|"&amp;$A$32&amp;"|"&amp;G$4&amp;"|1",Planning!$W:$X,2,0),"")</f>
        <v/>
      </c>
      <c r="H32" s="56">
        <f>IFERROR(VLOOKUP($J$4&amp;"|"&amp;$A$32&amp;"|"&amp;H$4&amp;"|1",Planning!$W:$X,2,0),"")</f>
        <v/>
      </c>
    </row>
    <row r="33" ht="21" customHeight="1">
      <c r="A33" s="65" t="inlineStr">
        <is>
          <t>CYCLE BAC   (3 classes)</t>
        </is>
      </c>
      <c r="B33" s="66" t="n"/>
      <c r="C33" s="66" t="n"/>
      <c r="D33" s="66" t="n"/>
      <c r="E33" s="66" t="n"/>
      <c r="F33" s="66" t="n"/>
      <c r="G33" s="66" t="n"/>
      <c r="H33" s="66" t="n"/>
    </row>
    <row r="34" ht="52.59999999999999" customHeight="1">
      <c r="A34" s="67" t="inlineStr">
        <is>
          <t>Bac Eco</t>
        </is>
      </c>
      <c r="B34" s="55">
        <f>IFERROR(VLOOKUP($J$4&amp;"|"&amp;$A$34&amp;"|"&amp;B$4&amp;"|1",Planning!$W:$X,2,0),"")</f>
        <v/>
      </c>
      <c r="C34" s="55">
        <f>IFERROR(VLOOKUP($J$4&amp;"|"&amp;$A$34&amp;"|"&amp;C$4&amp;"|1",Planning!$W:$X,2,0),"")</f>
        <v/>
      </c>
      <c r="D34" s="55">
        <f>IFERROR(VLOOKUP($J$4&amp;"|"&amp;$A$34&amp;"|"&amp;D$4&amp;"|1",Planning!$W:$X,2,0),"")</f>
        <v/>
      </c>
      <c r="E34" s="55">
        <f>IFERROR(VLOOKUP($J$4&amp;"|"&amp;$A$34&amp;"|"&amp;E$4&amp;"|1",Planning!$W:$X,2,0),"")</f>
        <v/>
      </c>
      <c r="F34" s="55">
        <f>IFERROR(VLOOKUP($J$4&amp;"|"&amp;$A$34&amp;"|"&amp;F$4&amp;"|1",Planning!$W:$X,2,0),"")</f>
        <v/>
      </c>
      <c r="G34" s="56">
        <f>IFERROR(VLOOKUP($J$4&amp;"|"&amp;$A$34&amp;"|"&amp;G$4&amp;"|1",Planning!$W:$X,2,0),"")</f>
        <v/>
      </c>
      <c r="H34" s="56">
        <f>IFERROR(VLOOKUP($J$4&amp;"|"&amp;$A$34&amp;"|"&amp;H$4&amp;"|1",Planning!$W:$X,2,0),"")</f>
        <v/>
      </c>
    </row>
    <row r="35" ht="52.59999999999999" customHeight="1">
      <c r="A35" s="68" t="n"/>
      <c r="B35" s="55">
        <f>IFERROR(VLOOKUP($J$4&amp;"|"&amp;$A$34&amp;"|"&amp;B$4&amp;"|2",Planning!$W:$X,2,0),"")</f>
        <v/>
      </c>
      <c r="C35" s="55">
        <f>IFERROR(VLOOKUP($J$4&amp;"|"&amp;$A$34&amp;"|"&amp;C$4&amp;"|2",Planning!$W:$X,2,0),"")</f>
        <v/>
      </c>
      <c r="D35" s="55">
        <f>IFERROR(VLOOKUP($J$4&amp;"|"&amp;$A$34&amp;"|"&amp;D$4&amp;"|2",Planning!$W:$X,2,0),"")</f>
        <v/>
      </c>
      <c r="E35" s="55">
        <f>IFERROR(VLOOKUP($J$4&amp;"|"&amp;$A$34&amp;"|"&amp;E$4&amp;"|2",Planning!$W:$X,2,0),"")</f>
        <v/>
      </c>
      <c r="F35" s="55">
        <f>IFERROR(VLOOKUP($J$4&amp;"|"&amp;$A$34&amp;"|"&amp;F$4&amp;"|2",Planning!$W:$X,2,0),"")</f>
        <v/>
      </c>
      <c r="G35" s="56">
        <f>IFERROR(VLOOKUP($J$4&amp;"|"&amp;$A$34&amp;"|"&amp;G$4&amp;"|2",Planning!$W:$X,2,0),"")</f>
        <v/>
      </c>
      <c r="H35" s="56">
        <f>IFERROR(VLOOKUP($J$4&amp;"|"&amp;$A$34&amp;"|"&amp;H$4&amp;"|2",Planning!$W:$X,2,0),"")</f>
        <v/>
      </c>
    </row>
    <row r="36" ht="52.59999999999999" customHeight="1">
      <c r="A36" s="67" t="inlineStr">
        <is>
          <t>Bac SCE</t>
        </is>
      </c>
      <c r="B36" s="55">
        <f>IFERROR(VLOOKUP($J$4&amp;"|"&amp;$A$36&amp;"|"&amp;B$4&amp;"|1",Planning!$W:$X,2,0),"")</f>
        <v/>
      </c>
      <c r="C36" s="55">
        <f>IFERROR(VLOOKUP($J$4&amp;"|"&amp;$A$36&amp;"|"&amp;C$4&amp;"|1",Planning!$W:$X,2,0),"")</f>
        <v/>
      </c>
      <c r="D36" s="55">
        <f>IFERROR(VLOOKUP($J$4&amp;"|"&amp;$A$36&amp;"|"&amp;D$4&amp;"|1",Planning!$W:$X,2,0),"")</f>
        <v/>
      </c>
      <c r="E36" s="55">
        <f>IFERROR(VLOOKUP($J$4&amp;"|"&amp;$A$36&amp;"|"&amp;E$4&amp;"|1",Planning!$W:$X,2,0),"")</f>
        <v/>
      </c>
      <c r="F36" s="55">
        <f>IFERROR(VLOOKUP($J$4&amp;"|"&amp;$A$36&amp;"|"&amp;F$4&amp;"|1",Planning!$W:$X,2,0),"")</f>
        <v/>
      </c>
      <c r="G36" s="56">
        <f>IFERROR(VLOOKUP($J$4&amp;"|"&amp;$A$36&amp;"|"&amp;G$4&amp;"|1",Planning!$W:$X,2,0),"")</f>
        <v/>
      </c>
      <c r="H36" s="56">
        <f>IFERROR(VLOOKUP($J$4&amp;"|"&amp;$A$36&amp;"|"&amp;H$4&amp;"|1",Planning!$W:$X,2,0),"")</f>
        <v/>
      </c>
    </row>
    <row r="37" ht="52.59999999999999" customHeight="1">
      <c r="A37" s="67" t="inlineStr">
        <is>
          <t>Bac INFO</t>
        </is>
      </c>
      <c r="B37" s="55">
        <f>IFERROR(VLOOKUP($J$4&amp;"|"&amp;$A$37&amp;"|"&amp;B$4&amp;"|1",Planning!$W:$X,2,0),"")</f>
        <v/>
      </c>
      <c r="C37" s="55">
        <f>IFERROR(VLOOKUP($J$4&amp;"|"&amp;$A$37&amp;"|"&amp;C$4&amp;"|1",Planning!$W:$X,2,0),"")</f>
        <v/>
      </c>
      <c r="D37" s="55">
        <f>IFERROR(VLOOKUP($J$4&amp;"|"&amp;$A$37&amp;"|"&amp;D$4&amp;"|1",Planning!$W:$X,2,0),"")</f>
        <v/>
      </c>
      <c r="E37" s="55">
        <f>IFERROR(VLOOKUP($J$4&amp;"|"&amp;$A$37&amp;"|"&amp;E$4&amp;"|1",Planning!$W:$X,2,0),"")</f>
        <v/>
      </c>
      <c r="F37" s="55">
        <f>IFERROR(VLOOKUP($J$4&amp;"|"&amp;$A$37&amp;"|"&amp;F$4&amp;"|1",Planning!$W:$X,2,0),"")</f>
        <v/>
      </c>
      <c r="G37" s="56">
        <f>IFERROR(VLOOKUP($J$4&amp;"|"&amp;$A$37&amp;"|"&amp;G$4&amp;"|1",Planning!$W:$X,2,0),"")</f>
        <v/>
      </c>
      <c r="H37" s="56">
        <f>IFERROR(VLOOKUP($J$4&amp;"|"&amp;$A$37&amp;"|"&amp;H$4&amp;"|1",Planning!$W:$X,2,0),"")</f>
        <v/>
      </c>
    </row>
  </sheetData>
  <mergeCells count="12">
    <mergeCell ref="A1:H1"/>
    <mergeCell ref="A34:A35"/>
    <mergeCell ref="A17:A18"/>
    <mergeCell ref="A2:H2"/>
    <mergeCell ref="A10:H10"/>
    <mergeCell ref="A29:A30"/>
    <mergeCell ref="A23:A24"/>
    <mergeCell ref="A33:H33"/>
    <mergeCell ref="A5:H5"/>
    <mergeCell ref="A19:A20"/>
    <mergeCell ref="A11:A12"/>
    <mergeCell ref="A22:H22"/>
  </mergeCells>
  <conditionalFormatting sqref="B5:H37">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6">
      <formula>ISNUMBER(SEARCH("◆ PONCTUEL",B5))</formula>
    </cfRule>
    <cfRule type="expression" priority="10" dxfId="17">
      <formula>ISNUMBER(SEARCH("◆ Q-",B5))</formula>
    </cfRule>
    <cfRule type="expression" priority="11" dxfId="1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26 octobre au 1er novembre 2026</oddHeader>
    <oddFooter>&amp;L&amp;8 RS 2026-2027 · S7 (semaine A)&amp;R&amp;8 Page &amp;P / &amp;N</oddFooter>
    <evenHeader/>
    <evenFooter/>
    <firstHeader/>
    <firstFooter/>
  </headerFooter>
  <rowBreaks count="3" manualBreakCount="3">
    <brk id="9" min="0" max="16383" man="1"/>
    <brk id="21" min="0" max="16383" man="1"/>
    <brk id="32" min="0" max="16383" man="1"/>
  </rowBreaks>
</worksheet>
</file>

<file path=xl/worksheets/sheet11.xml><?xml version="1.0" encoding="utf-8"?>
<worksheet xmlns="http://schemas.openxmlformats.org/spreadsheetml/2006/main">
  <sheetPr>
    <tabColor rgb="002F6F7E"/>
    <outlinePr summaryBelow="1" summaryRight="1"/>
    <pageSetUpPr fitToPage="1"/>
  </sheetPr>
  <dimension ref="A1:S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6.5" customWidth="1" min="3" max="3"/>
    <col width="6.5" customWidth="1" min="4" max="4"/>
    <col width="6.5" customWidth="1" min="5" max="5"/>
    <col width="6.5" customWidth="1" min="6" max="6"/>
    <col width="6.5" customWidth="1" min="7" max="7"/>
    <col width="6.5" customWidth="1" min="8" max="8"/>
    <col width="6.5" customWidth="1" min="9" max="9"/>
    <col width="9"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9" customWidth="1" min="18" max="18"/>
    <col width="15" customWidth="1" min="19" max="19"/>
  </cols>
  <sheetData>
    <row r="1" ht="34" customHeight="1">
      <c r="A1" s="36" t="inlineStr">
        <is>
          <t>CHARGE PAR ENSEIGNANT — séances et heures par semaine</t>
        </is>
      </c>
      <c r="B1" s="2" t="n"/>
      <c r="C1" s="2" t="n"/>
      <c r="D1" s="2" t="n"/>
      <c r="E1" s="2" t="n"/>
      <c r="F1" s="2" t="n"/>
      <c r="G1" s="2" t="n"/>
      <c r="H1" s="2" t="n"/>
      <c r="I1" s="2" t="n"/>
      <c r="J1" s="2" t="n"/>
      <c r="K1" s="2" t="n"/>
      <c r="L1" s="2" t="n"/>
      <c r="M1" s="2" t="n"/>
      <c r="N1" s="2" t="n"/>
      <c r="O1" s="2" t="n"/>
      <c r="P1" s="2" t="n"/>
      <c r="Q1" s="2" t="n"/>
      <c r="R1" s="2" t="n"/>
      <c r="S1" s="2" t="n"/>
    </row>
    <row r="2" ht="20" customHeight="1">
      <c r="A2" s="37" t="inlineStr">
        <is>
          <t>Tableau entièrement calculé depuis la feuille Planning. « Heures » = somme des durées réelles. La colonne de droite signale tout chevauchement horaire détecté pour l’enseignant.</t>
        </is>
      </c>
      <c r="B2" s="38" t="n"/>
      <c r="C2" s="38" t="n"/>
      <c r="D2" s="38" t="n"/>
      <c r="E2" s="38" t="n"/>
      <c r="F2" s="38" t="n"/>
      <c r="G2" s="38" t="n"/>
      <c r="H2" s="38" t="n"/>
      <c r="I2" s="38" t="n"/>
      <c r="J2" s="38" t="n"/>
      <c r="K2" s="38" t="n"/>
      <c r="L2" s="38" t="n"/>
      <c r="M2" s="38" t="n"/>
      <c r="N2" s="38" t="n"/>
      <c r="O2" s="38" t="n"/>
      <c r="P2" s="38" t="n"/>
      <c r="Q2" s="38" t="n"/>
      <c r="R2" s="38" t="n"/>
      <c r="S2" s="38" t="n"/>
    </row>
    <row r="3" ht="30" customHeight="1">
      <c r="A3" s="7" t="inlineStr">
        <is>
          <t>Enseignant</t>
        </is>
      </c>
      <c r="B3" s="7" t="inlineStr">
        <is>
          <t>Matière(s) — indicatif</t>
        </is>
      </c>
      <c r="C3" s="7" t="inlineStr">
        <is>
          <t>NOMBRE DE SÉANCES</t>
        </is>
      </c>
      <c r="D3" s="7" t="n"/>
      <c r="E3" s="7" t="n"/>
      <c r="F3" s="7" t="n"/>
      <c r="G3" s="7" t="n"/>
      <c r="H3" s="7" t="n"/>
      <c r="I3" s="7" t="n"/>
      <c r="J3" s="7" t="inlineStr">
        <is>
          <t>Total
séances</t>
        </is>
      </c>
      <c r="K3" s="7" t="inlineStr">
        <is>
          <t>HEURES D’ENSEIGNEMENT</t>
        </is>
      </c>
      <c r="L3" s="7" t="n"/>
      <c r="M3" s="7" t="n"/>
      <c r="N3" s="7" t="n"/>
      <c r="O3" s="7" t="n"/>
      <c r="P3" s="7" t="n"/>
      <c r="Q3" s="7" t="n"/>
      <c r="R3" s="7" t="inlineStr">
        <is>
          <t>Total
heures</t>
        </is>
      </c>
      <c r="S3" s="7" t="inlineStr">
        <is>
          <t>⚠ Chevauchements</t>
        </is>
      </c>
    </row>
    <row r="4" ht="16" customHeight="1">
      <c r="A4" s="48" t="inlineStr">
        <is>
          <t>—</t>
        </is>
      </c>
      <c r="B4" s="48" t="inlineStr">
        <is>
          <t>—</t>
        </is>
      </c>
      <c r="C4" s="48" t="inlineStr">
        <is>
          <t>S1</t>
        </is>
      </c>
      <c r="D4" s="48" t="inlineStr">
        <is>
          <t>S2</t>
        </is>
      </c>
      <c r="E4" s="48" t="inlineStr">
        <is>
          <t>S3</t>
        </is>
      </c>
      <c r="F4" s="48" t="inlineStr">
        <is>
          <t>S4</t>
        </is>
      </c>
      <c r="G4" s="48" t="inlineStr">
        <is>
          <t>S5</t>
        </is>
      </c>
      <c r="H4" s="48" t="inlineStr">
        <is>
          <t>S6</t>
        </is>
      </c>
      <c r="I4" s="48" t="inlineStr">
        <is>
          <t>S7</t>
        </is>
      </c>
      <c r="J4" s="48" t="inlineStr">
        <is>
          <t>—</t>
        </is>
      </c>
      <c r="K4" s="48" t="inlineStr">
        <is>
          <t>S1</t>
        </is>
      </c>
      <c r="L4" s="48" t="inlineStr">
        <is>
          <t>S2</t>
        </is>
      </c>
      <c r="M4" s="48" t="inlineStr">
        <is>
          <t>S3</t>
        </is>
      </c>
      <c r="N4" s="48" t="inlineStr">
        <is>
          <t>S4</t>
        </is>
      </c>
      <c r="O4" s="48" t="inlineStr">
        <is>
          <t>S5</t>
        </is>
      </c>
      <c r="P4" s="48" t="inlineStr">
        <is>
          <t>S6</t>
        </is>
      </c>
      <c r="Q4" s="48" t="inlineStr">
        <is>
          <t>S7</t>
        </is>
      </c>
      <c r="R4" s="48" t="inlineStr">
        <is>
          <t>—</t>
        </is>
      </c>
      <c r="S4" s="48" t="inlineStr">
        <is>
          <t>—</t>
        </is>
      </c>
    </row>
    <row r="5" ht="15" customHeight="1">
      <c r="A5" s="9" t="inlineStr">
        <is>
          <t>Abdelwaheb</t>
        </is>
      </c>
      <c r="B5" s="9" t="inlineStr">
        <is>
          <t>Géographie, Histoire</t>
        </is>
      </c>
      <c r="C5" s="10">
        <f>COUNTIFS(Planning!$A$4:$A$704,"S1",Planning!$M$4:$M$704,$A5)</f>
        <v/>
      </c>
      <c r="D5" s="10">
        <f>COUNTIFS(Planning!$A$4:$A$704,"S2",Planning!$M$4:$M$704,$A5)</f>
        <v/>
      </c>
      <c r="E5" s="10">
        <f>COUNTIFS(Planning!$A$4:$A$704,"S3",Planning!$M$4:$M$704,$A5)</f>
        <v/>
      </c>
      <c r="F5" s="10">
        <f>COUNTIFS(Planning!$A$4:$A$704,"S4",Planning!$M$4:$M$704,$A5)</f>
        <v/>
      </c>
      <c r="G5" s="10">
        <f>COUNTIFS(Planning!$A$4:$A$704,"S5",Planning!$M$4:$M$704,$A5)</f>
        <v/>
      </c>
      <c r="H5" s="10">
        <f>COUNTIFS(Planning!$A$4:$A$704,"S6",Planning!$M$4:$M$704,$A5)</f>
        <v/>
      </c>
      <c r="I5" s="10">
        <f>COUNTIFS(Planning!$A$4:$A$704,"S7",Planning!$M$4:$M$704,$A5)</f>
        <v/>
      </c>
      <c r="J5" s="69">
        <f>SUM(C5:I5)</f>
        <v/>
      </c>
      <c r="K5" s="49">
        <f>SUMIFS(Planning!$H$4:$H$704,Planning!$A$4:$A$704,"S1",Planning!$M$4:$M$704,$A5)</f>
        <v/>
      </c>
      <c r="L5" s="49">
        <f>SUMIFS(Planning!$H$4:$H$704,Planning!$A$4:$A$704,"S2",Planning!$M$4:$M$704,$A5)</f>
        <v/>
      </c>
      <c r="M5" s="49">
        <f>SUMIFS(Planning!$H$4:$H$704,Planning!$A$4:$A$704,"S3",Planning!$M$4:$M$704,$A5)</f>
        <v/>
      </c>
      <c r="N5" s="49">
        <f>SUMIFS(Planning!$H$4:$H$704,Planning!$A$4:$A$704,"S4",Planning!$M$4:$M$704,$A5)</f>
        <v/>
      </c>
      <c r="O5" s="49">
        <f>SUMIFS(Planning!$H$4:$H$704,Planning!$A$4:$A$704,"S5",Planning!$M$4:$M$704,$A5)</f>
        <v/>
      </c>
      <c r="P5" s="49">
        <f>SUMIFS(Planning!$H$4:$H$704,Planning!$A$4:$A$704,"S6",Planning!$M$4:$M$704,$A5)</f>
        <v/>
      </c>
      <c r="Q5" s="49">
        <f>SUMIFS(Planning!$H$4:$H$704,Planning!$A$4:$A$704,"S7",Planning!$M$4:$M$704,$A5)</f>
        <v/>
      </c>
      <c r="R5" s="70">
        <f>SUM(K5:Q5)</f>
        <v/>
      </c>
      <c r="S5" s="10">
        <f>COUNTIFS(Planning!$M$4:$M$704,$A5,Planning!$S$4:$S$704,"⚠ CONFLIT")</f>
        <v/>
      </c>
    </row>
    <row r="6" ht="15" customHeight="1">
      <c r="A6" s="9" t="inlineStr">
        <is>
          <t>Ahmed</t>
        </is>
      </c>
      <c r="B6" s="9" t="inlineStr">
        <is>
          <t>Math</t>
        </is>
      </c>
      <c r="C6" s="10">
        <f>COUNTIFS(Planning!$A$4:$A$704,"S1",Planning!$M$4:$M$704,$A6)</f>
        <v/>
      </c>
      <c r="D6" s="10">
        <f>COUNTIFS(Planning!$A$4:$A$704,"S2",Planning!$M$4:$M$704,$A6)</f>
        <v/>
      </c>
      <c r="E6" s="10">
        <f>COUNTIFS(Planning!$A$4:$A$704,"S3",Planning!$M$4:$M$704,$A6)</f>
        <v/>
      </c>
      <c r="F6" s="10">
        <f>COUNTIFS(Planning!$A$4:$A$704,"S4",Planning!$M$4:$M$704,$A6)</f>
        <v/>
      </c>
      <c r="G6" s="10">
        <f>COUNTIFS(Planning!$A$4:$A$704,"S5",Planning!$M$4:$M$704,$A6)</f>
        <v/>
      </c>
      <c r="H6" s="10">
        <f>COUNTIFS(Planning!$A$4:$A$704,"S6",Planning!$M$4:$M$704,$A6)</f>
        <v/>
      </c>
      <c r="I6" s="10">
        <f>COUNTIFS(Planning!$A$4:$A$704,"S7",Planning!$M$4:$M$704,$A6)</f>
        <v/>
      </c>
      <c r="J6" s="69">
        <f>SUM(C6:I6)</f>
        <v/>
      </c>
      <c r="K6" s="49">
        <f>SUMIFS(Planning!$H$4:$H$704,Planning!$A$4:$A$704,"S1",Planning!$M$4:$M$704,$A6)</f>
        <v/>
      </c>
      <c r="L6" s="49">
        <f>SUMIFS(Planning!$H$4:$H$704,Planning!$A$4:$A$704,"S2",Planning!$M$4:$M$704,$A6)</f>
        <v/>
      </c>
      <c r="M6" s="49">
        <f>SUMIFS(Planning!$H$4:$H$704,Planning!$A$4:$A$704,"S3",Planning!$M$4:$M$704,$A6)</f>
        <v/>
      </c>
      <c r="N6" s="49">
        <f>SUMIFS(Planning!$H$4:$H$704,Planning!$A$4:$A$704,"S4",Planning!$M$4:$M$704,$A6)</f>
        <v/>
      </c>
      <c r="O6" s="49">
        <f>SUMIFS(Planning!$H$4:$H$704,Planning!$A$4:$A$704,"S5",Planning!$M$4:$M$704,$A6)</f>
        <v/>
      </c>
      <c r="P6" s="49">
        <f>SUMIFS(Planning!$H$4:$H$704,Planning!$A$4:$A$704,"S6",Planning!$M$4:$M$704,$A6)</f>
        <v/>
      </c>
      <c r="Q6" s="49">
        <f>SUMIFS(Planning!$H$4:$H$704,Planning!$A$4:$A$704,"S7",Planning!$M$4:$M$704,$A6)</f>
        <v/>
      </c>
      <c r="R6" s="70">
        <f>SUM(K6:Q6)</f>
        <v/>
      </c>
      <c r="S6" s="10">
        <f>COUNTIFS(Planning!$M$4:$M$704,$A6,Planning!$S$4:$S$704,"⚠ CONFLIT")</f>
        <v/>
      </c>
    </row>
    <row r="7" ht="15" customHeight="1">
      <c r="A7" s="9" t="inlineStr">
        <is>
          <t>Amel</t>
        </is>
      </c>
      <c r="B7" s="9" t="inlineStr">
        <is>
          <t>Italien</t>
        </is>
      </c>
      <c r="C7" s="10">
        <f>COUNTIFS(Planning!$A$4:$A$704,"S1",Planning!$M$4:$M$704,$A7)</f>
        <v/>
      </c>
      <c r="D7" s="10">
        <f>COUNTIFS(Planning!$A$4:$A$704,"S2",Planning!$M$4:$M$704,$A7)</f>
        <v/>
      </c>
      <c r="E7" s="10">
        <f>COUNTIFS(Planning!$A$4:$A$704,"S3",Planning!$M$4:$M$704,$A7)</f>
        <v/>
      </c>
      <c r="F7" s="10">
        <f>COUNTIFS(Planning!$A$4:$A$704,"S4",Planning!$M$4:$M$704,$A7)</f>
        <v/>
      </c>
      <c r="G7" s="10">
        <f>COUNTIFS(Planning!$A$4:$A$704,"S5",Planning!$M$4:$M$704,$A7)</f>
        <v/>
      </c>
      <c r="H7" s="10">
        <f>COUNTIFS(Planning!$A$4:$A$704,"S6",Planning!$M$4:$M$704,$A7)</f>
        <v/>
      </c>
      <c r="I7" s="10">
        <f>COUNTIFS(Planning!$A$4:$A$704,"S7",Planning!$M$4:$M$704,$A7)</f>
        <v/>
      </c>
      <c r="J7" s="69">
        <f>SUM(C7:I7)</f>
        <v/>
      </c>
      <c r="K7" s="49">
        <f>SUMIFS(Planning!$H$4:$H$704,Planning!$A$4:$A$704,"S1",Planning!$M$4:$M$704,$A7)</f>
        <v/>
      </c>
      <c r="L7" s="49">
        <f>SUMIFS(Planning!$H$4:$H$704,Planning!$A$4:$A$704,"S2",Planning!$M$4:$M$704,$A7)</f>
        <v/>
      </c>
      <c r="M7" s="49">
        <f>SUMIFS(Planning!$H$4:$H$704,Planning!$A$4:$A$704,"S3",Planning!$M$4:$M$704,$A7)</f>
        <v/>
      </c>
      <c r="N7" s="49">
        <f>SUMIFS(Planning!$H$4:$H$704,Planning!$A$4:$A$704,"S4",Planning!$M$4:$M$704,$A7)</f>
        <v/>
      </c>
      <c r="O7" s="49">
        <f>SUMIFS(Planning!$H$4:$H$704,Planning!$A$4:$A$704,"S5",Planning!$M$4:$M$704,$A7)</f>
        <v/>
      </c>
      <c r="P7" s="49">
        <f>SUMIFS(Planning!$H$4:$H$704,Planning!$A$4:$A$704,"S6",Planning!$M$4:$M$704,$A7)</f>
        <v/>
      </c>
      <c r="Q7" s="49">
        <f>SUMIFS(Planning!$H$4:$H$704,Planning!$A$4:$A$704,"S7",Planning!$M$4:$M$704,$A7)</f>
        <v/>
      </c>
      <c r="R7" s="70">
        <f>SUM(K7:Q7)</f>
        <v/>
      </c>
      <c r="S7" s="10">
        <f>COUNTIFS(Planning!$M$4:$M$704,$A7,Planning!$S$4:$S$704,"⚠ CONFLIT")</f>
        <v/>
      </c>
    </row>
    <row r="8" ht="15" customHeight="1">
      <c r="A8" s="9" t="inlineStr">
        <is>
          <t>Awatef</t>
        </is>
      </c>
      <c r="B8" s="9" t="inlineStr">
        <is>
          <t>Arabe</t>
        </is>
      </c>
      <c r="C8" s="10">
        <f>COUNTIFS(Planning!$A$4:$A$704,"S1",Planning!$M$4:$M$704,$A8)</f>
        <v/>
      </c>
      <c r="D8" s="10">
        <f>COUNTIFS(Planning!$A$4:$A$704,"S2",Planning!$M$4:$M$704,$A8)</f>
        <v/>
      </c>
      <c r="E8" s="10">
        <f>COUNTIFS(Planning!$A$4:$A$704,"S3",Planning!$M$4:$M$704,$A8)</f>
        <v/>
      </c>
      <c r="F8" s="10">
        <f>COUNTIFS(Planning!$A$4:$A$704,"S4",Planning!$M$4:$M$704,$A8)</f>
        <v/>
      </c>
      <c r="G8" s="10">
        <f>COUNTIFS(Planning!$A$4:$A$704,"S5",Planning!$M$4:$M$704,$A8)</f>
        <v/>
      </c>
      <c r="H8" s="10">
        <f>COUNTIFS(Planning!$A$4:$A$704,"S6",Planning!$M$4:$M$704,$A8)</f>
        <v/>
      </c>
      <c r="I8" s="10">
        <f>COUNTIFS(Planning!$A$4:$A$704,"S7",Planning!$M$4:$M$704,$A8)</f>
        <v/>
      </c>
      <c r="J8" s="69">
        <f>SUM(C8:I8)</f>
        <v/>
      </c>
      <c r="K8" s="49">
        <f>SUMIFS(Planning!$H$4:$H$704,Planning!$A$4:$A$704,"S1",Planning!$M$4:$M$704,$A8)</f>
        <v/>
      </c>
      <c r="L8" s="49">
        <f>SUMIFS(Planning!$H$4:$H$704,Planning!$A$4:$A$704,"S2",Planning!$M$4:$M$704,$A8)</f>
        <v/>
      </c>
      <c r="M8" s="49">
        <f>SUMIFS(Planning!$H$4:$H$704,Planning!$A$4:$A$704,"S3",Planning!$M$4:$M$704,$A8)</f>
        <v/>
      </c>
      <c r="N8" s="49">
        <f>SUMIFS(Planning!$H$4:$H$704,Planning!$A$4:$A$704,"S4",Planning!$M$4:$M$704,$A8)</f>
        <v/>
      </c>
      <c r="O8" s="49">
        <f>SUMIFS(Planning!$H$4:$H$704,Planning!$A$4:$A$704,"S5",Planning!$M$4:$M$704,$A8)</f>
        <v/>
      </c>
      <c r="P8" s="49">
        <f>SUMIFS(Planning!$H$4:$H$704,Planning!$A$4:$A$704,"S6",Planning!$M$4:$M$704,$A8)</f>
        <v/>
      </c>
      <c r="Q8" s="49">
        <f>SUMIFS(Planning!$H$4:$H$704,Planning!$A$4:$A$704,"S7",Planning!$M$4:$M$704,$A8)</f>
        <v/>
      </c>
      <c r="R8" s="70">
        <f>SUM(K8:Q8)</f>
        <v/>
      </c>
      <c r="S8" s="10">
        <f>COUNTIFS(Planning!$M$4:$M$704,$A8,Planning!$S$4:$S$704,"⚠ CONFLIT")</f>
        <v/>
      </c>
    </row>
    <row r="9" ht="15" customHeight="1">
      <c r="A9" s="9" t="inlineStr">
        <is>
          <t>Aymen</t>
        </is>
      </c>
      <c r="B9" s="9" t="inlineStr">
        <is>
          <t>ALGO, Informatique, STI</t>
        </is>
      </c>
      <c r="C9" s="10">
        <f>COUNTIFS(Planning!$A$4:$A$704,"S1",Planning!$M$4:$M$704,$A9)</f>
        <v/>
      </c>
      <c r="D9" s="10">
        <f>COUNTIFS(Planning!$A$4:$A$704,"S2",Planning!$M$4:$M$704,$A9)</f>
        <v/>
      </c>
      <c r="E9" s="10">
        <f>COUNTIFS(Planning!$A$4:$A$704,"S3",Planning!$M$4:$M$704,$A9)</f>
        <v/>
      </c>
      <c r="F9" s="10">
        <f>COUNTIFS(Planning!$A$4:$A$704,"S4",Planning!$M$4:$M$704,$A9)</f>
        <v/>
      </c>
      <c r="G9" s="10">
        <f>COUNTIFS(Planning!$A$4:$A$704,"S5",Planning!$M$4:$M$704,$A9)</f>
        <v/>
      </c>
      <c r="H9" s="10">
        <f>COUNTIFS(Planning!$A$4:$A$704,"S6",Planning!$M$4:$M$704,$A9)</f>
        <v/>
      </c>
      <c r="I9" s="10">
        <f>COUNTIFS(Planning!$A$4:$A$704,"S7",Planning!$M$4:$M$704,$A9)</f>
        <v/>
      </c>
      <c r="J9" s="69">
        <f>SUM(C9:I9)</f>
        <v/>
      </c>
      <c r="K9" s="49">
        <f>SUMIFS(Planning!$H$4:$H$704,Planning!$A$4:$A$704,"S1",Planning!$M$4:$M$704,$A9)</f>
        <v/>
      </c>
      <c r="L9" s="49">
        <f>SUMIFS(Planning!$H$4:$H$704,Planning!$A$4:$A$704,"S2",Planning!$M$4:$M$704,$A9)</f>
        <v/>
      </c>
      <c r="M9" s="49">
        <f>SUMIFS(Planning!$H$4:$H$704,Planning!$A$4:$A$704,"S3",Planning!$M$4:$M$704,$A9)</f>
        <v/>
      </c>
      <c r="N9" s="49">
        <f>SUMIFS(Planning!$H$4:$H$704,Planning!$A$4:$A$704,"S4",Planning!$M$4:$M$704,$A9)</f>
        <v/>
      </c>
      <c r="O9" s="49">
        <f>SUMIFS(Planning!$H$4:$H$704,Planning!$A$4:$A$704,"S5",Planning!$M$4:$M$704,$A9)</f>
        <v/>
      </c>
      <c r="P9" s="49">
        <f>SUMIFS(Planning!$H$4:$H$704,Planning!$A$4:$A$704,"S6",Planning!$M$4:$M$704,$A9)</f>
        <v/>
      </c>
      <c r="Q9" s="49">
        <f>SUMIFS(Planning!$H$4:$H$704,Planning!$A$4:$A$704,"S7",Planning!$M$4:$M$704,$A9)</f>
        <v/>
      </c>
      <c r="R9" s="70">
        <f>SUM(K9:Q9)</f>
        <v/>
      </c>
      <c r="S9" s="10">
        <f>COUNTIFS(Planning!$M$4:$M$704,$A9,Planning!$S$4:$S$704,"⚠ CONFLIT")</f>
        <v/>
      </c>
    </row>
    <row r="10" ht="15" customHeight="1">
      <c r="A10" s="9" t="inlineStr">
        <is>
          <t>Bassma</t>
        </is>
      </c>
      <c r="B10" s="9" t="inlineStr">
        <is>
          <t>Anglais, Math, Éveil scientifique</t>
        </is>
      </c>
      <c r="C10" s="10">
        <f>COUNTIFS(Planning!$A$4:$A$704,"S1",Planning!$M$4:$M$704,$A10)</f>
        <v/>
      </c>
      <c r="D10" s="10">
        <f>COUNTIFS(Planning!$A$4:$A$704,"S2",Planning!$M$4:$M$704,$A10)</f>
        <v/>
      </c>
      <c r="E10" s="10">
        <f>COUNTIFS(Planning!$A$4:$A$704,"S3",Planning!$M$4:$M$704,$A10)</f>
        <v/>
      </c>
      <c r="F10" s="10">
        <f>COUNTIFS(Planning!$A$4:$A$704,"S4",Planning!$M$4:$M$704,$A10)</f>
        <v/>
      </c>
      <c r="G10" s="10">
        <f>COUNTIFS(Planning!$A$4:$A$704,"S5",Planning!$M$4:$M$704,$A10)</f>
        <v/>
      </c>
      <c r="H10" s="10">
        <f>COUNTIFS(Planning!$A$4:$A$704,"S6",Planning!$M$4:$M$704,$A10)</f>
        <v/>
      </c>
      <c r="I10" s="10">
        <f>COUNTIFS(Planning!$A$4:$A$704,"S7",Planning!$M$4:$M$704,$A10)</f>
        <v/>
      </c>
      <c r="J10" s="69">
        <f>SUM(C10:I10)</f>
        <v/>
      </c>
      <c r="K10" s="49">
        <f>SUMIFS(Planning!$H$4:$H$704,Planning!$A$4:$A$704,"S1",Planning!$M$4:$M$704,$A10)</f>
        <v/>
      </c>
      <c r="L10" s="49">
        <f>SUMIFS(Planning!$H$4:$H$704,Planning!$A$4:$A$704,"S2",Planning!$M$4:$M$704,$A10)</f>
        <v/>
      </c>
      <c r="M10" s="49">
        <f>SUMIFS(Planning!$H$4:$H$704,Planning!$A$4:$A$704,"S3",Planning!$M$4:$M$704,$A10)</f>
        <v/>
      </c>
      <c r="N10" s="49">
        <f>SUMIFS(Planning!$H$4:$H$704,Planning!$A$4:$A$704,"S4",Planning!$M$4:$M$704,$A10)</f>
        <v/>
      </c>
      <c r="O10" s="49">
        <f>SUMIFS(Planning!$H$4:$H$704,Planning!$A$4:$A$704,"S5",Planning!$M$4:$M$704,$A10)</f>
        <v/>
      </c>
      <c r="P10" s="49">
        <f>SUMIFS(Planning!$H$4:$H$704,Planning!$A$4:$A$704,"S6",Planning!$M$4:$M$704,$A10)</f>
        <v/>
      </c>
      <c r="Q10" s="49">
        <f>SUMIFS(Planning!$H$4:$H$704,Planning!$A$4:$A$704,"S7",Planning!$M$4:$M$704,$A10)</f>
        <v/>
      </c>
      <c r="R10" s="70">
        <f>SUM(K10:Q10)</f>
        <v/>
      </c>
      <c r="S10" s="10">
        <f>COUNTIFS(Planning!$M$4:$M$704,$A10,Planning!$S$4:$S$704,"⚠ CONFLIT")</f>
        <v/>
      </c>
    </row>
    <row r="11" ht="15" customHeight="1">
      <c r="A11" s="9" t="inlineStr">
        <is>
          <t>Faouzi</t>
        </is>
      </c>
      <c r="B11" s="9" t="inlineStr">
        <is>
          <t>Math</t>
        </is>
      </c>
      <c r="C11" s="10">
        <f>COUNTIFS(Planning!$A$4:$A$704,"S1",Planning!$M$4:$M$704,$A11)</f>
        <v/>
      </c>
      <c r="D11" s="10">
        <f>COUNTIFS(Planning!$A$4:$A$704,"S2",Planning!$M$4:$M$704,$A11)</f>
        <v/>
      </c>
      <c r="E11" s="10">
        <f>COUNTIFS(Planning!$A$4:$A$704,"S3",Planning!$M$4:$M$704,$A11)</f>
        <v/>
      </c>
      <c r="F11" s="10">
        <f>COUNTIFS(Planning!$A$4:$A$704,"S4",Planning!$M$4:$M$704,$A11)</f>
        <v/>
      </c>
      <c r="G11" s="10">
        <f>COUNTIFS(Planning!$A$4:$A$704,"S5",Planning!$M$4:$M$704,$A11)</f>
        <v/>
      </c>
      <c r="H11" s="10">
        <f>COUNTIFS(Planning!$A$4:$A$704,"S6",Planning!$M$4:$M$704,$A11)</f>
        <v/>
      </c>
      <c r="I11" s="10">
        <f>COUNTIFS(Planning!$A$4:$A$704,"S7",Planning!$M$4:$M$704,$A11)</f>
        <v/>
      </c>
      <c r="J11" s="69">
        <f>SUM(C11:I11)</f>
        <v/>
      </c>
      <c r="K11" s="49">
        <f>SUMIFS(Planning!$H$4:$H$704,Planning!$A$4:$A$704,"S1",Planning!$M$4:$M$704,$A11)</f>
        <v/>
      </c>
      <c r="L11" s="49">
        <f>SUMIFS(Planning!$H$4:$H$704,Planning!$A$4:$A$704,"S2",Planning!$M$4:$M$704,$A11)</f>
        <v/>
      </c>
      <c r="M11" s="49">
        <f>SUMIFS(Planning!$H$4:$H$704,Planning!$A$4:$A$704,"S3",Planning!$M$4:$M$704,$A11)</f>
        <v/>
      </c>
      <c r="N11" s="49">
        <f>SUMIFS(Planning!$H$4:$H$704,Planning!$A$4:$A$704,"S4",Planning!$M$4:$M$704,$A11)</f>
        <v/>
      </c>
      <c r="O11" s="49">
        <f>SUMIFS(Planning!$H$4:$H$704,Planning!$A$4:$A$704,"S5",Planning!$M$4:$M$704,$A11)</f>
        <v/>
      </c>
      <c r="P11" s="49">
        <f>SUMIFS(Planning!$H$4:$H$704,Planning!$A$4:$A$704,"S6",Planning!$M$4:$M$704,$A11)</f>
        <v/>
      </c>
      <c r="Q11" s="49">
        <f>SUMIFS(Planning!$H$4:$H$704,Planning!$A$4:$A$704,"S7",Planning!$M$4:$M$704,$A11)</f>
        <v/>
      </c>
      <c r="R11" s="70">
        <f>SUM(K11:Q11)</f>
        <v/>
      </c>
      <c r="S11" s="10">
        <f>COUNTIFS(Planning!$M$4:$M$704,$A11,Planning!$S$4:$S$704,"⚠ CONFLIT")</f>
        <v/>
      </c>
    </row>
    <row r="12" ht="15" customHeight="1">
      <c r="A12" s="9" t="inlineStr">
        <is>
          <t>Fayssel</t>
        </is>
      </c>
      <c r="B12" s="9" t="inlineStr">
        <is>
          <t>Philo</t>
        </is>
      </c>
      <c r="C12" s="10">
        <f>COUNTIFS(Planning!$A$4:$A$704,"S1",Planning!$M$4:$M$704,$A12)</f>
        <v/>
      </c>
      <c r="D12" s="10">
        <f>COUNTIFS(Planning!$A$4:$A$704,"S2",Planning!$M$4:$M$704,$A12)</f>
        <v/>
      </c>
      <c r="E12" s="10">
        <f>COUNTIFS(Planning!$A$4:$A$704,"S3",Planning!$M$4:$M$704,$A12)</f>
        <v/>
      </c>
      <c r="F12" s="10">
        <f>COUNTIFS(Planning!$A$4:$A$704,"S4",Planning!$M$4:$M$704,$A12)</f>
        <v/>
      </c>
      <c r="G12" s="10">
        <f>COUNTIFS(Planning!$A$4:$A$704,"S5",Planning!$M$4:$M$704,$A12)</f>
        <v/>
      </c>
      <c r="H12" s="10">
        <f>COUNTIFS(Planning!$A$4:$A$704,"S6",Planning!$M$4:$M$704,$A12)</f>
        <v/>
      </c>
      <c r="I12" s="10">
        <f>COUNTIFS(Planning!$A$4:$A$704,"S7",Planning!$M$4:$M$704,$A12)</f>
        <v/>
      </c>
      <c r="J12" s="69">
        <f>SUM(C12:I12)</f>
        <v/>
      </c>
      <c r="K12" s="49">
        <f>SUMIFS(Planning!$H$4:$H$704,Planning!$A$4:$A$704,"S1",Planning!$M$4:$M$704,$A12)</f>
        <v/>
      </c>
      <c r="L12" s="49">
        <f>SUMIFS(Planning!$H$4:$H$704,Planning!$A$4:$A$704,"S2",Planning!$M$4:$M$704,$A12)</f>
        <v/>
      </c>
      <c r="M12" s="49">
        <f>SUMIFS(Planning!$H$4:$H$704,Planning!$A$4:$A$704,"S3",Planning!$M$4:$M$704,$A12)</f>
        <v/>
      </c>
      <c r="N12" s="49">
        <f>SUMIFS(Planning!$H$4:$H$704,Planning!$A$4:$A$704,"S4",Planning!$M$4:$M$704,$A12)</f>
        <v/>
      </c>
      <c r="O12" s="49">
        <f>SUMIFS(Planning!$H$4:$H$704,Planning!$A$4:$A$704,"S5",Planning!$M$4:$M$704,$A12)</f>
        <v/>
      </c>
      <c r="P12" s="49">
        <f>SUMIFS(Planning!$H$4:$H$704,Planning!$A$4:$A$704,"S6",Planning!$M$4:$M$704,$A12)</f>
        <v/>
      </c>
      <c r="Q12" s="49">
        <f>SUMIFS(Planning!$H$4:$H$704,Planning!$A$4:$A$704,"S7",Planning!$M$4:$M$704,$A12)</f>
        <v/>
      </c>
      <c r="R12" s="70">
        <f>SUM(K12:Q12)</f>
        <v/>
      </c>
      <c r="S12" s="10">
        <f>COUNTIFS(Planning!$M$4:$M$704,$A12,Planning!$S$4:$S$704,"⚠ CONFLIT")</f>
        <v/>
      </c>
    </row>
    <row r="13" ht="15" customHeight="1">
      <c r="A13" s="9" t="inlineStr">
        <is>
          <t>Hajer</t>
        </is>
      </c>
      <c r="B13" s="9" t="inlineStr">
        <is>
          <t>Math</t>
        </is>
      </c>
      <c r="C13" s="10">
        <f>COUNTIFS(Planning!$A$4:$A$704,"S1",Planning!$M$4:$M$704,$A13)</f>
        <v/>
      </c>
      <c r="D13" s="10">
        <f>COUNTIFS(Planning!$A$4:$A$704,"S2",Planning!$M$4:$M$704,$A13)</f>
        <v/>
      </c>
      <c r="E13" s="10">
        <f>COUNTIFS(Planning!$A$4:$A$704,"S3",Planning!$M$4:$M$704,$A13)</f>
        <v/>
      </c>
      <c r="F13" s="10">
        <f>COUNTIFS(Planning!$A$4:$A$704,"S4",Planning!$M$4:$M$704,$A13)</f>
        <v/>
      </c>
      <c r="G13" s="10">
        <f>COUNTIFS(Planning!$A$4:$A$704,"S5",Planning!$M$4:$M$704,$A13)</f>
        <v/>
      </c>
      <c r="H13" s="10">
        <f>COUNTIFS(Planning!$A$4:$A$704,"S6",Planning!$M$4:$M$704,$A13)</f>
        <v/>
      </c>
      <c r="I13" s="10">
        <f>COUNTIFS(Planning!$A$4:$A$704,"S7",Planning!$M$4:$M$704,$A13)</f>
        <v/>
      </c>
      <c r="J13" s="69">
        <f>SUM(C13:I13)</f>
        <v/>
      </c>
      <c r="K13" s="49">
        <f>SUMIFS(Planning!$H$4:$H$704,Planning!$A$4:$A$704,"S1",Planning!$M$4:$M$704,$A13)</f>
        <v/>
      </c>
      <c r="L13" s="49">
        <f>SUMIFS(Planning!$H$4:$H$704,Planning!$A$4:$A$704,"S2",Planning!$M$4:$M$704,$A13)</f>
        <v/>
      </c>
      <c r="M13" s="49">
        <f>SUMIFS(Planning!$H$4:$H$704,Planning!$A$4:$A$704,"S3",Planning!$M$4:$M$704,$A13)</f>
        <v/>
      </c>
      <c r="N13" s="49">
        <f>SUMIFS(Planning!$H$4:$H$704,Planning!$A$4:$A$704,"S4",Planning!$M$4:$M$704,$A13)</f>
        <v/>
      </c>
      <c r="O13" s="49">
        <f>SUMIFS(Planning!$H$4:$H$704,Planning!$A$4:$A$704,"S5",Planning!$M$4:$M$704,$A13)</f>
        <v/>
      </c>
      <c r="P13" s="49">
        <f>SUMIFS(Planning!$H$4:$H$704,Planning!$A$4:$A$704,"S6",Planning!$M$4:$M$704,$A13)</f>
        <v/>
      </c>
      <c r="Q13" s="49">
        <f>SUMIFS(Planning!$H$4:$H$704,Planning!$A$4:$A$704,"S7",Planning!$M$4:$M$704,$A13)</f>
        <v/>
      </c>
      <c r="R13" s="70">
        <f>SUM(K13:Q13)</f>
        <v/>
      </c>
      <c r="S13" s="10">
        <f>COUNTIFS(Planning!$M$4:$M$704,$A13,Planning!$S$4:$S$704,"⚠ CONFLIT")</f>
        <v/>
      </c>
    </row>
    <row r="14" ht="15" customHeight="1">
      <c r="A14" s="9" t="inlineStr">
        <is>
          <t>Haythem</t>
        </is>
      </c>
      <c r="B14" s="9" t="inlineStr">
        <is>
          <t>Math</t>
        </is>
      </c>
      <c r="C14" s="10">
        <f>COUNTIFS(Planning!$A$4:$A$704,"S1",Planning!$M$4:$M$704,$A14)</f>
        <v/>
      </c>
      <c r="D14" s="10">
        <f>COUNTIFS(Planning!$A$4:$A$704,"S2",Planning!$M$4:$M$704,$A14)</f>
        <v/>
      </c>
      <c r="E14" s="10">
        <f>COUNTIFS(Planning!$A$4:$A$704,"S3",Planning!$M$4:$M$704,$A14)</f>
        <v/>
      </c>
      <c r="F14" s="10">
        <f>COUNTIFS(Planning!$A$4:$A$704,"S4",Planning!$M$4:$M$704,$A14)</f>
        <v/>
      </c>
      <c r="G14" s="10">
        <f>COUNTIFS(Planning!$A$4:$A$704,"S5",Planning!$M$4:$M$704,$A14)</f>
        <v/>
      </c>
      <c r="H14" s="10">
        <f>COUNTIFS(Planning!$A$4:$A$704,"S6",Planning!$M$4:$M$704,$A14)</f>
        <v/>
      </c>
      <c r="I14" s="10">
        <f>COUNTIFS(Planning!$A$4:$A$704,"S7",Planning!$M$4:$M$704,$A14)</f>
        <v/>
      </c>
      <c r="J14" s="69">
        <f>SUM(C14:I14)</f>
        <v/>
      </c>
      <c r="K14" s="49">
        <f>SUMIFS(Planning!$H$4:$H$704,Planning!$A$4:$A$704,"S1",Planning!$M$4:$M$704,$A14)</f>
        <v/>
      </c>
      <c r="L14" s="49">
        <f>SUMIFS(Planning!$H$4:$H$704,Planning!$A$4:$A$704,"S2",Planning!$M$4:$M$704,$A14)</f>
        <v/>
      </c>
      <c r="M14" s="49">
        <f>SUMIFS(Planning!$H$4:$H$704,Planning!$A$4:$A$704,"S3",Planning!$M$4:$M$704,$A14)</f>
        <v/>
      </c>
      <c r="N14" s="49">
        <f>SUMIFS(Planning!$H$4:$H$704,Planning!$A$4:$A$704,"S4",Planning!$M$4:$M$704,$A14)</f>
        <v/>
      </c>
      <c r="O14" s="49">
        <f>SUMIFS(Planning!$H$4:$H$704,Planning!$A$4:$A$704,"S5",Planning!$M$4:$M$704,$A14)</f>
        <v/>
      </c>
      <c r="P14" s="49">
        <f>SUMIFS(Planning!$H$4:$H$704,Planning!$A$4:$A$704,"S6",Planning!$M$4:$M$704,$A14)</f>
        <v/>
      </c>
      <c r="Q14" s="49">
        <f>SUMIFS(Planning!$H$4:$H$704,Planning!$A$4:$A$704,"S7",Planning!$M$4:$M$704,$A14)</f>
        <v/>
      </c>
      <c r="R14" s="70">
        <f>SUM(K14:Q14)</f>
        <v/>
      </c>
      <c r="S14" s="10">
        <f>COUNTIFS(Planning!$M$4:$M$704,$A14,Planning!$S$4:$S$704,"⚠ CONFLIT")</f>
        <v/>
      </c>
    </row>
    <row r="15" ht="15" customHeight="1">
      <c r="A15" s="9" t="inlineStr">
        <is>
          <t>Hend</t>
        </is>
      </c>
      <c r="B15" s="9" t="inlineStr">
        <is>
          <t>Français</t>
        </is>
      </c>
      <c r="C15" s="10">
        <f>COUNTIFS(Planning!$A$4:$A$704,"S1",Planning!$M$4:$M$704,$A15)</f>
        <v/>
      </c>
      <c r="D15" s="10">
        <f>COUNTIFS(Planning!$A$4:$A$704,"S2",Planning!$M$4:$M$704,$A15)</f>
        <v/>
      </c>
      <c r="E15" s="10">
        <f>COUNTIFS(Planning!$A$4:$A$704,"S3",Planning!$M$4:$M$704,$A15)</f>
        <v/>
      </c>
      <c r="F15" s="10">
        <f>COUNTIFS(Planning!$A$4:$A$704,"S4",Planning!$M$4:$M$704,$A15)</f>
        <v/>
      </c>
      <c r="G15" s="10">
        <f>COUNTIFS(Planning!$A$4:$A$704,"S5",Planning!$M$4:$M$704,$A15)</f>
        <v/>
      </c>
      <c r="H15" s="10">
        <f>COUNTIFS(Planning!$A$4:$A$704,"S6",Planning!$M$4:$M$704,$A15)</f>
        <v/>
      </c>
      <c r="I15" s="10">
        <f>COUNTIFS(Planning!$A$4:$A$704,"S7",Planning!$M$4:$M$704,$A15)</f>
        <v/>
      </c>
      <c r="J15" s="69">
        <f>SUM(C15:I15)</f>
        <v/>
      </c>
      <c r="K15" s="49">
        <f>SUMIFS(Planning!$H$4:$H$704,Planning!$A$4:$A$704,"S1",Planning!$M$4:$M$704,$A15)</f>
        <v/>
      </c>
      <c r="L15" s="49">
        <f>SUMIFS(Planning!$H$4:$H$704,Planning!$A$4:$A$704,"S2",Planning!$M$4:$M$704,$A15)</f>
        <v/>
      </c>
      <c r="M15" s="49">
        <f>SUMIFS(Planning!$H$4:$H$704,Planning!$A$4:$A$704,"S3",Planning!$M$4:$M$704,$A15)</f>
        <v/>
      </c>
      <c r="N15" s="49">
        <f>SUMIFS(Planning!$H$4:$H$704,Planning!$A$4:$A$704,"S4",Planning!$M$4:$M$704,$A15)</f>
        <v/>
      </c>
      <c r="O15" s="49">
        <f>SUMIFS(Planning!$H$4:$H$704,Planning!$A$4:$A$704,"S5",Planning!$M$4:$M$704,$A15)</f>
        <v/>
      </c>
      <c r="P15" s="49">
        <f>SUMIFS(Planning!$H$4:$H$704,Planning!$A$4:$A$704,"S6",Planning!$M$4:$M$704,$A15)</f>
        <v/>
      </c>
      <c r="Q15" s="49">
        <f>SUMIFS(Planning!$H$4:$H$704,Planning!$A$4:$A$704,"S7",Planning!$M$4:$M$704,$A15)</f>
        <v/>
      </c>
      <c r="R15" s="70">
        <f>SUM(K15:Q15)</f>
        <v/>
      </c>
      <c r="S15" s="10">
        <f>COUNTIFS(Planning!$M$4:$M$704,$A15,Planning!$S$4:$S$704,"⚠ CONFLIT")</f>
        <v/>
      </c>
    </row>
    <row r="16" ht="15" customHeight="1">
      <c r="A16" s="9" t="inlineStr">
        <is>
          <t>Heni</t>
        </is>
      </c>
      <c r="B16" s="9" t="inlineStr">
        <is>
          <t>ALGO</t>
        </is>
      </c>
      <c r="C16" s="10">
        <f>COUNTIFS(Planning!$A$4:$A$704,"S1",Planning!$M$4:$M$704,$A16)</f>
        <v/>
      </c>
      <c r="D16" s="10">
        <f>COUNTIFS(Planning!$A$4:$A$704,"S2",Planning!$M$4:$M$704,$A16)</f>
        <v/>
      </c>
      <c r="E16" s="10">
        <f>COUNTIFS(Planning!$A$4:$A$704,"S3",Planning!$M$4:$M$704,$A16)</f>
        <v/>
      </c>
      <c r="F16" s="10">
        <f>COUNTIFS(Planning!$A$4:$A$704,"S4",Planning!$M$4:$M$704,$A16)</f>
        <v/>
      </c>
      <c r="G16" s="10">
        <f>COUNTIFS(Planning!$A$4:$A$704,"S5",Planning!$M$4:$M$704,$A16)</f>
        <v/>
      </c>
      <c r="H16" s="10">
        <f>COUNTIFS(Planning!$A$4:$A$704,"S6",Planning!$M$4:$M$704,$A16)</f>
        <v/>
      </c>
      <c r="I16" s="10">
        <f>COUNTIFS(Planning!$A$4:$A$704,"S7",Planning!$M$4:$M$704,$A16)</f>
        <v/>
      </c>
      <c r="J16" s="69">
        <f>SUM(C16:I16)</f>
        <v/>
      </c>
      <c r="K16" s="49">
        <f>SUMIFS(Planning!$H$4:$H$704,Planning!$A$4:$A$704,"S1",Planning!$M$4:$M$704,$A16)</f>
        <v/>
      </c>
      <c r="L16" s="49">
        <f>SUMIFS(Planning!$H$4:$H$704,Planning!$A$4:$A$704,"S2",Planning!$M$4:$M$704,$A16)</f>
        <v/>
      </c>
      <c r="M16" s="49">
        <f>SUMIFS(Planning!$H$4:$H$704,Planning!$A$4:$A$704,"S3",Planning!$M$4:$M$704,$A16)</f>
        <v/>
      </c>
      <c r="N16" s="49">
        <f>SUMIFS(Planning!$H$4:$H$704,Planning!$A$4:$A$704,"S4",Planning!$M$4:$M$704,$A16)</f>
        <v/>
      </c>
      <c r="O16" s="49">
        <f>SUMIFS(Planning!$H$4:$H$704,Planning!$A$4:$A$704,"S5",Planning!$M$4:$M$704,$A16)</f>
        <v/>
      </c>
      <c r="P16" s="49">
        <f>SUMIFS(Planning!$H$4:$H$704,Planning!$A$4:$A$704,"S6",Planning!$M$4:$M$704,$A16)</f>
        <v/>
      </c>
      <c r="Q16" s="49">
        <f>SUMIFS(Planning!$H$4:$H$704,Planning!$A$4:$A$704,"S7",Planning!$M$4:$M$704,$A16)</f>
        <v/>
      </c>
      <c r="R16" s="70">
        <f>SUM(K16:Q16)</f>
        <v/>
      </c>
      <c r="S16" s="10">
        <f>COUNTIFS(Planning!$M$4:$M$704,$A16,Planning!$S$4:$S$704,"⚠ CONFLIT")</f>
        <v/>
      </c>
    </row>
    <row r="17" ht="15" customHeight="1">
      <c r="A17" s="9" t="inlineStr">
        <is>
          <t>Imen</t>
        </is>
      </c>
      <c r="B17" s="9" t="inlineStr">
        <is>
          <t>Espagnol</t>
        </is>
      </c>
      <c r="C17" s="10">
        <f>COUNTIFS(Planning!$A$4:$A$704,"S1",Planning!$M$4:$M$704,$A17)</f>
        <v/>
      </c>
      <c r="D17" s="10">
        <f>COUNTIFS(Planning!$A$4:$A$704,"S2",Planning!$M$4:$M$704,$A17)</f>
        <v/>
      </c>
      <c r="E17" s="10">
        <f>COUNTIFS(Planning!$A$4:$A$704,"S3",Planning!$M$4:$M$704,$A17)</f>
        <v/>
      </c>
      <c r="F17" s="10">
        <f>COUNTIFS(Planning!$A$4:$A$704,"S4",Planning!$M$4:$M$704,$A17)</f>
        <v/>
      </c>
      <c r="G17" s="10">
        <f>COUNTIFS(Planning!$A$4:$A$704,"S5",Planning!$M$4:$M$704,$A17)</f>
        <v/>
      </c>
      <c r="H17" s="10">
        <f>COUNTIFS(Planning!$A$4:$A$704,"S6",Planning!$M$4:$M$704,$A17)</f>
        <v/>
      </c>
      <c r="I17" s="10">
        <f>COUNTIFS(Planning!$A$4:$A$704,"S7",Planning!$M$4:$M$704,$A17)</f>
        <v/>
      </c>
      <c r="J17" s="69">
        <f>SUM(C17:I17)</f>
        <v/>
      </c>
      <c r="K17" s="49">
        <f>SUMIFS(Planning!$H$4:$H$704,Planning!$A$4:$A$704,"S1",Planning!$M$4:$M$704,$A17)</f>
        <v/>
      </c>
      <c r="L17" s="49">
        <f>SUMIFS(Planning!$H$4:$H$704,Planning!$A$4:$A$704,"S2",Planning!$M$4:$M$704,$A17)</f>
        <v/>
      </c>
      <c r="M17" s="49">
        <f>SUMIFS(Planning!$H$4:$H$704,Planning!$A$4:$A$704,"S3",Planning!$M$4:$M$704,$A17)</f>
        <v/>
      </c>
      <c r="N17" s="49">
        <f>SUMIFS(Planning!$H$4:$H$704,Planning!$A$4:$A$704,"S4",Planning!$M$4:$M$704,$A17)</f>
        <v/>
      </c>
      <c r="O17" s="49">
        <f>SUMIFS(Planning!$H$4:$H$704,Planning!$A$4:$A$704,"S5",Planning!$M$4:$M$704,$A17)</f>
        <v/>
      </c>
      <c r="P17" s="49">
        <f>SUMIFS(Planning!$H$4:$H$704,Planning!$A$4:$A$704,"S6",Planning!$M$4:$M$704,$A17)</f>
        <v/>
      </c>
      <c r="Q17" s="49">
        <f>SUMIFS(Planning!$H$4:$H$704,Planning!$A$4:$A$704,"S7",Planning!$M$4:$M$704,$A17)</f>
        <v/>
      </c>
      <c r="R17" s="70">
        <f>SUM(K17:Q17)</f>
        <v/>
      </c>
      <c r="S17" s="10">
        <f>COUNTIFS(Planning!$M$4:$M$704,$A17,Planning!$S$4:$S$704,"⚠ CONFLIT")</f>
        <v/>
      </c>
    </row>
    <row r="18" ht="15" customHeight="1">
      <c r="A18" s="9" t="inlineStr">
        <is>
          <t>Imen Ben Lazrak</t>
        </is>
      </c>
      <c r="B18" s="9" t="inlineStr">
        <is>
          <t>Anglais</t>
        </is>
      </c>
      <c r="C18" s="10">
        <f>COUNTIFS(Planning!$A$4:$A$704,"S1",Planning!$M$4:$M$704,$A18)</f>
        <v/>
      </c>
      <c r="D18" s="10">
        <f>COUNTIFS(Planning!$A$4:$A$704,"S2",Planning!$M$4:$M$704,$A18)</f>
        <v/>
      </c>
      <c r="E18" s="10">
        <f>COUNTIFS(Planning!$A$4:$A$704,"S3",Planning!$M$4:$M$704,$A18)</f>
        <v/>
      </c>
      <c r="F18" s="10">
        <f>COUNTIFS(Planning!$A$4:$A$704,"S4",Planning!$M$4:$M$704,$A18)</f>
        <v/>
      </c>
      <c r="G18" s="10">
        <f>COUNTIFS(Planning!$A$4:$A$704,"S5",Planning!$M$4:$M$704,$A18)</f>
        <v/>
      </c>
      <c r="H18" s="10">
        <f>COUNTIFS(Planning!$A$4:$A$704,"S6",Planning!$M$4:$M$704,$A18)</f>
        <v/>
      </c>
      <c r="I18" s="10">
        <f>COUNTIFS(Planning!$A$4:$A$704,"S7",Planning!$M$4:$M$704,$A18)</f>
        <v/>
      </c>
      <c r="J18" s="69">
        <f>SUM(C18:I18)</f>
        <v/>
      </c>
      <c r="K18" s="49">
        <f>SUMIFS(Planning!$H$4:$H$704,Planning!$A$4:$A$704,"S1",Planning!$M$4:$M$704,$A18)</f>
        <v/>
      </c>
      <c r="L18" s="49">
        <f>SUMIFS(Planning!$H$4:$H$704,Planning!$A$4:$A$704,"S2",Planning!$M$4:$M$704,$A18)</f>
        <v/>
      </c>
      <c r="M18" s="49">
        <f>SUMIFS(Planning!$H$4:$H$704,Planning!$A$4:$A$704,"S3",Planning!$M$4:$M$704,$A18)</f>
        <v/>
      </c>
      <c r="N18" s="49">
        <f>SUMIFS(Planning!$H$4:$H$704,Planning!$A$4:$A$704,"S4",Planning!$M$4:$M$704,$A18)</f>
        <v/>
      </c>
      <c r="O18" s="49">
        <f>SUMIFS(Planning!$H$4:$H$704,Planning!$A$4:$A$704,"S5",Planning!$M$4:$M$704,$A18)</f>
        <v/>
      </c>
      <c r="P18" s="49">
        <f>SUMIFS(Planning!$H$4:$H$704,Planning!$A$4:$A$704,"S6",Planning!$M$4:$M$704,$A18)</f>
        <v/>
      </c>
      <c r="Q18" s="49">
        <f>SUMIFS(Planning!$H$4:$H$704,Planning!$A$4:$A$704,"S7",Planning!$M$4:$M$704,$A18)</f>
        <v/>
      </c>
      <c r="R18" s="70">
        <f>SUM(K18:Q18)</f>
        <v/>
      </c>
      <c r="S18" s="10">
        <f>COUNTIFS(Planning!$M$4:$M$704,$A18,Planning!$S$4:$S$704,"⚠ CONFLIT")</f>
        <v/>
      </c>
    </row>
    <row r="19" ht="15" customHeight="1">
      <c r="A19" s="9" t="inlineStr">
        <is>
          <t>Imen Bennour</t>
        </is>
      </c>
      <c r="B19" s="9" t="inlineStr">
        <is>
          <t>Anglais</t>
        </is>
      </c>
      <c r="C19" s="10">
        <f>COUNTIFS(Planning!$A$4:$A$704,"S1",Planning!$M$4:$M$704,$A19)</f>
        <v/>
      </c>
      <c r="D19" s="10">
        <f>COUNTIFS(Planning!$A$4:$A$704,"S2",Planning!$M$4:$M$704,$A19)</f>
        <v/>
      </c>
      <c r="E19" s="10">
        <f>COUNTIFS(Planning!$A$4:$A$704,"S3",Planning!$M$4:$M$704,$A19)</f>
        <v/>
      </c>
      <c r="F19" s="10">
        <f>COUNTIFS(Planning!$A$4:$A$704,"S4",Planning!$M$4:$M$704,$A19)</f>
        <v/>
      </c>
      <c r="G19" s="10">
        <f>COUNTIFS(Planning!$A$4:$A$704,"S5",Planning!$M$4:$M$704,$A19)</f>
        <v/>
      </c>
      <c r="H19" s="10">
        <f>COUNTIFS(Planning!$A$4:$A$704,"S6",Planning!$M$4:$M$704,$A19)</f>
        <v/>
      </c>
      <c r="I19" s="10">
        <f>COUNTIFS(Planning!$A$4:$A$704,"S7",Planning!$M$4:$M$704,$A19)</f>
        <v/>
      </c>
      <c r="J19" s="69">
        <f>SUM(C19:I19)</f>
        <v/>
      </c>
      <c r="K19" s="49">
        <f>SUMIFS(Planning!$H$4:$H$704,Planning!$A$4:$A$704,"S1",Planning!$M$4:$M$704,$A19)</f>
        <v/>
      </c>
      <c r="L19" s="49">
        <f>SUMIFS(Planning!$H$4:$H$704,Planning!$A$4:$A$704,"S2",Planning!$M$4:$M$704,$A19)</f>
        <v/>
      </c>
      <c r="M19" s="49">
        <f>SUMIFS(Planning!$H$4:$H$704,Planning!$A$4:$A$704,"S3",Planning!$M$4:$M$704,$A19)</f>
        <v/>
      </c>
      <c r="N19" s="49">
        <f>SUMIFS(Planning!$H$4:$H$704,Planning!$A$4:$A$704,"S4",Planning!$M$4:$M$704,$A19)</f>
        <v/>
      </c>
      <c r="O19" s="49">
        <f>SUMIFS(Planning!$H$4:$H$704,Planning!$A$4:$A$704,"S5",Planning!$M$4:$M$704,$A19)</f>
        <v/>
      </c>
      <c r="P19" s="49">
        <f>SUMIFS(Planning!$H$4:$H$704,Planning!$A$4:$A$704,"S6",Planning!$M$4:$M$704,$A19)</f>
        <v/>
      </c>
      <c r="Q19" s="49">
        <f>SUMIFS(Planning!$H$4:$H$704,Planning!$A$4:$A$704,"S7",Planning!$M$4:$M$704,$A19)</f>
        <v/>
      </c>
      <c r="R19" s="70">
        <f>SUM(K19:Q19)</f>
        <v/>
      </c>
      <c r="S19" s="10">
        <f>COUNTIFS(Planning!$M$4:$M$704,$A19,Planning!$S$4:$S$704,"⚠ CONFLIT")</f>
        <v/>
      </c>
    </row>
    <row r="20" ht="15" customHeight="1">
      <c r="A20" s="9" t="inlineStr">
        <is>
          <t>Imen Ghoumem</t>
        </is>
      </c>
      <c r="B20" s="9" t="inlineStr">
        <is>
          <t>SVT</t>
        </is>
      </c>
      <c r="C20" s="10">
        <f>COUNTIFS(Planning!$A$4:$A$704,"S1",Planning!$M$4:$M$704,$A20)</f>
        <v/>
      </c>
      <c r="D20" s="10">
        <f>COUNTIFS(Planning!$A$4:$A$704,"S2",Planning!$M$4:$M$704,$A20)</f>
        <v/>
      </c>
      <c r="E20" s="10">
        <f>COUNTIFS(Planning!$A$4:$A$704,"S3",Planning!$M$4:$M$704,$A20)</f>
        <v/>
      </c>
      <c r="F20" s="10">
        <f>COUNTIFS(Planning!$A$4:$A$704,"S4",Planning!$M$4:$M$704,$A20)</f>
        <v/>
      </c>
      <c r="G20" s="10">
        <f>COUNTIFS(Planning!$A$4:$A$704,"S5",Planning!$M$4:$M$704,$A20)</f>
        <v/>
      </c>
      <c r="H20" s="10">
        <f>COUNTIFS(Planning!$A$4:$A$704,"S6",Planning!$M$4:$M$704,$A20)</f>
        <v/>
      </c>
      <c r="I20" s="10">
        <f>COUNTIFS(Planning!$A$4:$A$704,"S7",Planning!$M$4:$M$704,$A20)</f>
        <v/>
      </c>
      <c r="J20" s="69">
        <f>SUM(C20:I20)</f>
        <v/>
      </c>
      <c r="K20" s="49">
        <f>SUMIFS(Planning!$H$4:$H$704,Planning!$A$4:$A$704,"S1",Planning!$M$4:$M$704,$A20)</f>
        <v/>
      </c>
      <c r="L20" s="49">
        <f>SUMIFS(Planning!$H$4:$H$704,Planning!$A$4:$A$704,"S2",Planning!$M$4:$M$704,$A20)</f>
        <v/>
      </c>
      <c r="M20" s="49">
        <f>SUMIFS(Planning!$H$4:$H$704,Planning!$A$4:$A$704,"S3",Planning!$M$4:$M$704,$A20)</f>
        <v/>
      </c>
      <c r="N20" s="49">
        <f>SUMIFS(Planning!$H$4:$H$704,Planning!$A$4:$A$704,"S4",Planning!$M$4:$M$704,$A20)</f>
        <v/>
      </c>
      <c r="O20" s="49">
        <f>SUMIFS(Planning!$H$4:$H$704,Planning!$A$4:$A$704,"S5",Planning!$M$4:$M$704,$A20)</f>
        <v/>
      </c>
      <c r="P20" s="49">
        <f>SUMIFS(Planning!$H$4:$H$704,Planning!$A$4:$A$704,"S6",Planning!$M$4:$M$704,$A20)</f>
        <v/>
      </c>
      <c r="Q20" s="49">
        <f>SUMIFS(Planning!$H$4:$H$704,Planning!$A$4:$A$704,"S7",Planning!$M$4:$M$704,$A20)</f>
        <v/>
      </c>
      <c r="R20" s="70">
        <f>SUM(K20:Q20)</f>
        <v/>
      </c>
      <c r="S20" s="10">
        <f>COUNTIFS(Planning!$M$4:$M$704,$A20,Planning!$S$4:$S$704,"⚠ CONFLIT")</f>
        <v/>
      </c>
    </row>
    <row r="21" ht="15" customHeight="1">
      <c r="A21" s="9" t="inlineStr">
        <is>
          <t>Imen Ghoumeme</t>
        </is>
      </c>
      <c r="B21" s="9" t="inlineStr">
        <is>
          <t>SVT</t>
        </is>
      </c>
      <c r="C21" s="10">
        <f>COUNTIFS(Planning!$A$4:$A$704,"S1",Planning!$M$4:$M$704,$A21)</f>
        <v/>
      </c>
      <c r="D21" s="10">
        <f>COUNTIFS(Planning!$A$4:$A$704,"S2",Planning!$M$4:$M$704,$A21)</f>
        <v/>
      </c>
      <c r="E21" s="10">
        <f>COUNTIFS(Planning!$A$4:$A$704,"S3",Planning!$M$4:$M$704,$A21)</f>
        <v/>
      </c>
      <c r="F21" s="10">
        <f>COUNTIFS(Planning!$A$4:$A$704,"S4",Planning!$M$4:$M$704,$A21)</f>
        <v/>
      </c>
      <c r="G21" s="10">
        <f>COUNTIFS(Planning!$A$4:$A$704,"S5",Planning!$M$4:$M$704,$A21)</f>
        <v/>
      </c>
      <c r="H21" s="10">
        <f>COUNTIFS(Planning!$A$4:$A$704,"S6",Planning!$M$4:$M$704,$A21)</f>
        <v/>
      </c>
      <c r="I21" s="10">
        <f>COUNTIFS(Planning!$A$4:$A$704,"S7",Planning!$M$4:$M$704,$A21)</f>
        <v/>
      </c>
      <c r="J21" s="69">
        <f>SUM(C21:I21)</f>
        <v/>
      </c>
      <c r="K21" s="49">
        <f>SUMIFS(Planning!$H$4:$H$704,Planning!$A$4:$A$704,"S1",Planning!$M$4:$M$704,$A21)</f>
        <v/>
      </c>
      <c r="L21" s="49">
        <f>SUMIFS(Planning!$H$4:$H$704,Planning!$A$4:$A$704,"S2",Planning!$M$4:$M$704,$A21)</f>
        <v/>
      </c>
      <c r="M21" s="49">
        <f>SUMIFS(Planning!$H$4:$H$704,Planning!$A$4:$A$704,"S3",Planning!$M$4:$M$704,$A21)</f>
        <v/>
      </c>
      <c r="N21" s="49">
        <f>SUMIFS(Planning!$H$4:$H$704,Planning!$A$4:$A$704,"S4",Planning!$M$4:$M$704,$A21)</f>
        <v/>
      </c>
      <c r="O21" s="49">
        <f>SUMIFS(Planning!$H$4:$H$704,Planning!$A$4:$A$704,"S5",Planning!$M$4:$M$704,$A21)</f>
        <v/>
      </c>
      <c r="P21" s="49">
        <f>SUMIFS(Planning!$H$4:$H$704,Planning!$A$4:$A$704,"S6",Planning!$M$4:$M$704,$A21)</f>
        <v/>
      </c>
      <c r="Q21" s="49">
        <f>SUMIFS(Planning!$H$4:$H$704,Planning!$A$4:$A$704,"S7",Planning!$M$4:$M$704,$A21)</f>
        <v/>
      </c>
      <c r="R21" s="70">
        <f>SUM(K21:Q21)</f>
        <v/>
      </c>
      <c r="S21" s="10">
        <f>COUNTIFS(Planning!$M$4:$M$704,$A21,Planning!$S$4:$S$704,"⚠ CONFLIT")</f>
        <v/>
      </c>
    </row>
    <row r="22" ht="15" customHeight="1">
      <c r="A22" s="9" t="inlineStr">
        <is>
          <t>Imen Jribi</t>
        </is>
      </c>
      <c r="B22" s="9" t="inlineStr">
        <is>
          <t>SVT</t>
        </is>
      </c>
      <c r="C22" s="10">
        <f>COUNTIFS(Planning!$A$4:$A$704,"S1",Planning!$M$4:$M$704,$A22)</f>
        <v/>
      </c>
      <c r="D22" s="10">
        <f>COUNTIFS(Planning!$A$4:$A$704,"S2",Planning!$M$4:$M$704,$A22)</f>
        <v/>
      </c>
      <c r="E22" s="10">
        <f>COUNTIFS(Planning!$A$4:$A$704,"S3",Planning!$M$4:$M$704,$A22)</f>
        <v/>
      </c>
      <c r="F22" s="10">
        <f>COUNTIFS(Planning!$A$4:$A$704,"S4",Planning!$M$4:$M$704,$A22)</f>
        <v/>
      </c>
      <c r="G22" s="10">
        <f>COUNTIFS(Planning!$A$4:$A$704,"S5",Planning!$M$4:$M$704,$A22)</f>
        <v/>
      </c>
      <c r="H22" s="10">
        <f>COUNTIFS(Planning!$A$4:$A$704,"S6",Planning!$M$4:$M$704,$A22)</f>
        <v/>
      </c>
      <c r="I22" s="10">
        <f>COUNTIFS(Planning!$A$4:$A$704,"S7",Planning!$M$4:$M$704,$A22)</f>
        <v/>
      </c>
      <c r="J22" s="69">
        <f>SUM(C22:I22)</f>
        <v/>
      </c>
      <c r="K22" s="49">
        <f>SUMIFS(Planning!$H$4:$H$704,Planning!$A$4:$A$704,"S1",Planning!$M$4:$M$704,$A22)</f>
        <v/>
      </c>
      <c r="L22" s="49">
        <f>SUMIFS(Planning!$H$4:$H$704,Planning!$A$4:$A$704,"S2",Planning!$M$4:$M$704,$A22)</f>
        <v/>
      </c>
      <c r="M22" s="49">
        <f>SUMIFS(Planning!$H$4:$H$704,Planning!$A$4:$A$704,"S3",Planning!$M$4:$M$704,$A22)</f>
        <v/>
      </c>
      <c r="N22" s="49">
        <f>SUMIFS(Planning!$H$4:$H$704,Planning!$A$4:$A$704,"S4",Planning!$M$4:$M$704,$A22)</f>
        <v/>
      </c>
      <c r="O22" s="49">
        <f>SUMIFS(Planning!$H$4:$H$704,Planning!$A$4:$A$704,"S5",Planning!$M$4:$M$704,$A22)</f>
        <v/>
      </c>
      <c r="P22" s="49">
        <f>SUMIFS(Planning!$H$4:$H$704,Planning!$A$4:$A$704,"S6",Planning!$M$4:$M$704,$A22)</f>
        <v/>
      </c>
      <c r="Q22" s="49">
        <f>SUMIFS(Planning!$H$4:$H$704,Planning!$A$4:$A$704,"S7",Planning!$M$4:$M$704,$A22)</f>
        <v/>
      </c>
      <c r="R22" s="70">
        <f>SUM(K22:Q22)</f>
        <v/>
      </c>
      <c r="S22" s="10">
        <f>COUNTIFS(Planning!$M$4:$M$704,$A22,Planning!$S$4:$S$704,"⚠ CONFLIT")</f>
        <v/>
      </c>
    </row>
    <row r="23" ht="15" customHeight="1">
      <c r="A23" s="9" t="inlineStr">
        <is>
          <t>Khaled</t>
        </is>
      </c>
      <c r="B23" s="9" t="inlineStr">
        <is>
          <t>Anglais</t>
        </is>
      </c>
      <c r="C23" s="10">
        <f>COUNTIFS(Planning!$A$4:$A$704,"S1",Planning!$M$4:$M$704,$A23)</f>
        <v/>
      </c>
      <c r="D23" s="10">
        <f>COUNTIFS(Planning!$A$4:$A$704,"S2",Planning!$M$4:$M$704,$A23)</f>
        <v/>
      </c>
      <c r="E23" s="10">
        <f>COUNTIFS(Planning!$A$4:$A$704,"S3",Planning!$M$4:$M$704,$A23)</f>
        <v/>
      </c>
      <c r="F23" s="10">
        <f>COUNTIFS(Planning!$A$4:$A$704,"S4",Planning!$M$4:$M$704,$A23)</f>
        <v/>
      </c>
      <c r="G23" s="10">
        <f>COUNTIFS(Planning!$A$4:$A$704,"S5",Planning!$M$4:$M$704,$A23)</f>
        <v/>
      </c>
      <c r="H23" s="10">
        <f>COUNTIFS(Planning!$A$4:$A$704,"S6",Planning!$M$4:$M$704,$A23)</f>
        <v/>
      </c>
      <c r="I23" s="10">
        <f>COUNTIFS(Planning!$A$4:$A$704,"S7",Planning!$M$4:$M$704,$A23)</f>
        <v/>
      </c>
      <c r="J23" s="69">
        <f>SUM(C23:I23)</f>
        <v/>
      </c>
      <c r="K23" s="49">
        <f>SUMIFS(Planning!$H$4:$H$704,Planning!$A$4:$A$704,"S1",Planning!$M$4:$M$704,$A23)</f>
        <v/>
      </c>
      <c r="L23" s="49">
        <f>SUMIFS(Planning!$H$4:$H$704,Planning!$A$4:$A$704,"S2",Planning!$M$4:$M$704,$A23)</f>
        <v/>
      </c>
      <c r="M23" s="49">
        <f>SUMIFS(Planning!$H$4:$H$704,Planning!$A$4:$A$704,"S3",Planning!$M$4:$M$704,$A23)</f>
        <v/>
      </c>
      <c r="N23" s="49">
        <f>SUMIFS(Planning!$H$4:$H$704,Planning!$A$4:$A$704,"S4",Planning!$M$4:$M$704,$A23)</f>
        <v/>
      </c>
      <c r="O23" s="49">
        <f>SUMIFS(Planning!$H$4:$H$704,Planning!$A$4:$A$704,"S5",Planning!$M$4:$M$704,$A23)</f>
        <v/>
      </c>
      <c r="P23" s="49">
        <f>SUMIFS(Planning!$H$4:$H$704,Planning!$A$4:$A$704,"S6",Planning!$M$4:$M$704,$A23)</f>
        <v/>
      </c>
      <c r="Q23" s="49">
        <f>SUMIFS(Planning!$H$4:$H$704,Planning!$A$4:$A$704,"S7",Planning!$M$4:$M$704,$A23)</f>
        <v/>
      </c>
      <c r="R23" s="70">
        <f>SUM(K23:Q23)</f>
        <v/>
      </c>
      <c r="S23" s="10">
        <f>COUNTIFS(Planning!$M$4:$M$704,$A23,Planning!$S$4:$S$704,"⚠ CONFLIT")</f>
        <v/>
      </c>
    </row>
    <row r="24" ht="15" customHeight="1">
      <c r="A24" s="9" t="inlineStr">
        <is>
          <t>Khouloud</t>
        </is>
      </c>
      <c r="B24" s="9" t="inlineStr">
        <is>
          <t>Math</t>
        </is>
      </c>
      <c r="C24" s="10">
        <f>COUNTIFS(Planning!$A$4:$A$704,"S1",Planning!$M$4:$M$704,$A24)</f>
        <v/>
      </c>
      <c r="D24" s="10">
        <f>COUNTIFS(Planning!$A$4:$A$704,"S2",Planning!$M$4:$M$704,$A24)</f>
        <v/>
      </c>
      <c r="E24" s="10">
        <f>COUNTIFS(Planning!$A$4:$A$704,"S3",Planning!$M$4:$M$704,$A24)</f>
        <v/>
      </c>
      <c r="F24" s="10">
        <f>COUNTIFS(Planning!$A$4:$A$704,"S4",Planning!$M$4:$M$704,$A24)</f>
        <v/>
      </c>
      <c r="G24" s="10">
        <f>COUNTIFS(Planning!$A$4:$A$704,"S5",Planning!$M$4:$M$704,$A24)</f>
        <v/>
      </c>
      <c r="H24" s="10">
        <f>COUNTIFS(Planning!$A$4:$A$704,"S6",Planning!$M$4:$M$704,$A24)</f>
        <v/>
      </c>
      <c r="I24" s="10">
        <f>COUNTIFS(Planning!$A$4:$A$704,"S7",Planning!$M$4:$M$704,$A24)</f>
        <v/>
      </c>
      <c r="J24" s="69">
        <f>SUM(C24:I24)</f>
        <v/>
      </c>
      <c r="K24" s="49">
        <f>SUMIFS(Planning!$H$4:$H$704,Planning!$A$4:$A$704,"S1",Planning!$M$4:$M$704,$A24)</f>
        <v/>
      </c>
      <c r="L24" s="49">
        <f>SUMIFS(Planning!$H$4:$H$704,Planning!$A$4:$A$704,"S2",Planning!$M$4:$M$704,$A24)</f>
        <v/>
      </c>
      <c r="M24" s="49">
        <f>SUMIFS(Planning!$H$4:$H$704,Planning!$A$4:$A$704,"S3",Planning!$M$4:$M$704,$A24)</f>
        <v/>
      </c>
      <c r="N24" s="49">
        <f>SUMIFS(Planning!$H$4:$H$704,Planning!$A$4:$A$704,"S4",Planning!$M$4:$M$704,$A24)</f>
        <v/>
      </c>
      <c r="O24" s="49">
        <f>SUMIFS(Planning!$H$4:$H$704,Planning!$A$4:$A$704,"S5",Planning!$M$4:$M$704,$A24)</f>
        <v/>
      </c>
      <c r="P24" s="49">
        <f>SUMIFS(Planning!$H$4:$H$704,Planning!$A$4:$A$704,"S6",Planning!$M$4:$M$704,$A24)</f>
        <v/>
      </c>
      <c r="Q24" s="49">
        <f>SUMIFS(Planning!$H$4:$H$704,Planning!$A$4:$A$704,"S7",Planning!$M$4:$M$704,$A24)</f>
        <v/>
      </c>
      <c r="R24" s="70">
        <f>SUM(K24:Q24)</f>
        <v/>
      </c>
      <c r="S24" s="10">
        <f>COUNTIFS(Planning!$M$4:$M$704,$A24,Planning!$S$4:$S$704,"⚠ CONFLIT")</f>
        <v/>
      </c>
    </row>
    <row r="25" ht="15" customHeight="1">
      <c r="A25" s="9" t="inlineStr">
        <is>
          <t>Lobna</t>
        </is>
      </c>
      <c r="B25" s="9" t="inlineStr">
        <is>
          <t>Arabe</t>
        </is>
      </c>
      <c r="C25" s="10">
        <f>COUNTIFS(Planning!$A$4:$A$704,"S1",Planning!$M$4:$M$704,$A25)</f>
        <v/>
      </c>
      <c r="D25" s="10">
        <f>COUNTIFS(Planning!$A$4:$A$704,"S2",Planning!$M$4:$M$704,$A25)</f>
        <v/>
      </c>
      <c r="E25" s="10">
        <f>COUNTIFS(Planning!$A$4:$A$704,"S3",Planning!$M$4:$M$704,$A25)</f>
        <v/>
      </c>
      <c r="F25" s="10">
        <f>COUNTIFS(Planning!$A$4:$A$704,"S4",Planning!$M$4:$M$704,$A25)</f>
        <v/>
      </c>
      <c r="G25" s="10">
        <f>COUNTIFS(Planning!$A$4:$A$704,"S5",Planning!$M$4:$M$704,$A25)</f>
        <v/>
      </c>
      <c r="H25" s="10">
        <f>COUNTIFS(Planning!$A$4:$A$704,"S6",Planning!$M$4:$M$704,$A25)</f>
        <v/>
      </c>
      <c r="I25" s="10">
        <f>COUNTIFS(Planning!$A$4:$A$704,"S7",Planning!$M$4:$M$704,$A25)</f>
        <v/>
      </c>
      <c r="J25" s="69">
        <f>SUM(C25:I25)</f>
        <v/>
      </c>
      <c r="K25" s="49">
        <f>SUMIFS(Planning!$H$4:$H$704,Planning!$A$4:$A$704,"S1",Planning!$M$4:$M$704,$A25)</f>
        <v/>
      </c>
      <c r="L25" s="49">
        <f>SUMIFS(Planning!$H$4:$H$704,Planning!$A$4:$A$704,"S2",Planning!$M$4:$M$704,$A25)</f>
        <v/>
      </c>
      <c r="M25" s="49">
        <f>SUMIFS(Planning!$H$4:$H$704,Planning!$A$4:$A$704,"S3",Planning!$M$4:$M$704,$A25)</f>
        <v/>
      </c>
      <c r="N25" s="49">
        <f>SUMIFS(Planning!$H$4:$H$704,Planning!$A$4:$A$704,"S4",Planning!$M$4:$M$704,$A25)</f>
        <v/>
      </c>
      <c r="O25" s="49">
        <f>SUMIFS(Planning!$H$4:$H$704,Planning!$A$4:$A$704,"S5",Planning!$M$4:$M$704,$A25)</f>
        <v/>
      </c>
      <c r="P25" s="49">
        <f>SUMIFS(Planning!$H$4:$H$704,Planning!$A$4:$A$704,"S6",Planning!$M$4:$M$704,$A25)</f>
        <v/>
      </c>
      <c r="Q25" s="49">
        <f>SUMIFS(Planning!$H$4:$H$704,Planning!$A$4:$A$704,"S7",Planning!$M$4:$M$704,$A25)</f>
        <v/>
      </c>
      <c r="R25" s="70">
        <f>SUM(K25:Q25)</f>
        <v/>
      </c>
      <c r="S25" s="10">
        <f>COUNTIFS(Planning!$M$4:$M$704,$A25,Planning!$S$4:$S$704,"⚠ CONFLIT")</f>
        <v/>
      </c>
    </row>
    <row r="26" ht="15" customHeight="1">
      <c r="A26" s="9" t="inlineStr">
        <is>
          <t>Lotfi</t>
        </is>
      </c>
      <c r="B26" s="9" t="inlineStr">
        <is>
          <t>Math</t>
        </is>
      </c>
      <c r="C26" s="10">
        <f>COUNTIFS(Planning!$A$4:$A$704,"S1",Planning!$M$4:$M$704,$A26)</f>
        <v/>
      </c>
      <c r="D26" s="10">
        <f>COUNTIFS(Planning!$A$4:$A$704,"S2",Planning!$M$4:$M$704,$A26)</f>
        <v/>
      </c>
      <c r="E26" s="10">
        <f>COUNTIFS(Planning!$A$4:$A$704,"S3",Planning!$M$4:$M$704,$A26)</f>
        <v/>
      </c>
      <c r="F26" s="10">
        <f>COUNTIFS(Planning!$A$4:$A$704,"S4",Planning!$M$4:$M$704,$A26)</f>
        <v/>
      </c>
      <c r="G26" s="10">
        <f>COUNTIFS(Planning!$A$4:$A$704,"S5",Planning!$M$4:$M$704,$A26)</f>
        <v/>
      </c>
      <c r="H26" s="10">
        <f>COUNTIFS(Planning!$A$4:$A$704,"S6",Planning!$M$4:$M$704,$A26)</f>
        <v/>
      </c>
      <c r="I26" s="10">
        <f>COUNTIFS(Planning!$A$4:$A$704,"S7",Planning!$M$4:$M$704,$A26)</f>
        <v/>
      </c>
      <c r="J26" s="69">
        <f>SUM(C26:I26)</f>
        <v/>
      </c>
      <c r="K26" s="49">
        <f>SUMIFS(Planning!$H$4:$H$704,Planning!$A$4:$A$704,"S1",Planning!$M$4:$M$704,$A26)</f>
        <v/>
      </c>
      <c r="L26" s="49">
        <f>SUMIFS(Planning!$H$4:$H$704,Planning!$A$4:$A$704,"S2",Planning!$M$4:$M$704,$A26)</f>
        <v/>
      </c>
      <c r="M26" s="49">
        <f>SUMIFS(Planning!$H$4:$H$704,Planning!$A$4:$A$704,"S3",Planning!$M$4:$M$704,$A26)</f>
        <v/>
      </c>
      <c r="N26" s="49">
        <f>SUMIFS(Planning!$H$4:$H$704,Planning!$A$4:$A$704,"S4",Planning!$M$4:$M$704,$A26)</f>
        <v/>
      </c>
      <c r="O26" s="49">
        <f>SUMIFS(Planning!$H$4:$H$704,Planning!$A$4:$A$704,"S5",Planning!$M$4:$M$704,$A26)</f>
        <v/>
      </c>
      <c r="P26" s="49">
        <f>SUMIFS(Planning!$H$4:$H$704,Planning!$A$4:$A$704,"S6",Planning!$M$4:$M$704,$A26)</f>
        <v/>
      </c>
      <c r="Q26" s="49">
        <f>SUMIFS(Planning!$H$4:$H$704,Planning!$A$4:$A$704,"S7",Planning!$M$4:$M$704,$A26)</f>
        <v/>
      </c>
      <c r="R26" s="70">
        <f>SUM(K26:Q26)</f>
        <v/>
      </c>
      <c r="S26" s="10">
        <f>COUNTIFS(Planning!$M$4:$M$704,$A26,Planning!$S$4:$S$704,"⚠ CONFLIT")</f>
        <v/>
      </c>
    </row>
    <row r="27" ht="15" customHeight="1">
      <c r="A27" s="9" t="inlineStr">
        <is>
          <t>Marwa</t>
        </is>
      </c>
      <c r="B27" s="9" t="inlineStr">
        <is>
          <t>Français</t>
        </is>
      </c>
      <c r="C27" s="10">
        <f>COUNTIFS(Planning!$A$4:$A$704,"S1",Planning!$M$4:$M$704,$A27)</f>
        <v/>
      </c>
      <c r="D27" s="10">
        <f>COUNTIFS(Planning!$A$4:$A$704,"S2",Planning!$M$4:$M$704,$A27)</f>
        <v/>
      </c>
      <c r="E27" s="10">
        <f>COUNTIFS(Planning!$A$4:$A$704,"S3",Planning!$M$4:$M$704,$A27)</f>
        <v/>
      </c>
      <c r="F27" s="10">
        <f>COUNTIFS(Planning!$A$4:$A$704,"S4",Planning!$M$4:$M$704,$A27)</f>
        <v/>
      </c>
      <c r="G27" s="10">
        <f>COUNTIFS(Planning!$A$4:$A$704,"S5",Planning!$M$4:$M$704,$A27)</f>
        <v/>
      </c>
      <c r="H27" s="10">
        <f>COUNTIFS(Planning!$A$4:$A$704,"S6",Planning!$M$4:$M$704,$A27)</f>
        <v/>
      </c>
      <c r="I27" s="10">
        <f>COUNTIFS(Planning!$A$4:$A$704,"S7",Planning!$M$4:$M$704,$A27)</f>
        <v/>
      </c>
      <c r="J27" s="69">
        <f>SUM(C27:I27)</f>
        <v/>
      </c>
      <c r="K27" s="49">
        <f>SUMIFS(Planning!$H$4:$H$704,Planning!$A$4:$A$704,"S1",Planning!$M$4:$M$704,$A27)</f>
        <v/>
      </c>
      <c r="L27" s="49">
        <f>SUMIFS(Planning!$H$4:$H$704,Planning!$A$4:$A$704,"S2",Planning!$M$4:$M$704,$A27)</f>
        <v/>
      </c>
      <c r="M27" s="49">
        <f>SUMIFS(Planning!$H$4:$H$704,Planning!$A$4:$A$704,"S3",Planning!$M$4:$M$704,$A27)</f>
        <v/>
      </c>
      <c r="N27" s="49">
        <f>SUMIFS(Planning!$H$4:$H$704,Planning!$A$4:$A$704,"S4",Planning!$M$4:$M$704,$A27)</f>
        <v/>
      </c>
      <c r="O27" s="49">
        <f>SUMIFS(Planning!$H$4:$H$704,Planning!$A$4:$A$704,"S5",Planning!$M$4:$M$704,$A27)</f>
        <v/>
      </c>
      <c r="P27" s="49">
        <f>SUMIFS(Planning!$H$4:$H$704,Planning!$A$4:$A$704,"S6",Planning!$M$4:$M$704,$A27)</f>
        <v/>
      </c>
      <c r="Q27" s="49">
        <f>SUMIFS(Planning!$H$4:$H$704,Planning!$A$4:$A$704,"S7",Planning!$M$4:$M$704,$A27)</f>
        <v/>
      </c>
      <c r="R27" s="70">
        <f>SUM(K27:Q27)</f>
        <v/>
      </c>
      <c r="S27" s="10">
        <f>COUNTIFS(Planning!$M$4:$M$704,$A27,Planning!$S$4:$S$704,"⚠ CONFLIT")</f>
        <v/>
      </c>
    </row>
    <row r="28" ht="15" customHeight="1">
      <c r="A28" s="9" t="inlineStr">
        <is>
          <t>Melek</t>
        </is>
      </c>
      <c r="B28" s="9" t="inlineStr">
        <is>
          <t>Physique</t>
        </is>
      </c>
      <c r="C28" s="10">
        <f>COUNTIFS(Planning!$A$4:$A$704,"S1",Planning!$M$4:$M$704,$A28)</f>
        <v/>
      </c>
      <c r="D28" s="10">
        <f>COUNTIFS(Planning!$A$4:$A$704,"S2",Planning!$M$4:$M$704,$A28)</f>
        <v/>
      </c>
      <c r="E28" s="10">
        <f>COUNTIFS(Planning!$A$4:$A$704,"S3",Planning!$M$4:$M$704,$A28)</f>
        <v/>
      </c>
      <c r="F28" s="10">
        <f>COUNTIFS(Planning!$A$4:$A$704,"S4",Planning!$M$4:$M$704,$A28)</f>
        <v/>
      </c>
      <c r="G28" s="10">
        <f>COUNTIFS(Planning!$A$4:$A$704,"S5",Planning!$M$4:$M$704,$A28)</f>
        <v/>
      </c>
      <c r="H28" s="10">
        <f>COUNTIFS(Planning!$A$4:$A$704,"S6",Planning!$M$4:$M$704,$A28)</f>
        <v/>
      </c>
      <c r="I28" s="10">
        <f>COUNTIFS(Planning!$A$4:$A$704,"S7",Planning!$M$4:$M$704,$A28)</f>
        <v/>
      </c>
      <c r="J28" s="69">
        <f>SUM(C28:I28)</f>
        <v/>
      </c>
      <c r="K28" s="49">
        <f>SUMIFS(Planning!$H$4:$H$704,Planning!$A$4:$A$704,"S1",Planning!$M$4:$M$704,$A28)</f>
        <v/>
      </c>
      <c r="L28" s="49">
        <f>SUMIFS(Planning!$H$4:$H$704,Planning!$A$4:$A$704,"S2",Planning!$M$4:$M$704,$A28)</f>
        <v/>
      </c>
      <c r="M28" s="49">
        <f>SUMIFS(Planning!$H$4:$H$704,Planning!$A$4:$A$704,"S3",Planning!$M$4:$M$704,$A28)</f>
        <v/>
      </c>
      <c r="N28" s="49">
        <f>SUMIFS(Planning!$H$4:$H$704,Planning!$A$4:$A$704,"S4",Planning!$M$4:$M$704,$A28)</f>
        <v/>
      </c>
      <c r="O28" s="49">
        <f>SUMIFS(Planning!$H$4:$H$704,Planning!$A$4:$A$704,"S5",Planning!$M$4:$M$704,$A28)</f>
        <v/>
      </c>
      <c r="P28" s="49">
        <f>SUMIFS(Planning!$H$4:$H$704,Planning!$A$4:$A$704,"S6",Planning!$M$4:$M$704,$A28)</f>
        <v/>
      </c>
      <c r="Q28" s="49">
        <f>SUMIFS(Planning!$H$4:$H$704,Planning!$A$4:$A$704,"S7",Planning!$M$4:$M$704,$A28)</f>
        <v/>
      </c>
      <c r="R28" s="70">
        <f>SUM(K28:Q28)</f>
        <v/>
      </c>
      <c r="S28" s="10">
        <f>COUNTIFS(Planning!$M$4:$M$704,$A28,Planning!$S$4:$S$704,"⚠ CONFLIT")</f>
        <v/>
      </c>
    </row>
    <row r="29" ht="15" customHeight="1">
      <c r="A29" s="9" t="inlineStr">
        <is>
          <t>Nabil</t>
        </is>
      </c>
      <c r="B29" s="9" t="inlineStr">
        <is>
          <t>Français</t>
        </is>
      </c>
      <c r="C29" s="10">
        <f>COUNTIFS(Planning!$A$4:$A$704,"S1",Planning!$M$4:$M$704,$A29)</f>
        <v/>
      </c>
      <c r="D29" s="10">
        <f>COUNTIFS(Planning!$A$4:$A$704,"S2",Planning!$M$4:$M$704,$A29)</f>
        <v/>
      </c>
      <c r="E29" s="10">
        <f>COUNTIFS(Planning!$A$4:$A$704,"S3",Planning!$M$4:$M$704,$A29)</f>
        <v/>
      </c>
      <c r="F29" s="10">
        <f>COUNTIFS(Planning!$A$4:$A$704,"S4",Planning!$M$4:$M$704,$A29)</f>
        <v/>
      </c>
      <c r="G29" s="10">
        <f>COUNTIFS(Planning!$A$4:$A$704,"S5",Planning!$M$4:$M$704,$A29)</f>
        <v/>
      </c>
      <c r="H29" s="10">
        <f>COUNTIFS(Planning!$A$4:$A$704,"S6",Planning!$M$4:$M$704,$A29)</f>
        <v/>
      </c>
      <c r="I29" s="10">
        <f>COUNTIFS(Planning!$A$4:$A$704,"S7",Planning!$M$4:$M$704,$A29)</f>
        <v/>
      </c>
      <c r="J29" s="69">
        <f>SUM(C29:I29)</f>
        <v/>
      </c>
      <c r="K29" s="49">
        <f>SUMIFS(Planning!$H$4:$H$704,Planning!$A$4:$A$704,"S1",Planning!$M$4:$M$704,$A29)</f>
        <v/>
      </c>
      <c r="L29" s="49">
        <f>SUMIFS(Planning!$H$4:$H$704,Planning!$A$4:$A$704,"S2",Planning!$M$4:$M$704,$A29)</f>
        <v/>
      </c>
      <c r="M29" s="49">
        <f>SUMIFS(Planning!$H$4:$H$704,Planning!$A$4:$A$704,"S3",Planning!$M$4:$M$704,$A29)</f>
        <v/>
      </c>
      <c r="N29" s="49">
        <f>SUMIFS(Planning!$H$4:$H$704,Planning!$A$4:$A$704,"S4",Planning!$M$4:$M$704,$A29)</f>
        <v/>
      </c>
      <c r="O29" s="49">
        <f>SUMIFS(Planning!$H$4:$H$704,Planning!$A$4:$A$704,"S5",Planning!$M$4:$M$704,$A29)</f>
        <v/>
      </c>
      <c r="P29" s="49">
        <f>SUMIFS(Planning!$H$4:$H$704,Planning!$A$4:$A$704,"S6",Planning!$M$4:$M$704,$A29)</f>
        <v/>
      </c>
      <c r="Q29" s="49">
        <f>SUMIFS(Planning!$H$4:$H$704,Planning!$A$4:$A$704,"S7",Planning!$M$4:$M$704,$A29)</f>
        <v/>
      </c>
      <c r="R29" s="70">
        <f>SUM(K29:Q29)</f>
        <v/>
      </c>
      <c r="S29" s="10">
        <f>COUNTIFS(Planning!$M$4:$M$704,$A29,Planning!$S$4:$S$704,"⚠ CONFLIT")</f>
        <v/>
      </c>
    </row>
    <row r="30" ht="15" customHeight="1">
      <c r="A30" s="9" t="inlineStr">
        <is>
          <t>Najet</t>
        </is>
      </c>
      <c r="B30" s="9" t="inlineStr">
        <is>
          <t>Arabe</t>
        </is>
      </c>
      <c r="C30" s="10">
        <f>COUNTIFS(Planning!$A$4:$A$704,"S1",Planning!$M$4:$M$704,$A30)</f>
        <v/>
      </c>
      <c r="D30" s="10">
        <f>COUNTIFS(Planning!$A$4:$A$704,"S2",Planning!$M$4:$M$704,$A30)</f>
        <v/>
      </c>
      <c r="E30" s="10">
        <f>COUNTIFS(Planning!$A$4:$A$704,"S3",Planning!$M$4:$M$704,$A30)</f>
        <v/>
      </c>
      <c r="F30" s="10">
        <f>COUNTIFS(Planning!$A$4:$A$704,"S4",Planning!$M$4:$M$704,$A30)</f>
        <v/>
      </c>
      <c r="G30" s="10">
        <f>COUNTIFS(Planning!$A$4:$A$704,"S5",Planning!$M$4:$M$704,$A30)</f>
        <v/>
      </c>
      <c r="H30" s="10">
        <f>COUNTIFS(Planning!$A$4:$A$704,"S6",Planning!$M$4:$M$704,$A30)</f>
        <v/>
      </c>
      <c r="I30" s="10">
        <f>COUNTIFS(Planning!$A$4:$A$704,"S7",Planning!$M$4:$M$704,$A30)</f>
        <v/>
      </c>
      <c r="J30" s="69">
        <f>SUM(C30:I30)</f>
        <v/>
      </c>
      <c r="K30" s="49">
        <f>SUMIFS(Planning!$H$4:$H$704,Planning!$A$4:$A$704,"S1",Planning!$M$4:$M$704,$A30)</f>
        <v/>
      </c>
      <c r="L30" s="49">
        <f>SUMIFS(Planning!$H$4:$H$704,Planning!$A$4:$A$704,"S2",Planning!$M$4:$M$704,$A30)</f>
        <v/>
      </c>
      <c r="M30" s="49">
        <f>SUMIFS(Planning!$H$4:$H$704,Planning!$A$4:$A$704,"S3",Planning!$M$4:$M$704,$A30)</f>
        <v/>
      </c>
      <c r="N30" s="49">
        <f>SUMIFS(Planning!$H$4:$H$704,Planning!$A$4:$A$704,"S4",Planning!$M$4:$M$704,$A30)</f>
        <v/>
      </c>
      <c r="O30" s="49">
        <f>SUMIFS(Planning!$H$4:$H$704,Planning!$A$4:$A$704,"S5",Planning!$M$4:$M$704,$A30)</f>
        <v/>
      </c>
      <c r="P30" s="49">
        <f>SUMIFS(Planning!$H$4:$H$704,Planning!$A$4:$A$704,"S6",Planning!$M$4:$M$704,$A30)</f>
        <v/>
      </c>
      <c r="Q30" s="49">
        <f>SUMIFS(Planning!$H$4:$H$704,Planning!$A$4:$A$704,"S7",Planning!$M$4:$M$704,$A30)</f>
        <v/>
      </c>
      <c r="R30" s="70">
        <f>SUM(K30:Q30)</f>
        <v/>
      </c>
      <c r="S30" s="10">
        <f>COUNTIFS(Planning!$M$4:$M$704,$A30,Planning!$S$4:$S$704,"⚠ CONFLIT")</f>
        <v/>
      </c>
    </row>
    <row r="31" ht="15" customHeight="1">
      <c r="A31" s="9" t="inlineStr">
        <is>
          <t>Nassima</t>
        </is>
      </c>
      <c r="B31" s="9" t="inlineStr">
        <is>
          <t>Français</t>
        </is>
      </c>
      <c r="C31" s="10">
        <f>COUNTIFS(Planning!$A$4:$A$704,"S1",Planning!$M$4:$M$704,$A31)</f>
        <v/>
      </c>
      <c r="D31" s="10">
        <f>COUNTIFS(Planning!$A$4:$A$704,"S2",Planning!$M$4:$M$704,$A31)</f>
        <v/>
      </c>
      <c r="E31" s="10">
        <f>COUNTIFS(Planning!$A$4:$A$704,"S3",Planning!$M$4:$M$704,$A31)</f>
        <v/>
      </c>
      <c r="F31" s="10">
        <f>COUNTIFS(Planning!$A$4:$A$704,"S4",Planning!$M$4:$M$704,$A31)</f>
        <v/>
      </c>
      <c r="G31" s="10">
        <f>COUNTIFS(Planning!$A$4:$A$704,"S5",Planning!$M$4:$M$704,$A31)</f>
        <v/>
      </c>
      <c r="H31" s="10">
        <f>COUNTIFS(Planning!$A$4:$A$704,"S6",Planning!$M$4:$M$704,$A31)</f>
        <v/>
      </c>
      <c r="I31" s="10">
        <f>COUNTIFS(Planning!$A$4:$A$704,"S7",Planning!$M$4:$M$704,$A31)</f>
        <v/>
      </c>
      <c r="J31" s="69">
        <f>SUM(C31:I31)</f>
        <v/>
      </c>
      <c r="K31" s="49">
        <f>SUMIFS(Planning!$H$4:$H$704,Planning!$A$4:$A$704,"S1",Planning!$M$4:$M$704,$A31)</f>
        <v/>
      </c>
      <c r="L31" s="49">
        <f>SUMIFS(Planning!$H$4:$H$704,Planning!$A$4:$A$704,"S2",Planning!$M$4:$M$704,$A31)</f>
        <v/>
      </c>
      <c r="M31" s="49">
        <f>SUMIFS(Planning!$H$4:$H$704,Planning!$A$4:$A$704,"S3",Planning!$M$4:$M$704,$A31)</f>
        <v/>
      </c>
      <c r="N31" s="49">
        <f>SUMIFS(Planning!$H$4:$H$704,Planning!$A$4:$A$704,"S4",Planning!$M$4:$M$704,$A31)</f>
        <v/>
      </c>
      <c r="O31" s="49">
        <f>SUMIFS(Planning!$H$4:$H$704,Planning!$A$4:$A$704,"S5",Planning!$M$4:$M$704,$A31)</f>
        <v/>
      </c>
      <c r="P31" s="49">
        <f>SUMIFS(Planning!$H$4:$H$704,Planning!$A$4:$A$704,"S6",Planning!$M$4:$M$704,$A31)</f>
        <v/>
      </c>
      <c r="Q31" s="49">
        <f>SUMIFS(Planning!$H$4:$H$704,Planning!$A$4:$A$704,"S7",Planning!$M$4:$M$704,$A31)</f>
        <v/>
      </c>
      <c r="R31" s="70">
        <f>SUM(K31:Q31)</f>
        <v/>
      </c>
      <c r="S31" s="10">
        <f>COUNTIFS(Planning!$M$4:$M$704,$A31,Planning!$S$4:$S$704,"⚠ CONFLIT")</f>
        <v/>
      </c>
    </row>
    <row r="32" ht="15" customHeight="1">
      <c r="A32" s="9" t="inlineStr">
        <is>
          <t>Noura</t>
        </is>
      </c>
      <c r="B32" s="9" t="inlineStr">
        <is>
          <t>Math, Éveil scientifique</t>
        </is>
      </c>
      <c r="C32" s="10">
        <f>COUNTIFS(Planning!$A$4:$A$704,"S1",Planning!$M$4:$M$704,$A32)</f>
        <v/>
      </c>
      <c r="D32" s="10">
        <f>COUNTIFS(Planning!$A$4:$A$704,"S2",Planning!$M$4:$M$704,$A32)</f>
        <v/>
      </c>
      <c r="E32" s="10">
        <f>COUNTIFS(Planning!$A$4:$A$704,"S3",Planning!$M$4:$M$704,$A32)</f>
        <v/>
      </c>
      <c r="F32" s="10">
        <f>COUNTIFS(Planning!$A$4:$A$704,"S4",Planning!$M$4:$M$704,$A32)</f>
        <v/>
      </c>
      <c r="G32" s="10">
        <f>COUNTIFS(Planning!$A$4:$A$704,"S5",Planning!$M$4:$M$704,$A32)</f>
        <v/>
      </c>
      <c r="H32" s="10">
        <f>COUNTIFS(Planning!$A$4:$A$704,"S6",Planning!$M$4:$M$704,$A32)</f>
        <v/>
      </c>
      <c r="I32" s="10">
        <f>COUNTIFS(Planning!$A$4:$A$704,"S7",Planning!$M$4:$M$704,$A32)</f>
        <v/>
      </c>
      <c r="J32" s="69">
        <f>SUM(C32:I32)</f>
        <v/>
      </c>
      <c r="K32" s="49">
        <f>SUMIFS(Planning!$H$4:$H$704,Planning!$A$4:$A$704,"S1",Planning!$M$4:$M$704,$A32)</f>
        <v/>
      </c>
      <c r="L32" s="49">
        <f>SUMIFS(Planning!$H$4:$H$704,Planning!$A$4:$A$704,"S2",Planning!$M$4:$M$704,$A32)</f>
        <v/>
      </c>
      <c r="M32" s="49">
        <f>SUMIFS(Planning!$H$4:$H$704,Planning!$A$4:$A$704,"S3",Planning!$M$4:$M$704,$A32)</f>
        <v/>
      </c>
      <c r="N32" s="49">
        <f>SUMIFS(Planning!$H$4:$H$704,Planning!$A$4:$A$704,"S4",Planning!$M$4:$M$704,$A32)</f>
        <v/>
      </c>
      <c r="O32" s="49">
        <f>SUMIFS(Planning!$H$4:$H$704,Planning!$A$4:$A$704,"S5",Planning!$M$4:$M$704,$A32)</f>
        <v/>
      </c>
      <c r="P32" s="49">
        <f>SUMIFS(Planning!$H$4:$H$704,Planning!$A$4:$A$704,"S6",Planning!$M$4:$M$704,$A32)</f>
        <v/>
      </c>
      <c r="Q32" s="49">
        <f>SUMIFS(Planning!$H$4:$H$704,Planning!$A$4:$A$704,"S7",Planning!$M$4:$M$704,$A32)</f>
        <v/>
      </c>
      <c r="R32" s="70">
        <f>SUM(K32:Q32)</f>
        <v/>
      </c>
      <c r="S32" s="10">
        <f>COUNTIFS(Planning!$M$4:$M$704,$A32,Planning!$S$4:$S$704,"⚠ CONFLIT")</f>
        <v/>
      </c>
    </row>
    <row r="33" ht="15" customHeight="1">
      <c r="A33" s="9" t="inlineStr">
        <is>
          <t>Refka</t>
        </is>
      </c>
      <c r="B33" s="9" t="inlineStr">
        <is>
          <t>Physique</t>
        </is>
      </c>
      <c r="C33" s="10">
        <f>COUNTIFS(Planning!$A$4:$A$704,"S1",Planning!$M$4:$M$704,$A33)</f>
        <v/>
      </c>
      <c r="D33" s="10">
        <f>COUNTIFS(Planning!$A$4:$A$704,"S2",Planning!$M$4:$M$704,$A33)</f>
        <v/>
      </c>
      <c r="E33" s="10">
        <f>COUNTIFS(Planning!$A$4:$A$704,"S3",Planning!$M$4:$M$704,$A33)</f>
        <v/>
      </c>
      <c r="F33" s="10">
        <f>COUNTIFS(Planning!$A$4:$A$704,"S4",Planning!$M$4:$M$704,$A33)</f>
        <v/>
      </c>
      <c r="G33" s="10">
        <f>COUNTIFS(Planning!$A$4:$A$704,"S5",Planning!$M$4:$M$704,$A33)</f>
        <v/>
      </c>
      <c r="H33" s="10">
        <f>COUNTIFS(Planning!$A$4:$A$704,"S6",Planning!$M$4:$M$704,$A33)</f>
        <v/>
      </c>
      <c r="I33" s="10">
        <f>COUNTIFS(Planning!$A$4:$A$704,"S7",Planning!$M$4:$M$704,$A33)</f>
        <v/>
      </c>
      <c r="J33" s="69">
        <f>SUM(C33:I33)</f>
        <v/>
      </c>
      <c r="K33" s="49">
        <f>SUMIFS(Planning!$H$4:$H$704,Planning!$A$4:$A$704,"S1",Planning!$M$4:$M$704,$A33)</f>
        <v/>
      </c>
      <c r="L33" s="49">
        <f>SUMIFS(Planning!$H$4:$H$704,Planning!$A$4:$A$704,"S2",Planning!$M$4:$M$704,$A33)</f>
        <v/>
      </c>
      <c r="M33" s="49">
        <f>SUMIFS(Planning!$H$4:$H$704,Planning!$A$4:$A$704,"S3",Planning!$M$4:$M$704,$A33)</f>
        <v/>
      </c>
      <c r="N33" s="49">
        <f>SUMIFS(Planning!$H$4:$H$704,Planning!$A$4:$A$704,"S4",Planning!$M$4:$M$704,$A33)</f>
        <v/>
      </c>
      <c r="O33" s="49">
        <f>SUMIFS(Planning!$H$4:$H$704,Planning!$A$4:$A$704,"S5",Planning!$M$4:$M$704,$A33)</f>
        <v/>
      </c>
      <c r="P33" s="49">
        <f>SUMIFS(Planning!$H$4:$H$704,Planning!$A$4:$A$704,"S6",Planning!$M$4:$M$704,$A33)</f>
        <v/>
      </c>
      <c r="Q33" s="49">
        <f>SUMIFS(Planning!$H$4:$H$704,Planning!$A$4:$A$704,"S7",Planning!$M$4:$M$704,$A33)</f>
        <v/>
      </c>
      <c r="R33" s="70">
        <f>SUM(K33:Q33)</f>
        <v/>
      </c>
      <c r="S33" s="10">
        <f>COUNTIFS(Planning!$M$4:$M$704,$A33,Planning!$S$4:$S$704,"⚠ CONFLIT")</f>
        <v/>
      </c>
    </row>
    <row r="34" ht="15" customHeight="1">
      <c r="A34" s="9" t="inlineStr">
        <is>
          <t>Rym</t>
        </is>
      </c>
      <c r="B34" s="9" t="inlineStr">
        <is>
          <t>Eco, SVT</t>
        </is>
      </c>
      <c r="C34" s="10">
        <f>COUNTIFS(Planning!$A$4:$A$704,"S1",Planning!$M$4:$M$704,$A34)</f>
        <v/>
      </c>
      <c r="D34" s="10">
        <f>COUNTIFS(Planning!$A$4:$A$704,"S2",Planning!$M$4:$M$704,$A34)</f>
        <v/>
      </c>
      <c r="E34" s="10">
        <f>COUNTIFS(Planning!$A$4:$A$704,"S3",Planning!$M$4:$M$704,$A34)</f>
        <v/>
      </c>
      <c r="F34" s="10">
        <f>COUNTIFS(Planning!$A$4:$A$704,"S4",Planning!$M$4:$M$704,$A34)</f>
        <v/>
      </c>
      <c r="G34" s="10">
        <f>COUNTIFS(Planning!$A$4:$A$704,"S5",Planning!$M$4:$M$704,$A34)</f>
        <v/>
      </c>
      <c r="H34" s="10">
        <f>COUNTIFS(Planning!$A$4:$A$704,"S6",Planning!$M$4:$M$704,$A34)</f>
        <v/>
      </c>
      <c r="I34" s="10">
        <f>COUNTIFS(Planning!$A$4:$A$704,"S7",Planning!$M$4:$M$704,$A34)</f>
        <v/>
      </c>
      <c r="J34" s="69">
        <f>SUM(C34:I34)</f>
        <v/>
      </c>
      <c r="K34" s="49">
        <f>SUMIFS(Planning!$H$4:$H$704,Planning!$A$4:$A$704,"S1",Planning!$M$4:$M$704,$A34)</f>
        <v/>
      </c>
      <c r="L34" s="49">
        <f>SUMIFS(Planning!$H$4:$H$704,Planning!$A$4:$A$704,"S2",Planning!$M$4:$M$704,$A34)</f>
        <v/>
      </c>
      <c r="M34" s="49">
        <f>SUMIFS(Planning!$H$4:$H$704,Planning!$A$4:$A$704,"S3",Planning!$M$4:$M$704,$A34)</f>
        <v/>
      </c>
      <c r="N34" s="49">
        <f>SUMIFS(Planning!$H$4:$H$704,Planning!$A$4:$A$704,"S4",Planning!$M$4:$M$704,$A34)</f>
        <v/>
      </c>
      <c r="O34" s="49">
        <f>SUMIFS(Planning!$H$4:$H$704,Planning!$A$4:$A$704,"S5",Planning!$M$4:$M$704,$A34)</f>
        <v/>
      </c>
      <c r="P34" s="49">
        <f>SUMIFS(Planning!$H$4:$H$704,Planning!$A$4:$A$704,"S6",Planning!$M$4:$M$704,$A34)</f>
        <v/>
      </c>
      <c r="Q34" s="49">
        <f>SUMIFS(Planning!$H$4:$H$704,Planning!$A$4:$A$704,"S7",Planning!$M$4:$M$704,$A34)</f>
        <v/>
      </c>
      <c r="R34" s="70">
        <f>SUM(K34:Q34)</f>
        <v/>
      </c>
      <c r="S34" s="10">
        <f>COUNTIFS(Planning!$M$4:$M$704,$A34,Planning!$S$4:$S$704,"⚠ CONFLIT")</f>
        <v/>
      </c>
    </row>
    <row r="35" ht="15" customHeight="1">
      <c r="A35" s="9" t="inlineStr">
        <is>
          <t>Saber</t>
        </is>
      </c>
      <c r="B35" s="9" t="inlineStr">
        <is>
          <t>Anglais</t>
        </is>
      </c>
      <c r="C35" s="10">
        <f>COUNTIFS(Planning!$A$4:$A$704,"S1",Planning!$M$4:$M$704,$A35)</f>
        <v/>
      </c>
      <c r="D35" s="10">
        <f>COUNTIFS(Planning!$A$4:$A$704,"S2",Planning!$M$4:$M$704,$A35)</f>
        <v/>
      </c>
      <c r="E35" s="10">
        <f>COUNTIFS(Planning!$A$4:$A$704,"S3",Planning!$M$4:$M$704,$A35)</f>
        <v/>
      </c>
      <c r="F35" s="10">
        <f>COUNTIFS(Planning!$A$4:$A$704,"S4",Planning!$M$4:$M$704,$A35)</f>
        <v/>
      </c>
      <c r="G35" s="10">
        <f>COUNTIFS(Planning!$A$4:$A$704,"S5",Planning!$M$4:$M$704,$A35)</f>
        <v/>
      </c>
      <c r="H35" s="10">
        <f>COUNTIFS(Planning!$A$4:$A$704,"S6",Planning!$M$4:$M$704,$A35)</f>
        <v/>
      </c>
      <c r="I35" s="10">
        <f>COUNTIFS(Planning!$A$4:$A$704,"S7",Planning!$M$4:$M$704,$A35)</f>
        <v/>
      </c>
      <c r="J35" s="69">
        <f>SUM(C35:I35)</f>
        <v/>
      </c>
      <c r="K35" s="49">
        <f>SUMIFS(Planning!$H$4:$H$704,Planning!$A$4:$A$704,"S1",Planning!$M$4:$M$704,$A35)</f>
        <v/>
      </c>
      <c r="L35" s="49">
        <f>SUMIFS(Planning!$H$4:$H$704,Planning!$A$4:$A$704,"S2",Planning!$M$4:$M$704,$A35)</f>
        <v/>
      </c>
      <c r="M35" s="49">
        <f>SUMIFS(Planning!$H$4:$H$704,Planning!$A$4:$A$704,"S3",Planning!$M$4:$M$704,$A35)</f>
        <v/>
      </c>
      <c r="N35" s="49">
        <f>SUMIFS(Planning!$H$4:$H$704,Planning!$A$4:$A$704,"S4",Planning!$M$4:$M$704,$A35)</f>
        <v/>
      </c>
      <c r="O35" s="49">
        <f>SUMIFS(Planning!$H$4:$H$704,Planning!$A$4:$A$704,"S5",Planning!$M$4:$M$704,$A35)</f>
        <v/>
      </c>
      <c r="P35" s="49">
        <f>SUMIFS(Planning!$H$4:$H$704,Planning!$A$4:$A$704,"S6",Planning!$M$4:$M$704,$A35)</f>
        <v/>
      </c>
      <c r="Q35" s="49">
        <f>SUMIFS(Planning!$H$4:$H$704,Planning!$A$4:$A$704,"S7",Planning!$M$4:$M$704,$A35)</f>
        <v/>
      </c>
      <c r="R35" s="70">
        <f>SUM(K35:Q35)</f>
        <v/>
      </c>
      <c r="S35" s="10">
        <f>COUNTIFS(Planning!$M$4:$M$704,$A35,Planning!$S$4:$S$704,"⚠ CONFLIT")</f>
        <v/>
      </c>
    </row>
    <row r="36" ht="15" customHeight="1">
      <c r="A36" s="9" t="inlineStr">
        <is>
          <t>Sabrine</t>
        </is>
      </c>
      <c r="B36" s="9" t="inlineStr">
        <is>
          <t>SVT</t>
        </is>
      </c>
      <c r="C36" s="10">
        <f>COUNTIFS(Planning!$A$4:$A$704,"S1",Planning!$M$4:$M$704,$A36)</f>
        <v/>
      </c>
      <c r="D36" s="10">
        <f>COUNTIFS(Planning!$A$4:$A$704,"S2",Planning!$M$4:$M$704,$A36)</f>
        <v/>
      </c>
      <c r="E36" s="10">
        <f>COUNTIFS(Planning!$A$4:$A$704,"S3",Planning!$M$4:$M$704,$A36)</f>
        <v/>
      </c>
      <c r="F36" s="10">
        <f>COUNTIFS(Planning!$A$4:$A$704,"S4",Planning!$M$4:$M$704,$A36)</f>
        <v/>
      </c>
      <c r="G36" s="10">
        <f>COUNTIFS(Planning!$A$4:$A$704,"S5",Planning!$M$4:$M$704,$A36)</f>
        <v/>
      </c>
      <c r="H36" s="10">
        <f>COUNTIFS(Planning!$A$4:$A$704,"S6",Planning!$M$4:$M$704,$A36)</f>
        <v/>
      </c>
      <c r="I36" s="10">
        <f>COUNTIFS(Planning!$A$4:$A$704,"S7",Planning!$M$4:$M$704,$A36)</f>
        <v/>
      </c>
      <c r="J36" s="69">
        <f>SUM(C36:I36)</f>
        <v/>
      </c>
      <c r="K36" s="49">
        <f>SUMIFS(Planning!$H$4:$H$704,Planning!$A$4:$A$704,"S1",Planning!$M$4:$M$704,$A36)</f>
        <v/>
      </c>
      <c r="L36" s="49">
        <f>SUMIFS(Planning!$H$4:$H$704,Planning!$A$4:$A$704,"S2",Planning!$M$4:$M$704,$A36)</f>
        <v/>
      </c>
      <c r="M36" s="49">
        <f>SUMIFS(Planning!$H$4:$H$704,Planning!$A$4:$A$704,"S3",Planning!$M$4:$M$704,$A36)</f>
        <v/>
      </c>
      <c r="N36" s="49">
        <f>SUMIFS(Planning!$H$4:$H$704,Planning!$A$4:$A$704,"S4",Planning!$M$4:$M$704,$A36)</f>
        <v/>
      </c>
      <c r="O36" s="49">
        <f>SUMIFS(Planning!$H$4:$H$704,Planning!$A$4:$A$704,"S5",Planning!$M$4:$M$704,$A36)</f>
        <v/>
      </c>
      <c r="P36" s="49">
        <f>SUMIFS(Planning!$H$4:$H$704,Planning!$A$4:$A$704,"S6",Planning!$M$4:$M$704,$A36)</f>
        <v/>
      </c>
      <c r="Q36" s="49">
        <f>SUMIFS(Planning!$H$4:$H$704,Planning!$A$4:$A$704,"S7",Planning!$M$4:$M$704,$A36)</f>
        <v/>
      </c>
      <c r="R36" s="70">
        <f>SUM(K36:Q36)</f>
        <v/>
      </c>
      <c r="S36" s="10">
        <f>COUNTIFS(Planning!$M$4:$M$704,$A36,Planning!$S$4:$S$704,"⚠ CONFLIT")</f>
        <v/>
      </c>
    </row>
    <row r="37" ht="15" customHeight="1">
      <c r="A37" s="9" t="inlineStr">
        <is>
          <t>Samar</t>
        </is>
      </c>
      <c r="B37" s="9" t="inlineStr">
        <is>
          <t>Anglais</t>
        </is>
      </c>
      <c r="C37" s="10">
        <f>COUNTIFS(Planning!$A$4:$A$704,"S1",Planning!$M$4:$M$704,$A37)</f>
        <v/>
      </c>
      <c r="D37" s="10">
        <f>COUNTIFS(Planning!$A$4:$A$704,"S2",Planning!$M$4:$M$704,$A37)</f>
        <v/>
      </c>
      <c r="E37" s="10">
        <f>COUNTIFS(Planning!$A$4:$A$704,"S3",Planning!$M$4:$M$704,$A37)</f>
        <v/>
      </c>
      <c r="F37" s="10">
        <f>COUNTIFS(Planning!$A$4:$A$704,"S4",Planning!$M$4:$M$704,$A37)</f>
        <v/>
      </c>
      <c r="G37" s="10">
        <f>COUNTIFS(Planning!$A$4:$A$704,"S5",Planning!$M$4:$M$704,$A37)</f>
        <v/>
      </c>
      <c r="H37" s="10">
        <f>COUNTIFS(Planning!$A$4:$A$704,"S6",Planning!$M$4:$M$704,$A37)</f>
        <v/>
      </c>
      <c r="I37" s="10">
        <f>COUNTIFS(Planning!$A$4:$A$704,"S7",Planning!$M$4:$M$704,$A37)</f>
        <v/>
      </c>
      <c r="J37" s="69">
        <f>SUM(C37:I37)</f>
        <v/>
      </c>
      <c r="K37" s="49">
        <f>SUMIFS(Planning!$H$4:$H$704,Planning!$A$4:$A$704,"S1",Planning!$M$4:$M$704,$A37)</f>
        <v/>
      </c>
      <c r="L37" s="49">
        <f>SUMIFS(Planning!$H$4:$H$704,Planning!$A$4:$A$704,"S2",Planning!$M$4:$M$704,$A37)</f>
        <v/>
      </c>
      <c r="M37" s="49">
        <f>SUMIFS(Planning!$H$4:$H$704,Planning!$A$4:$A$704,"S3",Planning!$M$4:$M$704,$A37)</f>
        <v/>
      </c>
      <c r="N37" s="49">
        <f>SUMIFS(Planning!$H$4:$H$704,Planning!$A$4:$A$704,"S4",Planning!$M$4:$M$704,$A37)</f>
        <v/>
      </c>
      <c r="O37" s="49">
        <f>SUMIFS(Planning!$H$4:$H$704,Planning!$A$4:$A$704,"S5",Planning!$M$4:$M$704,$A37)</f>
        <v/>
      </c>
      <c r="P37" s="49">
        <f>SUMIFS(Planning!$H$4:$H$704,Planning!$A$4:$A$704,"S6",Planning!$M$4:$M$704,$A37)</f>
        <v/>
      </c>
      <c r="Q37" s="49">
        <f>SUMIFS(Planning!$H$4:$H$704,Planning!$A$4:$A$704,"S7",Planning!$M$4:$M$704,$A37)</f>
        <v/>
      </c>
      <c r="R37" s="70">
        <f>SUM(K37:Q37)</f>
        <v/>
      </c>
      <c r="S37" s="10">
        <f>COUNTIFS(Planning!$M$4:$M$704,$A37,Planning!$S$4:$S$704,"⚠ CONFLIT")</f>
        <v/>
      </c>
    </row>
    <row r="38" ht="15" customHeight="1">
      <c r="A38" s="9" t="inlineStr">
        <is>
          <t>Samia</t>
        </is>
      </c>
      <c r="B38" s="9" t="inlineStr">
        <is>
          <t>Physique</t>
        </is>
      </c>
      <c r="C38" s="10">
        <f>COUNTIFS(Planning!$A$4:$A$704,"S1",Planning!$M$4:$M$704,$A38)</f>
        <v/>
      </c>
      <c r="D38" s="10">
        <f>COUNTIFS(Planning!$A$4:$A$704,"S2",Planning!$M$4:$M$704,$A38)</f>
        <v/>
      </c>
      <c r="E38" s="10">
        <f>COUNTIFS(Planning!$A$4:$A$704,"S3",Planning!$M$4:$M$704,$A38)</f>
        <v/>
      </c>
      <c r="F38" s="10">
        <f>COUNTIFS(Planning!$A$4:$A$704,"S4",Planning!$M$4:$M$704,$A38)</f>
        <v/>
      </c>
      <c r="G38" s="10">
        <f>COUNTIFS(Planning!$A$4:$A$704,"S5",Planning!$M$4:$M$704,$A38)</f>
        <v/>
      </c>
      <c r="H38" s="10">
        <f>COUNTIFS(Planning!$A$4:$A$704,"S6",Planning!$M$4:$M$704,$A38)</f>
        <v/>
      </c>
      <c r="I38" s="10">
        <f>COUNTIFS(Planning!$A$4:$A$704,"S7",Planning!$M$4:$M$704,$A38)</f>
        <v/>
      </c>
      <c r="J38" s="69">
        <f>SUM(C38:I38)</f>
        <v/>
      </c>
      <c r="K38" s="49">
        <f>SUMIFS(Planning!$H$4:$H$704,Planning!$A$4:$A$704,"S1",Planning!$M$4:$M$704,$A38)</f>
        <v/>
      </c>
      <c r="L38" s="49">
        <f>SUMIFS(Planning!$H$4:$H$704,Planning!$A$4:$A$704,"S2",Planning!$M$4:$M$704,$A38)</f>
        <v/>
      </c>
      <c r="M38" s="49">
        <f>SUMIFS(Planning!$H$4:$H$704,Planning!$A$4:$A$704,"S3",Planning!$M$4:$M$704,$A38)</f>
        <v/>
      </c>
      <c r="N38" s="49">
        <f>SUMIFS(Planning!$H$4:$H$704,Planning!$A$4:$A$704,"S4",Planning!$M$4:$M$704,$A38)</f>
        <v/>
      </c>
      <c r="O38" s="49">
        <f>SUMIFS(Planning!$H$4:$H$704,Planning!$A$4:$A$704,"S5",Planning!$M$4:$M$704,$A38)</f>
        <v/>
      </c>
      <c r="P38" s="49">
        <f>SUMIFS(Planning!$H$4:$H$704,Planning!$A$4:$A$704,"S6",Planning!$M$4:$M$704,$A38)</f>
        <v/>
      </c>
      <c r="Q38" s="49">
        <f>SUMIFS(Planning!$H$4:$H$704,Planning!$A$4:$A$704,"S7",Planning!$M$4:$M$704,$A38)</f>
        <v/>
      </c>
      <c r="R38" s="70">
        <f>SUM(K38:Q38)</f>
        <v/>
      </c>
      <c r="S38" s="10">
        <f>COUNTIFS(Planning!$M$4:$M$704,$A38,Planning!$S$4:$S$704,"⚠ CONFLIT")</f>
        <v/>
      </c>
    </row>
    <row r="39" ht="15" customHeight="1">
      <c r="A39" s="9" t="inlineStr">
        <is>
          <t>Sondes</t>
        </is>
      </c>
      <c r="B39" s="9" t="inlineStr">
        <is>
          <t>Physique</t>
        </is>
      </c>
      <c r="C39" s="10">
        <f>COUNTIFS(Planning!$A$4:$A$704,"S1",Planning!$M$4:$M$704,$A39)</f>
        <v/>
      </c>
      <c r="D39" s="10">
        <f>COUNTIFS(Planning!$A$4:$A$704,"S2",Planning!$M$4:$M$704,$A39)</f>
        <v/>
      </c>
      <c r="E39" s="10">
        <f>COUNTIFS(Planning!$A$4:$A$704,"S3",Planning!$M$4:$M$704,$A39)</f>
        <v/>
      </c>
      <c r="F39" s="10">
        <f>COUNTIFS(Planning!$A$4:$A$704,"S4",Planning!$M$4:$M$704,$A39)</f>
        <v/>
      </c>
      <c r="G39" s="10">
        <f>COUNTIFS(Planning!$A$4:$A$704,"S5",Planning!$M$4:$M$704,$A39)</f>
        <v/>
      </c>
      <c r="H39" s="10">
        <f>COUNTIFS(Planning!$A$4:$A$704,"S6",Planning!$M$4:$M$704,$A39)</f>
        <v/>
      </c>
      <c r="I39" s="10">
        <f>COUNTIFS(Planning!$A$4:$A$704,"S7",Planning!$M$4:$M$704,$A39)</f>
        <v/>
      </c>
      <c r="J39" s="69">
        <f>SUM(C39:I39)</f>
        <v/>
      </c>
      <c r="K39" s="49">
        <f>SUMIFS(Planning!$H$4:$H$704,Planning!$A$4:$A$704,"S1",Planning!$M$4:$M$704,$A39)</f>
        <v/>
      </c>
      <c r="L39" s="49">
        <f>SUMIFS(Planning!$H$4:$H$704,Planning!$A$4:$A$704,"S2",Planning!$M$4:$M$704,$A39)</f>
        <v/>
      </c>
      <c r="M39" s="49">
        <f>SUMIFS(Planning!$H$4:$H$704,Planning!$A$4:$A$704,"S3",Planning!$M$4:$M$704,$A39)</f>
        <v/>
      </c>
      <c r="N39" s="49">
        <f>SUMIFS(Planning!$H$4:$H$704,Planning!$A$4:$A$704,"S4",Planning!$M$4:$M$704,$A39)</f>
        <v/>
      </c>
      <c r="O39" s="49">
        <f>SUMIFS(Planning!$H$4:$H$704,Planning!$A$4:$A$704,"S5",Planning!$M$4:$M$704,$A39)</f>
        <v/>
      </c>
      <c r="P39" s="49">
        <f>SUMIFS(Planning!$H$4:$H$704,Planning!$A$4:$A$704,"S6",Planning!$M$4:$M$704,$A39)</f>
        <v/>
      </c>
      <c r="Q39" s="49">
        <f>SUMIFS(Planning!$H$4:$H$704,Planning!$A$4:$A$704,"S7",Planning!$M$4:$M$704,$A39)</f>
        <v/>
      </c>
      <c r="R39" s="70">
        <f>SUM(K39:Q39)</f>
        <v/>
      </c>
      <c r="S39" s="10">
        <f>COUNTIFS(Planning!$M$4:$M$704,$A39,Planning!$S$4:$S$704,"⚠ CONFLIT")</f>
        <v/>
      </c>
    </row>
    <row r="40" ht="15" customHeight="1">
      <c r="A40" s="9" t="inlineStr">
        <is>
          <t>Yahya</t>
        </is>
      </c>
      <c r="B40" s="9" t="inlineStr">
        <is>
          <t>Arabe</t>
        </is>
      </c>
      <c r="C40" s="10">
        <f>COUNTIFS(Planning!$A$4:$A$704,"S1",Planning!$M$4:$M$704,$A40)</f>
        <v/>
      </c>
      <c r="D40" s="10">
        <f>COUNTIFS(Planning!$A$4:$A$704,"S2",Planning!$M$4:$M$704,$A40)</f>
        <v/>
      </c>
      <c r="E40" s="10">
        <f>COUNTIFS(Planning!$A$4:$A$704,"S3",Planning!$M$4:$M$704,$A40)</f>
        <v/>
      </c>
      <c r="F40" s="10">
        <f>COUNTIFS(Planning!$A$4:$A$704,"S4",Planning!$M$4:$M$704,$A40)</f>
        <v/>
      </c>
      <c r="G40" s="10">
        <f>COUNTIFS(Planning!$A$4:$A$704,"S5",Planning!$M$4:$M$704,$A40)</f>
        <v/>
      </c>
      <c r="H40" s="10">
        <f>COUNTIFS(Planning!$A$4:$A$704,"S6",Planning!$M$4:$M$704,$A40)</f>
        <v/>
      </c>
      <c r="I40" s="10">
        <f>COUNTIFS(Planning!$A$4:$A$704,"S7",Planning!$M$4:$M$704,$A40)</f>
        <v/>
      </c>
      <c r="J40" s="69">
        <f>SUM(C40:I40)</f>
        <v/>
      </c>
      <c r="K40" s="49">
        <f>SUMIFS(Planning!$H$4:$H$704,Planning!$A$4:$A$704,"S1",Planning!$M$4:$M$704,$A40)</f>
        <v/>
      </c>
      <c r="L40" s="49">
        <f>SUMIFS(Planning!$H$4:$H$704,Planning!$A$4:$A$704,"S2",Planning!$M$4:$M$704,$A40)</f>
        <v/>
      </c>
      <c r="M40" s="49">
        <f>SUMIFS(Planning!$H$4:$H$704,Planning!$A$4:$A$704,"S3",Planning!$M$4:$M$704,$A40)</f>
        <v/>
      </c>
      <c r="N40" s="49">
        <f>SUMIFS(Planning!$H$4:$H$704,Planning!$A$4:$A$704,"S4",Planning!$M$4:$M$704,$A40)</f>
        <v/>
      </c>
      <c r="O40" s="49">
        <f>SUMIFS(Planning!$H$4:$H$704,Planning!$A$4:$A$704,"S5",Planning!$M$4:$M$704,$A40)</f>
        <v/>
      </c>
      <c r="P40" s="49">
        <f>SUMIFS(Planning!$H$4:$H$704,Planning!$A$4:$A$704,"S6",Planning!$M$4:$M$704,$A40)</f>
        <v/>
      </c>
      <c r="Q40" s="49">
        <f>SUMIFS(Planning!$H$4:$H$704,Planning!$A$4:$A$704,"S7",Planning!$M$4:$M$704,$A40)</f>
        <v/>
      </c>
      <c r="R40" s="70">
        <f>SUM(K40:Q40)</f>
        <v/>
      </c>
      <c r="S40" s="10">
        <f>COUNTIFS(Planning!$M$4:$M$704,$A40,Planning!$S$4:$S$704,"⚠ CONFLIT")</f>
        <v/>
      </c>
    </row>
    <row r="41" ht="15" customHeight="1">
      <c r="A41" s="9" t="inlineStr">
        <is>
          <t>Yassine</t>
        </is>
      </c>
      <c r="B41" s="9" t="inlineStr">
        <is>
          <t>Gestion</t>
        </is>
      </c>
      <c r="C41" s="10">
        <f>COUNTIFS(Planning!$A$4:$A$704,"S1",Planning!$M$4:$M$704,$A41)</f>
        <v/>
      </c>
      <c r="D41" s="10">
        <f>COUNTIFS(Planning!$A$4:$A$704,"S2",Planning!$M$4:$M$704,$A41)</f>
        <v/>
      </c>
      <c r="E41" s="10">
        <f>COUNTIFS(Planning!$A$4:$A$704,"S3",Planning!$M$4:$M$704,$A41)</f>
        <v/>
      </c>
      <c r="F41" s="10">
        <f>COUNTIFS(Planning!$A$4:$A$704,"S4",Planning!$M$4:$M$704,$A41)</f>
        <v/>
      </c>
      <c r="G41" s="10">
        <f>COUNTIFS(Planning!$A$4:$A$704,"S5",Planning!$M$4:$M$704,$A41)</f>
        <v/>
      </c>
      <c r="H41" s="10">
        <f>COUNTIFS(Planning!$A$4:$A$704,"S6",Planning!$M$4:$M$704,$A41)</f>
        <v/>
      </c>
      <c r="I41" s="10">
        <f>COUNTIFS(Planning!$A$4:$A$704,"S7",Planning!$M$4:$M$704,$A41)</f>
        <v/>
      </c>
      <c r="J41" s="69">
        <f>SUM(C41:I41)</f>
        <v/>
      </c>
      <c r="K41" s="49">
        <f>SUMIFS(Planning!$H$4:$H$704,Planning!$A$4:$A$704,"S1",Planning!$M$4:$M$704,$A41)</f>
        <v/>
      </c>
      <c r="L41" s="49">
        <f>SUMIFS(Planning!$H$4:$H$704,Planning!$A$4:$A$704,"S2",Planning!$M$4:$M$704,$A41)</f>
        <v/>
      </c>
      <c r="M41" s="49">
        <f>SUMIFS(Planning!$H$4:$H$704,Planning!$A$4:$A$704,"S3",Planning!$M$4:$M$704,$A41)</f>
        <v/>
      </c>
      <c r="N41" s="49">
        <f>SUMIFS(Planning!$H$4:$H$704,Planning!$A$4:$A$704,"S4",Planning!$M$4:$M$704,$A41)</f>
        <v/>
      </c>
      <c r="O41" s="49">
        <f>SUMIFS(Planning!$H$4:$H$704,Planning!$A$4:$A$704,"S5",Planning!$M$4:$M$704,$A41)</f>
        <v/>
      </c>
      <c r="P41" s="49">
        <f>SUMIFS(Planning!$H$4:$H$704,Planning!$A$4:$A$704,"S6",Planning!$M$4:$M$704,$A41)</f>
        <v/>
      </c>
      <c r="Q41" s="49">
        <f>SUMIFS(Planning!$H$4:$H$704,Planning!$A$4:$A$704,"S7",Planning!$M$4:$M$704,$A41)</f>
        <v/>
      </c>
      <c r="R41" s="70">
        <f>SUM(K41:Q41)</f>
        <v/>
      </c>
      <c r="S41" s="10">
        <f>COUNTIFS(Planning!$M$4:$M$704,$A41,Planning!$S$4:$S$704,"⚠ CONFLIT")</f>
        <v/>
      </c>
    </row>
    <row r="42">
      <c r="A42" s="7" t="inlineStr">
        <is>
          <t>TOTAL</t>
        </is>
      </c>
      <c r="B42" s="7" t="n"/>
      <c r="C42" s="7">
        <f>SUM(C5:C41)</f>
        <v/>
      </c>
      <c r="D42" s="7">
        <f>SUM(D5:D41)</f>
        <v/>
      </c>
      <c r="E42" s="7">
        <f>SUM(E5:E41)</f>
        <v/>
      </c>
      <c r="F42" s="7">
        <f>SUM(F5:F41)</f>
        <v/>
      </c>
      <c r="G42" s="7">
        <f>SUM(G5:G41)</f>
        <v/>
      </c>
      <c r="H42" s="7">
        <f>SUM(H5:H41)</f>
        <v/>
      </c>
      <c r="I42" s="7">
        <f>SUM(I5:I41)</f>
        <v/>
      </c>
      <c r="J42" s="7">
        <f>SUM(J5:J41)</f>
        <v/>
      </c>
      <c r="K42" s="71">
        <f>SUM(K5:K41)</f>
        <v/>
      </c>
      <c r="L42" s="71">
        <f>SUM(L5:L41)</f>
        <v/>
      </c>
      <c r="M42" s="71">
        <f>SUM(M5:M41)</f>
        <v/>
      </c>
      <c r="N42" s="71">
        <f>SUM(N5:N41)</f>
        <v/>
      </c>
      <c r="O42" s="71">
        <f>SUM(O5:O41)</f>
        <v/>
      </c>
      <c r="P42" s="71">
        <f>SUM(P5:P41)</f>
        <v/>
      </c>
      <c r="Q42" s="71">
        <f>SUM(Q5:Q41)</f>
        <v/>
      </c>
      <c r="R42" s="71">
        <f>SUM(R5:R41)</f>
        <v/>
      </c>
      <c r="S42" s="7">
        <f>SUM(S5:S41)</f>
        <v/>
      </c>
    </row>
  </sheetData>
  <autoFilter ref="A4:S41"/>
  <mergeCells count="4">
    <mergeCell ref="C3:I3"/>
    <mergeCell ref="A2:S2"/>
    <mergeCell ref="K3:Q3"/>
    <mergeCell ref="A1:S1"/>
  </mergeCells>
  <conditionalFormatting sqref="S5:S41">
    <cfRule type="expression" priority="1" dxfId="19">
      <formula>$S5&gt;0</formula>
    </cfRule>
  </conditionalFormatting>
  <conditionalFormatting sqref="C5:I41">
    <cfRule type="expression" priority="2" dxfId="20">
      <formula>C5=0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Charge enseignants&amp;R&amp;8 Page &amp;P / &amp;N</oddFooter>
    <evenHeader/>
    <evenFooter/>
    <firstHeader/>
    <firstFooter/>
  </headerFooter>
</worksheet>
</file>

<file path=xl/worksheets/sheet12.xml><?xml version="1.0" encoding="utf-8"?>
<worksheet xmlns="http://schemas.openxmlformats.org/spreadsheetml/2006/main">
  <sheetPr>
    <tabColor rgb="00B03A2E"/>
    <outlinePr summaryBelow="1" summaryRight="1"/>
    <pageSetUpPr fitToPage="1"/>
  </sheetPr>
  <dimension ref="A1:F41"/>
  <sheetViews>
    <sheetView showGridLines="0" workbookViewId="0">
      <pane ySplit="3" topLeftCell="A4" activePane="bottomLeft" state="frozen"/>
      <selection pane="bottomLeft" activeCell="A1" sqref="A1"/>
    </sheetView>
  </sheetViews>
  <sheetFormatPr baseColWidth="8" defaultRowHeight="15"/>
  <cols>
    <col width="5" customWidth="1" min="1" max="1"/>
    <col width="58" customWidth="1" min="2" max="2"/>
    <col width="30" customWidth="1" min="3" max="3"/>
    <col width="13" customWidth="1" min="4" max="4"/>
    <col width="13" customWidth="1" min="5" max="5"/>
    <col width="46" customWidth="1" min="6" max="6"/>
  </cols>
  <sheetData>
    <row r="1" ht="34" customHeight="1">
      <c r="A1" s="36" t="inlineStr">
        <is>
          <t>CONTRÔLES AUTOMATIQUES — fiabilité des données</t>
        </is>
      </c>
      <c r="B1" s="2" t="n"/>
      <c r="C1" s="2" t="n"/>
      <c r="D1" s="2" t="n"/>
      <c r="E1" s="2" t="n"/>
      <c r="F1" s="2" t="n"/>
    </row>
    <row r="2" ht="20" customHeight="1">
      <c r="A2" s="37" t="inlineStr">
        <is>
          <t>Tous les contrôles sont des formules vivantes : ils se recalculent dès qu’une ligne est modifiée dans Planning. Objectif : 0 anomalie dans la colonne Statut.</t>
        </is>
      </c>
      <c r="B2" s="38" t="n"/>
      <c r="C2" s="38" t="n"/>
      <c r="D2" s="38" t="n"/>
      <c r="E2" s="38" t="n"/>
      <c r="F2" s="38" t="n"/>
    </row>
    <row r="3" ht="26" customHeight="1">
      <c r="A3" s="7" t="inlineStr">
        <is>
          <t>#</t>
        </is>
      </c>
      <c r="B3" s="7" t="inlineStr">
        <is>
          <t>Contrôle</t>
        </is>
      </c>
      <c r="C3" s="7" t="inlineStr">
        <is>
          <t>Règle appliquée</t>
        </is>
      </c>
      <c r="D3" s="7" t="inlineStr">
        <is>
          <t>Attendu</t>
        </is>
      </c>
      <c r="E3" s="7" t="inlineStr">
        <is>
          <t>Résultat</t>
        </is>
      </c>
      <c r="F3" s="7" t="inlineStr">
        <is>
          <t>Statut / action</t>
        </is>
      </c>
    </row>
    <row r="4" ht="17" customHeight="1">
      <c r="A4" s="10" t="n">
        <v>1</v>
      </c>
      <c r="B4" s="31" t="inlineStr">
        <is>
          <t>Conflits d’enseignant</t>
        </is>
      </c>
      <c r="C4" s="9" t="inlineStr">
        <is>
          <t>Même enseignant, même date, horaires qui se chevauchent</t>
        </is>
      </c>
      <c r="D4" s="10" t="inlineStr">
        <is>
          <t>0</t>
        </is>
      </c>
      <c r="E4" s="10">
        <f>COUNTIF(Planning!$S$4:$S$704,"⚠ CONFLIT")</f>
        <v/>
      </c>
      <c r="F4" s="9">
        <f>IF($E4=0,"OK","À VÉRIFIER : "&amp;$E4&amp;" au lieu de 0")</f>
        <v/>
      </c>
    </row>
    <row r="5" ht="17" customHeight="1">
      <c r="A5" s="72" t="n">
        <v>2</v>
      </c>
      <c r="B5" s="73" t="inlineStr">
        <is>
          <t>Conflits de classe</t>
        </is>
      </c>
      <c r="C5" s="74" t="inlineStr">
        <is>
          <t>Même classe, même date, horaires qui se chevauchent</t>
        </is>
      </c>
      <c r="D5" s="72" t="inlineStr">
        <is>
          <t>0</t>
        </is>
      </c>
      <c r="E5" s="72">
        <f>COUNTIF(Planning!$T$4:$T$704,"⚠ CONFLIT")</f>
        <v/>
      </c>
      <c r="F5" s="74">
        <f>IF($E5=0,"OK","À VÉRIFIER : "&amp;$E5&amp;" au lieu de 0")</f>
        <v/>
      </c>
    </row>
    <row r="6" ht="17" customHeight="1">
      <c r="A6" s="10" t="n">
        <v>3</v>
      </c>
      <c r="B6" s="31" t="inlineStr">
        <is>
          <t>Doublons de séance</t>
        </is>
      </c>
      <c r="C6" s="9" t="inlineStr">
        <is>
          <t>Même date + classe + heure de début + matière</t>
        </is>
      </c>
      <c r="D6" s="10" t="inlineStr">
        <is>
          <t>0</t>
        </is>
      </c>
      <c r="E6" s="10">
        <f>COUNTIF(Planning!$U$4:$U$704,"⚠ DOUBLON")</f>
        <v/>
      </c>
      <c r="F6" s="9">
        <f>IF($E6=0,"OK","À VÉRIFIER : "&amp;$E6&amp;" au lieu de 0")</f>
        <v/>
      </c>
    </row>
    <row r="7" ht="17" customHeight="1">
      <c r="A7" s="72" t="n">
        <v>4</v>
      </c>
      <c r="B7" s="73" t="inlineStr">
        <is>
          <t>Séances sans enseignant</t>
        </is>
      </c>
      <c r="C7" s="74" t="inlineStr">
        <is>
          <t>Colonne Enseignant vide</t>
        </is>
      </c>
      <c r="D7" s="72" t="inlineStr">
        <is>
          <t>0</t>
        </is>
      </c>
      <c r="E7" s="72">
        <f>SUMPRODUCT((Planning!$A$4:$A$704&lt;&gt;"")*(Planning!$M$4:$M$704=""))</f>
        <v/>
      </c>
      <c r="F7" s="74">
        <f>IF($E7=0,"OK","À VÉRIFIER : "&amp;$E7&amp;" au lieu de 0")</f>
        <v/>
      </c>
    </row>
    <row r="8" ht="17" customHeight="1">
      <c r="A8" s="10" t="n">
        <v>5</v>
      </c>
      <c r="B8" s="31" t="inlineStr">
        <is>
          <t>Séances sans horaire</t>
        </is>
      </c>
      <c r="C8" s="9" t="inlineStr">
        <is>
          <t>Heure de début ou de fin vide</t>
        </is>
      </c>
      <c r="D8" s="10" t="inlineStr">
        <is>
          <t>0</t>
        </is>
      </c>
      <c r="E8" s="10">
        <f>SUMPRODUCT((Planning!$A$4:$A$704&lt;&gt;"")*((Planning!$F$4:$F$704="")+(Planning!$G$4:$G$704="")&gt;0))</f>
        <v/>
      </c>
      <c r="F8" s="9">
        <f>IF($E8=0,"OK","À VÉRIFIER : "&amp;$E8&amp;" au lieu de 0")</f>
        <v/>
      </c>
    </row>
    <row r="9" ht="17" customHeight="1">
      <c r="A9" s="72" t="n">
        <v>6</v>
      </c>
      <c r="B9" s="73" t="inlineStr">
        <is>
          <t>Séances sans matière</t>
        </is>
      </c>
      <c r="C9" s="74" t="inlineStr">
        <is>
          <t>Colonne Matière vide</t>
        </is>
      </c>
      <c r="D9" s="72" t="inlineStr">
        <is>
          <t>0</t>
        </is>
      </c>
      <c r="E9" s="72">
        <f>SUMPRODUCT((Planning!$A$4:$A$704&lt;&gt;"")*(Planning!$K$4:$K$704=""))</f>
        <v/>
      </c>
      <c r="F9" s="74">
        <f>IF($E9=0,"OK","À VÉRIFIER : "&amp;$E9&amp;" au lieu de 0")</f>
        <v/>
      </c>
    </row>
    <row r="10" ht="17" customHeight="1">
      <c r="A10" s="10" t="n">
        <v>7</v>
      </c>
      <c r="B10" s="31" t="inlineStr">
        <is>
          <t>Horaires hors plage 08:00–21:30</t>
        </is>
      </c>
      <c r="C10" s="9" t="inlineStr">
        <is>
          <t>Début &lt; 08:00 ou fin &gt; 21:30</t>
        </is>
      </c>
      <c r="D10" s="10" t="inlineStr">
        <is>
          <t>0</t>
        </is>
      </c>
      <c r="E10" s="10">
        <f>SUMPRODUCT((Planning!$A$4:$A$704&lt;&gt;"")*(Planning!$F$4:$F$704&lt;&gt;"")*((Planning!$F$4:$F$704&lt;TIME(8,0,0))+(Planning!$G$4:$G$704&gt;TIME(21,30,0))&gt;0))</f>
        <v/>
      </c>
      <c r="F10" s="9">
        <f>IF($E10=0,"OK","À VÉRIFIER : "&amp;$E10&amp;" au lieu de 0")</f>
        <v/>
      </c>
    </row>
    <row r="11" ht="17" customHeight="1">
      <c r="A11" s="72" t="n">
        <v>8</v>
      </c>
      <c r="B11" s="73" t="inlineStr">
        <is>
          <t>Durées anormales</t>
        </is>
      </c>
      <c r="C11" s="74" t="inlineStr">
        <is>
          <t>Durée &lt; 1,0 h ou &gt; 3,0 h</t>
        </is>
      </c>
      <c r="D11" s="72" t="inlineStr">
        <is>
          <t>0</t>
        </is>
      </c>
      <c r="E11" s="72">
        <f>SUMPRODUCT((Planning!$A$4:$A$704&lt;&gt;"")*(Planning!$F$4:$F$704&lt;&gt;"")*((Planning!$H$4:$H$704&lt;1)+(Planning!$H$4:$H$704&gt;3)&gt;0))</f>
        <v/>
      </c>
      <c r="F11" s="74">
        <f>IF($E11=0,"OK","À VÉRIFIER : "&amp;$E11&amp;" au lieu de 0")</f>
        <v/>
      </c>
    </row>
    <row r="12" ht="17" customHeight="1">
      <c r="A12" s="10" t="n">
        <v>9</v>
      </c>
      <c r="B12" s="31" t="inlineStr">
        <is>
          <t>Heure de fin ≤ heure de début</t>
        </is>
      </c>
      <c r="C12" s="9" t="inlineStr">
        <is>
          <t>Incohérence d’horaire</t>
        </is>
      </c>
      <c r="D12" s="10" t="inlineStr">
        <is>
          <t>0</t>
        </is>
      </c>
      <c r="E12" s="10">
        <f>SUMPRODUCT((Planning!$A$4:$A$704&lt;&gt;"")*(Planning!$F$4:$F$704&lt;&gt;"")*(Planning!$G$4:$G$704&lt;=Planning!$F$4:$F$704))</f>
        <v/>
      </c>
      <c r="F12" s="9">
        <f>IF($E12=0,"OK","À VÉRIFIER : "&amp;$E12&amp;" au lieu de 0")</f>
        <v/>
      </c>
    </row>
    <row r="13" ht="17" customHeight="1">
      <c r="A13" s="72" t="n">
        <v>10</v>
      </c>
      <c r="B13" s="73" t="inlineStr">
        <is>
          <t>Matières hors référentiel</t>
        </is>
      </c>
      <c r="C13" s="74" t="inlineStr">
        <is>
          <t>Valeur absente de la liste Référentiels</t>
        </is>
      </c>
      <c r="D13" s="72" t="inlineStr">
        <is>
          <t>0</t>
        </is>
      </c>
      <c r="E13" s="72">
        <f>SUMPRODUCT((Planning!$A$4:$A$704&lt;&gt;"")*(Planning!$K$4:$K$704&lt;&gt;"")*(COUNTIF(LST_Matieres,Planning!$K$4:$K$704)=0))</f>
        <v/>
      </c>
      <c r="F13" s="74">
        <f>IF($E13=0,"OK","À VÉRIFIER : "&amp;$E13&amp;" au lieu de 0")</f>
        <v/>
      </c>
    </row>
    <row r="14" ht="17" customHeight="1">
      <c r="A14" s="10" t="n">
        <v>11</v>
      </c>
      <c r="B14" s="31" t="inlineStr">
        <is>
          <t>Enseignants hors référentiel</t>
        </is>
      </c>
      <c r="C14" s="9" t="inlineStr">
        <is>
          <t>Valeur absente de la liste Référentiels</t>
        </is>
      </c>
      <c r="D14" s="10" t="inlineStr">
        <is>
          <t>0</t>
        </is>
      </c>
      <c r="E14" s="10">
        <f>SUMPRODUCT((Planning!$A$4:$A$704&lt;&gt;"")*(Planning!$M$4:$M$704&lt;&gt;"")*(COUNTIF(LST_Profs,Planning!$M$4:$M$704)=0))</f>
        <v/>
      </c>
      <c r="F14" s="9">
        <f>IF($E14=0,"OK","À VÉRIFIER : "&amp;$E14&amp;" au lieu de 0")</f>
        <v/>
      </c>
    </row>
    <row r="15" ht="17" customHeight="1">
      <c r="A15" s="72" t="n">
        <v>12</v>
      </c>
      <c r="B15" s="73" t="inlineStr">
        <is>
          <t>Classes hors référentiel</t>
        </is>
      </c>
      <c r="C15" s="74" t="inlineStr">
        <is>
          <t>Valeur absente de la liste Référentiels</t>
        </is>
      </c>
      <c r="D15" s="72" t="inlineStr">
        <is>
          <t>0</t>
        </is>
      </c>
      <c r="E15" s="72">
        <f>SUMPRODUCT((Planning!$A$4:$A$704&lt;&gt;"")*(Planning!$J$4:$J$704&lt;&gt;"")*(COUNTIF(LST_Classes,Planning!$J$4:$J$704)=0))</f>
        <v/>
      </c>
      <c r="F15" s="74">
        <f>IF($E15=0,"OK","À VÉRIFIER : "&amp;$E15&amp;" au lieu de 0")</f>
        <v/>
      </c>
    </row>
    <row r="16" ht="17" customHeight="1">
      <c r="A16" s="10" t="n">
        <v>13</v>
      </c>
      <c r="B16" s="31" t="inlineStr">
        <is>
          <t>Quinzaine A placée en semaine B</t>
        </is>
      </c>
      <c r="C16" s="9" t="inlineStr">
        <is>
          <t>Rythme « Quinzaine A » sur une semaine de parité B</t>
        </is>
      </c>
      <c r="D16" s="10" t="inlineStr">
        <is>
          <t>0</t>
        </is>
      </c>
      <c r="E16" s="10">
        <f>SUMPRODUCT((Planning!$P$4:$P$704="Quinzaine A")*(Planning!$C$4:$C$704="B"))</f>
        <v/>
      </c>
      <c r="F16" s="9">
        <f>IF($E16=0,"OK","À VÉRIFIER : "&amp;$E16&amp;" au lieu de 0")</f>
        <v/>
      </c>
    </row>
    <row r="17" ht="17" customHeight="1">
      <c r="A17" s="72" t="n">
        <v>14</v>
      </c>
      <c r="B17" s="73" t="inlineStr">
        <is>
          <t>Quinzaine B placée en semaine A</t>
        </is>
      </c>
      <c r="C17" s="74" t="inlineStr">
        <is>
          <t>Rythme « Quinzaine B » sur une semaine de parité A</t>
        </is>
      </c>
      <c r="D17" s="72" t="inlineStr">
        <is>
          <t>0</t>
        </is>
      </c>
      <c r="E17" s="72">
        <f>SUMPRODUCT((Planning!$P$4:$P$704="Quinzaine B")*(Planning!$C$4:$C$704="A"))</f>
        <v/>
      </c>
      <c r="F17" s="74">
        <f>IF($E17=0,"OK","À VÉRIFIER : "&amp;$E17&amp;" au lieu de 0")</f>
        <v/>
      </c>
    </row>
    <row r="18" ht="17" customHeight="1">
      <c r="A18" s="10" t="n">
        <v>15</v>
      </c>
      <c r="B18" s="31" t="inlineStr">
        <is>
          <t>Dates hors période couverte</t>
        </is>
      </c>
      <c r="C18" s="9" t="inlineStr">
        <is>
          <t>Date &lt; 14/09/2026 ou &gt; 01/11/2026</t>
        </is>
      </c>
      <c r="D18" s="10" t="inlineStr">
        <is>
          <t>0</t>
        </is>
      </c>
      <c r="E18" s="10">
        <f>SUMPRODUCT((Planning!$A$4:$A$704&lt;&gt;"")*((Planning!$D$4:$D$704&lt;DATE(2026,9,14))+(Planning!$D$4:$D$704&gt;DATE(2026,11,1))&gt;0))</f>
        <v/>
      </c>
      <c r="F18" s="9">
        <f>IF($E18=0,"OK","À VÉRIFIER : "&amp;$E18&amp;" au lieu de 0")</f>
        <v/>
      </c>
    </row>
    <row r="19" ht="17" customHeight="1">
      <c r="A19" s="72" t="n">
        <v>16</v>
      </c>
      <c r="B19" s="73" t="inlineStr">
        <is>
          <t>Jour ≠ jour réel de la date</t>
        </is>
      </c>
      <c r="C19" s="74" t="inlineStr">
        <is>
          <t>Libellé du jour incohérent avec la date</t>
        </is>
      </c>
      <c r="D19" s="72" t="inlineStr">
        <is>
          <t>0</t>
        </is>
      </c>
      <c r="E19" s="72">
        <f>SUMPRODUCT((Planning!$A$4:$A$704&lt;&gt;"")*(Planning!$D$4:$D$704&lt;&gt;"")*(Planning!$E$4:$E$704&lt;&gt;CHOOSE(WEEKDAY(Planning!$D$4:$D$704,2),"Lundi","Mardi","Mercredi","Jeudi","Vendredi","Samedi","Dimanche")))</f>
        <v/>
      </c>
      <c r="F19" s="74">
        <f>IF($E19=0,"OK","À VÉRIFIER : "&amp;$E19&amp;" au lieu de 0")</f>
        <v/>
      </c>
    </row>
    <row r="20" ht="17" customHeight="1">
      <c r="A20" s="10" t="n">
        <v>17</v>
      </c>
      <c r="B20" s="31" t="inlineStr">
        <is>
          <t>Classes sans séance (semaine A type S5)</t>
        </is>
      </c>
      <c r="C20" s="9" t="inlineStr">
        <is>
          <t>Chaque classe doit avoir au moins 1 séance</t>
        </is>
      </c>
      <c r="D20" s="10" t="inlineStr">
        <is>
          <t>0</t>
        </is>
      </c>
      <c r="E20" s="10">
        <f>SUMPRODUCT(--(COUNTIFS(Planning!$A$4:$A$704,"S5",Planning!$J$4:$J$704,LST_Classes)=0))</f>
        <v/>
      </c>
      <c r="F20" s="9">
        <f>IF($E20=0,"OK","À VÉRIFIER : "&amp;$E20&amp;" au lieu de 0")</f>
        <v/>
      </c>
    </row>
    <row r="21" ht="17" customHeight="1">
      <c r="A21" s="72" t="n">
        <v>18</v>
      </c>
      <c r="B21" s="73" t="inlineStr">
        <is>
          <t>Classes sans séance (semaine B type S4)</t>
        </is>
      </c>
      <c r="C21" s="74" t="inlineStr">
        <is>
          <t>Chaque classe doit avoir au moins 1 séance</t>
        </is>
      </c>
      <c r="D21" s="72" t="inlineStr">
        <is>
          <t>0</t>
        </is>
      </c>
      <c r="E21" s="72">
        <f>SUMPRODUCT(--(COUNTIFS(Planning!$A$4:$A$704,"S4",Planning!$J$4:$J$704,LST_Classes)=0))</f>
        <v/>
      </c>
      <c r="F21" s="74">
        <f>IF($E21=0,"OK","À VÉRIFIER : "&amp;$E21&amp;" au lieu de 0")</f>
        <v/>
      </c>
    </row>
    <row r="22" ht="17" customHeight="1">
      <c r="A22" s="10" t="n">
        <v>19</v>
      </c>
      <c r="B22" s="31" t="inlineStr">
        <is>
          <t>Intégrité septembre — séances conservées</t>
        </is>
      </c>
      <c r="C22" s="9" t="inlineStr">
        <is>
          <t>Les 301 séances d’origine doivent être toutes présentes</t>
        </is>
      </c>
      <c r="D22" s="10" t="inlineStr">
        <is>
          <t>301</t>
        </is>
      </c>
      <c r="E22" s="10">
        <f>COUNTIF(Planning!$Q$4:$Q$704,"Original (septembre)")</f>
        <v/>
      </c>
      <c r="F22" s="9">
        <f>IF($E22=301,"OK","À VÉRIFIER : "&amp;$E22&amp;" au lieu de 301")</f>
        <v/>
      </c>
    </row>
    <row r="23" ht="17" customHeight="1">
      <c r="A23" s="72" t="n">
        <v>20</v>
      </c>
      <c r="B23" s="73" t="inlineStr">
        <is>
          <t>Volume octobre généré</t>
        </is>
      </c>
      <c r="C23" s="74" t="inlineStr">
        <is>
          <t>4 semaines : 99 + 101 + 99 + 101</t>
        </is>
      </c>
      <c r="D23" s="72" t="inlineStr">
        <is>
          <t>400</t>
        </is>
      </c>
      <c r="E23" s="72">
        <f>COUNTIF(Planning!$Q$4:$Q$704,"Généré (octobre)")</f>
        <v/>
      </c>
      <c r="F23" s="74">
        <f>IF($E23=400,"OK","À VÉRIFIER : "&amp;$E23&amp;" au lieu de 400")</f>
        <v/>
      </c>
    </row>
    <row r="24" ht="17" customHeight="1">
      <c r="A24" s="10" t="n">
        <v>21</v>
      </c>
      <c r="B24" s="31" t="inlineStr">
        <is>
          <t>Séances tombant un jour férié signalé</t>
        </is>
      </c>
      <c r="C24" s="9" t="inlineStr">
        <is>
          <t>Jeudi 15/10/2026 (Fête de l’Évacuation) — à confirmer</t>
        </is>
      </c>
      <c r="D24" s="10" t="inlineStr">
        <is>
          <t>—</t>
        </is>
      </c>
      <c r="E24" s="10">
        <f>COUNTIFS(Planning!$D$4:$D$704,DATE(2026,10,15))</f>
        <v/>
      </c>
      <c r="F24" s="9">
        <f>IF($E24=0,"Aucune séance ce jour-là","À CONFIRMER : "&amp;$E24&amp;" séance(s) planifiée(s) le 15/10")</f>
        <v/>
      </c>
    </row>
    <row r="26" ht="24" customHeight="1">
      <c r="A26" s="75" t="inlineStr">
        <is>
          <t>DÉCISIONS DE CONSTRUCTION DU PLANNING D’OCTOBRE ET POINTS SIGNALÉS</t>
        </is>
      </c>
      <c r="B26" s="76" t="n"/>
      <c r="C26" s="76" t="n"/>
      <c r="D26" s="76" t="n"/>
      <c r="E26" s="76" t="n"/>
      <c r="F26" s="76" t="n"/>
    </row>
    <row r="27">
      <c r="A27" s="7" t="inlineStr">
        <is>
          <t>#</t>
        </is>
      </c>
      <c r="B27" s="7" t="inlineStr">
        <is>
          <t>Élément concerné</t>
        </is>
      </c>
      <c r="C27" s="7" t="inlineStr">
        <is>
          <t>Constat</t>
        </is>
      </c>
      <c r="D27" s="7" t="inlineStr">
        <is>
          <t>Type</t>
        </is>
      </c>
      <c r="E27" s="7" t="inlineStr">
        <is>
          <t>Décision</t>
        </is>
      </c>
      <c r="F27" s="7" t="inlineStr">
        <is>
          <t>Justification</t>
        </is>
      </c>
    </row>
    <row r="28" ht="34" customHeight="1">
      <c r="A28" s="10" t="n">
        <v>1</v>
      </c>
      <c r="B28" s="77" t="inlineStr">
        <is>
          <t>7éme (A) mercredi · 8éme (A) vendredi · 9éme (A) lundi — Physique (Melek)</t>
        </is>
      </c>
      <c r="C28" s="34" t="inlineStr">
        <is>
          <t>Cellule porte la mention « /par quinzaine » mais la séance est présente dans les 3 semaines de septembre.</t>
        </is>
      </c>
      <c r="D28" s="34" t="inlineStr">
        <is>
          <t>Étiquette contradictoire</t>
        </is>
      </c>
      <c r="E28" s="34" t="inlineStr">
        <is>
          <t>Traitée comme HEBDOMADAIRE</t>
        </is>
      </c>
      <c r="F28" s="34" t="inlineStr">
        <is>
          <t>Le fait observé (3 semaines sur 3) prime sur l’étiquette. Si le rythme est réellement quinzaine, passer la colonne Rythme à « Quinzaine A ».</t>
        </is>
      </c>
    </row>
    <row r="29" ht="34" customHeight="1">
      <c r="A29" s="72" t="n">
        <v>2</v>
      </c>
      <c r="B29" s="78" t="inlineStr">
        <is>
          <t>3éme INFO — STI (Aymen)</t>
        </is>
      </c>
      <c r="C29" s="79" t="inlineStr">
        <is>
          <t>Dimanche 15:30–17:30 en semaine du 21/09 uniquement, puis lundi 15:30–17:30 dans la semaine de référence.</t>
        </is>
      </c>
      <c r="D29" s="79" t="inlineStr">
        <is>
          <t>AMBIGU</t>
        </is>
      </c>
      <c r="E29" s="79" t="inlineStr">
        <is>
          <t>Traitée comme HEBDOMADAIRE le lundi</t>
        </is>
      </c>
      <c r="F29" s="79" t="inlineStr">
        <is>
          <t>La semaine de référence est la source prioritaire et ne porte aucune mention de quinzaine. À arbitrer : si la séance est en quinzaine, la retirer des semaines B (S4 et S6).</t>
        </is>
      </c>
    </row>
    <row r="30" ht="34" customHeight="1">
      <c r="A30" s="10" t="n">
        <v>3</v>
      </c>
      <c r="B30" s="77" t="inlineStr">
        <is>
          <t>2éme INFO — Informatique (Aymen)</t>
        </is>
      </c>
      <c r="C30" s="34" t="inlineStr">
        <is>
          <t>Lundi 19:00–21:00 en S1 et S2, déplacée samedi 17:00–19:00 dans la semaine de référence.</t>
        </is>
      </c>
      <c r="D30" s="34" t="inlineStr">
        <is>
          <t>Déplacement</t>
        </is>
      </c>
      <c r="E30" s="34" t="inlineStr">
        <is>
          <t>Reconduite le SAMEDI 17:00–19:00</t>
        </is>
      </c>
      <c r="F30" s="34" t="inlineStr">
        <is>
          <t>Séance hebdomadaire relocalisée ; c’est la position de la semaine de référence qui est reconduite.</t>
        </is>
      </c>
    </row>
    <row r="31" ht="34" customHeight="1">
      <c r="A31" s="72" t="n">
        <v>4</v>
      </c>
      <c r="B31" s="78" t="inlineStr">
        <is>
          <t>3éme SCE — Math (Lotfi)</t>
        </is>
      </c>
      <c r="C31" s="79" t="inlineStr">
        <is>
          <t>Dimanche 13:30–15:00 en S1 et S2, déplacée lundi 19:00–20:30 dans la semaine de référence.</t>
        </is>
      </c>
      <c r="D31" s="79" t="inlineStr">
        <is>
          <t>Déplacement</t>
        </is>
      </c>
      <c r="E31" s="79" t="inlineStr">
        <is>
          <t>Reconduite le LUNDI 19:00–20:30</t>
        </is>
      </c>
      <c r="F31" s="79" t="inlineStr">
        <is>
          <t>Idem : position de la semaine de référence.</t>
        </is>
      </c>
    </row>
    <row r="32" ht="34" customHeight="1">
      <c r="A32" s="10" t="n">
        <v>5</v>
      </c>
      <c r="B32" s="77" t="inlineStr">
        <is>
          <t>Bac INFO — STI (Aymen)</t>
        </is>
      </c>
      <c r="C32" s="34" t="inlineStr">
        <is>
          <t>Absente en S1 (elle était le dimanche), présente mercredi 19:00–21:00 en S2 et en S3.</t>
        </is>
      </c>
      <c r="D32" s="34" t="inlineStr">
        <is>
          <t>Nouvelle séance</t>
        </is>
      </c>
      <c r="E32" s="34" t="inlineStr">
        <is>
          <t>Traitée comme HEBDOMADAIRE le mercredi</t>
        </is>
      </c>
      <c r="F32" s="34" t="inlineStr">
        <is>
          <t>Deux semaines consécutives confirment l’installation du créneau.</t>
        </is>
      </c>
    </row>
    <row r="33" ht="34" customHeight="1">
      <c r="A33" s="72" t="n">
        <v>6</v>
      </c>
      <c r="B33" s="78" t="inlineStr">
        <is>
          <t>6éme Pilote (A) — Français (Hend), dimanche 09:30–11:00, mention « Rattrapage »</t>
        </is>
      </c>
      <c r="C33" s="79" t="inlineStr">
        <is>
          <t>Présente uniquement dans la semaine du 21/09.</t>
        </is>
      </c>
      <c r="D33" s="79" t="inlineStr">
        <is>
          <t>Séance ponctuelle</t>
        </is>
      </c>
      <c r="E33" s="79" t="inlineStr">
        <is>
          <t>NON reconduite en octobre</t>
        </is>
      </c>
      <c r="F33" s="79" t="inlineStr">
        <is>
          <t>Séance de rattrapage explicitement ponctuelle : la reconduire créerait des séances inexistantes.</t>
        </is>
      </c>
    </row>
    <row r="34" ht="34" customHeight="1">
      <c r="A34" s="10" t="n">
        <v>7</v>
      </c>
      <c r="B34" s="77" t="inlineStr">
        <is>
          <t>Histoire / Géographie (Abdelwaheb) — 2éme Eco, 3éme Eco, Bac Eco</t>
        </is>
      </c>
      <c r="C34" s="34" t="inlineStr">
        <is>
          <t>Le même créneau porte « Histoire » en S1 et S3, « Géographie » en S2. Aucune mention de quinzaine.</t>
        </is>
      </c>
      <c r="D34" s="34" t="inlineStr">
        <is>
          <t>Alternance non étiquetée</t>
        </is>
      </c>
      <c r="E34" s="34" t="inlineStr">
        <is>
          <t>Alternance CONSERVÉE (Histoire en semaine A, Géographie en semaine B)</t>
        </is>
      </c>
      <c r="F34" s="34" t="inlineStr">
        <is>
          <t>Rythme déduit de l’observation sur 3 semaines. Ajouter la mention de quinzaine dans la source éviterait toute ambiguïté.</t>
        </is>
      </c>
    </row>
    <row r="35" ht="34" customHeight="1">
      <c r="A35" s="72" t="n">
        <v>8</v>
      </c>
      <c r="B35" s="78" t="inlineStr">
        <is>
          <t>Espagnol (Imen) et Italien (Amel)</t>
        </is>
      </c>
      <c r="C35" s="79" t="inlineStr">
        <is>
          <t>Le créneau du mardi 19:15–20:45 alterne entre Bac Eco / 3éme Eco (Espagnol) et Bac SCE / 3éme INFO (Italien), sans mention de quinzaine.</t>
        </is>
      </c>
      <c r="D35" s="79" t="inlineStr">
        <is>
          <t>Alternance non étiquetée</t>
        </is>
      </c>
      <c r="E35" s="79" t="inlineStr">
        <is>
          <t>Alternance CONSERVÉE</t>
        </is>
      </c>
      <c r="F35" s="79" t="inlineStr">
        <is>
          <t>Même logique : alternance stricte constatée sur les 3 semaines.</t>
        </is>
      </c>
    </row>
    <row r="36" ht="34" customHeight="1">
      <c r="A36" s="10" t="n">
        <v>9</v>
      </c>
      <c r="B36" s="77" t="inlineStr">
        <is>
          <t>2éme Eco — Français (Nabil) vendredi 17:30–19:00</t>
        </is>
      </c>
      <c r="C36" s="34" t="inlineStr">
        <is>
          <t>Présente en S1 et S3, absente en S2 ; la mention « /par quinzaine » est absente alors que le créneau alterne avec Bac Eco.</t>
        </is>
      </c>
      <c r="D36" s="34" t="inlineStr">
        <is>
          <t>Mention manquante</t>
        </is>
      </c>
      <c r="E36" s="34" t="inlineStr">
        <is>
          <t>Traitée comme QUINZAINE A</t>
        </is>
      </c>
      <c r="F36" s="34" t="inlineStr">
        <is>
          <t>Alternance stricte avec Bac Eco sur le même créneau et le même enseignant.</t>
        </is>
      </c>
    </row>
    <row r="37" ht="34" customHeight="1">
      <c r="A37" s="72" t="n">
        <v>10</v>
      </c>
      <c r="B37" s="78" t="inlineStr">
        <is>
          <t>Enseignante « Imen Ghoumem » / « Imen Ghoumeme »</t>
        </is>
      </c>
      <c r="C37" s="79" t="inlineStr">
        <is>
          <t>Deux orthographes pour la même personne (1ére (B) et 1ére (A), SVT dimanche).</t>
        </is>
      </c>
      <c r="D37" s="79" t="inlineStr">
        <is>
          <t>Orthographe</t>
        </is>
      </c>
      <c r="E37" s="79" t="inlineStr">
        <is>
          <t>Septembre laissé INTACT ; octobre unifié en « Imen Ghoumeme »</t>
        </is>
      </c>
      <c r="F37" s="79" t="inlineStr">
        <is>
          <t>Les données d’origine ne sont pas modifiées. Corriger la source si « Ghoumeme » est la bonne orthographe.</t>
        </is>
      </c>
    </row>
    <row r="38" ht="34" customHeight="1">
      <c r="A38" s="10" t="n">
        <v>11</v>
      </c>
      <c r="B38" s="77" t="inlineStr">
        <is>
          <t>Mentions « /par quizaine » et « /Par quizaine »</t>
        </is>
      </c>
      <c r="C38" s="34" t="inlineStr">
        <is>
          <t>4 cellules comportent une faute de frappe sur « quinzaine ».</t>
        </is>
      </c>
      <c r="D38" s="34" t="inlineStr">
        <is>
          <t>Orthographe</t>
        </is>
      </c>
      <c r="E38" s="34" t="inlineStr">
        <is>
          <t>Rythme normalisé dans la colonne Rythme ; texte d’origine conservé en colonne Y</t>
        </is>
      </c>
      <c r="F38" s="34" t="inlineStr">
        <is>
          <t>Aucune perte : le libellé brut d’origine reste consultable.</t>
        </is>
      </c>
    </row>
    <row r="39" ht="34" customHeight="1">
      <c r="A39" s="72" t="n">
        <v>12</v>
      </c>
      <c r="B39" s="78" t="inlineStr">
        <is>
          <t>Salle et Mode (présentiel / en ligne)</t>
        </is>
      </c>
      <c r="C39" s="79" t="inlineStr">
        <is>
          <t>Ces deux informations sont totalement absentes du fichier d’origine.</t>
        </is>
      </c>
      <c r="D39" s="79" t="inlineStr">
        <is>
          <t>Donnée manquante</t>
        </is>
      </c>
      <c r="E39" s="79" t="inlineStr">
        <is>
          <t>Colonnes créées et VIDES, avec menus déroulants</t>
        </is>
      </c>
      <c r="F39" s="79" t="inlineStr">
        <is>
          <t>Aucune valeur n’a été inventée. À compléter dans Planning ; les grilles les afficheront automatiquement.</t>
        </is>
      </c>
    </row>
    <row r="40" ht="34" customHeight="1">
      <c r="A40" s="10" t="n">
        <v>13</v>
      </c>
      <c r="B40" s="77" t="inlineStr">
        <is>
          <t>Jeudi 15/10/2026</t>
        </is>
      </c>
      <c r="C40" s="34" t="inlineStr">
        <is>
          <t>Correspond à la Fête de l’Évacuation, jour férié en Tunisie.</t>
        </is>
      </c>
      <c r="D40" s="34" t="inlineStr">
        <is>
          <t>Calendrier</t>
        </is>
      </c>
      <c r="E40" s="34" t="inlineStr">
        <is>
          <t>Séances MAINTENUES, signalées en colonne Notes</t>
        </is>
      </c>
      <c r="F40" s="34" t="inlineStr">
        <is>
          <t>À arbitrer par la direction : si l’établissement ferme, supprimer ou déplacer les séances de cette date.</t>
        </is>
      </c>
    </row>
    <row r="41" ht="34" customHeight="1">
      <c r="A41" s="72" t="n">
        <v>14</v>
      </c>
      <c r="B41" s="78" t="inlineStr">
        <is>
          <t>Semaine S7 (26/10 → 01/11/2026)</t>
        </is>
      </c>
      <c r="C41" s="79" t="inlineStr">
        <is>
          <t>Cette semaine déborde sur le dimanche 1er novembre.</t>
        </is>
      </c>
      <c r="D41" s="79" t="inlineStr">
        <is>
          <t>Calendrier</t>
        </is>
      </c>
      <c r="E41" s="79" t="inlineStr">
        <is>
          <t>Semaine COMPLÈTE conservée</t>
        </is>
      </c>
      <c r="F41" s="79" t="inlineStr">
        <is>
          <t>Cohérent avec le fichier d’origine, où la semaine de référence déborde déjà sur octobre (28/09 → 04/10).</t>
        </is>
      </c>
    </row>
  </sheetData>
  <mergeCells count="3">
    <mergeCell ref="A26:F26"/>
    <mergeCell ref="A2:F2"/>
    <mergeCell ref="A1:F1"/>
  </mergeCells>
  <conditionalFormatting sqref="F4:F24">
    <cfRule type="expression" priority="1" dxfId="21">
      <formula>$F4="OK"</formula>
    </cfRule>
  </conditionalFormatting>
  <conditionalFormatting sqref="A4:F24">
    <cfRule type="expression" priority="2" dxfId="19">
      <formula>LEFT($F4,3)="À V"</formula>
    </cfRule>
    <cfRule type="expression" priority="3" dxfId="22">
      <formula>LEFT($F4,3)="À C"</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Contrôles et décisions&amp;R&amp;8 Page &amp;P / &amp;N</oddFooter>
    <evenHeader/>
    <evenFooter/>
    <firstHeader/>
    <firstFooter/>
  </headerFooter>
</worksheet>
</file>

<file path=xl/worksheets/sheet13.xml><?xml version="1.0" encoding="utf-8"?>
<worksheet xmlns="http://schemas.openxmlformats.org/spreadsheetml/2006/main">
  <sheetPr>
    <tabColor rgb="009A6B1F"/>
    <outlinePr summaryBelow="1" summaryRight="1"/>
    <pageSetUpPr fitToPage="1"/>
  </sheetPr>
  <dimension ref="A1:K65"/>
  <sheetViews>
    <sheetView showGridLines="0"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34" customHeight="1">
      <c r="A1" s="36" t="inlineStr">
        <is>
          <t>RÉCAPITULATIF ET INDICATEURS</t>
        </is>
      </c>
      <c r="B1" s="2" t="n"/>
      <c r="C1" s="2" t="n"/>
      <c r="D1" s="2" t="n"/>
      <c r="E1" s="2" t="n"/>
      <c r="F1" s="2" t="n"/>
      <c r="G1" s="2" t="n"/>
      <c r="H1" s="2" t="n"/>
      <c r="I1" s="2" t="n"/>
      <c r="J1" s="2" t="n"/>
      <c r="K1" s="2" t="n"/>
    </row>
    <row r="2" ht="20" customHeight="1">
      <c r="A2" s="37" t="inlineStr">
        <is>
          <t>Tous les chiffres sont calculés depuis la feuille Planning : ils se mettent à jour automatiquement.</t>
        </is>
      </c>
      <c r="B2" s="38" t="n"/>
      <c r="C2" s="38" t="n"/>
      <c r="D2" s="38" t="n"/>
      <c r="E2" s="38" t="n"/>
      <c r="F2" s="38" t="n"/>
      <c r="G2" s="38" t="n"/>
      <c r="H2" s="38" t="n"/>
      <c r="I2" s="38" t="n"/>
      <c r="J2" s="38" t="n"/>
      <c r="K2" s="38" t="n"/>
    </row>
    <row r="4" ht="23" customHeight="1">
      <c r="A4" s="75" t="inlineStr">
        <is>
          <t>INDICATEURS CLÉS (sur l’ensemble de la période 14/09 → 01/11/2026)</t>
        </is>
      </c>
      <c r="B4" s="76" t="n"/>
      <c r="C4" s="76" t="n"/>
      <c r="D4" s="76" t="n"/>
      <c r="E4" s="76" t="n"/>
      <c r="F4" s="76" t="n"/>
      <c r="G4" s="76" t="n"/>
      <c r="H4" s="76" t="n"/>
      <c r="I4" s="76" t="n"/>
      <c r="J4" s="76" t="n"/>
      <c r="K4" s="76" t="n"/>
    </row>
    <row r="5" ht="26" customHeight="1">
      <c r="A5" s="7" t="inlineStr">
        <is>
          <t>Indicateur</t>
        </is>
      </c>
      <c r="B5" s="7" t="inlineStr">
        <is>
          <t>Valeur</t>
        </is>
      </c>
    </row>
    <row r="6" ht="18" customHeight="1">
      <c r="A6" s="31" t="inlineStr">
        <is>
          <t>Séances planifiées (total)</t>
        </is>
      </c>
      <c r="B6" s="80">
        <f>COUNTA(Planning!$A$4:$A$704)</f>
        <v/>
      </c>
    </row>
    <row r="7" ht="18" customHeight="1">
      <c r="A7" s="31" t="inlineStr">
        <is>
          <t>Heures d’enseignement (total)</t>
        </is>
      </c>
      <c r="B7" s="81">
        <f>SUM(Planning!$H$4:$H$704)</f>
        <v/>
      </c>
    </row>
    <row r="8" ht="18" customHeight="1">
      <c r="A8" s="31" t="inlineStr">
        <is>
          <t>Séances de septembre (d’origine)</t>
        </is>
      </c>
      <c r="B8" s="80">
        <f>COUNTIF(Planning!$Q$4:$Q$704,"Original (septembre)")</f>
        <v/>
      </c>
    </row>
    <row r="9" ht="18" customHeight="1">
      <c r="A9" s="31" t="inlineStr">
        <is>
          <t>Séances d’octobre (générées)</t>
        </is>
      </c>
      <c r="B9" s="80">
        <f>COUNTIF(Planning!$Q$4:$Q$704,"Généré (octobre)")</f>
        <v/>
      </c>
    </row>
    <row r="10" ht="18" customHeight="1">
      <c r="A10" s="31" t="inlineStr">
        <is>
          <t>Classes / groupes</t>
        </is>
      </c>
      <c r="B10" s="80">
        <f>COUNTA(LST_Classes)</f>
        <v/>
      </c>
    </row>
    <row r="11" ht="18" customHeight="1">
      <c r="A11" s="31" t="inlineStr">
        <is>
          <t>Enseignants</t>
        </is>
      </c>
      <c r="B11" s="80">
        <f>COUNTA(LST_Profs)</f>
        <v/>
      </c>
    </row>
    <row r="12" ht="18" customHeight="1">
      <c r="A12" s="31" t="inlineStr">
        <is>
          <t>Matières distinctes</t>
        </is>
      </c>
      <c r="B12" s="80">
        <f>COUNTA(LST_Matieres)</f>
        <v/>
      </c>
    </row>
    <row r="13" ht="18" customHeight="1">
      <c r="A13" s="31" t="inlineStr">
        <is>
          <t>Séances par quinzaine</t>
        </is>
      </c>
      <c r="B13" s="80">
        <f>COUNTIF(Planning!$P$4:$P$704,"Quinzaine A")+COUNTIF(Planning!$P$4:$P$704,"Quinzaine B")</f>
        <v/>
      </c>
    </row>
    <row r="14" ht="18" customHeight="1">
      <c r="A14" s="31" t="inlineStr">
        <is>
          <t>⚠ Anomalies détectées</t>
        </is>
      </c>
      <c r="B14" s="80">
        <f>COUNTIF(Planning!$S$4:$S$704,"⚠ CONFLIT")+COUNTIF(Planning!$T$4:$T$704,"⚠ CONFLIT")+COUNTIF(Planning!$U$4:$U$704,"⚠ DOUBLON")</f>
        <v/>
      </c>
    </row>
    <row r="16" ht="23" customHeight="1">
      <c r="A16" s="75" t="inlineStr">
        <is>
          <t>VOLUME PAR SEMAINE</t>
        </is>
      </c>
      <c r="B16" s="76" t="n"/>
      <c r="C16" s="76" t="n"/>
      <c r="D16" s="76" t="n"/>
      <c r="E16" s="76" t="n"/>
      <c r="F16" s="76" t="n"/>
      <c r="G16" s="76" t="n"/>
      <c r="H16" s="76" t="n"/>
      <c r="I16" s="76" t="n"/>
      <c r="J16" s="76" t="n"/>
      <c r="K16" s="76" t="n"/>
    </row>
    <row r="17" ht="26" customHeight="1">
      <c r="A17" s="7" t="inlineStr">
        <is>
          <t>Semaine</t>
        </is>
      </c>
      <c r="B17" s="7" t="inlineStr">
        <is>
          <t>Période</t>
        </is>
      </c>
      <c r="C17" s="7" t="inlineStr">
        <is>
          <t>Parité</t>
        </is>
      </c>
      <c r="D17" s="7" t="inlineStr">
        <is>
          <t>Séances</t>
        </is>
      </c>
      <c r="E17" s="7" t="inlineStr">
        <is>
          <t>Heures</t>
        </is>
      </c>
      <c r="F17" s="7" t="inlineStr">
        <is>
          <t>dont Hebdo</t>
        </is>
      </c>
      <c r="G17" s="7" t="inlineStr">
        <is>
          <t>dont Quinz.</t>
        </is>
      </c>
      <c r="H17" s="7" t="inlineStr">
        <is>
          <t>dont Ponct.</t>
        </is>
      </c>
      <c r="I17" s="7" t="inlineStr">
        <is>
          <t>Classes actives</t>
        </is>
      </c>
      <c r="J17" s="7" t="inlineStr">
        <is>
          <t>Enseignants</t>
        </is>
      </c>
      <c r="K17" s="7" t="inlineStr">
        <is>
          <t>Moy. h / séance</t>
        </is>
      </c>
    </row>
    <row r="18" ht="16" customHeight="1">
      <c r="A18" s="9" t="inlineStr">
        <is>
          <t>S1</t>
        </is>
      </c>
      <c r="B18" s="9" t="inlineStr">
        <is>
          <t>du 14 au 20 septembre 2026</t>
        </is>
      </c>
      <c r="C18" s="10" t="inlineStr">
        <is>
          <t>A</t>
        </is>
      </c>
      <c r="D18" s="10">
        <f>COUNTIF(Planning!$A$4:$A$704,"S1")</f>
        <v/>
      </c>
      <c r="E18" s="49">
        <f>SUMIF(Planning!$A$4:$A$704,"S1",Planning!$H$4:$H$704)</f>
        <v/>
      </c>
      <c r="F18" s="10">
        <f>COUNTIFS(Planning!$A$4:$A$704,"S1",Planning!$P$4:$P$704,"Hebdomadaire")</f>
        <v/>
      </c>
      <c r="G18" s="10">
        <f>COUNTIFS(Planning!$A$4:$A$704,"S1",Planning!$P$4:$P$704,"Quinzaine A")+COUNTIFS(Planning!$A$4:$A$704,"S1",Planning!$P$4:$P$704,"Quinzaine B")</f>
        <v/>
      </c>
      <c r="H18" s="10">
        <f>COUNTIFS(Planning!$A$4:$A$704,"S1",Planning!$P$4:$P$704,"Exception")+COUNTIFS(Planning!$A$4:$A$704,"S1",Planning!$P$4:$P$704,"Ponctuelle / modifiée")</f>
        <v/>
      </c>
      <c r="I18" s="10">
        <f>SUMPRODUCT(--(COUNTIFS(Planning!$A$4:$A$704,"S1",Planning!$J$4:$J$704,LST_Classes)&gt;0))</f>
        <v/>
      </c>
      <c r="J18" s="10">
        <f>SUMPRODUCT(--(COUNTIFS(Planning!$A$4:$A$704,"S1",Planning!$M$4:$M$704,LST_Profs)&gt;0))</f>
        <v/>
      </c>
      <c r="K18" s="43">
        <f>IFERROR(E18/D18,"")</f>
        <v/>
      </c>
    </row>
    <row r="19" ht="16" customHeight="1">
      <c r="A19" s="9" t="inlineStr">
        <is>
          <t>S2</t>
        </is>
      </c>
      <c r="B19" s="9" t="inlineStr">
        <is>
          <t>du 21 au 27 septembre 2026</t>
        </is>
      </c>
      <c r="C19" s="10" t="inlineStr">
        <is>
          <t>B</t>
        </is>
      </c>
      <c r="D19" s="10">
        <f>COUNTIF(Planning!$A$4:$A$704,"S2")</f>
        <v/>
      </c>
      <c r="E19" s="49">
        <f>SUMIF(Planning!$A$4:$A$704,"S2",Planning!$H$4:$H$704)</f>
        <v/>
      </c>
      <c r="F19" s="10">
        <f>COUNTIFS(Planning!$A$4:$A$704,"S2",Planning!$P$4:$P$704,"Hebdomadaire")</f>
        <v/>
      </c>
      <c r="G19" s="10">
        <f>COUNTIFS(Planning!$A$4:$A$704,"S2",Planning!$P$4:$P$704,"Quinzaine A")+COUNTIFS(Planning!$A$4:$A$704,"S2",Planning!$P$4:$P$704,"Quinzaine B")</f>
        <v/>
      </c>
      <c r="H19" s="10">
        <f>COUNTIFS(Planning!$A$4:$A$704,"S2",Planning!$P$4:$P$704,"Exception")+COUNTIFS(Planning!$A$4:$A$704,"S2",Planning!$P$4:$P$704,"Ponctuelle / modifiée")</f>
        <v/>
      </c>
      <c r="I19" s="10">
        <f>SUMPRODUCT(--(COUNTIFS(Planning!$A$4:$A$704,"S2",Planning!$J$4:$J$704,LST_Classes)&gt;0))</f>
        <v/>
      </c>
      <c r="J19" s="10">
        <f>SUMPRODUCT(--(COUNTIFS(Planning!$A$4:$A$704,"S2",Planning!$M$4:$M$704,LST_Profs)&gt;0))</f>
        <v/>
      </c>
      <c r="K19" s="43">
        <f>IFERROR(E19/D19,"")</f>
        <v/>
      </c>
    </row>
    <row r="20" ht="16" customHeight="1">
      <c r="A20" s="9" t="inlineStr">
        <is>
          <t>S3</t>
        </is>
      </c>
      <c r="B20" s="9" t="inlineStr">
        <is>
          <t>du 28 septembre au 4 octobre 2026</t>
        </is>
      </c>
      <c r="C20" s="10" t="inlineStr">
        <is>
          <t>A</t>
        </is>
      </c>
      <c r="D20" s="10">
        <f>COUNTIF(Planning!$A$4:$A$704,"S3")</f>
        <v/>
      </c>
      <c r="E20" s="49">
        <f>SUMIF(Planning!$A$4:$A$704,"S3",Planning!$H$4:$H$704)</f>
        <v/>
      </c>
      <c r="F20" s="10">
        <f>COUNTIFS(Planning!$A$4:$A$704,"S3",Planning!$P$4:$P$704,"Hebdomadaire")</f>
        <v/>
      </c>
      <c r="G20" s="10">
        <f>COUNTIFS(Planning!$A$4:$A$704,"S3",Planning!$P$4:$P$704,"Quinzaine A")+COUNTIFS(Planning!$A$4:$A$704,"S3",Planning!$P$4:$P$704,"Quinzaine B")</f>
        <v/>
      </c>
      <c r="H20" s="10">
        <f>COUNTIFS(Planning!$A$4:$A$704,"S3",Planning!$P$4:$P$704,"Exception")+COUNTIFS(Planning!$A$4:$A$704,"S3",Planning!$P$4:$P$704,"Ponctuelle / modifiée")</f>
        <v/>
      </c>
      <c r="I20" s="10">
        <f>SUMPRODUCT(--(COUNTIFS(Planning!$A$4:$A$704,"S3",Planning!$J$4:$J$704,LST_Classes)&gt;0))</f>
        <v/>
      </c>
      <c r="J20" s="10">
        <f>SUMPRODUCT(--(COUNTIFS(Planning!$A$4:$A$704,"S3",Planning!$M$4:$M$704,LST_Profs)&gt;0))</f>
        <v/>
      </c>
      <c r="K20" s="43">
        <f>IFERROR(E20/D20,"")</f>
        <v/>
      </c>
    </row>
    <row r="21" ht="16" customHeight="1">
      <c r="A21" s="74" t="inlineStr">
        <is>
          <t>S4</t>
        </is>
      </c>
      <c r="B21" s="74" t="inlineStr">
        <is>
          <t>du 5 au 11 octobre 2026</t>
        </is>
      </c>
      <c r="C21" s="72" t="inlineStr">
        <is>
          <t>B</t>
        </is>
      </c>
      <c r="D21" s="72">
        <f>COUNTIF(Planning!$A$4:$A$704,"S4")</f>
        <v/>
      </c>
      <c r="E21" s="82">
        <f>SUMIF(Planning!$A$4:$A$704,"S4",Planning!$H$4:$H$704)</f>
        <v/>
      </c>
      <c r="F21" s="72">
        <f>COUNTIFS(Planning!$A$4:$A$704,"S4",Planning!$P$4:$P$704,"Hebdomadaire")</f>
        <v/>
      </c>
      <c r="G21" s="72">
        <f>COUNTIFS(Planning!$A$4:$A$704,"S4",Planning!$P$4:$P$704,"Quinzaine A")+COUNTIFS(Planning!$A$4:$A$704,"S4",Planning!$P$4:$P$704,"Quinzaine B")</f>
        <v/>
      </c>
      <c r="H21" s="72">
        <f>COUNTIFS(Planning!$A$4:$A$704,"S4",Planning!$P$4:$P$704,"Exception")+COUNTIFS(Planning!$A$4:$A$704,"S4",Planning!$P$4:$P$704,"Ponctuelle / modifiée")</f>
        <v/>
      </c>
      <c r="I21" s="72">
        <f>SUMPRODUCT(--(COUNTIFS(Planning!$A$4:$A$704,"S4",Planning!$J$4:$J$704,LST_Classes)&gt;0))</f>
        <v/>
      </c>
      <c r="J21" s="72">
        <f>SUMPRODUCT(--(COUNTIFS(Planning!$A$4:$A$704,"S4",Planning!$M$4:$M$704,LST_Profs)&gt;0))</f>
        <v/>
      </c>
      <c r="K21" s="83">
        <f>IFERROR(E21/D21,"")</f>
        <v/>
      </c>
    </row>
    <row r="22" ht="16" customHeight="1">
      <c r="A22" s="74" t="inlineStr">
        <is>
          <t>S5</t>
        </is>
      </c>
      <c r="B22" s="74" t="inlineStr">
        <is>
          <t>du 12 au 18 octobre 2026</t>
        </is>
      </c>
      <c r="C22" s="72" t="inlineStr">
        <is>
          <t>A</t>
        </is>
      </c>
      <c r="D22" s="72">
        <f>COUNTIF(Planning!$A$4:$A$704,"S5")</f>
        <v/>
      </c>
      <c r="E22" s="82">
        <f>SUMIF(Planning!$A$4:$A$704,"S5",Planning!$H$4:$H$704)</f>
        <v/>
      </c>
      <c r="F22" s="72">
        <f>COUNTIFS(Planning!$A$4:$A$704,"S5",Planning!$P$4:$P$704,"Hebdomadaire")</f>
        <v/>
      </c>
      <c r="G22" s="72">
        <f>COUNTIFS(Planning!$A$4:$A$704,"S5",Planning!$P$4:$P$704,"Quinzaine A")+COUNTIFS(Planning!$A$4:$A$704,"S5",Planning!$P$4:$P$704,"Quinzaine B")</f>
        <v/>
      </c>
      <c r="H22" s="72">
        <f>COUNTIFS(Planning!$A$4:$A$704,"S5",Planning!$P$4:$P$704,"Exception")+COUNTIFS(Planning!$A$4:$A$704,"S5",Planning!$P$4:$P$704,"Ponctuelle / modifiée")</f>
        <v/>
      </c>
      <c r="I22" s="72">
        <f>SUMPRODUCT(--(COUNTIFS(Planning!$A$4:$A$704,"S5",Planning!$J$4:$J$704,LST_Classes)&gt;0))</f>
        <v/>
      </c>
      <c r="J22" s="72">
        <f>SUMPRODUCT(--(COUNTIFS(Planning!$A$4:$A$704,"S5",Planning!$M$4:$M$704,LST_Profs)&gt;0))</f>
        <v/>
      </c>
      <c r="K22" s="83">
        <f>IFERROR(E22/D22,"")</f>
        <v/>
      </c>
    </row>
    <row r="23" ht="16" customHeight="1">
      <c r="A23" s="74" t="inlineStr">
        <is>
          <t>S6</t>
        </is>
      </c>
      <c r="B23" s="74" t="inlineStr">
        <is>
          <t>du 19 au 25 octobre 2026</t>
        </is>
      </c>
      <c r="C23" s="72" t="inlineStr">
        <is>
          <t>B</t>
        </is>
      </c>
      <c r="D23" s="72">
        <f>COUNTIF(Planning!$A$4:$A$704,"S6")</f>
        <v/>
      </c>
      <c r="E23" s="82">
        <f>SUMIF(Planning!$A$4:$A$704,"S6",Planning!$H$4:$H$704)</f>
        <v/>
      </c>
      <c r="F23" s="72">
        <f>COUNTIFS(Planning!$A$4:$A$704,"S6",Planning!$P$4:$P$704,"Hebdomadaire")</f>
        <v/>
      </c>
      <c r="G23" s="72">
        <f>COUNTIFS(Planning!$A$4:$A$704,"S6",Planning!$P$4:$P$704,"Quinzaine A")+COUNTIFS(Planning!$A$4:$A$704,"S6",Planning!$P$4:$P$704,"Quinzaine B")</f>
        <v/>
      </c>
      <c r="H23" s="72">
        <f>COUNTIFS(Planning!$A$4:$A$704,"S6",Planning!$P$4:$P$704,"Exception")+COUNTIFS(Planning!$A$4:$A$704,"S6",Planning!$P$4:$P$704,"Ponctuelle / modifiée")</f>
        <v/>
      </c>
      <c r="I23" s="72">
        <f>SUMPRODUCT(--(COUNTIFS(Planning!$A$4:$A$704,"S6",Planning!$J$4:$J$704,LST_Classes)&gt;0))</f>
        <v/>
      </c>
      <c r="J23" s="72">
        <f>SUMPRODUCT(--(COUNTIFS(Planning!$A$4:$A$704,"S6",Planning!$M$4:$M$704,LST_Profs)&gt;0))</f>
        <v/>
      </c>
      <c r="K23" s="83">
        <f>IFERROR(E23/D23,"")</f>
        <v/>
      </c>
    </row>
    <row r="24" ht="16" customHeight="1">
      <c r="A24" s="74" t="inlineStr">
        <is>
          <t>S7</t>
        </is>
      </c>
      <c r="B24" s="74" t="inlineStr">
        <is>
          <t>du 26 octobre au 1er novembre 2026</t>
        </is>
      </c>
      <c r="C24" s="72" t="inlineStr">
        <is>
          <t>A</t>
        </is>
      </c>
      <c r="D24" s="72">
        <f>COUNTIF(Planning!$A$4:$A$704,"S7")</f>
        <v/>
      </c>
      <c r="E24" s="82">
        <f>SUMIF(Planning!$A$4:$A$704,"S7",Planning!$H$4:$H$704)</f>
        <v/>
      </c>
      <c r="F24" s="72">
        <f>COUNTIFS(Planning!$A$4:$A$704,"S7",Planning!$P$4:$P$704,"Hebdomadaire")</f>
        <v/>
      </c>
      <c r="G24" s="72">
        <f>COUNTIFS(Planning!$A$4:$A$704,"S7",Planning!$P$4:$P$704,"Quinzaine A")+COUNTIFS(Planning!$A$4:$A$704,"S7",Planning!$P$4:$P$704,"Quinzaine B")</f>
        <v/>
      </c>
      <c r="H24" s="72">
        <f>COUNTIFS(Planning!$A$4:$A$704,"S7",Planning!$P$4:$P$704,"Exception")+COUNTIFS(Planning!$A$4:$A$704,"S7",Planning!$P$4:$P$704,"Ponctuelle / modifiée")</f>
        <v/>
      </c>
      <c r="I24" s="72">
        <f>SUMPRODUCT(--(COUNTIFS(Planning!$A$4:$A$704,"S7",Planning!$J$4:$J$704,LST_Classes)&gt;0))</f>
        <v/>
      </c>
      <c r="J24" s="72">
        <f>SUMPRODUCT(--(COUNTIFS(Planning!$A$4:$A$704,"S7",Planning!$M$4:$M$704,LST_Profs)&gt;0))</f>
        <v/>
      </c>
      <c r="K24" s="83">
        <f>IFERROR(E24/D24,"")</f>
        <v/>
      </c>
    </row>
    <row r="25" ht="16" customHeight="1">
      <c r="A25" s="84" t="inlineStr">
        <is>
          <t>TOTAL</t>
        </is>
      </c>
      <c r="B25" s="84" t="inlineStr">
        <is>
          <t>—</t>
        </is>
      </c>
      <c r="C25" s="69" t="inlineStr">
        <is>
          <t>—</t>
        </is>
      </c>
      <c r="D25" s="69">
        <f>SUM(D18:D24)</f>
        <v/>
      </c>
      <c r="E25" s="70">
        <f>SUM(E18:E24)</f>
        <v/>
      </c>
      <c r="F25" s="69">
        <f>SUM(F18:F24)</f>
        <v/>
      </c>
      <c r="G25" s="69">
        <f>SUM(G18:G24)</f>
        <v/>
      </c>
      <c r="H25" s="69">
        <f>SUM(H18:H24)</f>
        <v/>
      </c>
      <c r="I25" s="69">
        <f>SUMPRODUCT(--(COUNTIF(Planning!$J$4:$J$704,LST_Classes)&gt;0))</f>
        <v/>
      </c>
      <c r="J25" s="69">
        <f>SUMPRODUCT(--(COUNTIF(Planning!$M$4:$M$704,LST_Profs)&gt;0))</f>
        <v/>
      </c>
      <c r="K25" s="85">
        <f>IFERROR(E25/D25,"")</f>
        <v/>
      </c>
    </row>
    <row r="27" ht="23" customHeight="1">
      <c r="A27" s="75" t="inlineStr">
        <is>
          <t>SÉANCES PAR CYCLE ET PAR SEMAINE</t>
        </is>
      </c>
      <c r="B27" s="76" t="n"/>
      <c r="C27" s="76" t="n"/>
      <c r="D27" s="76" t="n"/>
      <c r="E27" s="76" t="n"/>
      <c r="F27" s="76" t="n"/>
      <c r="G27" s="76" t="n"/>
      <c r="H27" s="76" t="n"/>
      <c r="I27" s="76" t="n"/>
      <c r="J27" s="76" t="n"/>
      <c r="K27" s="76" t="n"/>
    </row>
    <row r="28" ht="26" customHeight="1">
      <c r="A28" s="7" t="inlineStr">
        <is>
          <t>Cycle</t>
        </is>
      </c>
      <c r="B28" s="7" t="inlineStr">
        <is>
          <t>Nb classes</t>
        </is>
      </c>
      <c r="C28" s="7" t="inlineStr">
        <is>
          <t>S1</t>
        </is>
      </c>
      <c r="D28" s="7" t="inlineStr">
        <is>
          <t>S2</t>
        </is>
      </c>
      <c r="E28" s="7" t="inlineStr">
        <is>
          <t>S3</t>
        </is>
      </c>
      <c r="F28" s="7" t="inlineStr">
        <is>
          <t>S4</t>
        </is>
      </c>
      <c r="G28" s="7" t="inlineStr">
        <is>
          <t>S5</t>
        </is>
      </c>
      <c r="H28" s="7" t="inlineStr">
        <is>
          <t>S6</t>
        </is>
      </c>
      <c r="I28" s="7" t="inlineStr">
        <is>
          <t>S7</t>
        </is>
      </c>
      <c r="J28" s="7" t="inlineStr">
        <is>
          <t>Total</t>
        </is>
      </c>
    </row>
    <row r="29" ht="16" customHeight="1">
      <c r="A29" s="9" t="inlineStr">
        <is>
          <t>Primaire</t>
        </is>
      </c>
      <c r="B29" s="10" t="n">
        <v>4</v>
      </c>
      <c r="C29" s="10">
        <f>COUNTIFS(Planning!$A$4:$A$704,"S1",Planning!$I$4:$I$704,$A29)</f>
        <v/>
      </c>
      <c r="D29" s="10">
        <f>COUNTIFS(Planning!$A$4:$A$704,"S2",Planning!$I$4:$I$704,$A29)</f>
        <v/>
      </c>
      <c r="E29" s="10">
        <f>COUNTIFS(Planning!$A$4:$A$704,"S3",Planning!$I$4:$I$704,$A29)</f>
        <v/>
      </c>
      <c r="F29" s="10">
        <f>COUNTIFS(Planning!$A$4:$A$704,"S4",Planning!$I$4:$I$704,$A29)</f>
        <v/>
      </c>
      <c r="G29" s="10">
        <f>COUNTIFS(Planning!$A$4:$A$704,"S5",Planning!$I$4:$I$704,$A29)</f>
        <v/>
      </c>
      <c r="H29" s="10">
        <f>COUNTIFS(Planning!$A$4:$A$704,"S6",Planning!$I$4:$I$704,$A29)</f>
        <v/>
      </c>
      <c r="I29" s="10">
        <f>COUNTIFS(Planning!$A$4:$A$704,"S7",Planning!$I$4:$I$704,$A29)</f>
        <v/>
      </c>
      <c r="J29" s="10">
        <f>SUM(C29:I29)</f>
        <v/>
      </c>
    </row>
    <row r="30" ht="16" customHeight="1">
      <c r="A30" s="9" t="inlineStr">
        <is>
          <t>Collège</t>
        </is>
      </c>
      <c r="B30" s="10" t="n">
        <v>8</v>
      </c>
      <c r="C30" s="10">
        <f>COUNTIFS(Planning!$A$4:$A$704,"S1",Planning!$I$4:$I$704,$A30)</f>
        <v/>
      </c>
      <c r="D30" s="10">
        <f>COUNTIFS(Planning!$A$4:$A$704,"S2",Planning!$I$4:$I$704,$A30)</f>
        <v/>
      </c>
      <c r="E30" s="10">
        <f>COUNTIFS(Planning!$A$4:$A$704,"S3",Planning!$I$4:$I$704,$A30)</f>
        <v/>
      </c>
      <c r="F30" s="10">
        <f>COUNTIFS(Planning!$A$4:$A$704,"S4",Planning!$I$4:$I$704,$A30)</f>
        <v/>
      </c>
      <c r="G30" s="10">
        <f>COUNTIFS(Planning!$A$4:$A$704,"S5",Planning!$I$4:$I$704,$A30)</f>
        <v/>
      </c>
      <c r="H30" s="10">
        <f>COUNTIFS(Planning!$A$4:$A$704,"S6",Planning!$I$4:$I$704,$A30)</f>
        <v/>
      </c>
      <c r="I30" s="10">
        <f>COUNTIFS(Planning!$A$4:$A$704,"S7",Planning!$I$4:$I$704,$A30)</f>
        <v/>
      </c>
      <c r="J30" s="10">
        <f>SUM(C30:I30)</f>
        <v/>
      </c>
    </row>
    <row r="31" ht="16" customHeight="1">
      <c r="A31" s="9" t="inlineStr">
        <is>
          <t>Secondaire</t>
        </is>
      </c>
      <c r="B31" s="10" t="n">
        <v>8</v>
      </c>
      <c r="C31" s="10">
        <f>COUNTIFS(Planning!$A$4:$A$704,"S1",Planning!$I$4:$I$704,$A31)</f>
        <v/>
      </c>
      <c r="D31" s="10">
        <f>COUNTIFS(Planning!$A$4:$A$704,"S2",Planning!$I$4:$I$704,$A31)</f>
        <v/>
      </c>
      <c r="E31" s="10">
        <f>COUNTIFS(Planning!$A$4:$A$704,"S3",Planning!$I$4:$I$704,$A31)</f>
        <v/>
      </c>
      <c r="F31" s="10">
        <f>COUNTIFS(Planning!$A$4:$A$704,"S4",Planning!$I$4:$I$704,$A31)</f>
        <v/>
      </c>
      <c r="G31" s="10">
        <f>COUNTIFS(Planning!$A$4:$A$704,"S5",Planning!$I$4:$I$704,$A31)</f>
        <v/>
      </c>
      <c r="H31" s="10">
        <f>COUNTIFS(Planning!$A$4:$A$704,"S6",Planning!$I$4:$I$704,$A31)</f>
        <v/>
      </c>
      <c r="I31" s="10">
        <f>COUNTIFS(Planning!$A$4:$A$704,"S7",Planning!$I$4:$I$704,$A31)</f>
        <v/>
      </c>
      <c r="J31" s="10">
        <f>SUM(C31:I31)</f>
        <v/>
      </c>
    </row>
    <row r="32" ht="16" customHeight="1">
      <c r="A32" s="9" t="inlineStr">
        <is>
          <t>Bac</t>
        </is>
      </c>
      <c r="B32" s="10" t="n">
        <v>3</v>
      </c>
      <c r="C32" s="10">
        <f>COUNTIFS(Planning!$A$4:$A$704,"S1",Planning!$I$4:$I$704,$A32)</f>
        <v/>
      </c>
      <c r="D32" s="10">
        <f>COUNTIFS(Planning!$A$4:$A$704,"S2",Planning!$I$4:$I$704,$A32)</f>
        <v/>
      </c>
      <c r="E32" s="10">
        <f>COUNTIFS(Planning!$A$4:$A$704,"S3",Planning!$I$4:$I$704,$A32)</f>
        <v/>
      </c>
      <c r="F32" s="10">
        <f>COUNTIFS(Planning!$A$4:$A$704,"S4",Planning!$I$4:$I$704,$A32)</f>
        <v/>
      </c>
      <c r="G32" s="10">
        <f>COUNTIFS(Planning!$A$4:$A$704,"S5",Planning!$I$4:$I$704,$A32)</f>
        <v/>
      </c>
      <c r="H32" s="10">
        <f>COUNTIFS(Planning!$A$4:$A$704,"S6",Planning!$I$4:$I$704,$A32)</f>
        <v/>
      </c>
      <c r="I32" s="10">
        <f>COUNTIFS(Planning!$A$4:$A$704,"S7",Planning!$I$4:$I$704,$A32)</f>
        <v/>
      </c>
      <c r="J32" s="10">
        <f>SUM(C32:I32)</f>
        <v/>
      </c>
    </row>
    <row r="34" ht="23" customHeight="1">
      <c r="A34" s="75" t="inlineStr">
        <is>
          <t>SÉANCES ET HEURES PAR MATIÈRE (période complète)</t>
        </is>
      </c>
      <c r="B34" s="76" t="n"/>
      <c r="C34" s="76" t="n"/>
      <c r="D34" s="76" t="n"/>
      <c r="E34" s="76" t="n"/>
      <c r="F34" s="76" t="n"/>
      <c r="G34" s="76" t="n"/>
      <c r="H34" s="76" t="n"/>
      <c r="I34" s="76" t="n"/>
      <c r="J34" s="76" t="n"/>
      <c r="K34" s="76" t="n"/>
    </row>
    <row r="35" ht="26" customHeight="1">
      <c r="A35" s="7" t="inlineStr">
        <is>
          <t>Matière</t>
        </is>
      </c>
      <c r="B35" s="7" t="inlineStr">
        <is>
          <t>Normalisée</t>
        </is>
      </c>
      <c r="C35" s="7" t="inlineStr">
        <is>
          <t>Séances</t>
        </is>
      </c>
      <c r="D35" s="7" t="inlineStr">
        <is>
          <t>Heures</t>
        </is>
      </c>
      <c r="E35" s="7" t="inlineStr">
        <is>
          <t>Enseignants</t>
        </is>
      </c>
      <c r="F35" s="7" t="inlineStr">
        <is>
          <t>Classes</t>
        </is>
      </c>
      <c r="G35" s="7" t="inlineStr">
        <is>
          <t>Part des séances</t>
        </is>
      </c>
    </row>
    <row r="36" ht="16" customHeight="1">
      <c r="A36" s="9" t="inlineStr">
        <is>
          <t>ALGO</t>
        </is>
      </c>
      <c r="B36" s="9">
        <f>IFERROR(INDEX(Référentiels!$H$5:$H$24,MATCH($A36,Référentiels!$G$5:$G$24,0)),"")</f>
        <v/>
      </c>
      <c r="C36" s="10">
        <f>COUNTIF(Planning!$K$4:$K$704,$A36)</f>
        <v/>
      </c>
      <c r="D36" s="49">
        <f>SUMIF(Planning!$K$4:$K$704,$A36,Planning!$H$4:$H$704)</f>
        <v/>
      </c>
      <c r="E36" s="10">
        <f>SUMPRODUCT(--(COUNTIFS(Planning!$K$4:$K$704,$A36,Planning!$M$4:$M$704,LST_Profs)&gt;0))</f>
        <v/>
      </c>
      <c r="F36" s="10">
        <f>SUMPRODUCT(--(COUNTIFS(Planning!$K$4:$K$704,$A36,Planning!$J$4:$J$704,LST_Classes)&gt;0))</f>
        <v/>
      </c>
      <c r="G36" s="86">
        <f>IFERROR(C36/COUNTA(Planning!$A$4:$A$704),"")</f>
        <v/>
      </c>
    </row>
    <row r="37" ht="16" customHeight="1">
      <c r="A37" s="9" t="inlineStr">
        <is>
          <t>Anglais</t>
        </is>
      </c>
      <c r="B37" s="9">
        <f>IFERROR(INDEX(Référentiels!$H$5:$H$24,MATCH($A37,Référentiels!$G$5:$G$24,0)),"")</f>
        <v/>
      </c>
      <c r="C37" s="10">
        <f>COUNTIF(Planning!$K$4:$K$704,$A37)</f>
        <v/>
      </c>
      <c r="D37" s="49">
        <f>SUMIF(Planning!$K$4:$K$704,$A37,Planning!$H$4:$H$704)</f>
        <v/>
      </c>
      <c r="E37" s="10">
        <f>SUMPRODUCT(--(COUNTIFS(Planning!$K$4:$K$704,$A37,Planning!$M$4:$M$704,LST_Profs)&gt;0))</f>
        <v/>
      </c>
      <c r="F37" s="10">
        <f>SUMPRODUCT(--(COUNTIFS(Planning!$K$4:$K$704,$A37,Planning!$J$4:$J$704,LST_Classes)&gt;0))</f>
        <v/>
      </c>
      <c r="G37" s="86">
        <f>IFERROR(C37/COUNTA(Planning!$A$4:$A$704),"")</f>
        <v/>
      </c>
    </row>
    <row r="38" ht="16" customHeight="1">
      <c r="A38" s="9" t="inlineStr">
        <is>
          <t>Arabe</t>
        </is>
      </c>
      <c r="B38" s="9">
        <f>IFERROR(INDEX(Référentiels!$H$5:$H$24,MATCH($A38,Référentiels!$G$5:$G$24,0)),"")</f>
        <v/>
      </c>
      <c r="C38" s="10">
        <f>COUNTIF(Planning!$K$4:$K$704,$A38)</f>
        <v/>
      </c>
      <c r="D38" s="49">
        <f>SUMIF(Planning!$K$4:$K$704,$A38,Planning!$H$4:$H$704)</f>
        <v/>
      </c>
      <c r="E38" s="10">
        <f>SUMPRODUCT(--(COUNTIFS(Planning!$K$4:$K$704,$A38,Planning!$M$4:$M$704,LST_Profs)&gt;0))</f>
        <v/>
      </c>
      <c r="F38" s="10">
        <f>SUMPRODUCT(--(COUNTIFS(Planning!$K$4:$K$704,$A38,Planning!$J$4:$J$704,LST_Classes)&gt;0))</f>
        <v/>
      </c>
      <c r="G38" s="86">
        <f>IFERROR(C38/COUNTA(Planning!$A$4:$A$704),"")</f>
        <v/>
      </c>
    </row>
    <row r="39" ht="16" customHeight="1">
      <c r="A39" s="9" t="inlineStr">
        <is>
          <t>Eco</t>
        </is>
      </c>
      <c r="B39" s="9">
        <f>IFERROR(INDEX(Référentiels!$H$5:$H$24,MATCH($A39,Référentiels!$G$5:$G$24,0)),"")</f>
        <v/>
      </c>
      <c r="C39" s="10">
        <f>COUNTIF(Planning!$K$4:$K$704,$A39)</f>
        <v/>
      </c>
      <c r="D39" s="49">
        <f>SUMIF(Planning!$K$4:$K$704,$A39,Planning!$H$4:$H$704)</f>
        <v/>
      </c>
      <c r="E39" s="10">
        <f>SUMPRODUCT(--(COUNTIFS(Planning!$K$4:$K$704,$A39,Planning!$M$4:$M$704,LST_Profs)&gt;0))</f>
        <v/>
      </c>
      <c r="F39" s="10">
        <f>SUMPRODUCT(--(COUNTIFS(Planning!$K$4:$K$704,$A39,Planning!$J$4:$J$704,LST_Classes)&gt;0))</f>
        <v/>
      </c>
      <c r="G39" s="86">
        <f>IFERROR(C39/COUNTA(Planning!$A$4:$A$704),"")</f>
        <v/>
      </c>
    </row>
    <row r="40" ht="16" customHeight="1">
      <c r="A40" s="9" t="inlineStr">
        <is>
          <t>Espagnol</t>
        </is>
      </c>
      <c r="B40" s="9">
        <f>IFERROR(INDEX(Référentiels!$H$5:$H$24,MATCH($A40,Référentiels!$G$5:$G$24,0)),"")</f>
        <v/>
      </c>
      <c r="C40" s="10">
        <f>COUNTIF(Planning!$K$4:$K$704,$A40)</f>
        <v/>
      </c>
      <c r="D40" s="49">
        <f>SUMIF(Planning!$K$4:$K$704,$A40,Planning!$H$4:$H$704)</f>
        <v/>
      </c>
      <c r="E40" s="10">
        <f>SUMPRODUCT(--(COUNTIFS(Planning!$K$4:$K$704,$A40,Planning!$M$4:$M$704,LST_Profs)&gt;0))</f>
        <v/>
      </c>
      <c r="F40" s="10">
        <f>SUMPRODUCT(--(COUNTIFS(Planning!$K$4:$K$704,$A40,Planning!$J$4:$J$704,LST_Classes)&gt;0))</f>
        <v/>
      </c>
      <c r="G40" s="86">
        <f>IFERROR(C40/COUNTA(Planning!$A$4:$A$704),"")</f>
        <v/>
      </c>
    </row>
    <row r="41" ht="16" customHeight="1">
      <c r="A41" s="9" t="inlineStr">
        <is>
          <t>Français</t>
        </is>
      </c>
      <c r="B41" s="9">
        <f>IFERROR(INDEX(Référentiels!$H$5:$H$24,MATCH($A41,Référentiels!$G$5:$G$24,0)),"")</f>
        <v/>
      </c>
      <c r="C41" s="10">
        <f>COUNTIF(Planning!$K$4:$K$704,$A41)</f>
        <v/>
      </c>
      <c r="D41" s="49">
        <f>SUMIF(Planning!$K$4:$K$704,$A41,Planning!$H$4:$H$704)</f>
        <v/>
      </c>
      <c r="E41" s="10">
        <f>SUMPRODUCT(--(COUNTIFS(Planning!$K$4:$K$704,$A41,Planning!$M$4:$M$704,LST_Profs)&gt;0))</f>
        <v/>
      </c>
      <c r="F41" s="10">
        <f>SUMPRODUCT(--(COUNTIFS(Planning!$K$4:$K$704,$A41,Planning!$J$4:$J$704,LST_Classes)&gt;0))</f>
        <v/>
      </c>
      <c r="G41" s="86">
        <f>IFERROR(C41/COUNTA(Planning!$A$4:$A$704),"")</f>
        <v/>
      </c>
    </row>
    <row r="42" ht="16" customHeight="1">
      <c r="A42" s="9" t="inlineStr">
        <is>
          <t>Gestion</t>
        </is>
      </c>
      <c r="B42" s="9">
        <f>IFERROR(INDEX(Référentiels!$H$5:$H$24,MATCH($A42,Référentiels!$G$5:$G$24,0)),"")</f>
        <v/>
      </c>
      <c r="C42" s="10">
        <f>COUNTIF(Planning!$K$4:$K$704,$A42)</f>
        <v/>
      </c>
      <c r="D42" s="49">
        <f>SUMIF(Planning!$K$4:$K$704,$A42,Planning!$H$4:$H$704)</f>
        <v/>
      </c>
      <c r="E42" s="10">
        <f>SUMPRODUCT(--(COUNTIFS(Planning!$K$4:$K$704,$A42,Planning!$M$4:$M$704,LST_Profs)&gt;0))</f>
        <v/>
      </c>
      <c r="F42" s="10">
        <f>SUMPRODUCT(--(COUNTIFS(Planning!$K$4:$K$704,$A42,Planning!$J$4:$J$704,LST_Classes)&gt;0))</f>
        <v/>
      </c>
      <c r="G42" s="86">
        <f>IFERROR(C42/COUNTA(Planning!$A$4:$A$704),"")</f>
        <v/>
      </c>
    </row>
    <row r="43" ht="16" customHeight="1">
      <c r="A43" s="9" t="inlineStr">
        <is>
          <t>Géographie</t>
        </is>
      </c>
      <c r="B43" s="9">
        <f>IFERROR(INDEX(Référentiels!$H$5:$H$24,MATCH($A43,Référentiels!$G$5:$G$24,0)),"")</f>
        <v/>
      </c>
      <c r="C43" s="10">
        <f>COUNTIF(Planning!$K$4:$K$704,$A43)</f>
        <v/>
      </c>
      <c r="D43" s="49">
        <f>SUMIF(Planning!$K$4:$K$704,$A43,Planning!$H$4:$H$704)</f>
        <v/>
      </c>
      <c r="E43" s="10">
        <f>SUMPRODUCT(--(COUNTIFS(Planning!$K$4:$K$704,$A43,Planning!$M$4:$M$704,LST_Profs)&gt;0))</f>
        <v/>
      </c>
      <c r="F43" s="10">
        <f>SUMPRODUCT(--(COUNTIFS(Planning!$K$4:$K$704,$A43,Planning!$J$4:$J$704,LST_Classes)&gt;0))</f>
        <v/>
      </c>
      <c r="G43" s="86">
        <f>IFERROR(C43/COUNTA(Planning!$A$4:$A$704),"")</f>
        <v/>
      </c>
    </row>
    <row r="44" ht="16" customHeight="1">
      <c r="A44" s="9" t="inlineStr">
        <is>
          <t>Histoire</t>
        </is>
      </c>
      <c r="B44" s="9">
        <f>IFERROR(INDEX(Référentiels!$H$5:$H$24,MATCH($A44,Référentiels!$G$5:$G$24,0)),"")</f>
        <v/>
      </c>
      <c r="C44" s="10">
        <f>COUNTIF(Planning!$K$4:$K$704,$A44)</f>
        <v/>
      </c>
      <c r="D44" s="49">
        <f>SUMIF(Planning!$K$4:$K$704,$A44,Planning!$H$4:$H$704)</f>
        <v/>
      </c>
      <c r="E44" s="10">
        <f>SUMPRODUCT(--(COUNTIFS(Planning!$K$4:$K$704,$A44,Planning!$M$4:$M$704,LST_Profs)&gt;0))</f>
        <v/>
      </c>
      <c r="F44" s="10">
        <f>SUMPRODUCT(--(COUNTIFS(Planning!$K$4:$K$704,$A44,Planning!$J$4:$J$704,LST_Classes)&gt;0))</f>
        <v/>
      </c>
      <c r="G44" s="86">
        <f>IFERROR(C44/COUNTA(Planning!$A$4:$A$704),"")</f>
        <v/>
      </c>
    </row>
    <row r="45" ht="16" customHeight="1">
      <c r="A45" s="9" t="inlineStr">
        <is>
          <t>Informatique</t>
        </is>
      </c>
      <c r="B45" s="9">
        <f>IFERROR(INDEX(Référentiels!$H$5:$H$24,MATCH($A45,Référentiels!$G$5:$G$24,0)),"")</f>
        <v/>
      </c>
      <c r="C45" s="10">
        <f>COUNTIF(Planning!$K$4:$K$704,$A45)</f>
        <v/>
      </c>
      <c r="D45" s="49">
        <f>SUMIF(Planning!$K$4:$K$704,$A45,Planning!$H$4:$H$704)</f>
        <v/>
      </c>
      <c r="E45" s="10">
        <f>SUMPRODUCT(--(COUNTIFS(Planning!$K$4:$K$704,$A45,Planning!$M$4:$M$704,LST_Profs)&gt;0))</f>
        <v/>
      </c>
      <c r="F45" s="10">
        <f>SUMPRODUCT(--(COUNTIFS(Planning!$K$4:$K$704,$A45,Planning!$J$4:$J$704,LST_Classes)&gt;0))</f>
        <v/>
      </c>
      <c r="G45" s="86">
        <f>IFERROR(C45/COUNTA(Planning!$A$4:$A$704),"")</f>
        <v/>
      </c>
    </row>
    <row r="46" ht="16" customHeight="1">
      <c r="A46" s="9" t="inlineStr">
        <is>
          <t>Italien</t>
        </is>
      </c>
      <c r="B46" s="9">
        <f>IFERROR(INDEX(Référentiels!$H$5:$H$24,MATCH($A46,Référentiels!$G$5:$G$24,0)),"")</f>
        <v/>
      </c>
      <c r="C46" s="10">
        <f>COUNTIF(Planning!$K$4:$K$704,$A46)</f>
        <v/>
      </c>
      <c r="D46" s="49">
        <f>SUMIF(Planning!$K$4:$K$704,$A46,Planning!$H$4:$H$704)</f>
        <v/>
      </c>
      <c r="E46" s="10">
        <f>SUMPRODUCT(--(COUNTIFS(Planning!$K$4:$K$704,$A46,Planning!$M$4:$M$704,LST_Profs)&gt;0))</f>
        <v/>
      </c>
      <c r="F46" s="10">
        <f>SUMPRODUCT(--(COUNTIFS(Planning!$K$4:$K$704,$A46,Planning!$J$4:$J$704,LST_Classes)&gt;0))</f>
        <v/>
      </c>
      <c r="G46" s="86">
        <f>IFERROR(C46/COUNTA(Planning!$A$4:$A$704),"")</f>
        <v/>
      </c>
    </row>
    <row r="47" ht="16" customHeight="1">
      <c r="A47" s="9" t="inlineStr">
        <is>
          <t>Math</t>
        </is>
      </c>
      <c r="B47" s="9">
        <f>IFERROR(INDEX(Référentiels!$H$5:$H$24,MATCH($A47,Référentiels!$G$5:$G$24,0)),"")</f>
        <v/>
      </c>
      <c r="C47" s="10">
        <f>COUNTIF(Planning!$K$4:$K$704,$A47)</f>
        <v/>
      </c>
      <c r="D47" s="49">
        <f>SUMIF(Planning!$K$4:$K$704,$A47,Planning!$H$4:$H$704)</f>
        <v/>
      </c>
      <c r="E47" s="10">
        <f>SUMPRODUCT(--(COUNTIFS(Planning!$K$4:$K$704,$A47,Planning!$M$4:$M$704,LST_Profs)&gt;0))</f>
        <v/>
      </c>
      <c r="F47" s="10">
        <f>SUMPRODUCT(--(COUNTIFS(Planning!$K$4:$K$704,$A47,Planning!$J$4:$J$704,LST_Classes)&gt;0))</f>
        <v/>
      </c>
      <c r="G47" s="86">
        <f>IFERROR(C47/COUNTA(Planning!$A$4:$A$704),"")</f>
        <v/>
      </c>
    </row>
    <row r="48" ht="16" customHeight="1">
      <c r="A48" s="9" t="inlineStr">
        <is>
          <t>Philo</t>
        </is>
      </c>
      <c r="B48" s="9">
        <f>IFERROR(INDEX(Référentiels!$H$5:$H$24,MATCH($A48,Référentiels!$G$5:$G$24,0)),"")</f>
        <v/>
      </c>
      <c r="C48" s="10">
        <f>COUNTIF(Planning!$K$4:$K$704,$A48)</f>
        <v/>
      </c>
      <c r="D48" s="49">
        <f>SUMIF(Planning!$K$4:$K$704,$A48,Planning!$H$4:$H$704)</f>
        <v/>
      </c>
      <c r="E48" s="10">
        <f>SUMPRODUCT(--(COUNTIFS(Planning!$K$4:$K$704,$A48,Planning!$M$4:$M$704,LST_Profs)&gt;0))</f>
        <v/>
      </c>
      <c r="F48" s="10">
        <f>SUMPRODUCT(--(COUNTIFS(Planning!$K$4:$K$704,$A48,Planning!$J$4:$J$704,LST_Classes)&gt;0))</f>
        <v/>
      </c>
      <c r="G48" s="86">
        <f>IFERROR(C48/COUNTA(Planning!$A$4:$A$704),"")</f>
        <v/>
      </c>
    </row>
    <row r="49" ht="16" customHeight="1">
      <c r="A49" s="9" t="inlineStr">
        <is>
          <t>Physique</t>
        </is>
      </c>
      <c r="B49" s="9">
        <f>IFERROR(INDEX(Référentiels!$H$5:$H$24,MATCH($A49,Référentiels!$G$5:$G$24,0)),"")</f>
        <v/>
      </c>
      <c r="C49" s="10">
        <f>COUNTIF(Planning!$K$4:$K$704,$A49)</f>
        <v/>
      </c>
      <c r="D49" s="49">
        <f>SUMIF(Planning!$K$4:$K$704,$A49,Planning!$H$4:$H$704)</f>
        <v/>
      </c>
      <c r="E49" s="10">
        <f>SUMPRODUCT(--(COUNTIFS(Planning!$K$4:$K$704,$A49,Planning!$M$4:$M$704,LST_Profs)&gt;0))</f>
        <v/>
      </c>
      <c r="F49" s="10">
        <f>SUMPRODUCT(--(COUNTIFS(Planning!$K$4:$K$704,$A49,Planning!$J$4:$J$704,LST_Classes)&gt;0))</f>
        <v/>
      </c>
      <c r="G49" s="86">
        <f>IFERROR(C49/COUNTA(Planning!$A$4:$A$704),"")</f>
        <v/>
      </c>
    </row>
    <row r="50" ht="16" customHeight="1">
      <c r="A50" s="9" t="inlineStr">
        <is>
          <t>STI</t>
        </is>
      </c>
      <c r="B50" s="9">
        <f>IFERROR(INDEX(Référentiels!$H$5:$H$24,MATCH($A50,Référentiels!$G$5:$G$24,0)),"")</f>
        <v/>
      </c>
      <c r="C50" s="10">
        <f>COUNTIF(Planning!$K$4:$K$704,$A50)</f>
        <v/>
      </c>
      <c r="D50" s="49">
        <f>SUMIF(Planning!$K$4:$K$704,$A50,Planning!$H$4:$H$704)</f>
        <v/>
      </c>
      <c r="E50" s="10">
        <f>SUMPRODUCT(--(COUNTIFS(Planning!$K$4:$K$704,$A50,Planning!$M$4:$M$704,LST_Profs)&gt;0))</f>
        <v/>
      </c>
      <c r="F50" s="10">
        <f>SUMPRODUCT(--(COUNTIFS(Planning!$K$4:$K$704,$A50,Planning!$J$4:$J$704,LST_Classes)&gt;0))</f>
        <v/>
      </c>
      <c r="G50" s="86">
        <f>IFERROR(C50/COUNTA(Planning!$A$4:$A$704),"")</f>
        <v/>
      </c>
    </row>
    <row r="51" ht="16" customHeight="1">
      <c r="A51" s="9" t="inlineStr">
        <is>
          <t>SVT</t>
        </is>
      </c>
      <c r="B51" s="9">
        <f>IFERROR(INDEX(Référentiels!$H$5:$H$24,MATCH($A51,Référentiels!$G$5:$G$24,0)),"")</f>
        <v/>
      </c>
      <c r="C51" s="10">
        <f>COUNTIF(Planning!$K$4:$K$704,$A51)</f>
        <v/>
      </c>
      <c r="D51" s="49">
        <f>SUMIF(Planning!$K$4:$K$704,$A51,Planning!$H$4:$H$704)</f>
        <v/>
      </c>
      <c r="E51" s="10">
        <f>SUMPRODUCT(--(COUNTIFS(Planning!$K$4:$K$704,$A51,Planning!$M$4:$M$704,LST_Profs)&gt;0))</f>
        <v/>
      </c>
      <c r="F51" s="10">
        <f>SUMPRODUCT(--(COUNTIFS(Planning!$K$4:$K$704,$A51,Planning!$J$4:$J$704,LST_Classes)&gt;0))</f>
        <v/>
      </c>
      <c r="G51" s="86">
        <f>IFERROR(C51/COUNTA(Planning!$A$4:$A$704),"")</f>
        <v/>
      </c>
    </row>
    <row r="52" ht="16" customHeight="1">
      <c r="A52" s="9" t="inlineStr">
        <is>
          <t>إيقاظ علمي</t>
        </is>
      </c>
      <c r="B52" s="9">
        <f>IFERROR(INDEX(Référentiels!$H$5:$H$24,MATCH($A52,Référentiels!$G$5:$G$24,0)),"")</f>
        <v/>
      </c>
      <c r="C52" s="10">
        <f>COUNTIF(Planning!$K$4:$K$704,$A52)</f>
        <v/>
      </c>
      <c r="D52" s="49">
        <f>SUMIF(Planning!$K$4:$K$704,$A52,Planning!$H$4:$H$704)</f>
        <v/>
      </c>
      <c r="E52" s="10">
        <f>SUMPRODUCT(--(COUNTIFS(Planning!$K$4:$K$704,$A52,Planning!$M$4:$M$704,LST_Profs)&gt;0))</f>
        <v/>
      </c>
      <c r="F52" s="10">
        <f>SUMPRODUCT(--(COUNTIFS(Planning!$K$4:$K$704,$A52,Planning!$J$4:$J$704,LST_Classes)&gt;0))</f>
        <v/>
      </c>
      <c r="G52" s="86">
        <f>IFERROR(C52/COUNTA(Planning!$A$4:$A$704),"")</f>
        <v/>
      </c>
    </row>
    <row r="53" ht="16" customHeight="1">
      <c r="A53" s="9" t="inlineStr">
        <is>
          <t>رياضيات</t>
        </is>
      </c>
      <c r="B53" s="9">
        <f>IFERROR(INDEX(Référentiels!$H$5:$H$24,MATCH($A53,Référentiels!$G$5:$G$24,0)),"")</f>
        <v/>
      </c>
      <c r="C53" s="10">
        <f>COUNTIF(Planning!$K$4:$K$704,$A53)</f>
        <v/>
      </c>
      <c r="D53" s="49">
        <f>SUMIF(Planning!$K$4:$K$704,$A53,Planning!$H$4:$H$704)</f>
        <v/>
      </c>
      <c r="E53" s="10">
        <f>SUMPRODUCT(--(COUNTIFS(Planning!$K$4:$K$704,$A53,Planning!$M$4:$M$704,LST_Profs)&gt;0))</f>
        <v/>
      </c>
      <c r="F53" s="10">
        <f>SUMPRODUCT(--(COUNTIFS(Planning!$K$4:$K$704,$A53,Planning!$J$4:$J$704,LST_Classes)&gt;0))</f>
        <v/>
      </c>
      <c r="G53" s="86">
        <f>IFERROR(C53/COUNTA(Planning!$A$4:$A$704),"")</f>
        <v/>
      </c>
    </row>
    <row r="54" ht="16" customHeight="1">
      <c r="A54" s="9" t="inlineStr">
        <is>
          <t>عربية</t>
        </is>
      </c>
      <c r="B54" s="9">
        <f>IFERROR(INDEX(Référentiels!$H$5:$H$24,MATCH($A54,Référentiels!$G$5:$G$24,0)),"")</f>
        <v/>
      </c>
      <c r="C54" s="10">
        <f>COUNTIF(Planning!$K$4:$K$704,$A54)</f>
        <v/>
      </c>
      <c r="D54" s="49">
        <f>SUMIF(Planning!$K$4:$K$704,$A54,Planning!$H$4:$H$704)</f>
        <v/>
      </c>
      <c r="E54" s="10">
        <f>SUMPRODUCT(--(COUNTIFS(Planning!$K$4:$K$704,$A54,Planning!$M$4:$M$704,LST_Profs)&gt;0))</f>
        <v/>
      </c>
      <c r="F54" s="10">
        <f>SUMPRODUCT(--(COUNTIFS(Planning!$K$4:$K$704,$A54,Planning!$J$4:$J$704,LST_Classes)&gt;0))</f>
        <v/>
      </c>
      <c r="G54" s="86">
        <f>IFERROR(C54/COUNTA(Planning!$A$4:$A$704),"")</f>
        <v/>
      </c>
    </row>
    <row r="55" ht="16" customHeight="1">
      <c r="A55" s="9" t="inlineStr">
        <is>
          <t>فيزياء</t>
        </is>
      </c>
      <c r="B55" s="9">
        <f>IFERROR(INDEX(Référentiels!$H$5:$H$24,MATCH($A55,Référentiels!$G$5:$G$24,0)),"")</f>
        <v/>
      </c>
      <c r="C55" s="10">
        <f>COUNTIF(Planning!$K$4:$K$704,$A55)</f>
        <v/>
      </c>
      <c r="D55" s="49">
        <f>SUMIF(Planning!$K$4:$K$704,$A55,Planning!$H$4:$H$704)</f>
        <v/>
      </c>
      <c r="E55" s="10">
        <f>SUMPRODUCT(--(COUNTIFS(Planning!$K$4:$K$704,$A55,Planning!$M$4:$M$704,LST_Profs)&gt;0))</f>
        <v/>
      </c>
      <c r="F55" s="10">
        <f>SUMPRODUCT(--(COUNTIFS(Planning!$K$4:$K$704,$A55,Planning!$J$4:$J$704,LST_Classes)&gt;0))</f>
        <v/>
      </c>
      <c r="G55" s="86">
        <f>IFERROR(C55/COUNTA(Planning!$A$4:$A$704),"")</f>
        <v/>
      </c>
    </row>
    <row r="57" ht="23" customHeight="1">
      <c r="A57" s="75" t="inlineStr">
        <is>
          <t>RÉPARTITION PAR JOUR (semaine A type = S5 · semaine B type = S4)</t>
        </is>
      </c>
      <c r="B57" s="76" t="n"/>
      <c r="C57" s="76" t="n"/>
      <c r="D57" s="76" t="n"/>
      <c r="E57" s="76" t="n"/>
      <c r="F57" s="76" t="n"/>
      <c r="G57" s="76" t="n"/>
      <c r="H57" s="76" t="n"/>
      <c r="I57" s="76" t="n"/>
      <c r="J57" s="76" t="n"/>
      <c r="K57" s="76" t="n"/>
    </row>
    <row r="58" ht="26" customHeight="1">
      <c r="A58" s="7" t="inlineStr">
        <is>
          <t>Jour</t>
        </is>
      </c>
      <c r="B58" s="7" t="inlineStr">
        <is>
          <t>Séances semaine A</t>
        </is>
      </c>
      <c r="C58" s="7" t="inlineStr">
        <is>
          <t>Heures semaine A</t>
        </is>
      </c>
      <c r="D58" s="7" t="inlineStr">
        <is>
          <t>Séances semaine B</t>
        </is>
      </c>
      <c r="E58" s="7" t="inlineStr">
        <is>
          <t>Heures semaine B</t>
        </is>
      </c>
      <c r="F58" s="7" t="inlineStr">
        <is>
          <t>1re séance (A)</t>
        </is>
      </c>
      <c r="G58" s="7" t="inlineStr">
        <is>
          <t>Dernière fin (A)</t>
        </is>
      </c>
    </row>
    <row r="59" ht="16" customHeight="1">
      <c r="A59" s="9" t="inlineStr">
        <is>
          <t>Lundi</t>
        </is>
      </c>
      <c r="B59" s="9">
        <f>COUNTIFS(Planning!$A$4:$A$704,"S5",Planning!$E$4:$E$704,$A59)</f>
        <v/>
      </c>
      <c r="C59" s="49">
        <f>SUMIFS(Planning!$H$4:$H$704,Planning!$A$4:$A$704,"S5",Planning!$E$4:$E$704,$A59)</f>
        <v/>
      </c>
      <c r="D59" s="10">
        <f>COUNTIFS(Planning!$A$4:$A$704,"S4",Planning!$E$4:$E$704,$A59)</f>
        <v/>
      </c>
      <c r="E59" s="49">
        <f>SUMIFS(Planning!$H$4:$H$704,Planning!$A$4:$A$704,"S4",Planning!$E$4:$E$704,$A59)</f>
        <v/>
      </c>
      <c r="F59" s="42">
        <f>IFERROR(MINIFS(Planning!$F$4:$F$704,Planning!$A$4:$A$704,"S5",Planning!$E$4:$E$704,$A59),"")</f>
        <v/>
      </c>
      <c r="G59" s="42">
        <f>IFERROR(MAXIFS(Planning!$G$4:$G$704,Planning!$A$4:$A$704,"S5",Planning!$E$4:$E$704,$A59),"")</f>
        <v/>
      </c>
    </row>
    <row r="60" ht="16" customHeight="1">
      <c r="A60" s="9" t="inlineStr">
        <is>
          <t>Mardi</t>
        </is>
      </c>
      <c r="B60" s="9">
        <f>COUNTIFS(Planning!$A$4:$A$704,"S5",Planning!$E$4:$E$704,$A60)</f>
        <v/>
      </c>
      <c r="C60" s="49">
        <f>SUMIFS(Planning!$H$4:$H$704,Planning!$A$4:$A$704,"S5",Planning!$E$4:$E$704,$A60)</f>
        <v/>
      </c>
      <c r="D60" s="10">
        <f>COUNTIFS(Planning!$A$4:$A$704,"S4",Planning!$E$4:$E$704,$A60)</f>
        <v/>
      </c>
      <c r="E60" s="49">
        <f>SUMIFS(Planning!$H$4:$H$704,Planning!$A$4:$A$704,"S4",Planning!$E$4:$E$704,$A60)</f>
        <v/>
      </c>
      <c r="F60" s="42">
        <f>IFERROR(MINIFS(Planning!$F$4:$F$704,Planning!$A$4:$A$704,"S5",Planning!$E$4:$E$704,$A60),"")</f>
        <v/>
      </c>
      <c r="G60" s="42">
        <f>IFERROR(MAXIFS(Planning!$G$4:$G$704,Planning!$A$4:$A$704,"S5",Planning!$E$4:$E$704,$A60),"")</f>
        <v/>
      </c>
    </row>
    <row r="61" ht="16" customHeight="1">
      <c r="A61" s="9" t="inlineStr">
        <is>
          <t>Mercredi</t>
        </is>
      </c>
      <c r="B61" s="9">
        <f>COUNTIFS(Planning!$A$4:$A$704,"S5",Planning!$E$4:$E$704,$A61)</f>
        <v/>
      </c>
      <c r="C61" s="49">
        <f>SUMIFS(Planning!$H$4:$H$704,Planning!$A$4:$A$704,"S5",Planning!$E$4:$E$704,$A61)</f>
        <v/>
      </c>
      <c r="D61" s="10">
        <f>COUNTIFS(Planning!$A$4:$A$704,"S4",Planning!$E$4:$E$704,$A61)</f>
        <v/>
      </c>
      <c r="E61" s="49">
        <f>SUMIFS(Planning!$H$4:$H$704,Planning!$A$4:$A$704,"S4",Planning!$E$4:$E$704,$A61)</f>
        <v/>
      </c>
      <c r="F61" s="42">
        <f>IFERROR(MINIFS(Planning!$F$4:$F$704,Planning!$A$4:$A$704,"S5",Planning!$E$4:$E$704,$A61),"")</f>
        <v/>
      </c>
      <c r="G61" s="42">
        <f>IFERROR(MAXIFS(Planning!$G$4:$G$704,Planning!$A$4:$A$704,"S5",Planning!$E$4:$E$704,$A61),"")</f>
        <v/>
      </c>
    </row>
    <row r="62" ht="16" customHeight="1">
      <c r="A62" s="9" t="inlineStr">
        <is>
          <t>Jeudi</t>
        </is>
      </c>
      <c r="B62" s="9">
        <f>COUNTIFS(Planning!$A$4:$A$704,"S5",Planning!$E$4:$E$704,$A62)</f>
        <v/>
      </c>
      <c r="C62" s="49">
        <f>SUMIFS(Planning!$H$4:$H$704,Planning!$A$4:$A$704,"S5",Planning!$E$4:$E$704,$A62)</f>
        <v/>
      </c>
      <c r="D62" s="10">
        <f>COUNTIFS(Planning!$A$4:$A$704,"S4",Planning!$E$4:$E$704,$A62)</f>
        <v/>
      </c>
      <c r="E62" s="49">
        <f>SUMIFS(Planning!$H$4:$H$704,Planning!$A$4:$A$704,"S4",Planning!$E$4:$E$704,$A62)</f>
        <v/>
      </c>
      <c r="F62" s="42">
        <f>IFERROR(MINIFS(Planning!$F$4:$F$704,Planning!$A$4:$A$704,"S5",Planning!$E$4:$E$704,$A62),"")</f>
        <v/>
      </c>
      <c r="G62" s="42">
        <f>IFERROR(MAXIFS(Planning!$G$4:$G$704,Planning!$A$4:$A$704,"S5",Planning!$E$4:$E$704,$A62),"")</f>
        <v/>
      </c>
    </row>
    <row r="63" ht="16" customHeight="1">
      <c r="A63" s="9" t="inlineStr">
        <is>
          <t>Vendredi</t>
        </is>
      </c>
      <c r="B63" s="9">
        <f>COUNTIFS(Planning!$A$4:$A$704,"S5",Planning!$E$4:$E$704,$A63)</f>
        <v/>
      </c>
      <c r="C63" s="49">
        <f>SUMIFS(Planning!$H$4:$H$704,Planning!$A$4:$A$704,"S5",Planning!$E$4:$E$704,$A63)</f>
        <v/>
      </c>
      <c r="D63" s="10">
        <f>COUNTIFS(Planning!$A$4:$A$704,"S4",Planning!$E$4:$E$704,$A63)</f>
        <v/>
      </c>
      <c r="E63" s="49">
        <f>SUMIFS(Planning!$H$4:$H$704,Planning!$A$4:$A$704,"S4",Planning!$E$4:$E$704,$A63)</f>
        <v/>
      </c>
      <c r="F63" s="42">
        <f>IFERROR(MINIFS(Planning!$F$4:$F$704,Planning!$A$4:$A$704,"S5",Planning!$E$4:$E$704,$A63),"")</f>
        <v/>
      </c>
      <c r="G63" s="42">
        <f>IFERROR(MAXIFS(Planning!$G$4:$G$704,Planning!$A$4:$A$704,"S5",Planning!$E$4:$E$704,$A63),"")</f>
        <v/>
      </c>
    </row>
    <row r="64" ht="16" customHeight="1">
      <c r="A64" s="9" t="inlineStr">
        <is>
          <t>Samedi</t>
        </is>
      </c>
      <c r="B64" s="9">
        <f>COUNTIFS(Planning!$A$4:$A$704,"S5",Planning!$E$4:$E$704,$A64)</f>
        <v/>
      </c>
      <c r="C64" s="49">
        <f>SUMIFS(Planning!$H$4:$H$704,Planning!$A$4:$A$704,"S5",Planning!$E$4:$E$704,$A64)</f>
        <v/>
      </c>
      <c r="D64" s="10">
        <f>COUNTIFS(Planning!$A$4:$A$704,"S4",Planning!$E$4:$E$704,$A64)</f>
        <v/>
      </c>
      <c r="E64" s="49">
        <f>SUMIFS(Planning!$H$4:$H$704,Planning!$A$4:$A$704,"S4",Planning!$E$4:$E$704,$A64)</f>
        <v/>
      </c>
      <c r="F64" s="42">
        <f>IFERROR(MINIFS(Planning!$F$4:$F$704,Planning!$A$4:$A$704,"S5",Planning!$E$4:$E$704,$A64),"")</f>
        <v/>
      </c>
      <c r="G64" s="42">
        <f>IFERROR(MAXIFS(Planning!$G$4:$G$704,Planning!$A$4:$A$704,"S5",Planning!$E$4:$E$704,$A64),"")</f>
        <v/>
      </c>
    </row>
    <row r="65" ht="16" customHeight="1">
      <c r="A65" s="9" t="inlineStr">
        <is>
          <t>Dimanche</t>
        </is>
      </c>
      <c r="B65" s="9">
        <f>COUNTIFS(Planning!$A$4:$A$704,"S5",Planning!$E$4:$E$704,$A65)</f>
        <v/>
      </c>
      <c r="C65" s="49">
        <f>SUMIFS(Planning!$H$4:$H$704,Planning!$A$4:$A$704,"S5",Planning!$E$4:$E$704,$A65)</f>
        <v/>
      </c>
      <c r="D65" s="10">
        <f>COUNTIFS(Planning!$A$4:$A$704,"S4",Planning!$E$4:$E$704,$A65)</f>
        <v/>
      </c>
      <c r="E65" s="49">
        <f>SUMIFS(Planning!$H$4:$H$704,Planning!$A$4:$A$704,"S4",Planning!$E$4:$E$704,$A65)</f>
        <v/>
      </c>
      <c r="F65" s="42">
        <f>IFERROR(MINIFS(Planning!$F$4:$F$704,Planning!$A$4:$A$704,"S5",Planning!$E$4:$E$704,$A65),"")</f>
        <v/>
      </c>
      <c r="G65" s="42">
        <f>IFERROR(MAXIFS(Planning!$G$4:$G$704,Planning!$A$4:$A$704,"S5",Planning!$E$4:$E$704,$A65),"")</f>
        <v/>
      </c>
    </row>
  </sheetData>
  <mergeCells count="7">
    <mergeCell ref="A34:K34"/>
    <mergeCell ref="A4:K4"/>
    <mergeCell ref="A57:K57"/>
    <mergeCell ref="A2:K2"/>
    <mergeCell ref="A16:K16"/>
    <mergeCell ref="A1:K1"/>
    <mergeCell ref="A27:K27"/>
  </mergeCells>
  <conditionalFormatting sqref="B6:B14">
    <cfRule type="expression" priority="1" dxfId="23">
      <formula>AND(ROW()=14,B14&gt;0)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Récapitulatif&amp;R&amp;8 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2026-09-28T17:15:49Z</dcterms:created>
  <dcterms:modified xsi:type="dcterms:W3CDTF">2026-09-28T17:15:51Z</dcterms:modified>
</cp:coreProperties>
</file>