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Planning" sheetId="2" state="visible" r:id="rId2"/>
    <sheet name="Référentiels" sheetId="3" state="visible" r:id="rId3"/>
    <sheet name="S1 14-20 sept" sheetId="4" state="visible" r:id="rId4"/>
    <sheet name="S2 21-27 sept" sheetId="5" state="visible" r:id="rId5"/>
    <sheet name="S3 28 sept-04 oct" sheetId="6" state="visible" r:id="rId6"/>
    <sheet name="S4 05-11 oct" sheetId="7" state="visible" r:id="rId7"/>
    <sheet name="S5 12-18 oct" sheetId="8" state="visible" r:id="rId8"/>
    <sheet name="S6 19-25 oct" sheetId="9" state="visible" r:id="rId9"/>
    <sheet name="S7 26 oct-01 nov" sheetId="10" state="visible" r:id="rId10"/>
    <sheet name="Vue Enseignants" sheetId="11" state="visible" r:id="rId11"/>
    <sheet name="Contrôles" sheetId="12" state="visible" r:id="rId12"/>
    <sheet name="Récapitulatif" sheetId="13" state="visible" r:id="rId13"/>
  </sheets>
  <definedNames>
    <definedName name="LST_Classes">Référentiels!$B$5:$B$27</definedName>
    <definedName name="LST_Matieres">Référentiels!$G$5:$G$24</definedName>
    <definedName name="LST_Profs">Référentiels!$K$5:$K$41</definedName>
    <definedName name="LST_Salles">Référentiels!$O$5:$O$16</definedName>
    <definedName name="LST_Modes">Référentiels!$Q$5:$Q$7</definedName>
    <definedName name="LST_Rythmes">Référentiels!$S$5:$S$9</definedName>
    <definedName name="LST_Statuts">Référentiels!$AB$5:$AB$10</definedName>
    <definedName name="_xlnm.Print_Area" localSheetId="0">'Sommaire'!$B$1:$E$79</definedName>
    <definedName name="_xlnm._FilterDatabase" localSheetId="1" hidden="1">'Planning'!$A$3:$AG$863</definedName>
    <definedName name="_xlnm.Print_Titles" localSheetId="1">'Planning'!$1:$3</definedName>
    <definedName name="_xlnm.Print_Area" localSheetId="1">'Planning'!$A$1:$X$863</definedName>
    <definedName name="_xlnm.Print_Titles" localSheetId="2">'Référentiels'!$1:$4</definedName>
    <definedName name="_xlnm.Print_Area" localSheetId="2">'Référentiels'!$A$1:$Z$27</definedName>
    <definedName name="_xlnm.Print_Titles" localSheetId="3">'S1 14-20 sept'!$1:$3</definedName>
    <definedName name="_xlnm.Print_Area" localSheetId="3">'S1 14-20 sept'!$A$1:$H$41</definedName>
    <definedName name="_xlnm.Print_Titles" localSheetId="4">'S2 21-27 sept'!$1:$3</definedName>
    <definedName name="_xlnm.Print_Area" localSheetId="4">'S2 21-27 sept'!$A$1:$H$38</definedName>
    <definedName name="_xlnm.Print_Titles" localSheetId="5">'S3 28 sept-04 oct'!$1:$3</definedName>
    <definedName name="_xlnm.Print_Area" localSheetId="5">'S3 28 sept-04 oct'!$A$1:$H$39</definedName>
    <definedName name="_xlnm.Print_Titles" localSheetId="6">'S4 05-11 oct'!$1:$3</definedName>
    <definedName name="_xlnm.Print_Area" localSheetId="6">'S4 05-11 oct'!$A$1:$H$37</definedName>
    <definedName name="_xlnm.Print_Titles" localSheetId="7">'S5 12-18 oct'!$1:$3</definedName>
    <definedName name="_xlnm.Print_Area" localSheetId="7">'S5 12-18 oct'!$A$1:$H$39</definedName>
    <definedName name="_xlnm.Print_Titles" localSheetId="8">'S6 19-25 oct'!$1:$3</definedName>
    <definedName name="_xlnm.Print_Area" localSheetId="8">'S6 19-25 oct'!$A$1:$H$37</definedName>
    <definedName name="_xlnm.Print_Titles" localSheetId="9">'S7 26 oct-01 nov'!$1:$3</definedName>
    <definedName name="_xlnm.Print_Area" localSheetId="9">'S7 26 oct-01 nov'!$A$1:$H$39</definedName>
    <definedName name="_xlnm._FilterDatabase" localSheetId="10" hidden="1">'Vue Enseignants'!$A$4:$S$41</definedName>
    <definedName name="_xlnm.Print_Titles" localSheetId="10">'Vue Enseignants'!$1:$4</definedName>
    <definedName name="_xlnm.Print_Area" localSheetId="10">'Vue Enseignants'!$A$1:$S$42</definedName>
    <definedName name="_xlnm.Print_Titles" localSheetId="11">'Contrôles'!$1:$3</definedName>
    <definedName name="_xlnm.Print_Area" localSheetId="11">'Contrôles'!$A$1:$F$51</definedName>
    <definedName name="_xlnm.Print_Titles" localSheetId="12">'Récapitulatif'!$1:$3</definedName>
    <definedName name="_xlnm.Print_Area" localSheetId="12">'Récapitulatif'!$A$1:$K$68</definedName>
  </definedNames>
  <calcPr calcId="124519" fullCalcOnLoad="1"/>
</workbook>
</file>

<file path=xl/styles.xml><?xml version="1.0" encoding="utf-8"?>
<styleSheet xmlns="http://schemas.openxmlformats.org/spreadsheetml/2006/main">
  <numFmts count="5">
    <numFmt numFmtId="164" formatCode="yyyy-mm-dd"/>
    <numFmt numFmtId="165" formatCode="ddd dd/mm/yyyy"/>
    <numFmt numFmtId="166" formatCode="hh:mm"/>
    <numFmt numFmtId="167" formatCode="0.0"/>
    <numFmt numFmtId="168" formatCode="0.0%"/>
  </numFmts>
  <fonts count="16">
    <font>
      <name val="Calibri"/>
      <family val="2"/>
      <color theme="1"/>
      <sz val="11"/>
      <scheme val="minor"/>
    </font>
    <font>
      <name val="Arial"/>
      <b val="1"/>
      <color rgb="00FFFFFF"/>
      <sz val="15"/>
    </font>
    <font>
      <name val="Arial"/>
      <color rgb="002E4763"/>
      <sz val="9"/>
    </font>
    <font>
      <name val="Arial"/>
      <b val="1"/>
      <color rgb="00FFFFFF"/>
      <sz val="9"/>
    </font>
    <font>
      <name val="Arial"/>
      <color rgb="001B2A41"/>
      <sz val="9"/>
    </font>
    <font>
      <name val="Arial"/>
      <color rgb="006B7A8C"/>
      <sz val="8"/>
    </font>
    <font>
      <name val="Arial"/>
      <b val="1"/>
      <color rgb="001B2A41"/>
      <sz val="9"/>
    </font>
    <font>
      <name val="Arial"/>
      <b val="1"/>
      <color rgb="00FFFFFF"/>
      <sz val="11"/>
    </font>
    <font>
      <name val="Arial"/>
      <b val="1"/>
      <color rgb="00000000"/>
      <sz val="12"/>
    </font>
    <font>
      <name val="Arial"/>
      <b val="1"/>
      <color rgb="00FFFFFF"/>
      <sz val="10"/>
    </font>
    <font>
      <name val="Arial"/>
      <b val="1"/>
      <color rgb="002F6F7E"/>
      <sz val="11"/>
    </font>
    <font>
      <name val="Arial"/>
      <b val="1"/>
      <color rgb="00FFFFFF"/>
      <sz val="20"/>
    </font>
    <font>
      <name val="Arial"/>
      <color rgb="00FFFFFF"/>
      <sz val="10"/>
    </font>
    <font>
      <name val="Arial"/>
      <b val="1"/>
      <color rgb="001F5C86"/>
      <sz val="10"/>
      <u val="single"/>
    </font>
    <font>
      <name val="Arial"/>
      <b val="1"/>
      <color rgb="008A5A00"/>
      <sz val="9"/>
    </font>
    <font>
      <name val="Arial"/>
      <b val="1"/>
      <color rgb="00B03A2E"/>
      <sz val="9"/>
    </font>
  </fonts>
  <fills count="43">
    <fill>
      <patternFill/>
    </fill>
    <fill>
      <patternFill patternType="gray125"/>
    </fill>
    <fill>
      <patternFill patternType="solid">
        <fgColor rgb="001B2A41"/>
      </patternFill>
    </fill>
    <fill>
      <patternFill patternType="solid">
        <fgColor rgb="00E8EDF2"/>
      </patternFill>
    </fill>
    <fill>
      <patternFill patternType="solid">
        <fgColor rgb="002E4763"/>
      </patternFill>
    </fill>
    <fill>
      <patternFill patternType="solid">
        <fgColor rgb="002F6F7E"/>
      </patternFill>
    </fill>
    <fill>
      <patternFill patternType="solid">
        <fgColor rgb="009A6B1F"/>
      </patternFill>
    </fill>
    <fill>
      <patternFill patternType="solid">
        <fgColor rgb="00B03A2E"/>
      </patternFill>
    </fill>
    <fill>
      <patternFill patternType="solid">
        <fgColor rgb="006B7A8C"/>
      </patternFill>
    </fill>
    <fill>
      <patternFill patternType="solid">
        <fgColor rgb="00EAF2F8"/>
      </patternFill>
    </fill>
    <fill>
      <patternFill patternType="solid">
        <fgColor rgb="00ECF3CB"/>
      </patternFill>
    </fill>
    <fill>
      <patternFill patternType="solid">
        <fgColor rgb="00CBF3E2"/>
      </patternFill>
    </fill>
    <fill>
      <patternFill patternType="solid">
        <fgColor rgb="00E8F3EF"/>
      </patternFill>
    </fill>
    <fill>
      <patternFill patternType="solid">
        <fgColor rgb="00ECDC95"/>
      </patternFill>
    </fill>
    <fill>
      <patternFill patternType="solid">
        <fgColor rgb="00FBF3E6"/>
      </patternFill>
    </fill>
    <fill>
      <patternFill patternType="solid">
        <fgColor rgb="0095B5EC"/>
      </patternFill>
    </fill>
    <fill>
      <patternFill patternType="solid">
        <fgColor rgb="00C4AAF6"/>
      </patternFill>
    </fill>
    <fill>
      <patternFill patternType="solid">
        <fgColor rgb="00EEEBF5"/>
      </patternFill>
    </fill>
    <fill>
      <patternFill patternType="solid">
        <fgColor rgb="00AAE0F6"/>
      </patternFill>
    </fill>
    <fill>
      <patternFill patternType="solid">
        <fgColor rgb="00AAF6BB"/>
      </patternFill>
    </fill>
    <fill>
      <patternFill patternType="solid">
        <fgColor rgb="0095ECE6"/>
      </patternFill>
    </fill>
    <fill>
      <patternFill patternType="solid">
        <fgColor rgb="00A0EC95"/>
      </patternFill>
    </fill>
    <fill>
      <patternFill patternType="solid">
        <fgColor rgb="00F3CFCB"/>
      </patternFill>
    </fill>
    <fill>
      <patternFill patternType="solid">
        <fgColor rgb="00CBCCF3"/>
      </patternFill>
    </fill>
    <fill>
      <patternFill patternType="solid">
        <fgColor rgb="00CFF6AA"/>
      </patternFill>
    </fill>
    <fill>
      <patternFill patternType="solid">
        <fgColor rgb="00F6AAD8"/>
      </patternFill>
    </fill>
    <fill>
      <patternFill patternType="solid">
        <fgColor rgb="00F6AABD"/>
      </patternFill>
    </fill>
    <fill>
      <patternFill patternType="solid">
        <fgColor rgb="00F6CDAA"/>
      </patternFill>
    </fill>
    <fill>
      <patternFill patternType="solid">
        <fgColor rgb="00F3CBF1"/>
      </patternFill>
    </fill>
    <fill>
      <patternFill patternType="solid">
        <fgColor rgb="00D195EC"/>
      </patternFill>
    </fill>
    <fill>
      <patternFill patternType="solid">
        <fgColor rgb="00F5A7A0"/>
      </patternFill>
    </fill>
    <fill>
      <patternFill patternType="solid">
        <fgColor rgb="00F7D154"/>
      </patternFill>
    </fill>
    <fill>
      <patternFill patternType="solid">
        <fgColor rgb="00C9A0DC"/>
      </patternFill>
    </fill>
    <fill>
      <patternFill patternType="solid">
        <fgColor rgb="00F9C784"/>
      </patternFill>
    </fill>
    <fill>
      <patternFill patternType="solid">
        <fgColor rgb="008FC7E8"/>
      </patternFill>
    </fill>
    <fill>
      <patternFill patternType="solid">
        <fgColor rgb="009FE0C8"/>
      </patternFill>
    </fill>
    <fill>
      <patternFill patternType="solid">
        <fgColor rgb="00F5F7FA"/>
      </patternFill>
    </fill>
    <fill>
      <patternFill patternType="solid">
        <fgColor rgb="00F2F0EA"/>
      </patternFill>
    </fill>
    <fill>
      <patternFill patternType="solid">
        <fgColor rgb="003C6E91"/>
      </patternFill>
    </fill>
    <fill>
      <patternFill patternType="solid">
        <fgColor rgb="002F7A63"/>
      </patternFill>
    </fill>
    <fill>
      <patternFill patternType="solid">
        <fgColor rgb="005B4E8C"/>
      </patternFill>
    </fill>
    <fill>
      <patternFill patternType="solid">
        <fgColor rgb="00FEF5E7"/>
      </patternFill>
    </fill>
    <fill>
      <patternFill patternType="solid">
        <fgColor rgb="00EAF4F5"/>
      </patternFill>
    </fill>
  </fills>
  <borders count="12">
    <border>
      <left/>
      <right/>
      <top/>
      <bottom/>
      <diagonal/>
    </border>
    <border>
      <left style="thin">
        <color rgb="00B9C4D0"/>
      </left>
      <right style="thin">
        <color rgb="00B9C4D0"/>
      </right>
      <top style="thin">
        <color rgb="00B9C4D0"/>
      </top>
      <bottom style="thin">
        <color rgb="00B9C4D0"/>
      </bottom>
    </border>
    <border>
      <left style="thin">
        <color rgb="00DDE4EB"/>
      </left>
      <right style="thin">
        <color rgb="00DDE4EB"/>
      </right>
      <top style="thin">
        <color rgb="00DDE4EB"/>
      </top>
      <bottom style="thin">
        <color rgb="00DDE4EB"/>
      </bottom>
    </border>
    <border>
      <left style="thin">
        <color rgb="00B9C4D0"/>
      </left>
      <right/>
      <top/>
      <bottom/>
      <diagonal/>
    </border>
    <border>
      <left style="thin">
        <color rgb="00B9C4D0"/>
      </left>
      <right style="thin">
        <color rgb="00B9C4D0"/>
      </right>
      <top/>
      <bottom/>
      <diagonal/>
    </border>
    <border>
      <left style="thin">
        <color rgb="00B9C4D0"/>
      </left>
      <right style="thin">
        <color rgb="00B9C4D0"/>
      </right>
      <top/>
      <bottom style="thin">
        <color rgb="00B9C4D0"/>
      </bottom>
      <diagonal/>
    </border>
    <border>
      <left style="thin">
        <color rgb="00DDE4EB"/>
      </left>
      <right/>
      <top/>
      <bottom/>
      <diagonal/>
    </border>
    <border>
      <left style="thin">
        <color rgb="00DDE4EB"/>
      </left>
      <right style="thin">
        <color rgb="00DDE4EB"/>
      </right>
      <top/>
      <bottom/>
      <diagonal/>
    </border>
    <border>
      <left style="thin">
        <color rgb="00DDE4EB"/>
      </left>
      <right style="thin">
        <color rgb="00DDE4EB"/>
      </right>
      <top/>
      <bottom style="thin">
        <color rgb="00DDE4EB"/>
      </bottom>
      <diagonal/>
    </border>
    <border>
      <left/>
      <right/>
      <top style="thin">
        <color rgb="00B9C4D0"/>
      </top>
      <bottom/>
      <diagonal/>
    </border>
    <border>
      <left/>
      <right style="thin">
        <color rgb="00B9C4D0"/>
      </right>
      <top style="thin">
        <color rgb="00B9C4D0"/>
      </top>
      <bottom/>
      <diagonal/>
    </border>
    <border>
      <left/>
      <right style="thin">
        <color rgb="00B9C4D0"/>
      </right>
      <top style="thin">
        <color rgb="00B9C4D0"/>
      </top>
      <bottom style="thin">
        <color rgb="00B9C4D0"/>
      </bottom>
      <diagonal/>
    </border>
  </borders>
  <cellStyleXfs count="1">
    <xf numFmtId="0" fontId="0" fillId="0" borderId="0"/>
  </cellStyleXfs>
  <cellXfs count="181">
    <xf numFmtId="0" fontId="0" fillId="0" borderId="0" pivotButton="0" quotePrefix="0" xfId="0"/>
    <xf numFmtId="0" fontId="11" fillId="2" borderId="0" applyAlignment="1" pivotButton="0" quotePrefix="0" xfId="0">
      <alignment horizontal="left" vertical="center" indent="1"/>
    </xf>
    <xf numFmtId="0" fontId="0" fillId="2" borderId="0" pivotButton="0" quotePrefix="0" xfId="0"/>
    <xf numFmtId="0" fontId="12" fillId="4" borderId="0" applyAlignment="1" pivotButton="0" quotePrefix="0" xfId="0">
      <alignment horizontal="left" vertical="center" indent="1"/>
    </xf>
    <xf numFmtId="0" fontId="0" fillId="4" borderId="0" pivotButton="0" quotePrefix="0" xfId="0"/>
    <xf numFmtId="0" fontId="9" fillId="5" borderId="1" applyAlignment="1" pivotButton="0" quotePrefix="0" xfId="0">
      <alignment horizontal="left" vertical="center" indent="1"/>
    </xf>
    <xf numFmtId="0" fontId="0" fillId="5" borderId="1" pivotButton="0" quotePrefix="0" xfId="0"/>
    <xf numFmtId="0" fontId="3" fillId="4" borderId="1" applyAlignment="1" pivotButton="0" quotePrefix="0" xfId="0">
      <alignment horizontal="center" vertical="center" wrapText="1"/>
    </xf>
    <xf numFmtId="0" fontId="1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13" fillId="41" borderId="2" applyAlignment="1" pivotButton="0" quotePrefix="0" xfId="0">
      <alignment horizontal="left" vertical="center" wrapText="1"/>
    </xf>
    <xf numFmtId="0" fontId="4" fillId="41" borderId="2" applyAlignment="1" pivotButton="0" quotePrefix="0" xfId="0">
      <alignment horizontal="left" vertical="center" wrapText="1"/>
    </xf>
    <xf numFmtId="0" fontId="4" fillId="41" borderId="2" applyAlignment="1" pivotButton="0" quotePrefix="0" xfId="0">
      <alignment horizontal="center" vertical="center" wrapText="1"/>
    </xf>
    <xf numFmtId="0" fontId="13" fillId="42" borderId="2" applyAlignment="1" pivotButton="0" quotePrefix="0" xfId="0">
      <alignment horizontal="left" vertical="center" wrapText="1"/>
    </xf>
    <xf numFmtId="0" fontId="4" fillId="42" borderId="2" applyAlignment="1" pivotButton="0" quotePrefix="0" xfId="0">
      <alignment horizontal="left" vertical="center" wrapText="1"/>
    </xf>
    <xf numFmtId="0" fontId="4" fillId="42" borderId="2" applyAlignment="1" pivotButton="0" quotePrefix="0" xfId="0">
      <alignment horizontal="center" vertical="center" wrapText="1"/>
    </xf>
    <xf numFmtId="0" fontId="3" fillId="4" borderId="1" applyAlignment="1" pivotButton="0" quotePrefix="0" xfId="0">
      <alignment horizontal="left" vertical="center" indent="1"/>
    </xf>
    <xf numFmtId="0" fontId="6" fillId="15" borderId="2" applyAlignment="1" pivotButton="0" quotePrefix="0" xfId="0">
      <alignment horizontal="left" vertical="center" wrapText="1"/>
    </xf>
    <xf numFmtId="0" fontId="6" fillId="13" borderId="2" applyAlignment="1" pivotButton="0" quotePrefix="0" xfId="0">
      <alignment horizontal="left" vertical="center" wrapText="1"/>
    </xf>
    <xf numFmtId="0" fontId="6" fillId="11" borderId="2" applyAlignment="1" pivotButton="0" quotePrefix="0" xfId="0">
      <alignment horizontal="left" vertical="center" wrapText="1"/>
    </xf>
    <xf numFmtId="0" fontId="6" fillId="10" borderId="2" applyAlignment="1" pivotButton="0" quotePrefix="0" xfId="0">
      <alignment horizontal="left" vertical="center" wrapText="1"/>
    </xf>
    <xf numFmtId="0" fontId="6" fillId="19" borderId="2" applyAlignment="1" pivotButton="0" quotePrefix="0" xfId="0">
      <alignment horizontal="left" vertical="center" wrapText="1"/>
    </xf>
    <xf numFmtId="0" fontId="6" fillId="20" borderId="2" applyAlignment="1" pivotButton="0" quotePrefix="0" xfId="0">
      <alignment horizontal="left" vertical="center" wrapText="1"/>
    </xf>
    <xf numFmtId="0" fontId="6" fillId="24" borderId="2" applyAlignment="1" pivotButton="0" quotePrefix="0" xfId="0">
      <alignment horizontal="left" vertical="center" wrapText="1"/>
    </xf>
    <xf numFmtId="0" fontId="6" fillId="25" borderId="2" applyAlignment="1" pivotButton="0" quotePrefix="0" xfId="0">
      <alignment horizontal="left" vertical="center" wrapText="1"/>
    </xf>
    <xf numFmtId="0" fontId="6" fillId="29" borderId="2" applyAlignment="1" pivotButton="0" quotePrefix="0" xfId="0">
      <alignment horizontal="left" vertical="center" wrapText="1"/>
    </xf>
    <xf numFmtId="0" fontId="6" fillId="23" borderId="2" applyAlignment="1" pivotButton="0" quotePrefix="0" xfId="0">
      <alignment horizontal="left" vertical="center" wrapText="1"/>
    </xf>
    <xf numFmtId="0" fontId="6" fillId="27" borderId="2" applyAlignment="1" pivotButton="0" quotePrefix="0" xfId="0">
      <alignment horizontal="left" vertical="center" wrapText="1"/>
    </xf>
    <xf numFmtId="0" fontId="6" fillId="18" borderId="2" applyAlignment="1" pivotButton="0" quotePrefix="0" xfId="0">
      <alignment horizontal="left" vertical="center" wrapText="1"/>
    </xf>
    <xf numFmtId="0" fontId="6" fillId="16" borderId="2" applyAlignment="1" pivotButton="0" quotePrefix="0" xfId="0">
      <alignment horizontal="left" vertical="center" wrapText="1"/>
    </xf>
    <xf numFmtId="0" fontId="6" fillId="26" borderId="2" applyAlignment="1" pivotButton="0" quotePrefix="0" xfId="0">
      <alignment horizontal="left" vertical="center" wrapText="1"/>
    </xf>
    <xf numFmtId="0" fontId="6" fillId="28" borderId="2" applyAlignment="1" pivotButton="0" quotePrefix="0" xfId="0">
      <alignment horizontal="left" vertical="center" wrapText="1"/>
    </xf>
    <xf numFmtId="0" fontId="6" fillId="21" borderId="2" applyAlignment="1" pivotButton="0" quotePrefix="0" xfId="0">
      <alignment horizontal="left" vertical="center" wrapText="1"/>
    </xf>
    <xf numFmtId="0" fontId="6" fillId="22" borderId="2" applyAlignment="1" pivotButton="0" quotePrefix="0" xfId="0">
      <alignment horizontal="left" vertical="center" wrapText="1"/>
    </xf>
    <xf numFmtId="0" fontId="6" fillId="9" borderId="2" applyAlignment="1" pivotButton="0" quotePrefix="0" xfId="0">
      <alignment horizontal="left" vertical="center" wrapText="1"/>
    </xf>
    <xf numFmtId="0" fontId="6" fillId="12" borderId="2" applyAlignment="1" pivotButton="0" quotePrefix="0" xfId="0">
      <alignment horizontal="left" vertical="center" wrapText="1"/>
    </xf>
    <xf numFmtId="0" fontId="6" fillId="14" borderId="2" applyAlignment="1" pivotButton="0" quotePrefix="0" xfId="0">
      <alignment horizontal="left" vertical="center" wrapText="1"/>
    </xf>
    <xf numFmtId="0" fontId="6" fillId="17" borderId="2" applyAlignment="1" pivotButton="0" quotePrefix="0" xfId="0">
      <alignment horizontal="left" vertical="center" wrapText="1"/>
    </xf>
    <xf numFmtId="0" fontId="6" fillId="30" borderId="2" applyAlignment="1" pivotButton="0" quotePrefix="0" xfId="0">
      <alignment horizontal="left" vertical="center" wrapText="1"/>
    </xf>
    <xf numFmtId="0" fontId="6" fillId="31" borderId="2" applyAlignment="1" pivotButton="0" quotePrefix="0" xfId="0">
      <alignment horizontal="left" vertical="center" wrapText="1"/>
    </xf>
    <xf numFmtId="0" fontId="6" fillId="32" borderId="2" applyAlignment="1" pivotButton="0" quotePrefix="0" xfId="0">
      <alignment horizontal="left" vertical="center" wrapText="1"/>
    </xf>
    <xf numFmtId="0" fontId="6" fillId="33" borderId="2" applyAlignment="1" pivotButton="0" quotePrefix="0" xfId="0">
      <alignment horizontal="left" vertical="center" wrapText="1"/>
    </xf>
    <xf numFmtId="0" fontId="6" fillId="34" borderId="2" applyAlignment="1" pivotButton="0" quotePrefix="0" xfId="0">
      <alignment horizontal="left" vertical="center" wrapText="1"/>
    </xf>
    <xf numFmtId="0" fontId="6" fillId="35" borderId="2" applyAlignment="1" pivotButton="0" quotePrefix="0" xfId="0">
      <alignment horizontal="left" vertical="center" wrapText="1"/>
    </xf>
    <xf numFmtId="0" fontId="6" fillId="0" borderId="2" applyAlignment="1" pivotButton="0" quotePrefix="0" xfId="0">
      <alignment horizontal="left" vertical="center" wrapText="1"/>
    </xf>
    <xf numFmtId="0" fontId="14" fillId="0" borderId="2" applyAlignment="1" pivotButton="0" quotePrefix="0" xfId="0">
      <alignment horizontal="left" vertical="center" wrapText="1"/>
    </xf>
    <xf numFmtId="0" fontId="15" fillId="0" borderId="2" applyAlignment="1" pivotButton="0" quotePrefix="0" xfId="0">
      <alignment horizontal="left" vertical="center" wrapText="1"/>
    </xf>
    <xf numFmtId="0" fontId="0" fillId="0" borderId="11" pivotButton="0" quotePrefix="0" xfId="0"/>
    <xf numFmtId="0" fontId="4" fillId="0" borderId="2" applyAlignment="1" pivotButton="0" quotePrefix="0" xfId="0">
      <alignment horizontal="left" vertical="top" wrapText="1"/>
    </xf>
    <xf numFmtId="0" fontId="4" fillId="41" borderId="2" applyAlignment="1" pivotButton="0" quotePrefix="0" xfId="0">
      <alignment horizontal="left" vertical="top" wrapText="1"/>
    </xf>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0" fillId="3" borderId="0" pivotButton="0" quotePrefix="0" xfId="0"/>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9" borderId="2" applyAlignment="1" pivotButton="0" quotePrefix="0" xfId="0">
      <alignment horizontal="center" vertical="center" wrapText="1"/>
    </xf>
    <xf numFmtId="0" fontId="4" fillId="9" borderId="2" applyAlignment="1" pivotButton="0" quotePrefix="0" xfId="0">
      <alignment horizontal="left" vertical="center" wrapText="1"/>
    </xf>
    <xf numFmtId="165" fontId="4" fillId="9" borderId="2" applyAlignment="1" pivotButton="0" quotePrefix="0" xfId="0">
      <alignment horizontal="center" vertical="center" wrapText="1"/>
    </xf>
    <xf numFmtId="166" fontId="4" fillId="9" borderId="2" applyAlignment="1" pivotButton="0" quotePrefix="0" xfId="0">
      <alignment horizontal="center" vertical="center" wrapText="1"/>
    </xf>
    <xf numFmtId="2" fontId="4" fillId="9" borderId="2" applyAlignment="1" pivotButton="0" quotePrefix="0" xfId="0">
      <alignment horizontal="center" vertical="center" wrapText="1"/>
    </xf>
    <xf numFmtId="0" fontId="4" fillId="10" borderId="2" applyAlignment="1" pivotButton="0" quotePrefix="0" xfId="0">
      <alignment horizontal="left" vertical="center" wrapText="1"/>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left" vertical="top" wrapText="1"/>
    </xf>
    <xf numFmtId="0" fontId="4" fillId="11" borderId="2" applyAlignment="1" pivotButton="0" quotePrefix="0" xfId="0">
      <alignment horizontal="left" vertical="center" wrapText="1"/>
    </xf>
    <xf numFmtId="0" fontId="4" fillId="12" borderId="2" applyAlignment="1" pivotButton="0" quotePrefix="0" xfId="0">
      <alignment horizontal="center" vertical="center" wrapText="1"/>
    </xf>
    <xf numFmtId="0" fontId="4" fillId="12" borderId="2" applyAlignment="1" pivotButton="0" quotePrefix="0" xfId="0">
      <alignment horizontal="left" vertical="center" wrapText="1"/>
    </xf>
    <xf numFmtId="165" fontId="4" fillId="12" borderId="2" applyAlignment="1" pivotButton="0" quotePrefix="0" xfId="0">
      <alignment horizontal="center" vertical="center" wrapText="1"/>
    </xf>
    <xf numFmtId="166" fontId="4" fillId="12" borderId="2" applyAlignment="1" pivotButton="0" quotePrefix="0" xfId="0">
      <alignment horizontal="center" vertical="center" wrapText="1"/>
    </xf>
    <xf numFmtId="2" fontId="4" fillId="12" borderId="2" applyAlignment="1" pivotButton="0" quotePrefix="0" xfId="0">
      <alignment horizontal="center" vertical="center" wrapText="1"/>
    </xf>
    <xf numFmtId="0" fontId="4" fillId="13" borderId="2" applyAlignment="1" pivotButton="0" quotePrefix="0" xfId="0">
      <alignment horizontal="left" vertical="center" wrapText="1"/>
    </xf>
    <xf numFmtId="0" fontId="4" fillId="14" borderId="2" applyAlignment="1" pivotButton="0" quotePrefix="0" xfId="0">
      <alignment horizontal="center" vertical="center" wrapText="1"/>
    </xf>
    <xf numFmtId="0" fontId="4" fillId="14" borderId="2" applyAlignment="1" pivotButton="0" quotePrefix="0" xfId="0">
      <alignment horizontal="left" vertical="center" wrapText="1"/>
    </xf>
    <xf numFmtId="165" fontId="4" fillId="14" borderId="2" applyAlignment="1" pivotButton="0" quotePrefix="0" xfId="0">
      <alignment horizontal="center" vertical="center" wrapText="1"/>
    </xf>
    <xf numFmtId="166" fontId="4" fillId="14" borderId="2" applyAlignment="1" pivotButton="0" quotePrefix="0" xfId="0">
      <alignment horizontal="center" vertical="center" wrapText="1"/>
    </xf>
    <xf numFmtId="2" fontId="4" fillId="14" borderId="2" applyAlignment="1" pivotButton="0" quotePrefix="0" xfId="0">
      <alignment horizontal="center" vertical="center" wrapText="1"/>
    </xf>
    <xf numFmtId="0" fontId="4" fillId="15" borderId="2" applyAlignment="1" pivotButton="0" quotePrefix="0" xfId="0">
      <alignment horizontal="left" vertical="center" wrapText="1"/>
    </xf>
    <xf numFmtId="0" fontId="4" fillId="16" borderId="2" applyAlignment="1" pivotButton="0" quotePrefix="0" xfId="0">
      <alignment horizontal="left" vertical="center" wrapText="1"/>
    </xf>
    <xf numFmtId="0" fontId="4" fillId="17" borderId="2" applyAlignment="1" pivotButton="0" quotePrefix="0" xfId="0">
      <alignment horizontal="center" vertical="center" wrapText="1"/>
    </xf>
    <xf numFmtId="0" fontId="4" fillId="17" borderId="2" applyAlignment="1" pivotButton="0" quotePrefix="0" xfId="0">
      <alignment horizontal="left" vertical="center" wrapText="1"/>
    </xf>
    <xf numFmtId="165" fontId="4" fillId="17" borderId="2" applyAlignment="1" pivotButton="0" quotePrefix="0" xfId="0">
      <alignment horizontal="center" vertical="center" wrapText="1"/>
    </xf>
    <xf numFmtId="166" fontId="4" fillId="17" borderId="2" applyAlignment="1" pivotButton="0" quotePrefix="0" xfId="0">
      <alignment horizontal="center" vertical="center" wrapText="1"/>
    </xf>
    <xf numFmtId="2" fontId="4" fillId="17" borderId="2" applyAlignment="1" pivotButton="0" quotePrefix="0" xfId="0">
      <alignment horizontal="center" vertical="center" wrapText="1"/>
    </xf>
    <xf numFmtId="0" fontId="4" fillId="18" borderId="2" applyAlignment="1" pivotButton="0" quotePrefix="0" xfId="0">
      <alignment horizontal="left" vertical="center" wrapText="1"/>
    </xf>
    <xf numFmtId="0" fontId="4" fillId="19" borderId="2" applyAlignment="1" pivotButton="0" quotePrefix="0" xfId="0">
      <alignment horizontal="left" vertical="center" wrapText="1"/>
    </xf>
    <xf numFmtId="0" fontId="4" fillId="20" borderId="2" applyAlignment="1" pivotButton="0" quotePrefix="0" xfId="0">
      <alignment horizontal="left" vertical="center" wrapText="1"/>
    </xf>
    <xf numFmtId="0" fontId="4" fillId="21" borderId="2" applyAlignment="1" pivotButton="0" quotePrefix="0" xfId="0">
      <alignment horizontal="left" vertical="center" wrapText="1"/>
    </xf>
    <xf numFmtId="0" fontId="4" fillId="22" borderId="2" applyAlignment="1" pivotButton="0" quotePrefix="0" xfId="0">
      <alignment horizontal="left" vertical="center" wrapText="1"/>
    </xf>
    <xf numFmtId="0" fontId="4" fillId="23" borderId="2" applyAlignment="1" pivotButton="0" quotePrefix="0" xfId="0">
      <alignment horizontal="left" vertical="center" wrapText="1"/>
    </xf>
    <xf numFmtId="0" fontId="4" fillId="24" borderId="2" applyAlignment="1" pivotButton="0" quotePrefix="0" xfId="0">
      <alignment horizontal="left" vertical="center" wrapText="1"/>
    </xf>
    <xf numFmtId="0" fontId="4" fillId="25" borderId="2" applyAlignment="1" pivotButton="0" quotePrefix="0" xfId="0">
      <alignment horizontal="left" vertical="center" wrapText="1"/>
    </xf>
    <xf numFmtId="0" fontId="4" fillId="26" borderId="2" applyAlignment="1" pivotButton="0" quotePrefix="0" xfId="0">
      <alignment horizontal="left" vertical="center" wrapText="1"/>
    </xf>
    <xf numFmtId="0" fontId="4" fillId="27" borderId="2" applyAlignment="1" pivotButton="0" quotePrefix="0" xfId="0">
      <alignment horizontal="left" vertical="center" wrapText="1"/>
    </xf>
    <xf numFmtId="0" fontId="4" fillId="28" borderId="2" applyAlignment="1" pivotButton="0" quotePrefix="0" xfId="0">
      <alignment horizontal="left" vertical="center" wrapText="1"/>
    </xf>
    <xf numFmtId="0" fontId="4" fillId="29" borderId="2" applyAlignment="1" pivotButton="0" quotePrefix="0" xfId="0">
      <alignment horizontal="left" vertical="center" wrapText="1"/>
    </xf>
    <xf numFmtId="0" fontId="0"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4" fillId="26" borderId="2" applyAlignment="1" pivotButton="0" quotePrefix="0" xfId="0">
      <alignment horizontal="center" vertical="center" wrapText="1"/>
    </xf>
    <xf numFmtId="167" fontId="4" fillId="0" borderId="2" applyAlignment="1" pivotButton="0" quotePrefix="0" xfId="0">
      <alignment horizontal="center" vertical="center" wrapText="1"/>
    </xf>
    <xf numFmtId="165" fontId="4" fillId="0" borderId="2" applyAlignment="1" pivotButton="0" quotePrefix="0" xfId="0">
      <alignment horizontal="center" vertical="center" wrapText="1"/>
    </xf>
    <xf numFmtId="0" fontId="4" fillId="30" borderId="2" applyAlignment="1" pivotButton="0" quotePrefix="0" xfId="0">
      <alignment horizontal="left" vertical="center" wrapText="1"/>
    </xf>
    <xf numFmtId="0" fontId="4" fillId="19" borderId="2" applyAlignment="1" pivotButton="0" quotePrefix="0" xfId="0">
      <alignment horizontal="center" vertical="center" wrapText="1"/>
    </xf>
    <xf numFmtId="0" fontId="4" fillId="31" borderId="2" applyAlignment="1" pivotButton="0" quotePrefix="0" xfId="0">
      <alignment horizontal="left" vertical="center" wrapText="1"/>
    </xf>
    <xf numFmtId="0" fontId="4" fillId="10" borderId="2" applyAlignment="1" pivotButton="0" quotePrefix="0" xfId="0">
      <alignment horizontal="center" vertical="center" wrapText="1"/>
    </xf>
    <xf numFmtId="0" fontId="4" fillId="32" borderId="2" applyAlignment="1" pivotButton="0" quotePrefix="0" xfId="0">
      <alignment horizontal="left" vertical="center" wrapText="1"/>
    </xf>
    <xf numFmtId="0" fontId="4" fillId="27" borderId="2" applyAlignment="1" pivotButton="0" quotePrefix="0" xfId="0">
      <alignment horizontal="center" vertical="center" wrapText="1"/>
    </xf>
    <xf numFmtId="0" fontId="4" fillId="33" borderId="2" applyAlignment="1" pivotButton="0" quotePrefix="0" xfId="0">
      <alignment horizontal="left" vertical="center" wrapText="1"/>
    </xf>
    <xf numFmtId="0" fontId="4" fillId="21" borderId="2" applyAlignment="1" pivotButton="0" quotePrefix="0" xfId="0">
      <alignment horizontal="center" vertical="center" wrapText="1"/>
    </xf>
    <xf numFmtId="0" fontId="4" fillId="34" borderId="2" applyAlignment="1" pivotButton="0" quotePrefix="0" xfId="0">
      <alignment horizontal="left" vertical="center" wrapText="1"/>
    </xf>
    <xf numFmtId="0" fontId="4" fillId="11" borderId="2" applyAlignment="1" pivotButton="0" quotePrefix="0" xfId="0">
      <alignment horizontal="center" vertical="center" wrapText="1"/>
    </xf>
    <xf numFmtId="0" fontId="4" fillId="35" borderId="2" applyAlignment="1" pivotButton="0" quotePrefix="0" xfId="0">
      <alignment horizontal="left" vertical="center" wrapText="1"/>
    </xf>
    <xf numFmtId="0" fontId="4" fillId="18" borderId="2" applyAlignment="1" pivotButton="0" quotePrefix="0" xfId="0">
      <alignment horizontal="center" vertical="center" wrapText="1"/>
    </xf>
    <xf numFmtId="0" fontId="4" fillId="29" borderId="2" applyAlignment="1" pivotButton="0" quotePrefix="0" xfId="0">
      <alignment horizontal="center" vertical="center" wrapText="1"/>
    </xf>
    <xf numFmtId="0" fontId="4" fillId="25" borderId="2" applyAlignment="1" pivotButton="0" quotePrefix="0" xfId="0">
      <alignment horizontal="center" vertical="center" wrapText="1"/>
    </xf>
    <xf numFmtId="0" fontId="4" fillId="16" borderId="2" applyAlignment="1" pivotButton="0" quotePrefix="0" xfId="0">
      <alignment horizontal="center" vertical="center" wrapText="1"/>
    </xf>
    <xf numFmtId="0" fontId="4" fillId="22" borderId="2" applyAlignment="1" pivotButton="0" quotePrefix="0" xfId="0">
      <alignment horizontal="center" vertical="center" wrapText="1"/>
    </xf>
    <xf numFmtId="0" fontId="4" fillId="15" borderId="2" applyAlignment="1" pivotButton="0" quotePrefix="0" xfId="0">
      <alignment horizontal="center" vertical="center" wrapText="1"/>
    </xf>
    <xf numFmtId="0" fontId="4" fillId="23" borderId="2" applyAlignment="1" pivotButton="0" quotePrefix="0" xfId="0">
      <alignment horizontal="center" vertical="center" wrapText="1"/>
    </xf>
    <xf numFmtId="0" fontId="4" fillId="13" borderId="2" applyAlignment="1" pivotButton="0" quotePrefix="0" xfId="0">
      <alignment horizontal="center" vertical="center" wrapText="1"/>
    </xf>
    <xf numFmtId="0" fontId="4" fillId="28" borderId="2" applyAlignment="1" pivotButton="0" quotePrefix="0" xfId="0">
      <alignment horizontal="center" vertical="center" wrapText="1"/>
    </xf>
    <xf numFmtId="0" fontId="4" fillId="20" borderId="2" applyAlignment="1" pivotButton="0" quotePrefix="0" xfId="0">
      <alignment horizontal="center" vertical="center" wrapText="1"/>
    </xf>
    <xf numFmtId="0" fontId="4" fillId="24" borderId="2"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9" fillId="38" borderId="1" applyAlignment="1" pivotButton="0" quotePrefix="0" xfId="0">
      <alignment horizontal="left" vertical="center" indent="1"/>
    </xf>
    <xf numFmtId="0" fontId="0" fillId="38" borderId="1" pivotButton="0" quotePrefix="0" xfId="0"/>
    <xf numFmtId="0" fontId="8" fillId="9" borderId="1" applyAlignment="1" pivotButton="0" quotePrefix="0" xfId="0">
      <alignment horizontal="center" vertical="center" wrapText="1"/>
    </xf>
    <xf numFmtId="0" fontId="8" fillId="10" borderId="2" applyAlignment="1" pivotButton="0" quotePrefix="0" xfId="0">
      <alignment horizontal="left" vertical="center" wrapText="1"/>
    </xf>
    <xf numFmtId="0" fontId="8" fillId="36" borderId="2" applyAlignment="1" pivotButton="0" quotePrefix="0" xfId="0">
      <alignment horizontal="left" vertical="center" wrapText="1"/>
    </xf>
    <xf numFmtId="0" fontId="8" fillId="15" borderId="2" applyAlignment="1" pivotButton="0" quotePrefix="0" xfId="0">
      <alignment horizontal="left" vertical="center" wrapText="1"/>
    </xf>
    <xf numFmtId="0" fontId="8" fillId="24" borderId="2" applyAlignment="1" pivotButton="0" quotePrefix="0" xfId="0">
      <alignment horizontal="left" vertical="center" wrapText="1"/>
    </xf>
    <xf numFmtId="0" fontId="8" fillId="11" borderId="2" applyAlignment="1" pivotButton="0" quotePrefix="0" xfId="0">
      <alignment horizontal="left" vertical="center" wrapText="1"/>
    </xf>
    <xf numFmtId="0" fontId="8" fillId="19" borderId="2" applyAlignment="1" pivotButton="0" quotePrefix="0" xfId="0">
      <alignment horizontal="left" vertical="center" wrapText="1"/>
    </xf>
    <xf numFmtId="0" fontId="8" fillId="37" borderId="2" applyAlignment="1" pivotButton="0" quotePrefix="0" xfId="0">
      <alignment horizontal="left" vertical="center" wrapText="1"/>
    </xf>
    <xf numFmtId="0" fontId="0" fillId="0" borderId="8" pivotButton="0" quotePrefix="0" xfId="0"/>
    <xf numFmtId="0" fontId="9" fillId="39" borderId="1" applyAlignment="1" pivotButton="0" quotePrefix="0" xfId="0">
      <alignment horizontal="left" vertical="center" indent="1"/>
    </xf>
    <xf numFmtId="0" fontId="0" fillId="39" borderId="1" pivotButton="0" quotePrefix="0" xfId="0"/>
    <xf numFmtId="0" fontId="8" fillId="12" borderId="1" applyAlignment="1" pivotButton="0" quotePrefix="0" xfId="0">
      <alignment horizontal="center" vertical="center" wrapText="1"/>
    </xf>
    <xf numFmtId="0" fontId="8" fillId="13" borderId="2" applyAlignment="1" pivotButton="0" quotePrefix="0" xfId="0">
      <alignment horizontal="left" vertical="center" wrapText="1"/>
    </xf>
    <xf numFmtId="0" fontId="8" fillId="20" borderId="2" applyAlignment="1" pivotButton="0" quotePrefix="0" xfId="0">
      <alignment horizontal="left" vertical="center" wrapText="1"/>
    </xf>
    <xf numFmtId="0" fontId="0" fillId="0" borderId="5" pivotButton="0" quotePrefix="0" xfId="0"/>
    <xf numFmtId="0" fontId="0" fillId="0" borderId="7" pivotButton="0" quotePrefix="0" xfId="0"/>
    <xf numFmtId="0" fontId="9" fillId="6" borderId="1" applyAlignment="1" pivotButton="0" quotePrefix="0" xfId="0">
      <alignment horizontal="left" vertical="center" indent="1"/>
    </xf>
    <xf numFmtId="0" fontId="0" fillId="6" borderId="1" pivotButton="0" quotePrefix="0" xfId="0"/>
    <xf numFmtId="0" fontId="8" fillId="14" borderId="1" applyAlignment="1" pivotButton="0" quotePrefix="0" xfId="0">
      <alignment horizontal="center" vertical="center" wrapText="1"/>
    </xf>
    <xf numFmtId="0" fontId="8" fillId="18" borderId="2" applyAlignment="1" pivotButton="0" quotePrefix="0" xfId="0">
      <alignment horizontal="left" vertical="center" wrapText="1"/>
    </xf>
    <xf numFmtId="0" fontId="8" fillId="25" borderId="2" applyAlignment="1" pivotButton="0" quotePrefix="0" xfId="0">
      <alignment horizontal="left" vertical="center" wrapText="1"/>
    </xf>
    <xf numFmtId="0" fontId="8" fillId="27" borderId="2" applyAlignment="1" pivotButton="0" quotePrefix="0" xfId="0">
      <alignment horizontal="left" vertical="center" wrapText="1"/>
    </xf>
    <xf numFmtId="0" fontId="8" fillId="16" borderId="2" applyAlignment="1" pivotButton="0" quotePrefix="0" xfId="0">
      <alignment horizontal="left" vertical="center" wrapText="1"/>
    </xf>
    <xf numFmtId="0" fontId="8" fillId="26" borderId="2" applyAlignment="1" pivotButton="0" quotePrefix="0" xfId="0">
      <alignment horizontal="left" vertical="center" wrapText="1"/>
    </xf>
    <xf numFmtId="0" fontId="9" fillId="40" borderId="1" applyAlignment="1" pivotButton="0" quotePrefix="0" xfId="0">
      <alignment horizontal="left" vertical="center" indent="1"/>
    </xf>
    <xf numFmtId="0" fontId="0" fillId="40" borderId="1" pivotButton="0" quotePrefix="0" xfId="0"/>
    <xf numFmtId="0" fontId="8" fillId="17" borderId="1" applyAlignment="1" pivotButton="0" quotePrefix="0" xfId="0">
      <alignment horizontal="center" vertical="center" wrapText="1"/>
    </xf>
    <xf numFmtId="0" fontId="8" fillId="21" borderId="2" applyAlignment="1" pivotButton="0" quotePrefix="0" xfId="0">
      <alignment horizontal="left" vertical="center" wrapText="1"/>
    </xf>
    <xf numFmtId="0" fontId="8" fillId="23" borderId="2" applyAlignment="1" pivotButton="0" quotePrefix="0" xfId="0">
      <alignment horizontal="left" vertical="center" wrapText="1"/>
    </xf>
    <xf numFmtId="0" fontId="8" fillId="22" borderId="2" applyAlignment="1" pivotButton="0" quotePrefix="0" xfId="0">
      <alignment horizontal="left" vertical="center" wrapText="1"/>
    </xf>
    <xf numFmtId="0" fontId="8" fillId="28" borderId="2" applyAlignment="1" pivotButton="0" quotePrefix="0" xfId="0">
      <alignment horizontal="left" vertical="center" wrapText="1"/>
    </xf>
    <xf numFmtId="0" fontId="8" fillId="29" borderId="2" applyAlignment="1" pivotButton="0" quotePrefix="0" xfId="0">
      <alignment horizontal="left" vertical="center" wrapText="1"/>
    </xf>
    <xf numFmtId="0" fontId="6" fillId="3" borderId="2" applyAlignment="1" pivotButton="0" quotePrefix="0" xfId="0">
      <alignment horizontal="center" vertical="center" wrapText="1"/>
    </xf>
    <xf numFmtId="167" fontId="6" fillId="3" borderId="2" applyAlignment="1" pivotButton="0" quotePrefix="0" xfId="0">
      <alignment horizontal="center" vertical="center" wrapText="1"/>
    </xf>
    <xf numFmtId="167" fontId="3" fillId="4" borderId="1" applyAlignment="1" pivotButton="0" quotePrefix="0" xfId="0">
      <alignment horizontal="center" vertical="center" wrapText="1"/>
    </xf>
    <xf numFmtId="0" fontId="4" fillId="36" borderId="2" applyAlignment="1" pivotButton="0" quotePrefix="0" xfId="0">
      <alignment horizontal="center" vertical="center" wrapText="1"/>
    </xf>
    <xf numFmtId="0" fontId="6" fillId="36" borderId="2" applyAlignment="1" pivotButton="0" quotePrefix="0" xfId="0">
      <alignment horizontal="left" vertical="center" wrapText="1"/>
    </xf>
    <xf numFmtId="0" fontId="4" fillId="36" borderId="2" applyAlignment="1" pivotButton="0" quotePrefix="0" xfId="0">
      <alignment horizontal="left" vertical="center" wrapText="1"/>
    </xf>
    <xf numFmtId="0" fontId="9" fillId="2" borderId="1" applyAlignment="1" pivotButton="0" quotePrefix="0" xfId="0">
      <alignment horizontal="left" vertical="center" indent="1"/>
    </xf>
    <xf numFmtId="0" fontId="0" fillId="2" borderId="1" pivotButton="0" quotePrefix="0" xfId="0"/>
    <xf numFmtId="0" fontId="6" fillId="0" borderId="2" applyAlignment="1" pivotButton="0" quotePrefix="0" xfId="0">
      <alignment horizontal="left" vertical="top" wrapText="1"/>
    </xf>
    <xf numFmtId="0" fontId="6" fillId="36" borderId="2" applyAlignment="1" pivotButton="0" quotePrefix="0" xfId="0">
      <alignment horizontal="left" vertical="top" wrapText="1"/>
    </xf>
    <xf numFmtId="0" fontId="4" fillId="36" borderId="2" applyAlignment="1" pivotButton="0" quotePrefix="0" xfId="0">
      <alignment horizontal="left" vertical="top" wrapText="1"/>
    </xf>
    <xf numFmtId="1" fontId="10" fillId="0" borderId="2" applyAlignment="1" pivotButton="0" quotePrefix="0" xfId="0">
      <alignment horizontal="center" vertical="center" wrapText="1"/>
    </xf>
    <xf numFmtId="167" fontId="10" fillId="0" borderId="2" applyAlignment="1" pivotButton="0" quotePrefix="0" xfId="0">
      <alignment horizontal="center" vertical="center" wrapText="1"/>
    </xf>
    <xf numFmtId="2" fontId="4" fillId="0" borderId="2" applyAlignment="1" pivotButton="0" quotePrefix="0" xfId="0">
      <alignment horizontal="center" vertical="center" wrapText="1"/>
    </xf>
    <xf numFmtId="167" fontId="4" fillId="36" borderId="2" applyAlignment="1" pivotButton="0" quotePrefix="0" xfId="0">
      <alignment horizontal="center" vertical="center" wrapText="1"/>
    </xf>
    <xf numFmtId="2" fontId="4" fillId="36" borderId="2" applyAlignment="1" pivotButton="0" quotePrefix="0" xfId="0">
      <alignment horizontal="center" vertical="center" wrapText="1"/>
    </xf>
    <xf numFmtId="0" fontId="6" fillId="3" borderId="2" applyAlignment="1" pivotButton="0" quotePrefix="0" xfId="0">
      <alignment horizontal="left" vertical="center" wrapText="1"/>
    </xf>
    <xf numFmtId="2" fontId="6" fillId="3" borderId="2" applyAlignment="1" pivotButton="0" quotePrefix="0" xfId="0">
      <alignment horizontal="center" vertical="center" wrapText="1"/>
    </xf>
    <xf numFmtId="168" fontId="4" fillId="0" borderId="2" applyAlignment="1" pivotButton="0" quotePrefix="0" xfId="0">
      <alignment horizontal="center" vertical="center" wrapText="1"/>
    </xf>
    <xf numFmtId="166" fontId="4" fillId="0" borderId="2" applyAlignment="1" pivotButton="0" quotePrefix="0" xfId="0">
      <alignment horizontal="center" vertical="center" wrapText="1"/>
    </xf>
  </cellXfs>
  <cellStyles count="1">
    <cellStyle name="Normal" xfId="0" builtinId="0" hidden="0"/>
  </cellStyles>
  <dxfs count="15">
    <dxf>
      <fill>
        <patternFill patternType="solid">
          <fgColor rgb="00F5A7A0"/>
        </patternFill>
      </fill>
    </dxf>
    <dxf>
      <fill>
        <patternFill patternType="solid">
          <fgColor rgb="00F7D154"/>
        </patternFill>
      </fill>
    </dxf>
    <dxf>
      <fill>
        <patternFill patternType="solid">
          <fgColor rgb="00C9A0DC"/>
        </patternFill>
      </fill>
    </dxf>
    <dxf>
      <fill>
        <patternFill patternType="solid">
          <fgColor rgb="00F9C784"/>
        </patternFill>
      </fill>
    </dxf>
    <dxf>
      <fill>
        <patternFill patternType="solid">
          <fgColor rgb="008FC7E8"/>
        </patternFill>
      </fill>
    </dxf>
    <dxf>
      <fill>
        <patternFill patternType="solid">
          <fgColor rgb="009FE0C8"/>
        </patternFill>
      </fill>
    </dxf>
    <dxf>
      <font>
        <name val="Arial"/>
        <b val="1"/>
        <color rgb="008A5A00"/>
        <sz val="9"/>
      </font>
    </dxf>
    <dxf>
      <font>
        <name val="Arial"/>
        <b val="1"/>
        <color rgb="002F6F7E"/>
        <sz val="9"/>
      </font>
    </dxf>
    <dxf>
      <font>
        <name val="Arial"/>
        <color rgb="002F6F7E"/>
        <sz val="9"/>
      </font>
    </dxf>
    <dxf>
      <font>
        <name val="Arial"/>
        <b val="1"/>
        <color rgb="00B03A2E"/>
        <sz val="8"/>
      </font>
      <fill>
        <patternFill patternType="solid">
          <fgColor rgb="00FDEDEC"/>
        </patternFill>
      </fill>
    </dxf>
    <dxf>
      <font>
        <name val="Arial"/>
        <b val="1"/>
        <color rgb="00B03A2E"/>
        <sz val="9"/>
      </font>
      <fill>
        <patternFill patternType="solid">
          <fgColor rgb="00FDEDEC"/>
        </patternFill>
      </fill>
    </dxf>
    <dxf>
      <font>
        <name val="Arial"/>
        <color rgb="00B9C4D0"/>
        <sz val="9"/>
      </font>
    </dxf>
    <dxf>
      <font>
        <name val="Arial"/>
        <b val="1"/>
        <color rgb="001E7B4D"/>
        <sz val="9"/>
      </font>
    </dxf>
    <dxf>
      <font>
        <name val="Arial"/>
        <b val="1"/>
        <color rgb="008A5A00"/>
        <sz val="9"/>
      </font>
      <fill>
        <patternFill patternType="solid">
          <fgColor rgb="00FEF5E7"/>
        </patternFill>
      </fill>
    </dxf>
    <dxf>
      <font>
        <name val="Arial"/>
        <b val="1"/>
        <color rgb="00B03A2E"/>
        <sz val="11"/>
      </font>
      <fill>
        <patternFill patternType="solid">
          <fgColor rgb="00FDED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lanning'!A1" TargetMode="External" Id="rId1" /><Relationship Type="http://schemas.openxmlformats.org/officeDocument/2006/relationships/hyperlink" Target="#'R&#233;f&#233;rentiels'!A1" TargetMode="External" Id="rId2" /><Relationship Type="http://schemas.openxmlformats.org/officeDocument/2006/relationships/hyperlink" Target="#'Contr&#244;les'!A1" TargetMode="External" Id="rId3" /><Relationship Type="http://schemas.openxmlformats.org/officeDocument/2006/relationships/hyperlink" Target="#'R&#233;capitulatif'!A1" TargetMode="External" Id="rId4" /><Relationship Type="http://schemas.openxmlformats.org/officeDocument/2006/relationships/hyperlink" Target="#'Vue Enseignants'!A1" TargetMode="External" Id="rId5" /><Relationship Type="http://schemas.openxmlformats.org/officeDocument/2006/relationships/hyperlink" Target="#'S1 14-20 sept'!A1" TargetMode="External" Id="rId6" /><Relationship Type="http://schemas.openxmlformats.org/officeDocument/2006/relationships/hyperlink" Target="#'S2 21-27 sept'!A1" TargetMode="External" Id="rId7" /><Relationship Type="http://schemas.openxmlformats.org/officeDocument/2006/relationships/hyperlink" Target="#'S3 28 sept-04 oct'!A1" TargetMode="External" Id="rId8" /><Relationship Type="http://schemas.openxmlformats.org/officeDocument/2006/relationships/hyperlink" Target="#'S4 05-11 oct'!A1" TargetMode="External" Id="rId9" /><Relationship Type="http://schemas.openxmlformats.org/officeDocument/2006/relationships/hyperlink" Target="#'S5 12-18 oct'!A1" TargetMode="External" Id="rId10" /><Relationship Type="http://schemas.openxmlformats.org/officeDocument/2006/relationships/hyperlink" Target="#'S6 19-25 oct'!A1" TargetMode="External" Id="rId11" /><Relationship Type="http://schemas.openxmlformats.org/officeDocument/2006/relationships/hyperlink" Target="#'S7 26 oct-01 nov'!A1" TargetMode="External" Id="rId12" /></Relationships>
</file>

<file path=xl/worksheets/sheet1.xml><?xml version="1.0" encoding="utf-8"?>
<worksheet xmlns="http://schemas.openxmlformats.org/spreadsheetml/2006/main">
  <sheetPr>
    <tabColor rgb="00F1C232"/>
    <outlinePr summaryBelow="1" summaryRight="1"/>
    <pageSetUpPr fitToPage="1"/>
  </sheetPr>
  <dimension ref="B2:E79"/>
  <sheetViews>
    <sheetView showGridLines="0" zoomScale="100" workbookViewId="0">
      <selection activeCell="A1" sqref="A1"/>
    </sheetView>
  </sheetViews>
  <sheetFormatPr baseColWidth="8" defaultRowHeight="15"/>
  <cols>
    <col width="3" customWidth="1" min="1" max="1"/>
    <col width="40" customWidth="1" min="2" max="2"/>
    <col width="62" customWidth="1" min="3" max="3"/>
    <col width="20" customWidth="1" min="4" max="4"/>
    <col width="20" customWidth="1" min="5" max="5"/>
  </cols>
  <sheetData>
    <row r="2" ht="46" customHeight="1">
      <c r="B2" s="1" t="inlineStr">
        <is>
          <t>EMPLOI DU TEMPS — ANNÉE SCOLAIRE 2026-2027</t>
        </is>
      </c>
      <c r="C2" s="2" t="n"/>
      <c r="D2" s="2" t="n"/>
      <c r="E2" s="2" t="n"/>
    </row>
    <row r="3" ht="24" customHeight="1">
      <c r="B3" s="3" t="inlineStr">
        <is>
          <t>Septembre et octobre 2026  ·  23 classes  ·  7 semaines  ·  du 14 septembre au 1er novembre 2026</t>
        </is>
      </c>
      <c r="C3" s="4" t="n"/>
      <c r="D3" s="4" t="n"/>
      <c r="E3" s="4" t="n"/>
    </row>
    <row r="5" ht="22" customHeight="1">
      <c r="B5" s="5" t="inlineStr">
        <is>
          <t>NAVIGATION — cliquer sur un nom de feuille</t>
        </is>
      </c>
      <c r="C5" s="6" t="n"/>
      <c r="D5" s="6" t="n"/>
      <c r="E5" s="6" t="n"/>
    </row>
    <row r="6">
      <c r="B6" s="7" t="inlineStr">
        <is>
          <t>Feuille</t>
        </is>
      </c>
      <c r="C6" s="7" t="inlineStr">
        <is>
          <t>Contenu</t>
        </is>
      </c>
      <c r="D6" s="7" t="inlineStr">
        <is>
          <t>Séances</t>
        </is>
      </c>
      <c r="E6" s="7" t="inlineStr">
        <is>
          <t>Type</t>
        </is>
      </c>
    </row>
    <row r="7" ht="17" customHeight="1">
      <c r="B7" s="8" t="inlineStr">
        <is>
          <t>Planning</t>
        </is>
      </c>
      <c r="C7" s="9" t="inlineStr">
        <is>
          <t>Table de référence : 1 ligne = 1 groupe dans une séance. C’est ICI que l’on modifie les données.</t>
        </is>
      </c>
      <c r="D7" s="10">
        <f>COUNTIF(Planning!$S$4:$S$863,"Oui")</f>
        <v/>
      </c>
      <c r="E7" s="10" t="inlineStr">
        <is>
          <t>Saisie</t>
        </is>
      </c>
    </row>
    <row r="8" ht="17" customHeight="1">
      <c r="B8" s="8" t="inlineStr">
        <is>
          <t>Référentiels</t>
        </is>
      </c>
      <c r="C8" s="9" t="inlineStr">
        <is>
          <t>Listes des classes, matières, enseignants, salles, modes, rythmes et semaines.</t>
        </is>
      </c>
      <c r="D8" s="10" t="inlineStr">
        <is>
          <t>—</t>
        </is>
      </c>
      <c r="E8" s="10" t="inlineStr">
        <is>
          <t>Paramètres</t>
        </is>
      </c>
    </row>
    <row r="9" ht="17" customHeight="1">
      <c r="B9" s="8" t="inlineStr">
        <is>
          <t>Contrôles</t>
        </is>
      </c>
      <c r="C9" s="9" t="inlineStr">
        <is>
          <t>21 contrôles automatiques + toutes les décisions prises pour construire octobre.</t>
        </is>
      </c>
      <c r="D9" s="10" t="inlineStr">
        <is>
          <t>—</t>
        </is>
      </c>
      <c r="E9" s="10" t="inlineStr">
        <is>
          <t>Fiabilité</t>
        </is>
      </c>
    </row>
    <row r="10" ht="17" customHeight="1">
      <c r="B10" s="8" t="inlineStr">
        <is>
          <t>Récapitulatif</t>
        </is>
      </c>
      <c r="C10" s="9" t="inlineStr">
        <is>
          <t>Indicateurs : volumes par semaine, cycle, matière et jour.</t>
        </is>
      </c>
      <c r="D10" s="10" t="inlineStr">
        <is>
          <t>—</t>
        </is>
      </c>
      <c r="E10" s="10" t="inlineStr">
        <is>
          <t>Pilotage</t>
        </is>
      </c>
    </row>
    <row r="11" ht="17" customHeight="1">
      <c r="B11" s="8" t="inlineStr">
        <is>
          <t>Vue Enseignants</t>
        </is>
      </c>
      <c r="C11" s="9" t="inlineStr">
        <is>
          <t>Charge de chaque enseignant, semaine par semaine (séances et heures).</t>
        </is>
      </c>
      <c r="D11" s="10" t="inlineStr">
        <is>
          <t>—</t>
        </is>
      </c>
      <c r="E11" s="10" t="inlineStr">
        <is>
          <t>Pilotage</t>
        </is>
      </c>
    </row>
    <row r="12" ht="17" customHeight="1">
      <c r="B12" s="8" t="inlineStr">
        <is>
          <t>S1 14-20 sept</t>
        </is>
      </c>
      <c r="C12" s="9" t="inlineStr">
        <is>
          <t>Grille imprimable — du 14 au 20 septembre 2026 (semaine A).</t>
        </is>
      </c>
      <c r="D12" s="10">
        <f>COUNTIFS(Planning!$A$4:$A$863,"S1",Planning!$S$4:$S$863,"Oui")</f>
        <v/>
      </c>
      <c r="E12" s="10" t="inlineStr">
        <is>
          <t>Septembre</t>
        </is>
      </c>
    </row>
    <row r="13" ht="17" customHeight="1">
      <c r="B13" s="8" t="inlineStr">
        <is>
          <t>S2 21-27 sept</t>
        </is>
      </c>
      <c r="C13" s="9" t="inlineStr">
        <is>
          <t>Grille imprimable — du 21 au 27 septembre 2026 (semaine B).</t>
        </is>
      </c>
      <c r="D13" s="10">
        <f>COUNTIFS(Planning!$A$4:$A$863,"S2",Planning!$S$4:$S$863,"Oui")</f>
        <v/>
      </c>
      <c r="E13" s="10" t="inlineStr">
        <is>
          <t>Septembre</t>
        </is>
      </c>
    </row>
    <row r="14" ht="17" customHeight="1">
      <c r="B14" s="11" t="inlineStr">
        <is>
          <t>S3 28 sept-04 oct</t>
        </is>
      </c>
      <c r="C14" s="12" t="inlineStr">
        <is>
          <t>Grille imprimable — du 28 septembre au 4 octobre 2026 (semaine A).</t>
        </is>
      </c>
      <c r="D14" s="13">
        <f>COUNTIFS(Planning!$A$4:$A$863,"S3",Planning!$S$4:$S$863,"Oui")</f>
        <v/>
      </c>
      <c r="E14" s="13" t="inlineStr">
        <is>
          <t>Référence</t>
        </is>
      </c>
    </row>
    <row r="15" ht="17" customHeight="1">
      <c r="B15" s="14" t="inlineStr">
        <is>
          <t>S4 05-11 oct</t>
        </is>
      </c>
      <c r="C15" s="15" t="inlineStr">
        <is>
          <t>Grille imprimable — du 5 au 11 octobre 2026 (semaine B).</t>
        </is>
      </c>
      <c r="D15" s="16">
        <f>COUNTIFS(Planning!$A$4:$A$863,"S4",Planning!$S$4:$S$863,"Oui")</f>
        <v/>
      </c>
      <c r="E15" s="16" t="inlineStr">
        <is>
          <t>Octobre</t>
        </is>
      </c>
    </row>
    <row r="16" ht="17" customHeight="1">
      <c r="B16" s="14" t="inlineStr">
        <is>
          <t>S5 12-18 oct</t>
        </is>
      </c>
      <c r="C16" s="15" t="inlineStr">
        <is>
          <t>Grille imprimable — du 12 au 18 octobre 2026 (semaine A).</t>
        </is>
      </c>
      <c r="D16" s="16">
        <f>COUNTIFS(Planning!$A$4:$A$863,"S5",Planning!$S$4:$S$863,"Oui")</f>
        <v/>
      </c>
      <c r="E16" s="16" t="inlineStr">
        <is>
          <t>Octobre</t>
        </is>
      </c>
    </row>
    <row r="17" ht="17" customHeight="1">
      <c r="B17" s="14" t="inlineStr">
        <is>
          <t>S6 19-25 oct</t>
        </is>
      </c>
      <c r="C17" s="15" t="inlineStr">
        <is>
          <t>Grille imprimable — du 19 au 25 octobre 2026 (semaine B).</t>
        </is>
      </c>
      <c r="D17" s="16">
        <f>COUNTIFS(Planning!$A$4:$A$863,"S6",Planning!$S$4:$S$863,"Oui")</f>
        <v/>
      </c>
      <c r="E17" s="16" t="inlineStr">
        <is>
          <t>Octobre</t>
        </is>
      </c>
    </row>
    <row r="18" ht="17" customHeight="1">
      <c r="B18" s="14" t="inlineStr">
        <is>
          <t>S7 26 oct-01 nov</t>
        </is>
      </c>
      <c r="C18" s="15" t="inlineStr">
        <is>
          <t>Grille imprimable — du 26 octobre au 1er novembre 2026 (semaine A).</t>
        </is>
      </c>
      <c r="D18" s="16">
        <f>COUNTIFS(Planning!$A$4:$A$863,"S7",Planning!$S$4:$S$863,"Oui")</f>
        <v/>
      </c>
      <c r="E18" s="16" t="inlineStr">
        <is>
          <t>Octobre</t>
        </is>
      </c>
    </row>
    <row r="20" ht="22" customHeight="1">
      <c r="B20" s="5" t="inlineStr">
        <is>
          <t>LÉGENDE</t>
        </is>
      </c>
      <c r="C20" s="6" t="n"/>
      <c r="D20" s="6" t="n"/>
      <c r="E20" s="6" t="n"/>
    </row>
    <row r="21" ht="16" customHeight="1">
      <c r="B21" s="17" t="inlineStr">
        <is>
          <t>COULEUR DES CASES — une couleur par matière</t>
        </is>
      </c>
    </row>
    <row r="22" ht="16" customHeight="1">
      <c r="B22" s="18" t="inlineStr">
        <is>
          <t>Math</t>
        </is>
      </c>
      <c r="C22" s="9" t="inlineStr">
        <is>
          <t>Écrit dans la case : Math ou رياضيات</t>
        </is>
      </c>
    </row>
    <row r="23" ht="16" customHeight="1">
      <c r="B23" s="19" t="inlineStr">
        <is>
          <t>Physique</t>
        </is>
      </c>
      <c r="C23" s="9" t="inlineStr">
        <is>
          <t>Écrit dans la case : Physique ou فيزياء</t>
        </is>
      </c>
    </row>
    <row r="24" ht="16" customHeight="1">
      <c r="B24" s="20" t="inlineStr">
        <is>
          <t>Français</t>
        </is>
      </c>
      <c r="C24" s="9" t="inlineStr"/>
    </row>
    <row r="25" ht="16" customHeight="1">
      <c r="B25" s="21" t="inlineStr">
        <is>
          <t>Arabe</t>
        </is>
      </c>
      <c r="C25" s="9" t="inlineStr">
        <is>
          <t>Écrit dans la case : Arabe ou عربية</t>
        </is>
      </c>
    </row>
    <row r="26" ht="16" customHeight="1">
      <c r="B26" s="22" t="inlineStr">
        <is>
          <t>Anglais</t>
        </is>
      </c>
      <c r="C26" s="9" t="inlineStr"/>
    </row>
    <row r="27" ht="16" customHeight="1">
      <c r="B27" s="23" t="inlineStr">
        <is>
          <t>SVT</t>
        </is>
      </c>
      <c r="C27" s="9" t="inlineStr"/>
    </row>
    <row r="28" ht="16" customHeight="1">
      <c r="B28" s="24" t="inlineStr">
        <is>
          <t>Éveil scientifique</t>
        </is>
      </c>
      <c r="C28" s="9" t="inlineStr">
        <is>
          <t>Écrit dans la case : Éveil scientifique ou إيقاظ علمي</t>
        </is>
      </c>
    </row>
    <row r="29" ht="16" customHeight="1">
      <c r="B29" s="25" t="inlineStr">
        <is>
          <t>Histoire</t>
        </is>
      </c>
      <c r="C29" s="9" t="inlineStr"/>
    </row>
    <row r="30" ht="16" customHeight="1">
      <c r="B30" s="26" t="inlineStr">
        <is>
          <t>Géographie</t>
        </is>
      </c>
      <c r="C30" s="9" t="inlineStr"/>
    </row>
    <row r="31" ht="16" customHeight="1">
      <c r="B31" s="27" t="inlineStr">
        <is>
          <t>Philo</t>
        </is>
      </c>
      <c r="C31" s="9" t="inlineStr"/>
    </row>
    <row r="32" ht="16" customHeight="1">
      <c r="B32" s="28" t="inlineStr">
        <is>
          <t>Eco</t>
        </is>
      </c>
      <c r="C32" s="9" t="inlineStr"/>
    </row>
    <row r="33" ht="16" customHeight="1">
      <c r="B33" s="29" t="inlineStr">
        <is>
          <t>Gestion</t>
        </is>
      </c>
      <c r="C33" s="9" t="inlineStr"/>
    </row>
    <row r="34" ht="16" customHeight="1">
      <c r="B34" s="30" t="inlineStr">
        <is>
          <t>Informatique</t>
        </is>
      </c>
      <c r="C34" s="9" t="inlineStr"/>
    </row>
    <row r="35" ht="16" customHeight="1">
      <c r="B35" s="31" t="inlineStr">
        <is>
          <t>ALGO</t>
        </is>
      </c>
      <c r="C35" s="9" t="inlineStr"/>
    </row>
    <row r="36" ht="16" customHeight="1">
      <c r="B36" s="32" t="inlineStr">
        <is>
          <t>STI</t>
        </is>
      </c>
      <c r="C36" s="9" t="inlineStr"/>
    </row>
    <row r="37" ht="16" customHeight="1">
      <c r="B37" s="33" t="inlineStr">
        <is>
          <t>Espagnol</t>
        </is>
      </c>
      <c r="C37" s="9" t="inlineStr"/>
    </row>
    <row r="38" ht="16" customHeight="1">
      <c r="B38" s="34" t="inlineStr">
        <is>
          <t>Italien</t>
        </is>
      </c>
      <c r="C38" s="9" t="inlineStr"/>
    </row>
    <row r="39" ht="16" customHeight="1">
      <c r="B39" s="17" t="inlineStr">
        <is>
          <t>COULEUR DE LA COLONNE CLASSE — cycle</t>
        </is>
      </c>
    </row>
    <row r="40" ht="16" customHeight="1">
      <c r="B40" s="35" t="inlineStr">
        <is>
          <t>Primaire</t>
        </is>
      </c>
      <c r="C40" s="9" t="inlineStr">
        <is>
          <t>4éme, 5éme, 6éme Pilote (A), 6éme (B)</t>
        </is>
      </c>
    </row>
    <row r="41" ht="16" customHeight="1">
      <c r="B41" s="36" t="inlineStr">
        <is>
          <t>Collège</t>
        </is>
      </c>
      <c r="C41" s="9" t="inlineStr">
        <is>
          <t>7éme, 8éme et 9éme (8 groupes)</t>
        </is>
      </c>
    </row>
    <row r="42" ht="16" customHeight="1">
      <c r="B42" s="37" t="inlineStr">
        <is>
          <t>Secondaire</t>
        </is>
      </c>
      <c r="C42" s="9" t="inlineStr">
        <is>
          <t>1ére, 2éme et 3éme (8 groupes)</t>
        </is>
      </c>
    </row>
    <row r="43" ht="16" customHeight="1">
      <c r="B43" s="38" t="inlineStr">
        <is>
          <t>Bac</t>
        </is>
      </c>
      <c r="C43" s="9" t="inlineStr">
        <is>
          <t>Bac Eco, Bac SCE, Bac INFO</t>
        </is>
      </c>
    </row>
    <row r="44" ht="16" customHeight="1">
      <c r="B44" s="17" t="inlineStr">
        <is>
          <t>STATUT — couleur PRIORITAIRE, posée dans la colonne Statut de Planning</t>
        </is>
      </c>
    </row>
    <row r="45" ht="16" customHeight="1">
      <c r="B45" s="39" t="inlineStr">
        <is>
          <t>Annulé</t>
        </is>
      </c>
      <c r="C45" s="9" t="inlineStr">
        <is>
          <t>Remplace la couleur de la matière ; apparaît dans la case précédé de ⚑</t>
        </is>
      </c>
    </row>
    <row r="46" ht="16" customHeight="1">
      <c r="B46" s="40" t="inlineStr">
        <is>
          <t>Examen / Devoir</t>
        </is>
      </c>
      <c r="C46" s="9" t="inlineStr">
        <is>
          <t>Remplace la couleur de la matière ; apparaît dans la case précédé de ⚑</t>
        </is>
      </c>
    </row>
    <row r="47" ht="16" customHeight="1">
      <c r="B47" s="41" t="inlineStr">
        <is>
          <t>Rattrapage</t>
        </is>
      </c>
      <c r="C47" s="9" t="inlineStr">
        <is>
          <t>Remplace la couleur de la matière ; apparaît dans la case précédé de ⚑</t>
        </is>
      </c>
    </row>
    <row r="48" ht="16" customHeight="1">
      <c r="B48" s="42" t="inlineStr">
        <is>
          <t>À confirmer</t>
        </is>
      </c>
      <c r="C48" s="9" t="inlineStr">
        <is>
          <t>Remplace la couleur de la matière ; apparaît dans la case précédé de ⚑</t>
        </is>
      </c>
    </row>
    <row r="49" ht="16" customHeight="1">
      <c r="B49" s="43" t="inlineStr">
        <is>
          <t>Changement de salle</t>
        </is>
      </c>
      <c r="C49" s="9" t="inlineStr">
        <is>
          <t>Remplace la couleur de la matière ; apparaît dans la case précédé de ⚑</t>
        </is>
      </c>
    </row>
    <row r="50" ht="16" customHeight="1">
      <c r="B50" s="44" t="inlineStr">
        <is>
          <t>Séance en ligne</t>
        </is>
      </c>
      <c r="C50" s="9" t="inlineStr">
        <is>
          <t>Remplace la couleur de la matière ; apparaît dans la case précédé de ⚑</t>
        </is>
      </c>
    </row>
    <row r="51" ht="16" customHeight="1">
      <c r="B51" s="17" t="inlineStr">
        <is>
          <t>REPÈRES DANS LE TEXTE</t>
        </is>
      </c>
    </row>
    <row r="52" ht="16" customHeight="1">
      <c r="B52" s="45" t="inlineStr">
        <is>
          <t>Case fusionnée</t>
        </is>
      </c>
      <c r="C52" s="9" t="inlineStr">
        <is>
          <t>SÉANCE PARTAGÉE : elle n’est écrite qu’une fois et sa case couvre toutes les classes réunies sur ce créneau</t>
        </is>
      </c>
    </row>
    <row r="53" ht="16" customHeight="1">
      <c r="B53" s="46" t="inlineStr">
        <is>
          <t>Q-A</t>
        </is>
      </c>
      <c r="C53" s="9" t="inlineStr">
        <is>
          <t>Ce groupe a la séance en semaines A : 14/09 · 28/09 · 12/10 · 26/10</t>
        </is>
      </c>
    </row>
    <row r="54" ht="16" customHeight="1">
      <c r="B54" s="46" t="inlineStr">
        <is>
          <t>Q-B</t>
        </is>
      </c>
      <c r="C54" s="9" t="inlineStr">
        <is>
          <t>Ce groupe a la séance en semaines B : 21/09 · 05/10 · 19/10</t>
        </is>
      </c>
    </row>
    <row r="55" ht="16" customHeight="1">
      <c r="B55" s="45" t="inlineStr">
        <is>
          <t>OPT</t>
        </is>
      </c>
      <c r="C55" s="9" t="inlineStr">
        <is>
          <t>Cours au choix : le groupe se scinde sur ce créneau (Espagnol OU Italien)</t>
        </is>
      </c>
    </row>
    <row r="56" ht="16" customHeight="1">
      <c r="B56" s="45" t="inlineStr">
        <is>
          <t>PONCT.</t>
        </is>
      </c>
      <c r="C56" s="9" t="inlineStr">
        <is>
          <t>Séance exceptionnelle, non récurrente (ex. rattrapage)</t>
        </is>
      </c>
    </row>
    <row r="57" ht="16" customHeight="1">
      <c r="B57" s="45" t="inlineStr">
        <is>
          <t>EN LIGNE</t>
        </is>
      </c>
      <c r="C57" s="9" t="inlineStr">
        <is>
          <t>Séance à distance (à renseigner dans la colonne Mode de Planning)</t>
        </is>
      </c>
    </row>
    <row r="58" ht="16" customHeight="1">
      <c r="B58" s="45" t="inlineStr">
        <is>
          <t>Case grisée</t>
        </is>
      </c>
      <c r="C58" s="9" t="inlineStr">
        <is>
          <t>Aucune séance sur ce créneau</t>
        </is>
      </c>
    </row>
    <row r="59" ht="16" customHeight="1">
      <c r="B59" s="45" t="inlineStr">
        <is>
          <t>Couleur libre</t>
        </is>
      </c>
      <c r="C59" s="9" t="inlineStr">
        <is>
          <t>Toute case est recolorable à la main : les couleurs de matière sont posées en dur, pas en mise en forme conditionnelle</t>
        </is>
      </c>
    </row>
    <row r="60" ht="16" customHeight="1">
      <c r="B60" s="47" t="inlineStr">
        <is>
          <t>⚠ en rouge</t>
        </is>
      </c>
      <c r="C60" s="9" t="inlineStr">
        <is>
          <t>Conflit horaire, doublon ou anomalie détectée automatiquement</t>
        </is>
      </c>
    </row>
    <row r="62" ht="22" customHeight="1">
      <c r="B62" s="5" t="inlineStr">
        <is>
          <t>MODE D’EMPLOI</t>
        </is>
      </c>
      <c r="C62" s="6" t="n"/>
      <c r="D62" s="6" t="n"/>
      <c r="E62" s="6" t="n"/>
    </row>
    <row r="63">
      <c r="B63" s="7" t="inlineStr">
        <is>
          <t>#</t>
        </is>
      </c>
      <c r="C63" s="7" t="inlineStr">
        <is>
          <t>Action</t>
        </is>
      </c>
      <c r="D63" s="7" t="inlineStr">
        <is>
          <t>Comment faire</t>
        </is>
      </c>
      <c r="E63" s="48" t="n"/>
    </row>
    <row r="64" ht="30" customHeight="1">
      <c r="B64" s="45" t="inlineStr">
        <is>
          <t>1.  Modifier une séance existante</t>
        </is>
      </c>
      <c r="C64" s="49" t="inlineStr">
        <is>
          <t>Dans la feuille Planning : changer l’horaire, la matière, l’enseignant, la salle ou le mode. La grille de la semaine et tous les indicateurs se mettent à jour SEULS (chaque case va chercher sa séance par son ID).</t>
        </is>
      </c>
    </row>
    <row r="65" ht="30" customHeight="1">
      <c r="B65" s="45" t="inlineStr">
        <is>
          <t>2.  Ajouter ou supprimer une séance</t>
        </is>
      </c>
      <c r="C65" s="49" t="inlineStr">
        <is>
          <t>Ajouter la ligne dans Planning (recopier les formules des colonnes H et X à AD depuis la ligne du dessus). ATTENTION : la STRUCTURE des grilles (nombre de lignes par classe et cellules fusionnées) est figée à la construction — une séance ajoutée n’apparaîtra pas toute seule dans la grille. Demandez-moi de régénérer le classeur, ou reportez-la à la main.</t>
        </is>
      </c>
    </row>
    <row r="66" ht="30" customHeight="1">
      <c r="B66" s="45" t="inlineStr">
        <is>
          <t>3.  Renseigner une salle ou une séance en ligne</t>
        </is>
      </c>
      <c r="C66" s="49" t="inlineStr">
        <is>
          <t>Colonnes Salle et Mode de Planning (menus déroulants). L’indication apparaît aussitôt dans la grille de la semaine.</t>
        </is>
      </c>
    </row>
    <row r="67" ht="30" customHeight="1">
      <c r="B67" s="45" t="inlineStr">
        <is>
          <t>3 bis.  Mettre une séance en évidence</t>
        </is>
      </c>
      <c r="C67" s="49" t="inlineStr">
        <is>
          <t>Deux moyens. (a) Colonne Statut de Planning (Annulé, Examen, Rattrapage…) : la case prend la couleur du statut, précédée de ⚑, et cela survit à une régénération du classeur. (b) Colorer la case directement dans la grille : c’est possible partout, les couleurs de matière étant posées en dur. Un statut l’emporte toujours sur une couleur posée à la main.</t>
        </is>
      </c>
    </row>
    <row r="68" ht="30" customHeight="1">
      <c r="B68" s="45" t="inlineStr">
        <is>
          <t>4.  Vérifier la fiabilité</t>
        </is>
      </c>
      <c r="C68" s="49" t="inlineStr">
        <is>
          <t>Ouvrir la feuille Contrôles : la colonne Statut doit afficher « OK » partout.</t>
        </is>
      </c>
    </row>
    <row r="69" ht="30" customHeight="1">
      <c r="B69" s="45" t="inlineStr">
        <is>
          <t>5.  Imprimer ou envoyer en PDF</t>
        </is>
      </c>
      <c r="C69" s="49" t="inlineStr">
        <is>
          <t>Chaque grille est déjà paramétrée : A4 paysage, 1 page de large, saut de page à chaque changement de cycle, en-têtes répétés. Fichier ▸ Exporter au format PDF.</t>
        </is>
      </c>
    </row>
    <row r="70" ht="30" customHeight="1">
      <c r="B70" s="45" t="inlineStr">
        <is>
          <t>6.  Préparer novembre</t>
        </is>
      </c>
      <c r="C70" s="49" t="inlineStr">
        <is>
          <t>Dupliquer une grille d’octobre, renommer l’onglet, mettre à jour la cellule J4 (masquée) avec le nouveau code de semaine, ajouter la semaine dans Référentiels, puis ajouter ses lignes dans Planning (filtrer une semaine existante, copier, coller et changer Semaine / Période / Date).</t>
        </is>
      </c>
    </row>
    <row r="72" ht="22" customHeight="1">
      <c r="B72" s="5" t="inlineStr">
        <is>
          <t>À LIRE AVANT UTILISATION</t>
        </is>
      </c>
      <c r="C72" s="6" t="n"/>
      <c r="D72" s="6" t="n"/>
      <c r="E72" s="6" t="n"/>
    </row>
    <row r="73" ht="28" customHeight="1">
      <c r="B73" s="50" t="inlineStr">
        <is>
          <t>•   Salle et Mode (présentiel / en ligne) sont absents du fichier d’origine : les colonnes existent mais sont vides. Aucune valeur n’a été inventée.</t>
        </is>
      </c>
    </row>
    <row r="74" ht="28" customHeight="1">
      <c r="B74" s="50" t="inlineStr">
        <is>
          <t>•   Le planning d’octobre a été construit à partir de la semaine du 28/09 au 04/10, désignée comme référence. Les séances par quinzaine ont été identifiées en comparant les 3 semaines de septembre.</t>
        </is>
      </c>
    </row>
    <row r="75" ht="28" customHeight="1">
      <c r="B75" s="50" t="inlineStr">
        <is>
          <t>•   Les 301 séances de septembre — soit 370 lignes groupe-séance — sont conservées à l’identique, y compris les fautes de frappe d’origine (colonne « Texte d’origine » de Planning).</t>
        </is>
      </c>
    </row>
    <row r="76" ht="28" customHeight="1">
      <c r="B76" s="50" t="inlineStr">
        <is>
          <t>•   Les séances partagées entre plusieurs groupes (Physique de Melek, Espagnol, Italien, Français de Nassima…) sont conservées comme telles : un groupe par ligne dans Planning, reliés par un même ID séance, et une seule cellule fusionnée dans la grille.</t>
        </is>
      </c>
    </row>
    <row r="77" ht="28" customHeight="1">
      <c r="B77" s="50" t="inlineStr">
        <is>
          <t>•   17 décisions et points ambigus sont détaillés en bas de la feuille Contrôles. Trois méritent votre arbitrage : les Physique « /par quinzaine » de Melek, le STI du lundi en 3éme INFO, et le jeudi 15/10 (jour férié).</t>
        </is>
      </c>
    </row>
    <row r="78" ht="28" customHeight="1">
      <c r="B78" s="50" t="inlineStr">
        <is>
          <t>•   Chaque matière a sa propre couleur (17 teintes, liste en légende), posée EN DUR dans les cellules : vous pouvez donc recolorer n’importe quelle case à la main. Revers de la médaille : si vous changez la matière d’une séance dans Planning, le texte suit mais PAS la couleur — régénérez le classeur, ou corrigez la couleur vous-même.</t>
        </is>
      </c>
    </row>
    <row r="79" ht="28" customHeight="1">
      <c r="B79" s="50" t="inlineStr">
        <is>
          <t>•   Les grilles sont calculées par formules : à la première ouverture, laisser Excel recalculer (ou appuyer sur F9). Leur structure (lignes et fusions) est en revanche figée : voir le point 2 du mode d’emploi.</t>
        </is>
      </c>
    </row>
  </sheetData>
  <mergeCells count="61">
    <mergeCell ref="C54:E54"/>
    <mergeCell ref="C50:E50"/>
    <mergeCell ref="C41:E41"/>
    <mergeCell ref="C55:E55"/>
    <mergeCell ref="C31:E31"/>
    <mergeCell ref="D63:E63"/>
    <mergeCell ref="B74:E74"/>
    <mergeCell ref="C22:E22"/>
    <mergeCell ref="C40:E40"/>
    <mergeCell ref="C56:E56"/>
    <mergeCell ref="B5:E5"/>
    <mergeCell ref="B20:E20"/>
    <mergeCell ref="B51:E51"/>
    <mergeCell ref="C59:E59"/>
    <mergeCell ref="C43:E43"/>
    <mergeCell ref="C46:E46"/>
    <mergeCell ref="B76:E76"/>
    <mergeCell ref="C60:E60"/>
    <mergeCell ref="C65:E65"/>
    <mergeCell ref="C36:E36"/>
    <mergeCell ref="B79:E79"/>
    <mergeCell ref="C27:E27"/>
    <mergeCell ref="C52:E52"/>
    <mergeCell ref="B75:E75"/>
    <mergeCell ref="C23:E23"/>
    <mergeCell ref="B62:E62"/>
    <mergeCell ref="C70:E70"/>
    <mergeCell ref="C48:E48"/>
    <mergeCell ref="B72:E72"/>
    <mergeCell ref="B3:E3"/>
    <mergeCell ref="C67:E67"/>
    <mergeCell ref="C32:E32"/>
    <mergeCell ref="C38:E38"/>
    <mergeCell ref="C28:E28"/>
    <mergeCell ref="C66:E66"/>
    <mergeCell ref="C57:E57"/>
    <mergeCell ref="C37:E37"/>
    <mergeCell ref="C53:E53"/>
    <mergeCell ref="B21:E21"/>
    <mergeCell ref="C69:E69"/>
    <mergeCell ref="C49:E49"/>
    <mergeCell ref="B39:E39"/>
    <mergeCell ref="B77:E77"/>
    <mergeCell ref="B2:E2"/>
    <mergeCell ref="C30:E30"/>
    <mergeCell ref="C68:E68"/>
    <mergeCell ref="C34:E34"/>
    <mergeCell ref="C24:E24"/>
    <mergeCell ref="C42:E42"/>
    <mergeCell ref="C58:E58"/>
    <mergeCell ref="C33:E33"/>
    <mergeCell ref="B73:E73"/>
    <mergeCell ref="C45:E45"/>
    <mergeCell ref="B44:E44"/>
    <mergeCell ref="B78:E78"/>
    <mergeCell ref="C26:E26"/>
    <mergeCell ref="C64:E64"/>
    <mergeCell ref="C29:E29"/>
    <mergeCell ref="C35:E35"/>
    <mergeCell ref="C25:E25"/>
    <mergeCell ref="C47:E47"/>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s>
  <printOptions horizontalCentered="1" gridLines="0"/>
  <pageMargins left="0.35" right="0.35" top="0.5" bottom="0.45" header="0.2" footer="0.2"/>
  <pageSetup orientation="portrait" paperSize="9" fitToHeight="0" fitToWidth="1"/>
  <headerFooter>
    <oddHeader>&amp;R&amp;"Arial,Italic"&amp;8 </oddHeader>
    <oddFooter>&amp;L&amp;8 RS 2026-2027 · Sommaire&amp;R&amp;8 Page &amp;P / &amp;N</oddFooter>
    <evenHeader/>
    <evenFooter/>
    <firstHeader/>
    <firstFooter/>
  </headerFooter>
</worksheet>
</file>

<file path=xl/worksheets/sheet2.xml><?xml version="1.0" encoding="utf-8"?>
<worksheet xmlns="http://schemas.openxmlformats.org/spreadsheetml/2006/main">
  <sheetPr>
    <tabColor rgb="001B2A41"/>
    <outlinePr summaryBelow="1" summaryRight="1"/>
    <pageSetUpPr fitToPage="1"/>
  </sheetPr>
  <dimension ref="A1:AG863"/>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7" customWidth="1" min="3" max="3"/>
    <col width="11" customWidth="1" min="4" max="4"/>
    <col width="11" customWidth="1" min="5" max="5"/>
    <col width="7.5" customWidth="1" min="6" max="6"/>
    <col width="7.5" customWidth="1" min="7" max="7"/>
    <col width="9" customWidth="1" min="8" max="8"/>
    <col width="12" customWidth="1" min="9" max="9"/>
    <col width="18" customWidth="1" min="10" max="10"/>
    <col width="20" customWidth="1" min="11" max="11"/>
    <col width="19" customWidth="1" min="12" max="12"/>
    <col width="17" customWidth="1" min="13" max="13"/>
    <col width="10" customWidth="1" min="14" max="14"/>
    <col width="12" customWidth="1" min="15" max="15"/>
    <col width="24" customWidth="1" min="16" max="16"/>
    <col width="34" customWidth="1" min="17" max="17"/>
    <col width="9" customWidth="1" min="18" max="18"/>
    <col width="12" customWidth="1" min="19" max="19"/>
    <col width="11" customWidth="1" min="20" max="20"/>
    <col width="19" customWidth="1" min="21" max="21"/>
    <col width="30" customWidth="1" min="22" max="22"/>
    <col width="19" customWidth="1" min="23" max="23"/>
    <col width="14" customWidth="1" min="24" max="24"/>
    <col width="19" customWidth="1" min="25" max="25"/>
    <col width="17" customWidth="1" min="26" max="26"/>
    <col width="12" customWidth="1" min="27" max="27"/>
    <col width="17" customWidth="1" min="28" max="28"/>
    <col width="7" customWidth="1" min="29" max="29"/>
    <col width="34" customWidth="1" min="30" max="30"/>
    <col width="46" customWidth="1" min="31" max="31"/>
    <col width="52" customWidth="1" min="32" max="32"/>
    <col width="26" customWidth="1" min="33" max="33"/>
  </cols>
  <sheetData>
    <row r="1" ht="34" customHeight="1">
      <c r="A1" s="51" t="inlineStr">
        <is>
          <t>PLANNING DES SÉANCES — Année scolaire 2026-2027</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20" customHeight="1">
      <c r="A2" s="52" t="inlineStr">
        <is>
          <t>TABLE DE RÉFÉRENCE : toute modification se fait ici. 1 ligne = 1 groupe dans une séance. Une séance partagée entre plusieurs groupes occupe autant de lignes que de groupes, reliées par le même ID séance (seule la 1re porte « Ligne principale = Oui », pour ne compter l'heure d'enseignement qu'une fois). Colonnes Y à AG = zone technique, ne pas saisir.</t>
        </is>
      </c>
      <c r="B2" s="53" t="n"/>
      <c r="C2" s="53" t="n"/>
      <c r="D2" s="53" t="n"/>
      <c r="E2" s="53" t="n"/>
      <c r="F2" s="53" t="n"/>
      <c r="G2" s="53" t="n"/>
      <c r="H2" s="53" t="n"/>
      <c r="I2" s="53" t="n"/>
      <c r="J2" s="53" t="n"/>
      <c r="K2" s="53" t="n"/>
      <c r="L2" s="53" t="n"/>
      <c r="M2" s="53" t="n"/>
      <c r="N2" s="53" t="n"/>
      <c r="O2" s="53" t="n"/>
      <c r="P2" s="53" t="n"/>
      <c r="Q2" s="53" t="n"/>
      <c r="R2" s="53" t="n"/>
      <c r="S2" s="53" t="n"/>
      <c r="T2" s="53" t="n"/>
      <c r="U2" s="53" t="n"/>
      <c r="V2" s="53" t="n"/>
      <c r="W2" s="53" t="n"/>
      <c r="X2" s="53" t="n"/>
      <c r="Y2" s="53" t="n"/>
      <c r="Z2" s="53" t="n"/>
      <c r="AA2" s="53" t="n"/>
      <c r="AB2" s="53" t="n"/>
      <c r="AC2" s="53" t="n"/>
      <c r="AD2" s="53" t="n"/>
      <c r="AE2" s="53" t="n"/>
      <c r="AF2" s="53" t="n"/>
      <c r="AG2" s="53" t="n"/>
    </row>
    <row r="3" ht="34" customHeight="1">
      <c r="A3" s="7" t="inlineStr">
        <is>
          <t>Semaine</t>
        </is>
      </c>
      <c r="B3" s="7" t="inlineStr">
        <is>
          <t>Période</t>
        </is>
      </c>
      <c r="C3" s="7" t="inlineStr">
        <is>
          <t>Parité</t>
        </is>
      </c>
      <c r="D3" s="7" t="inlineStr">
        <is>
          <t>Date</t>
        </is>
      </c>
      <c r="E3" s="7" t="inlineStr">
        <is>
          <t>Jour</t>
        </is>
      </c>
      <c r="F3" s="7" t="inlineStr">
        <is>
          <t>Début</t>
        </is>
      </c>
      <c r="G3" s="7" t="inlineStr">
        <is>
          <t>Fin</t>
        </is>
      </c>
      <c r="H3" s="7" t="inlineStr">
        <is>
          <t>Durée (h)</t>
        </is>
      </c>
      <c r="I3" s="7" t="inlineStr">
        <is>
          <t>Cycle</t>
        </is>
      </c>
      <c r="J3" s="7" t="inlineStr">
        <is>
          <t>Classe / Groupe</t>
        </is>
      </c>
      <c r="K3" s="7" t="inlineStr">
        <is>
          <t>Matière</t>
        </is>
      </c>
      <c r="L3" s="7" t="inlineStr">
        <is>
          <t>Matière (normalisée)</t>
        </is>
      </c>
      <c r="M3" s="7" t="inlineStr">
        <is>
          <t>Enseignant</t>
        </is>
      </c>
      <c r="N3" s="7" t="inlineStr">
        <is>
          <t>Salle</t>
        </is>
      </c>
      <c r="O3" s="7" t="inlineStr">
        <is>
          <t>Mode</t>
        </is>
      </c>
      <c r="P3" s="7" t="inlineStr">
        <is>
          <t>Rythme</t>
        </is>
      </c>
      <c r="Q3" s="54" t="inlineStr">
        <is>
          <t>Séance partagée avec</t>
        </is>
      </c>
      <c r="R3" s="54" t="inlineStr">
        <is>
          <t>Nb groupes</t>
        </is>
      </c>
      <c r="S3" s="54" t="inlineStr">
        <is>
          <t>Ligne principale</t>
        </is>
      </c>
      <c r="T3" s="54" t="inlineStr">
        <is>
          <t>ID séance</t>
        </is>
      </c>
      <c r="U3" s="7" t="inlineStr">
        <is>
          <t>Origine</t>
        </is>
      </c>
      <c r="V3" s="7" t="inlineStr">
        <is>
          <t>Notes</t>
        </is>
      </c>
      <c r="W3" s="55" t="inlineStr">
        <is>
          <t>Statut</t>
        </is>
      </c>
      <c r="X3" s="55" t="inlineStr">
        <is>
          <t>Cours en option</t>
        </is>
      </c>
      <c r="Y3" s="56" t="inlineStr">
        <is>
          <t>⚠ Conflit enseignant</t>
        </is>
      </c>
      <c r="Z3" s="56" t="inlineStr">
        <is>
          <t>⚠ Conflit classe</t>
        </is>
      </c>
      <c r="AA3" s="56" t="inlineStr">
        <is>
          <t>⚠ Doublon</t>
        </is>
      </c>
      <c r="AB3" s="56" t="inlineStr">
        <is>
          <t>⚠ Partage incohérent</t>
        </is>
      </c>
      <c r="AC3" s="57" t="inlineStr">
        <is>
          <t>Rang</t>
        </is>
      </c>
      <c r="AD3" s="57" t="inlineStr">
        <is>
          <t>Clé</t>
        </is>
      </c>
      <c r="AE3" s="57" t="inlineStr">
        <is>
          <t>Libellé grille</t>
        </is>
      </c>
      <c r="AF3" s="57" t="inlineStr">
        <is>
          <t>Texte d'origine</t>
        </is>
      </c>
      <c r="AG3" s="57" t="inlineStr">
        <is>
          <t>Réf. cellule source</t>
        </is>
      </c>
    </row>
    <row r="4" ht="15" customHeight="1">
      <c r="A4" s="58" t="inlineStr">
        <is>
          <t>S1</t>
        </is>
      </c>
      <c r="B4" s="59" t="inlineStr">
        <is>
          <t>du 14 au 20 septembre 2026</t>
        </is>
      </c>
      <c r="C4" s="58" t="inlineStr">
        <is>
          <t>A</t>
        </is>
      </c>
      <c r="D4" s="60" t="n">
        <v>46279</v>
      </c>
      <c r="E4" s="58" t="inlineStr">
        <is>
          <t>Lundi</t>
        </is>
      </c>
      <c r="F4" s="61" t="n">
        <v>0.7916666666666666</v>
      </c>
      <c r="G4" s="61" t="n">
        <v>0.875</v>
      </c>
      <c r="H4" s="62">
        <f>IF(OR($F4="",$G4=""),"",($G4-$F4)*24)</f>
        <v/>
      </c>
      <c r="I4" s="58" t="inlineStr">
        <is>
          <t>Primaire</t>
        </is>
      </c>
      <c r="J4" s="59" t="inlineStr">
        <is>
          <t>4éme</t>
        </is>
      </c>
      <c r="K4" s="63" t="inlineStr">
        <is>
          <t>عربية</t>
        </is>
      </c>
      <c r="L4" s="63" t="inlineStr">
        <is>
          <t>Arabe</t>
        </is>
      </c>
      <c r="M4" s="59" t="inlineStr">
        <is>
          <t>Lobna</t>
        </is>
      </c>
      <c r="N4" s="58" t="n"/>
      <c r="O4" s="58" t="n"/>
      <c r="P4" s="58" t="inlineStr">
        <is>
          <t>Hebdomadaire</t>
        </is>
      </c>
      <c r="Q4" s="59" t="inlineStr"/>
      <c r="R4" s="58" t="n">
        <v>1</v>
      </c>
      <c r="S4" s="58" t="inlineStr">
        <is>
          <t>Oui</t>
        </is>
      </c>
      <c r="T4" s="58" t="inlineStr">
        <is>
          <t>S1-001</t>
        </is>
      </c>
      <c r="U4" s="59" t="inlineStr">
        <is>
          <t>Original (septembre)</t>
        </is>
      </c>
      <c r="V4" s="59" t="inlineStr"/>
      <c r="W4" s="10" t="n"/>
      <c r="X4" s="10" t="inlineStr"/>
      <c r="Y4" s="64">
        <f>IF($M4="","",IF(SUMPRODUCT(($D$4:$D$863=$D4)*($M$4:$M$863=$M4)*($T$4:$T$863&lt;&gt;$T4)*($F$4:$F$863&lt;$G4)*($G$4:$G$863&gt;$F4))&gt;0,"⚠ CONFLIT",""))</f>
        <v/>
      </c>
      <c r="Z4" s="64">
        <f>IF($J4="","",IF(SUMPRODUCT(($D$4:$D$863=$D4)*($J$4:$J$863=$J4)*($T$4:$T$863&lt;&gt;$T4)*($F$4:$F$863&lt;$G4)*($G$4:$G$863&gt;$F4)*(1-($X$4:$X$863="Oui")*($X4="Oui")))&gt;0,"⚠ CONFLIT",""))</f>
        <v/>
      </c>
      <c r="AA4" s="64">
        <f>IF(COUNTIFS($D$4:$D$863,$D4,$J$4:$J$863,$J4,$F$4:$F$863,$F4,$K$4:$K$863,$K4)&gt;1,"⚠ DOUBLON","")</f>
        <v/>
      </c>
      <c r="AB4" s="64">
        <f>IF(COUNTIF($T$4:$T$863,$T4)&lt;&gt;COUNTIFS($T$4:$T$863,$T4,$D$4:$D$863,$D4,$F$4:$F$863,$F4,$G$4:$G$863,$G4,$K$4:$K$863,$K4,$M$4:$M$863,$M4),"⚠ INCOHÉRENT","")</f>
        <v/>
      </c>
      <c r="AC4" s="64">
        <f>COUNTIFS($A$4:$A4,$A4,$J$4:$J4,$J4,$E$4:$E4,$E4)</f>
        <v/>
      </c>
      <c r="AD4" s="65">
        <f>$A4&amp;"|"&amp;$J4&amp;"|"&amp;$E4&amp;"|"&amp;$AC4</f>
        <v/>
      </c>
      <c r="AE4" s="66">
        <f>IF($W4&lt;&gt;"","⚑ "&amp;$W4&amp;CHAR(10),"")&amp;TEXT($F4,"hh:mm")&amp;"-"&amp;TEXT($G4,"hh:mm")&amp;IF(OR($P4="Quinzaine A",AND($P4="Hebdo · groupes alternés",$C4="A"))," Q-A",IF(OR($P4="Quinzaine B",AND($P4="Hebdo · groupes alternés",$C4="B"))," Q-B",IF($P4="Exception"," PONCT.","")))&amp;IF($X4="Oui"," OPT","")&amp;CHAR(10)&amp;$K4&amp;CHAR(10)&amp;$M4&amp;IF($N4&lt;&gt;"",CHAR(10)&amp;"Salle "&amp;$N4,"")&amp;IF($O4="En ligne",CHAR(10)&amp;"EN LIGNE","")&amp;IF($V4&lt;&gt;"",CHAR(10)&amp;$V4,"")</f>
        <v/>
      </c>
      <c r="AF4" s="65" t="inlineStr">
        <is>
          <t>19h-21h عربية (Lobna)</t>
        </is>
      </c>
      <c r="AG4" s="65" t="inlineStr">
        <is>
          <t>du 14-09 jusquà le 20-09!G3</t>
        </is>
      </c>
    </row>
    <row r="5" ht="15" customHeight="1">
      <c r="A5" s="58" t="inlineStr">
        <is>
          <t>S1</t>
        </is>
      </c>
      <c r="B5" s="59" t="inlineStr">
        <is>
          <t>du 14 au 20 septembre 2026</t>
        </is>
      </c>
      <c r="C5" s="58" t="inlineStr">
        <is>
          <t>A</t>
        </is>
      </c>
      <c r="D5" s="60" t="n">
        <v>46279</v>
      </c>
      <c r="E5" s="58" t="inlineStr">
        <is>
          <t>Lundi</t>
        </is>
      </c>
      <c r="F5" s="61" t="n">
        <v>0.7916666666666666</v>
      </c>
      <c r="G5" s="61" t="n">
        <v>0.8541666666666666</v>
      </c>
      <c r="H5" s="62">
        <f>IF(OR($F5="",$G5=""),"",($G5-$F5)*24)</f>
        <v/>
      </c>
      <c r="I5" s="58" t="inlineStr">
        <is>
          <t>Primaire</t>
        </is>
      </c>
      <c r="J5" s="59" t="inlineStr">
        <is>
          <t>6éme Pilote (A)</t>
        </is>
      </c>
      <c r="K5" s="67" t="inlineStr">
        <is>
          <t>Français</t>
        </is>
      </c>
      <c r="L5" s="67" t="inlineStr">
        <is>
          <t>Français</t>
        </is>
      </c>
      <c r="M5" s="59" t="inlineStr">
        <is>
          <t>Hend</t>
        </is>
      </c>
      <c r="N5" s="58" t="n"/>
      <c r="O5" s="58" t="n"/>
      <c r="P5" s="58" t="inlineStr">
        <is>
          <t>Hebdomadaire</t>
        </is>
      </c>
      <c r="Q5" s="59" t="inlineStr"/>
      <c r="R5" s="58" t="n">
        <v>1</v>
      </c>
      <c r="S5" s="58" t="inlineStr">
        <is>
          <t>Oui</t>
        </is>
      </c>
      <c r="T5" s="58" t="inlineStr">
        <is>
          <t>S1-002</t>
        </is>
      </c>
      <c r="U5" s="59" t="inlineStr">
        <is>
          <t>Original (septembre)</t>
        </is>
      </c>
      <c r="V5" s="59" t="inlineStr"/>
      <c r="W5" s="10" t="n"/>
      <c r="X5" s="10" t="inlineStr"/>
      <c r="Y5" s="64">
        <f>IF($M5="","",IF(SUMPRODUCT(($D$4:$D$863=$D5)*($M$4:$M$863=$M5)*($T$4:$T$863&lt;&gt;$T5)*($F$4:$F$863&lt;$G5)*($G$4:$G$863&gt;$F5))&gt;0,"⚠ CONFLIT",""))</f>
        <v/>
      </c>
      <c r="Z5" s="64">
        <f>IF($J5="","",IF(SUMPRODUCT(($D$4:$D$863=$D5)*($J$4:$J$863=$J5)*($T$4:$T$863&lt;&gt;$T5)*($F$4:$F$863&lt;$G5)*($G$4:$G$863&gt;$F5)*(1-($X$4:$X$863="Oui")*($X5="Oui")))&gt;0,"⚠ CONFLIT",""))</f>
        <v/>
      </c>
      <c r="AA5" s="64">
        <f>IF(COUNTIFS($D$4:$D$863,$D5,$J$4:$J$863,$J5,$F$4:$F$863,$F5,$K$4:$K$863,$K5)&gt;1,"⚠ DOUBLON","")</f>
        <v/>
      </c>
      <c r="AB5" s="64">
        <f>IF(COUNTIF($T$4:$T$863,$T5)&lt;&gt;COUNTIFS($T$4:$T$863,$T5,$D$4:$D$863,$D5,$F$4:$F$863,$F5,$G$4:$G$863,$G5,$K$4:$K$863,$K5,$M$4:$M$863,$M5),"⚠ INCOHÉRENT","")</f>
        <v/>
      </c>
      <c r="AC5" s="64">
        <f>COUNTIFS($A$4:$A5,$A5,$J$4:$J5,$J5,$E$4:$E5,$E5)</f>
        <v/>
      </c>
      <c r="AD5" s="65">
        <f>$A5&amp;"|"&amp;$J5&amp;"|"&amp;$E5&amp;"|"&amp;$AC5</f>
        <v/>
      </c>
      <c r="AE5" s="66">
        <f>IF($W5&lt;&gt;"","⚑ "&amp;$W5&amp;CHAR(10),"")&amp;TEXT($F5,"hh:mm")&amp;"-"&amp;TEXT($G5,"hh:mm")&amp;IF(OR($P5="Quinzaine A",AND($P5="Hebdo · groupes alternés",$C5="A"))," Q-A",IF(OR($P5="Quinzaine B",AND($P5="Hebdo · groupes alternés",$C5="B"))," Q-B",IF($P5="Exception"," PONCT.","")))&amp;IF($X5="Oui"," OPT","")&amp;CHAR(10)&amp;$K5&amp;CHAR(10)&amp;$M5&amp;IF($N5&lt;&gt;"",CHAR(10)&amp;"Salle "&amp;$N5,"")&amp;IF($O5="En ligne",CHAR(10)&amp;"EN LIGNE","")&amp;IF($V5&lt;&gt;"",CHAR(10)&amp;$V5,"")</f>
        <v/>
      </c>
      <c r="AF5" s="65" t="inlineStr">
        <is>
          <t>19h-20h30 Français (Hend)</t>
        </is>
      </c>
      <c r="AG5" s="65" t="inlineStr">
        <is>
          <t>du 14-09 jusquà le 20-09!G12</t>
        </is>
      </c>
    </row>
    <row r="6" ht="15" customHeight="1">
      <c r="A6" s="68" t="inlineStr">
        <is>
          <t>S1</t>
        </is>
      </c>
      <c r="B6" s="69" t="inlineStr">
        <is>
          <t>du 14 au 20 septembre 2026</t>
        </is>
      </c>
      <c r="C6" s="68" t="inlineStr">
        <is>
          <t>A</t>
        </is>
      </c>
      <c r="D6" s="70" t="n">
        <v>46279</v>
      </c>
      <c r="E6" s="68" t="inlineStr">
        <is>
          <t>Lundi</t>
        </is>
      </c>
      <c r="F6" s="71" t="n">
        <v>0.8125</v>
      </c>
      <c r="G6" s="71" t="n">
        <v>0.875</v>
      </c>
      <c r="H6" s="72">
        <f>IF(OR($F6="",$G6=""),"",($G6-$F6)*24)</f>
        <v/>
      </c>
      <c r="I6" s="68" t="inlineStr">
        <is>
          <t>Collège</t>
        </is>
      </c>
      <c r="J6" s="69" t="inlineStr">
        <is>
          <t>7éme (B)</t>
        </is>
      </c>
      <c r="K6" s="63" t="inlineStr">
        <is>
          <t>Arabe</t>
        </is>
      </c>
      <c r="L6" s="63" t="inlineStr">
        <is>
          <t>Arabe</t>
        </is>
      </c>
      <c r="M6" s="69" t="inlineStr">
        <is>
          <t>Yahya</t>
        </is>
      </c>
      <c r="N6" s="68" t="n"/>
      <c r="O6" s="68" t="n"/>
      <c r="P6" s="68" t="inlineStr">
        <is>
          <t>Hebdomadaire</t>
        </is>
      </c>
      <c r="Q6" s="69" t="inlineStr"/>
      <c r="R6" s="68" t="n">
        <v>1</v>
      </c>
      <c r="S6" s="68" t="inlineStr">
        <is>
          <t>Oui</t>
        </is>
      </c>
      <c r="T6" s="68" t="inlineStr">
        <is>
          <t>S1-003</t>
        </is>
      </c>
      <c r="U6" s="69" t="inlineStr">
        <is>
          <t>Original (septembre)</t>
        </is>
      </c>
      <c r="V6" s="69" t="inlineStr"/>
      <c r="W6" s="10" t="n"/>
      <c r="X6" s="10" t="inlineStr"/>
      <c r="Y6" s="64">
        <f>IF($M6="","",IF(SUMPRODUCT(($D$4:$D$863=$D6)*($M$4:$M$863=$M6)*($T$4:$T$863&lt;&gt;$T6)*($F$4:$F$863&lt;$G6)*($G$4:$G$863&gt;$F6))&gt;0,"⚠ CONFLIT",""))</f>
        <v/>
      </c>
      <c r="Z6" s="64">
        <f>IF($J6="","",IF(SUMPRODUCT(($D$4:$D$863=$D6)*($J$4:$J$863=$J6)*($T$4:$T$863&lt;&gt;$T6)*($F$4:$F$863&lt;$G6)*($G$4:$G$863&gt;$F6)*(1-($X$4:$X$863="Oui")*($X6="Oui")))&gt;0,"⚠ CONFLIT",""))</f>
        <v/>
      </c>
      <c r="AA6" s="64">
        <f>IF(COUNTIFS($D$4:$D$863,$D6,$J$4:$J$863,$J6,$F$4:$F$863,$F6,$K$4:$K$863,$K6)&gt;1,"⚠ DOUBLON","")</f>
        <v/>
      </c>
      <c r="AB6" s="64">
        <f>IF(COUNTIF($T$4:$T$863,$T6)&lt;&gt;COUNTIFS($T$4:$T$863,$T6,$D$4:$D$863,$D6,$F$4:$F$863,$F6,$G$4:$G$863,$G6,$K$4:$K$863,$K6,$M$4:$M$863,$M6),"⚠ INCOHÉRENT","")</f>
        <v/>
      </c>
      <c r="AC6" s="64">
        <f>COUNTIFS($A$4:$A6,$A6,$J$4:$J6,$J6,$E$4:$E6,$E6)</f>
        <v/>
      </c>
      <c r="AD6" s="65">
        <f>$A6&amp;"|"&amp;$J6&amp;"|"&amp;$E6&amp;"|"&amp;$AC6</f>
        <v/>
      </c>
      <c r="AE6" s="66">
        <f>IF($W6&lt;&gt;"","⚑ "&amp;$W6&amp;CHAR(10),"")&amp;TEXT($F6,"hh:mm")&amp;"-"&amp;TEXT($G6,"hh:mm")&amp;IF(OR($P6="Quinzaine A",AND($P6="Hebdo · groupes alternés",$C6="A"))," Q-A",IF(OR($P6="Quinzaine B",AND($P6="Hebdo · groupes alternés",$C6="B"))," Q-B",IF($P6="Exception"," PONCT.","")))&amp;IF($X6="Oui"," OPT","")&amp;CHAR(10)&amp;$K6&amp;CHAR(10)&amp;$M6&amp;IF($N6&lt;&gt;"",CHAR(10)&amp;"Salle "&amp;$N6,"")&amp;IF($O6="En ligne",CHAR(10)&amp;"EN LIGNE","")&amp;IF($V6&lt;&gt;"",CHAR(10)&amp;$V6,"")</f>
        <v/>
      </c>
      <c r="AF6" s="65" t="inlineStr">
        <is>
          <t>19h30-21h Arabe (Yahya)</t>
        </is>
      </c>
      <c r="AG6" s="65" t="inlineStr">
        <is>
          <t>du 14-09 jusquà le 20-09!G23</t>
        </is>
      </c>
    </row>
    <row r="7" ht="15" customHeight="1">
      <c r="A7" s="68" t="inlineStr">
        <is>
          <t>S1</t>
        </is>
      </c>
      <c r="B7" s="69" t="inlineStr">
        <is>
          <t>du 14 au 20 septembre 2026</t>
        </is>
      </c>
      <c r="C7" s="68" t="inlineStr">
        <is>
          <t>A</t>
        </is>
      </c>
      <c r="D7" s="70" t="n">
        <v>46279</v>
      </c>
      <c r="E7" s="68" t="inlineStr">
        <is>
          <t>Lundi</t>
        </is>
      </c>
      <c r="F7" s="71" t="n">
        <v>0.8125</v>
      </c>
      <c r="G7" s="71" t="n">
        <v>0.875</v>
      </c>
      <c r="H7" s="72">
        <f>IF(OR($F7="",$G7=""),"",($G7-$F7)*24)</f>
        <v/>
      </c>
      <c r="I7" s="68" t="inlineStr">
        <is>
          <t>Collège</t>
        </is>
      </c>
      <c r="J7" s="69" t="inlineStr">
        <is>
          <t>9éme (A)</t>
        </is>
      </c>
      <c r="K7" s="73" t="inlineStr">
        <is>
          <t>فيزياء</t>
        </is>
      </c>
      <c r="L7" s="73" t="inlineStr">
        <is>
          <t>Physique</t>
        </is>
      </c>
      <c r="M7" s="69" t="inlineStr">
        <is>
          <t>Melek</t>
        </is>
      </c>
      <c r="N7" s="68" t="n"/>
      <c r="O7" s="68" t="n"/>
      <c r="P7" s="68" t="inlineStr">
        <is>
          <t>Hebdomadaire</t>
        </is>
      </c>
      <c r="Q7" s="69" t="inlineStr">
        <is>
          <t>9éme (A) + 9éme (B) + 9éme (C)</t>
        </is>
      </c>
      <c r="R7" s="68" t="n">
        <v>3</v>
      </c>
      <c r="S7" s="68" t="inlineStr">
        <is>
          <t>Oui</t>
        </is>
      </c>
      <c r="T7" s="68" t="inlineStr">
        <is>
          <t>S1-004</t>
        </is>
      </c>
      <c r="U7" s="69" t="inlineStr">
        <is>
          <t>Original (septembre)</t>
        </is>
      </c>
      <c r="V7" s="69" t="inlineStr"/>
      <c r="W7" s="10" t="n"/>
      <c r="X7" s="10" t="inlineStr"/>
      <c r="Y7" s="64">
        <f>IF($M7="","",IF(SUMPRODUCT(($D$4:$D$863=$D7)*($M$4:$M$863=$M7)*($T$4:$T$863&lt;&gt;$T7)*($F$4:$F$863&lt;$G7)*($G$4:$G$863&gt;$F7))&gt;0,"⚠ CONFLIT",""))</f>
        <v/>
      </c>
      <c r="Z7" s="64">
        <f>IF($J7="","",IF(SUMPRODUCT(($D$4:$D$863=$D7)*($J$4:$J$863=$J7)*($T$4:$T$863&lt;&gt;$T7)*($F$4:$F$863&lt;$G7)*($G$4:$G$863&gt;$F7)*(1-($X$4:$X$863="Oui")*($X7="Oui")))&gt;0,"⚠ CONFLIT",""))</f>
        <v/>
      </c>
      <c r="AA7" s="64">
        <f>IF(COUNTIFS($D$4:$D$863,$D7,$J$4:$J$863,$J7,$F$4:$F$863,$F7,$K$4:$K$863,$K7)&gt;1,"⚠ DOUBLON","")</f>
        <v/>
      </c>
      <c r="AB7" s="64">
        <f>IF(COUNTIF($T$4:$T$863,$T7)&lt;&gt;COUNTIFS($T$4:$T$863,$T7,$D$4:$D$863,$D7,$F$4:$F$863,$F7,$G$4:$G$863,$G7,$K$4:$K$863,$K7,$M$4:$M$863,$M7),"⚠ INCOHÉRENT","")</f>
        <v/>
      </c>
      <c r="AC7" s="64">
        <f>COUNTIFS($A$4:$A7,$A7,$J$4:$J7,$J7,$E$4:$E7,$E7)</f>
        <v/>
      </c>
      <c r="AD7" s="65">
        <f>$A7&amp;"|"&amp;$J7&amp;"|"&amp;$E7&amp;"|"&amp;$AC7</f>
        <v/>
      </c>
      <c r="AE7" s="66">
        <f>IF($W7&lt;&gt;"","⚑ "&amp;$W7&amp;CHAR(10),"")&amp;TEXT($F7,"hh:mm")&amp;"-"&amp;TEXT($G7,"hh:mm")&amp;IF(OR($P7="Quinzaine A",AND($P7="Hebdo · groupes alternés",$C7="A"))," Q-A",IF(OR($P7="Quinzaine B",AND($P7="Hebdo · groupes alternés",$C7="B"))," Q-B",IF($P7="Exception"," PONCT.","")))&amp;IF($X7="Oui"," OPT","")&amp;CHAR(10)&amp;$K7&amp;CHAR(10)&amp;$M7&amp;IF($N7&lt;&gt;"",CHAR(10)&amp;"Salle "&amp;$N7,"")&amp;IF($O7="En ligne",CHAR(10)&amp;"EN LIGNE","")&amp;IF($V7&lt;&gt;"",CHAR(10)&amp;$V7,"")</f>
        <v/>
      </c>
      <c r="AF7" s="65" t="inlineStr">
        <is>
          <t>19h30-21h فيزياء /par quinzaine (Melek)</t>
        </is>
      </c>
      <c r="AG7" s="65" t="inlineStr">
        <is>
          <t>du 14-09 jusquà le 20-09!G36</t>
        </is>
      </c>
    </row>
    <row r="8" ht="15" customHeight="1">
      <c r="A8" s="68" t="inlineStr">
        <is>
          <t>S1</t>
        </is>
      </c>
      <c r="B8" s="69" t="inlineStr">
        <is>
          <t>du 14 au 20 septembre 2026</t>
        </is>
      </c>
      <c r="C8" s="68" t="inlineStr">
        <is>
          <t>A</t>
        </is>
      </c>
      <c r="D8" s="70" t="n">
        <v>46279</v>
      </c>
      <c r="E8" s="68" t="inlineStr">
        <is>
          <t>Lundi</t>
        </is>
      </c>
      <c r="F8" s="71" t="n">
        <v>0.8125</v>
      </c>
      <c r="G8" s="71" t="n">
        <v>0.875</v>
      </c>
      <c r="H8" s="72">
        <f>IF(OR($F8="",$G8=""),"",($G8-$F8)*24)</f>
        <v/>
      </c>
      <c r="I8" s="68" t="inlineStr">
        <is>
          <t>Collège</t>
        </is>
      </c>
      <c r="J8" s="69" t="inlineStr">
        <is>
          <t>9éme (B)</t>
        </is>
      </c>
      <c r="K8" s="73" t="inlineStr">
        <is>
          <t>فيزياء</t>
        </is>
      </c>
      <c r="L8" s="73" t="inlineStr">
        <is>
          <t>Physique</t>
        </is>
      </c>
      <c r="M8" s="69" t="inlineStr">
        <is>
          <t>Melek</t>
        </is>
      </c>
      <c r="N8" s="68" t="n"/>
      <c r="O8" s="68" t="n"/>
      <c r="P8" s="68" t="inlineStr">
        <is>
          <t>Hebdomadaire</t>
        </is>
      </c>
      <c r="Q8" s="69" t="inlineStr">
        <is>
          <t>9éme (A) + 9éme (B) + 9éme (C)</t>
        </is>
      </c>
      <c r="R8" s="68" t="n">
        <v>3</v>
      </c>
      <c r="S8" s="68" t="inlineStr"/>
      <c r="T8" s="68" t="inlineStr">
        <is>
          <t>S1-004</t>
        </is>
      </c>
      <c r="U8" s="69" t="inlineStr">
        <is>
          <t>Original (septembre)</t>
        </is>
      </c>
      <c r="V8" s="69" t="inlineStr"/>
      <c r="W8" s="10" t="n"/>
      <c r="X8" s="10" t="inlineStr"/>
      <c r="Y8" s="64">
        <f>IF($M8="","",IF(SUMPRODUCT(($D$4:$D$863=$D8)*($M$4:$M$863=$M8)*($T$4:$T$863&lt;&gt;$T8)*($F$4:$F$863&lt;$G8)*($G$4:$G$863&gt;$F8))&gt;0,"⚠ CONFLIT",""))</f>
        <v/>
      </c>
      <c r="Z8" s="64">
        <f>IF($J8="","",IF(SUMPRODUCT(($D$4:$D$863=$D8)*($J$4:$J$863=$J8)*($T$4:$T$863&lt;&gt;$T8)*($F$4:$F$863&lt;$G8)*($G$4:$G$863&gt;$F8)*(1-($X$4:$X$863="Oui")*($X8="Oui")))&gt;0,"⚠ CONFLIT",""))</f>
        <v/>
      </c>
      <c r="AA8" s="64">
        <f>IF(COUNTIFS($D$4:$D$863,$D8,$J$4:$J$863,$J8,$F$4:$F$863,$F8,$K$4:$K$863,$K8)&gt;1,"⚠ DOUBLON","")</f>
        <v/>
      </c>
      <c r="AB8" s="64">
        <f>IF(COUNTIF($T$4:$T$863,$T8)&lt;&gt;COUNTIFS($T$4:$T$863,$T8,$D$4:$D$863,$D8,$F$4:$F$863,$F8,$G$4:$G$863,$G8,$K$4:$K$863,$K8,$M$4:$M$863,$M8),"⚠ INCOHÉRENT","")</f>
        <v/>
      </c>
      <c r="AC8" s="64">
        <f>COUNTIFS($A$4:$A8,$A8,$J$4:$J8,$J8,$E$4:$E8,$E8)</f>
        <v/>
      </c>
      <c r="AD8" s="65">
        <f>$A8&amp;"|"&amp;$J8&amp;"|"&amp;$E8&amp;"|"&amp;$AC8</f>
        <v/>
      </c>
      <c r="AE8" s="66">
        <f>IF($W8&lt;&gt;"","⚑ "&amp;$W8&amp;CHAR(10),"")&amp;TEXT($F8,"hh:mm")&amp;"-"&amp;TEXT($G8,"hh:mm")&amp;IF(OR($P8="Quinzaine A",AND($P8="Hebdo · groupes alternés",$C8="A"))," Q-A",IF(OR($P8="Quinzaine B",AND($P8="Hebdo · groupes alternés",$C8="B"))," Q-B",IF($P8="Exception"," PONCT.","")))&amp;IF($X8="Oui"," OPT","")&amp;CHAR(10)&amp;$K8&amp;CHAR(10)&amp;$M8&amp;IF($N8&lt;&gt;"",CHAR(10)&amp;"Salle "&amp;$N8,"")&amp;IF($O8="En ligne",CHAR(10)&amp;"EN LIGNE","")&amp;IF($V8&lt;&gt;"",CHAR(10)&amp;$V8,"")</f>
        <v/>
      </c>
      <c r="AF8" s="65" t="inlineStr">
        <is>
          <t>19h30-21h فيزياء /par quinzaine (Melek)</t>
        </is>
      </c>
      <c r="AG8" s="65" t="inlineStr">
        <is>
          <t>du 14-09 jusquà le 20-09!G36</t>
        </is>
      </c>
    </row>
    <row r="9" ht="15" customHeight="1">
      <c r="A9" s="68" t="inlineStr">
        <is>
          <t>S1</t>
        </is>
      </c>
      <c r="B9" s="69" t="inlineStr">
        <is>
          <t>du 14 au 20 septembre 2026</t>
        </is>
      </c>
      <c r="C9" s="68" t="inlineStr">
        <is>
          <t>A</t>
        </is>
      </c>
      <c r="D9" s="70" t="n">
        <v>46279</v>
      </c>
      <c r="E9" s="68" t="inlineStr">
        <is>
          <t>Lundi</t>
        </is>
      </c>
      <c r="F9" s="71" t="n">
        <v>0.8125</v>
      </c>
      <c r="G9" s="71" t="n">
        <v>0.875</v>
      </c>
      <c r="H9" s="72">
        <f>IF(OR($F9="",$G9=""),"",($G9-$F9)*24)</f>
        <v/>
      </c>
      <c r="I9" s="68" t="inlineStr">
        <is>
          <t>Collège</t>
        </is>
      </c>
      <c r="J9" s="69" t="inlineStr">
        <is>
          <t>9éme (C)</t>
        </is>
      </c>
      <c r="K9" s="73" t="inlineStr">
        <is>
          <t>فيزياء</t>
        </is>
      </c>
      <c r="L9" s="73" t="inlineStr">
        <is>
          <t>Physique</t>
        </is>
      </c>
      <c r="M9" s="69" t="inlineStr">
        <is>
          <t>Melek</t>
        </is>
      </c>
      <c r="N9" s="68" t="n"/>
      <c r="O9" s="68" t="n"/>
      <c r="P9" s="68" t="inlineStr">
        <is>
          <t>Hebdomadaire</t>
        </is>
      </c>
      <c r="Q9" s="69" t="inlineStr">
        <is>
          <t>9éme (A) + 9éme (B) + 9éme (C)</t>
        </is>
      </c>
      <c r="R9" s="68" t="n">
        <v>3</v>
      </c>
      <c r="S9" s="68" t="inlineStr"/>
      <c r="T9" s="68" t="inlineStr">
        <is>
          <t>S1-004</t>
        </is>
      </c>
      <c r="U9" s="69" t="inlineStr">
        <is>
          <t>Original (septembre)</t>
        </is>
      </c>
      <c r="V9" s="69" t="inlineStr"/>
      <c r="W9" s="10" t="n"/>
      <c r="X9" s="10" t="inlineStr"/>
      <c r="Y9" s="64">
        <f>IF($M9="","",IF(SUMPRODUCT(($D$4:$D$863=$D9)*($M$4:$M$863=$M9)*($T$4:$T$863&lt;&gt;$T9)*($F$4:$F$863&lt;$G9)*($G$4:$G$863&gt;$F9))&gt;0,"⚠ CONFLIT",""))</f>
        <v/>
      </c>
      <c r="Z9" s="64">
        <f>IF($J9="","",IF(SUMPRODUCT(($D$4:$D$863=$D9)*($J$4:$J$863=$J9)*($T$4:$T$863&lt;&gt;$T9)*($F$4:$F$863&lt;$G9)*($G$4:$G$863&gt;$F9)*(1-($X$4:$X$863="Oui")*($X9="Oui")))&gt;0,"⚠ CONFLIT",""))</f>
        <v/>
      </c>
      <c r="AA9" s="64">
        <f>IF(COUNTIFS($D$4:$D$863,$D9,$J$4:$J$863,$J9,$F$4:$F$863,$F9,$K$4:$K$863,$K9)&gt;1,"⚠ DOUBLON","")</f>
        <v/>
      </c>
      <c r="AB9" s="64">
        <f>IF(COUNTIF($T$4:$T$863,$T9)&lt;&gt;COUNTIFS($T$4:$T$863,$T9,$D$4:$D$863,$D9,$F$4:$F$863,$F9,$G$4:$G$863,$G9,$K$4:$K$863,$K9,$M$4:$M$863,$M9),"⚠ INCOHÉRENT","")</f>
        <v/>
      </c>
      <c r="AC9" s="64">
        <f>COUNTIFS($A$4:$A9,$A9,$J$4:$J9,$J9,$E$4:$E9,$E9)</f>
        <v/>
      </c>
      <c r="AD9" s="65">
        <f>$A9&amp;"|"&amp;$J9&amp;"|"&amp;$E9&amp;"|"&amp;$AC9</f>
        <v/>
      </c>
      <c r="AE9" s="66">
        <f>IF($W9&lt;&gt;"","⚑ "&amp;$W9&amp;CHAR(10),"")&amp;TEXT($F9,"hh:mm")&amp;"-"&amp;TEXT($G9,"hh:mm")&amp;IF(OR($P9="Quinzaine A",AND($P9="Hebdo · groupes alternés",$C9="A"))," Q-A",IF(OR($P9="Quinzaine B",AND($P9="Hebdo · groupes alternés",$C9="B"))," Q-B",IF($P9="Exception"," PONCT.","")))&amp;IF($X9="Oui"," OPT","")&amp;CHAR(10)&amp;$K9&amp;CHAR(10)&amp;$M9&amp;IF($N9&lt;&gt;"",CHAR(10)&amp;"Salle "&amp;$N9,"")&amp;IF($O9="En ligne",CHAR(10)&amp;"EN LIGNE","")&amp;IF($V9&lt;&gt;"",CHAR(10)&amp;$V9,"")</f>
        <v/>
      </c>
      <c r="AF9" s="65" t="inlineStr">
        <is>
          <t>19h30-21h فيزياء /par quinzaine (Melek)</t>
        </is>
      </c>
      <c r="AG9" s="65" t="inlineStr">
        <is>
          <t>du 14-09 jusquà le 20-09!G36</t>
        </is>
      </c>
    </row>
    <row r="10" ht="15" customHeight="1">
      <c r="A10" s="74" t="inlineStr">
        <is>
          <t>S1</t>
        </is>
      </c>
      <c r="B10" s="75" t="inlineStr">
        <is>
          <t>du 14 au 20 septembre 2026</t>
        </is>
      </c>
      <c r="C10" s="74" t="inlineStr">
        <is>
          <t>A</t>
        </is>
      </c>
      <c r="D10" s="76" t="n">
        <v>46279</v>
      </c>
      <c r="E10" s="74" t="inlineStr">
        <is>
          <t>Lundi</t>
        </is>
      </c>
      <c r="F10" s="77" t="n">
        <v>0.8125</v>
      </c>
      <c r="G10" s="77" t="n">
        <v>0.875</v>
      </c>
      <c r="H10" s="78">
        <f>IF(OR($F10="",$G10=""),"",($G10-$F10)*24)</f>
        <v/>
      </c>
      <c r="I10" s="74" t="inlineStr">
        <is>
          <t>Secondaire</t>
        </is>
      </c>
      <c r="J10" s="75" t="inlineStr">
        <is>
          <t>1ére (A)</t>
        </is>
      </c>
      <c r="K10" s="79" t="inlineStr">
        <is>
          <t>Math</t>
        </is>
      </c>
      <c r="L10" s="79" t="inlineStr">
        <is>
          <t>Math</t>
        </is>
      </c>
      <c r="M10" s="75" t="inlineStr">
        <is>
          <t>Haythem</t>
        </is>
      </c>
      <c r="N10" s="74" t="n"/>
      <c r="O10" s="74" t="n"/>
      <c r="P10" s="74" t="inlineStr">
        <is>
          <t>Hebdomadaire</t>
        </is>
      </c>
      <c r="Q10" s="75" t="inlineStr"/>
      <c r="R10" s="74" t="n">
        <v>1</v>
      </c>
      <c r="S10" s="74" t="inlineStr">
        <is>
          <t>Oui</t>
        </is>
      </c>
      <c r="T10" s="74" t="inlineStr">
        <is>
          <t>S1-005</t>
        </is>
      </c>
      <c r="U10" s="75" t="inlineStr">
        <is>
          <t>Original (septembre)</t>
        </is>
      </c>
      <c r="V10" s="75" t="inlineStr"/>
      <c r="W10" s="10" t="n"/>
      <c r="X10" s="10" t="inlineStr"/>
      <c r="Y10" s="64">
        <f>IF($M10="","",IF(SUMPRODUCT(($D$4:$D$863=$D10)*($M$4:$M$863=$M10)*($T$4:$T$863&lt;&gt;$T10)*($F$4:$F$863&lt;$G10)*($G$4:$G$863&gt;$F10))&gt;0,"⚠ CONFLIT",""))</f>
        <v/>
      </c>
      <c r="Z10" s="64">
        <f>IF($J10="","",IF(SUMPRODUCT(($D$4:$D$863=$D10)*($J$4:$J$863=$J10)*($T$4:$T$863&lt;&gt;$T10)*($F$4:$F$863&lt;$G10)*($G$4:$G$863&gt;$F10)*(1-($X$4:$X$863="Oui")*($X10="Oui")))&gt;0,"⚠ CONFLIT",""))</f>
        <v/>
      </c>
      <c r="AA10" s="64">
        <f>IF(COUNTIFS($D$4:$D$863,$D10,$J$4:$J$863,$J10,$F$4:$F$863,$F10,$K$4:$K$863,$K10)&gt;1,"⚠ DOUBLON","")</f>
        <v/>
      </c>
      <c r="AB10" s="64">
        <f>IF(COUNTIF($T$4:$T$863,$T10)&lt;&gt;COUNTIFS($T$4:$T$863,$T10,$D$4:$D$863,$D10,$F$4:$F$863,$F10,$G$4:$G$863,$G10,$K$4:$K$863,$K10,$M$4:$M$863,$M10),"⚠ INCOHÉRENT","")</f>
        <v/>
      </c>
      <c r="AC10" s="64">
        <f>COUNTIFS($A$4:$A10,$A10,$J$4:$J10,$J10,$E$4:$E10,$E10)</f>
        <v/>
      </c>
      <c r="AD10" s="65">
        <f>$A10&amp;"|"&amp;$J10&amp;"|"&amp;$E10&amp;"|"&amp;$AC10</f>
        <v/>
      </c>
      <c r="AE10" s="66">
        <f>IF($W10&lt;&gt;"","⚑ "&amp;$W10&amp;CHAR(10),"")&amp;TEXT($F10,"hh:mm")&amp;"-"&amp;TEXT($G10,"hh:mm")&amp;IF(OR($P10="Quinzaine A",AND($P10="Hebdo · groupes alternés",$C10="A"))," Q-A",IF(OR($P10="Quinzaine B",AND($P10="Hebdo · groupes alternés",$C10="B"))," Q-B",IF($P10="Exception"," PONCT.","")))&amp;IF($X10="Oui"," OPT","")&amp;CHAR(10)&amp;$K10&amp;CHAR(10)&amp;$M10&amp;IF($N10&lt;&gt;"",CHAR(10)&amp;"Salle "&amp;$N10,"")&amp;IF($O10="En ligne",CHAR(10)&amp;"EN LIGNE","")&amp;IF($V10&lt;&gt;"",CHAR(10)&amp;$V10,"")</f>
        <v/>
      </c>
      <c r="AF10" s="65" t="inlineStr">
        <is>
          <t>19h30-21h Math (Haythem)</t>
        </is>
      </c>
      <c r="AG10" s="65" t="inlineStr">
        <is>
          <t>du 14-09 jusquà le 20-09!G48</t>
        </is>
      </c>
    </row>
    <row r="11" ht="15" customHeight="1">
      <c r="A11" s="74" t="inlineStr">
        <is>
          <t>S1</t>
        </is>
      </c>
      <c r="B11" s="75" t="inlineStr">
        <is>
          <t>du 14 au 20 septembre 2026</t>
        </is>
      </c>
      <c r="C11" s="74" t="inlineStr">
        <is>
          <t>A</t>
        </is>
      </c>
      <c r="D11" s="76" t="n">
        <v>46279</v>
      </c>
      <c r="E11" s="74" t="inlineStr">
        <is>
          <t>Lundi</t>
        </is>
      </c>
      <c r="F11" s="77" t="n">
        <v>0.7916666666666666</v>
      </c>
      <c r="G11" s="77" t="n">
        <v>0.875</v>
      </c>
      <c r="H11" s="78">
        <f>IF(OR($F11="",$G11=""),"",($G11-$F11)*24)</f>
        <v/>
      </c>
      <c r="I11" s="74" t="inlineStr">
        <is>
          <t>Secondaire</t>
        </is>
      </c>
      <c r="J11" s="75" t="inlineStr">
        <is>
          <t>2éme INFO</t>
        </is>
      </c>
      <c r="K11" s="80" t="inlineStr">
        <is>
          <t>Informatique</t>
        </is>
      </c>
      <c r="L11" s="80" t="inlineStr">
        <is>
          <t>Informatique</t>
        </is>
      </c>
      <c r="M11" s="75" t="inlineStr">
        <is>
          <t>Aymen</t>
        </is>
      </c>
      <c r="N11" s="74" t="n"/>
      <c r="O11" s="74" t="n"/>
      <c r="P11" s="74" t="inlineStr">
        <is>
          <t>Ponctuelle / modifiée</t>
        </is>
      </c>
      <c r="Q11" s="75" t="inlineStr"/>
      <c r="R11" s="74" t="n">
        <v>1</v>
      </c>
      <c r="S11" s="74" t="inlineStr">
        <is>
          <t>Oui</t>
        </is>
      </c>
      <c r="T11" s="74" t="inlineStr">
        <is>
          <t>S1-006</t>
        </is>
      </c>
      <c r="U11" s="75" t="inlineStr">
        <is>
          <t>Original (septembre)</t>
        </is>
      </c>
      <c r="V11" s="75" t="inlineStr"/>
      <c r="W11" s="10" t="n"/>
      <c r="X11" s="10" t="inlineStr"/>
      <c r="Y11" s="64">
        <f>IF($M11="","",IF(SUMPRODUCT(($D$4:$D$863=$D11)*($M$4:$M$863=$M11)*($T$4:$T$863&lt;&gt;$T11)*($F$4:$F$863&lt;$G11)*($G$4:$G$863&gt;$F11))&gt;0,"⚠ CONFLIT",""))</f>
        <v/>
      </c>
      <c r="Z11" s="64">
        <f>IF($J11="","",IF(SUMPRODUCT(($D$4:$D$863=$D11)*($J$4:$J$863=$J11)*($T$4:$T$863&lt;&gt;$T11)*($F$4:$F$863&lt;$G11)*($G$4:$G$863&gt;$F11)*(1-($X$4:$X$863="Oui")*($X11="Oui")))&gt;0,"⚠ CONFLIT",""))</f>
        <v/>
      </c>
      <c r="AA11" s="64">
        <f>IF(COUNTIFS($D$4:$D$863,$D11,$J$4:$J$863,$J11,$F$4:$F$863,$F11,$K$4:$K$863,$K11)&gt;1,"⚠ DOUBLON","")</f>
        <v/>
      </c>
      <c r="AB11" s="64">
        <f>IF(COUNTIF($T$4:$T$863,$T11)&lt;&gt;COUNTIFS($T$4:$T$863,$T11,$D$4:$D$863,$D11,$F$4:$F$863,$F11,$G$4:$G$863,$G11,$K$4:$K$863,$K11,$M$4:$M$863,$M11),"⚠ INCOHÉRENT","")</f>
        <v/>
      </c>
      <c r="AC11" s="64">
        <f>COUNTIFS($A$4:$A11,$A11,$J$4:$J11,$J11,$E$4:$E11,$E11)</f>
        <v/>
      </c>
      <c r="AD11" s="65">
        <f>$A11&amp;"|"&amp;$J11&amp;"|"&amp;$E11&amp;"|"&amp;$AC11</f>
        <v/>
      </c>
      <c r="AE11" s="66">
        <f>IF($W11&lt;&gt;"","⚑ "&amp;$W11&amp;CHAR(10),"")&amp;TEXT($F11,"hh:mm")&amp;"-"&amp;TEXT($G11,"hh:mm")&amp;IF(OR($P11="Quinzaine A",AND($P11="Hebdo · groupes alternés",$C11="A"))," Q-A",IF(OR($P11="Quinzaine B",AND($P11="Hebdo · groupes alternés",$C11="B"))," Q-B",IF($P11="Exception"," PONCT.","")))&amp;IF($X11="Oui"," OPT","")&amp;CHAR(10)&amp;$K11&amp;CHAR(10)&amp;$M11&amp;IF($N11&lt;&gt;"",CHAR(10)&amp;"Salle "&amp;$N11,"")&amp;IF($O11="En ligne",CHAR(10)&amp;"EN LIGNE","")&amp;IF($V11&lt;&gt;"",CHAR(10)&amp;$V11,"")</f>
        <v/>
      </c>
      <c r="AF11" s="65" t="inlineStr">
        <is>
          <t>19h-21h Informatique (Aymen)</t>
        </is>
      </c>
      <c r="AG11" s="65" t="inlineStr">
        <is>
          <t>du 14-09 jusquà le 20-09!G60</t>
        </is>
      </c>
    </row>
    <row r="12" ht="15" customHeight="1">
      <c r="A12" s="81" t="inlineStr">
        <is>
          <t>S1</t>
        </is>
      </c>
      <c r="B12" s="82" t="inlineStr">
        <is>
          <t>du 14 au 20 septembre 2026</t>
        </is>
      </c>
      <c r="C12" s="81" t="inlineStr">
        <is>
          <t>A</t>
        </is>
      </c>
      <c r="D12" s="83" t="n">
        <v>46279</v>
      </c>
      <c r="E12" s="81" t="inlineStr">
        <is>
          <t>Lundi</t>
        </is>
      </c>
      <c r="F12" s="84" t="n">
        <v>0.7916666666666666</v>
      </c>
      <c r="G12" s="84" t="n">
        <v>0.875</v>
      </c>
      <c r="H12" s="85">
        <f>IF(OR($F12="",$G12=""),"",($G12-$F12)*24)</f>
        <v/>
      </c>
      <c r="I12" s="81" t="inlineStr">
        <is>
          <t>Bac</t>
        </is>
      </c>
      <c r="J12" s="82" t="inlineStr">
        <is>
          <t>Bac Eco</t>
        </is>
      </c>
      <c r="K12" s="86" t="inlineStr">
        <is>
          <t>Gestion</t>
        </is>
      </c>
      <c r="L12" s="86" t="inlineStr">
        <is>
          <t>Gestion</t>
        </is>
      </c>
      <c r="M12" s="82" t="inlineStr">
        <is>
          <t>Yassine</t>
        </is>
      </c>
      <c r="N12" s="81" t="n"/>
      <c r="O12" s="81" t="n"/>
      <c r="P12" s="81" t="inlineStr">
        <is>
          <t>Hebdomadaire</t>
        </is>
      </c>
      <c r="Q12" s="82" t="inlineStr"/>
      <c r="R12" s="81" t="n">
        <v>1</v>
      </c>
      <c r="S12" s="81" t="inlineStr">
        <is>
          <t>Oui</t>
        </is>
      </c>
      <c r="T12" s="81" t="inlineStr">
        <is>
          <t>S1-007</t>
        </is>
      </c>
      <c r="U12" s="82" t="inlineStr">
        <is>
          <t>Original (septembre)</t>
        </is>
      </c>
      <c r="V12" s="82" t="inlineStr"/>
      <c r="W12" s="10" t="n"/>
      <c r="X12" s="10" t="inlineStr"/>
      <c r="Y12" s="64">
        <f>IF($M12="","",IF(SUMPRODUCT(($D$4:$D$863=$D12)*($M$4:$M$863=$M12)*($T$4:$T$863&lt;&gt;$T12)*($F$4:$F$863&lt;$G12)*($G$4:$G$863&gt;$F12))&gt;0,"⚠ CONFLIT",""))</f>
        <v/>
      </c>
      <c r="Z12" s="64">
        <f>IF($J12="","",IF(SUMPRODUCT(($D$4:$D$863=$D12)*($J$4:$J$863=$J12)*($T$4:$T$863&lt;&gt;$T12)*($F$4:$F$863&lt;$G12)*($G$4:$G$863&gt;$F12)*(1-($X$4:$X$863="Oui")*($X12="Oui")))&gt;0,"⚠ CONFLIT",""))</f>
        <v/>
      </c>
      <c r="AA12" s="64">
        <f>IF(COUNTIFS($D$4:$D$863,$D12,$J$4:$J$863,$J12,$F$4:$F$863,$F12,$K$4:$K$863,$K12)&gt;1,"⚠ DOUBLON","")</f>
        <v/>
      </c>
      <c r="AB12" s="64">
        <f>IF(COUNTIF($T$4:$T$863,$T12)&lt;&gt;COUNTIFS($T$4:$T$863,$T12,$D$4:$D$863,$D12,$F$4:$F$863,$F12,$G$4:$G$863,$G12,$K$4:$K$863,$K12,$M$4:$M$863,$M12),"⚠ INCOHÉRENT","")</f>
        <v/>
      </c>
      <c r="AC12" s="64">
        <f>COUNTIFS($A$4:$A12,$A12,$J$4:$J12,$J12,$E$4:$E12,$E12)</f>
        <v/>
      </c>
      <c r="AD12" s="65">
        <f>$A12&amp;"|"&amp;$J12&amp;"|"&amp;$E12&amp;"|"&amp;$AC12</f>
        <v/>
      </c>
      <c r="AE12" s="66">
        <f>IF($W12&lt;&gt;"","⚑ "&amp;$W12&amp;CHAR(10),"")&amp;TEXT($F12,"hh:mm")&amp;"-"&amp;TEXT($G12,"hh:mm")&amp;IF(OR($P12="Quinzaine A",AND($P12="Hebdo · groupes alternés",$C12="A"))," Q-A",IF(OR($P12="Quinzaine B",AND($P12="Hebdo · groupes alternés",$C12="B"))," Q-B",IF($P12="Exception"," PONCT.","")))&amp;IF($X12="Oui"," OPT","")&amp;CHAR(10)&amp;$K12&amp;CHAR(10)&amp;$M12&amp;IF($N12&lt;&gt;"",CHAR(10)&amp;"Salle "&amp;$N12,"")&amp;IF($O12="En ligne",CHAR(10)&amp;"EN LIGNE","")&amp;IF($V12&lt;&gt;"",CHAR(10)&amp;$V12,"")</f>
        <v/>
      </c>
      <c r="AF12" s="65" t="inlineStr">
        <is>
          <t>19h-21h Gestion (Yassine)</t>
        </is>
      </c>
      <c r="AG12" s="65" t="inlineStr">
        <is>
          <t>du 14-09 jusquà le 20-09!G68</t>
        </is>
      </c>
    </row>
    <row r="13" ht="15" customHeight="1">
      <c r="A13" s="81" t="inlineStr">
        <is>
          <t>S1</t>
        </is>
      </c>
      <c r="B13" s="82" t="inlineStr">
        <is>
          <t>du 14 au 20 septembre 2026</t>
        </is>
      </c>
      <c r="C13" s="81" t="inlineStr">
        <is>
          <t>A</t>
        </is>
      </c>
      <c r="D13" s="83" t="n">
        <v>46279</v>
      </c>
      <c r="E13" s="81" t="inlineStr">
        <is>
          <t>Lundi</t>
        </is>
      </c>
      <c r="F13" s="84" t="n">
        <v>0.7916666666666666</v>
      </c>
      <c r="G13" s="84" t="n">
        <v>0.875</v>
      </c>
      <c r="H13" s="85">
        <f>IF(OR($F13="",$G13=""),"",($G13-$F13)*24)</f>
        <v/>
      </c>
      <c r="I13" s="81" t="inlineStr">
        <is>
          <t>Bac</t>
        </is>
      </c>
      <c r="J13" s="82" t="inlineStr">
        <is>
          <t>Bac SCE</t>
        </is>
      </c>
      <c r="K13" s="73" t="inlineStr">
        <is>
          <t>Physique</t>
        </is>
      </c>
      <c r="L13" s="73" t="inlineStr">
        <is>
          <t>Physique</t>
        </is>
      </c>
      <c r="M13" s="82" t="inlineStr">
        <is>
          <t>Sondes</t>
        </is>
      </c>
      <c r="N13" s="81" t="n"/>
      <c r="O13" s="81" t="n"/>
      <c r="P13" s="81" t="inlineStr">
        <is>
          <t>Hebdomadaire</t>
        </is>
      </c>
      <c r="Q13" s="82" t="inlineStr"/>
      <c r="R13" s="81" t="n">
        <v>1</v>
      </c>
      <c r="S13" s="81" t="inlineStr">
        <is>
          <t>Oui</t>
        </is>
      </c>
      <c r="T13" s="81" t="inlineStr">
        <is>
          <t>S1-008</t>
        </is>
      </c>
      <c r="U13" s="82" t="inlineStr">
        <is>
          <t>Original (septembre)</t>
        </is>
      </c>
      <c r="V13" s="82" t="inlineStr"/>
      <c r="W13" s="10" t="n"/>
      <c r="X13" s="10" t="inlineStr"/>
      <c r="Y13" s="64">
        <f>IF($M13="","",IF(SUMPRODUCT(($D$4:$D$863=$D13)*($M$4:$M$863=$M13)*($T$4:$T$863&lt;&gt;$T13)*($F$4:$F$863&lt;$G13)*($G$4:$G$863&gt;$F13))&gt;0,"⚠ CONFLIT",""))</f>
        <v/>
      </c>
      <c r="Z13" s="64">
        <f>IF($J13="","",IF(SUMPRODUCT(($D$4:$D$863=$D13)*($J$4:$J$863=$J13)*($T$4:$T$863&lt;&gt;$T13)*($F$4:$F$863&lt;$G13)*($G$4:$G$863&gt;$F13)*(1-($X$4:$X$863="Oui")*($X13="Oui")))&gt;0,"⚠ CONFLIT",""))</f>
        <v/>
      </c>
      <c r="AA13" s="64">
        <f>IF(COUNTIFS($D$4:$D$863,$D13,$J$4:$J$863,$J13,$F$4:$F$863,$F13,$K$4:$K$863,$K13)&gt;1,"⚠ DOUBLON","")</f>
        <v/>
      </c>
      <c r="AB13" s="64">
        <f>IF(COUNTIF($T$4:$T$863,$T13)&lt;&gt;COUNTIFS($T$4:$T$863,$T13,$D$4:$D$863,$D13,$F$4:$F$863,$F13,$G$4:$G$863,$G13,$K$4:$K$863,$K13,$M$4:$M$863,$M13),"⚠ INCOHÉRENT","")</f>
        <v/>
      </c>
      <c r="AC13" s="64">
        <f>COUNTIFS($A$4:$A13,$A13,$J$4:$J13,$J13,$E$4:$E13,$E13)</f>
        <v/>
      </c>
      <c r="AD13" s="65">
        <f>$A13&amp;"|"&amp;$J13&amp;"|"&amp;$E13&amp;"|"&amp;$AC13</f>
        <v/>
      </c>
      <c r="AE13" s="66">
        <f>IF($W13&lt;&gt;"","⚑ "&amp;$W13&amp;CHAR(10),"")&amp;TEXT($F13,"hh:mm")&amp;"-"&amp;TEXT($G13,"hh:mm")&amp;IF(OR($P13="Quinzaine A",AND($P13="Hebdo · groupes alternés",$C13="A"))," Q-A",IF(OR($P13="Quinzaine B",AND($P13="Hebdo · groupes alternés",$C13="B"))," Q-B",IF($P13="Exception"," PONCT.","")))&amp;IF($X13="Oui"," OPT","")&amp;CHAR(10)&amp;$K13&amp;CHAR(10)&amp;$M13&amp;IF($N13&lt;&gt;"",CHAR(10)&amp;"Salle "&amp;$N13,"")&amp;IF($O13="En ligne",CHAR(10)&amp;"EN LIGNE","")&amp;IF($V13&lt;&gt;"",CHAR(10)&amp;$V13,"")</f>
        <v/>
      </c>
      <c r="AF13" s="65" t="inlineStr">
        <is>
          <t>19h-21h Physique (Sondes)</t>
        </is>
      </c>
      <c r="AG13" s="65" t="inlineStr">
        <is>
          <t>du 14-09 jusquà le 20-09!G74</t>
        </is>
      </c>
    </row>
    <row r="14" ht="15" customHeight="1">
      <c r="A14" s="81" t="inlineStr">
        <is>
          <t>S1</t>
        </is>
      </c>
      <c r="B14" s="82" t="inlineStr">
        <is>
          <t>du 14 au 20 septembre 2026</t>
        </is>
      </c>
      <c r="C14" s="81" t="inlineStr">
        <is>
          <t>A</t>
        </is>
      </c>
      <c r="D14" s="83" t="n">
        <v>46279</v>
      </c>
      <c r="E14" s="81" t="inlineStr">
        <is>
          <t>Lundi</t>
        </is>
      </c>
      <c r="F14" s="84" t="n">
        <v>0.8125</v>
      </c>
      <c r="G14" s="84" t="n">
        <v>0.875</v>
      </c>
      <c r="H14" s="85">
        <f>IF(OR($F14="",$G14=""),"",($G14-$F14)*24)</f>
        <v/>
      </c>
      <c r="I14" s="81" t="inlineStr">
        <is>
          <t>Bac</t>
        </is>
      </c>
      <c r="J14" s="82" t="inlineStr">
        <is>
          <t>Bac INFO</t>
        </is>
      </c>
      <c r="K14" s="73" t="inlineStr">
        <is>
          <t>Physique</t>
        </is>
      </c>
      <c r="L14" s="73" t="inlineStr">
        <is>
          <t>Physique</t>
        </is>
      </c>
      <c r="M14" s="82" t="inlineStr">
        <is>
          <t>Samia</t>
        </is>
      </c>
      <c r="N14" s="81" t="n"/>
      <c r="O14" s="81" t="n"/>
      <c r="P14" s="81" t="inlineStr">
        <is>
          <t>Hebdomadaire</t>
        </is>
      </c>
      <c r="Q14" s="82" t="inlineStr"/>
      <c r="R14" s="81" t="n">
        <v>1</v>
      </c>
      <c r="S14" s="81" t="inlineStr">
        <is>
          <t>Oui</t>
        </is>
      </c>
      <c r="T14" s="81" t="inlineStr">
        <is>
          <t>S1-009</t>
        </is>
      </c>
      <c r="U14" s="82" t="inlineStr">
        <is>
          <t>Original (septembre)</t>
        </is>
      </c>
      <c r="V14" s="82" t="inlineStr"/>
      <c r="W14" s="10" t="n"/>
      <c r="X14" s="10" t="inlineStr"/>
      <c r="Y14" s="64">
        <f>IF($M14="","",IF(SUMPRODUCT(($D$4:$D$863=$D14)*($M$4:$M$863=$M14)*($T$4:$T$863&lt;&gt;$T14)*($F$4:$F$863&lt;$G14)*($G$4:$G$863&gt;$F14))&gt;0,"⚠ CONFLIT",""))</f>
        <v/>
      </c>
      <c r="Z14" s="64">
        <f>IF($J14="","",IF(SUMPRODUCT(($D$4:$D$863=$D14)*($J$4:$J$863=$J14)*($T$4:$T$863&lt;&gt;$T14)*($F$4:$F$863&lt;$G14)*($G$4:$G$863&gt;$F14)*(1-($X$4:$X$863="Oui")*($X14="Oui")))&gt;0,"⚠ CONFLIT",""))</f>
        <v/>
      </c>
      <c r="AA14" s="64">
        <f>IF(COUNTIFS($D$4:$D$863,$D14,$J$4:$J$863,$J14,$F$4:$F$863,$F14,$K$4:$K$863,$K14)&gt;1,"⚠ DOUBLON","")</f>
        <v/>
      </c>
      <c r="AB14" s="64">
        <f>IF(COUNTIF($T$4:$T$863,$T14)&lt;&gt;COUNTIFS($T$4:$T$863,$T14,$D$4:$D$863,$D14,$F$4:$F$863,$F14,$G$4:$G$863,$G14,$K$4:$K$863,$K14,$M$4:$M$863,$M14),"⚠ INCOHÉRENT","")</f>
        <v/>
      </c>
      <c r="AC14" s="64">
        <f>COUNTIFS($A$4:$A14,$A14,$J$4:$J14,$J14,$E$4:$E14,$E14)</f>
        <v/>
      </c>
      <c r="AD14" s="65">
        <f>$A14&amp;"|"&amp;$J14&amp;"|"&amp;$E14&amp;"|"&amp;$AC14</f>
        <v/>
      </c>
      <c r="AE14" s="66">
        <f>IF($W14&lt;&gt;"","⚑ "&amp;$W14&amp;CHAR(10),"")&amp;TEXT($F14,"hh:mm")&amp;"-"&amp;TEXT($G14,"hh:mm")&amp;IF(OR($P14="Quinzaine A",AND($P14="Hebdo · groupes alternés",$C14="A"))," Q-A",IF(OR($P14="Quinzaine B",AND($P14="Hebdo · groupes alternés",$C14="B"))," Q-B",IF($P14="Exception"," PONCT.","")))&amp;IF($X14="Oui"," OPT","")&amp;CHAR(10)&amp;$K14&amp;CHAR(10)&amp;$M14&amp;IF($N14&lt;&gt;"",CHAR(10)&amp;"Salle "&amp;$N14,"")&amp;IF($O14="En ligne",CHAR(10)&amp;"EN LIGNE","")&amp;IF($V14&lt;&gt;"",CHAR(10)&amp;$V14,"")</f>
        <v/>
      </c>
      <c r="AF14" s="65" t="inlineStr">
        <is>
          <t>19h30-21h Physique (Samia)</t>
        </is>
      </c>
      <c r="AG14" s="65" t="inlineStr">
        <is>
          <t>du 14-09 jusquà le 20-09!G78</t>
        </is>
      </c>
    </row>
    <row r="15" ht="15" customHeight="1">
      <c r="A15" s="58" t="inlineStr">
        <is>
          <t>S1</t>
        </is>
      </c>
      <c r="B15" s="59" t="inlineStr">
        <is>
          <t>du 14 au 20 septembre 2026</t>
        </is>
      </c>
      <c r="C15" s="58" t="inlineStr">
        <is>
          <t>A</t>
        </is>
      </c>
      <c r="D15" s="60" t="n">
        <v>46280</v>
      </c>
      <c r="E15" s="58" t="inlineStr">
        <is>
          <t>Mardi</t>
        </is>
      </c>
      <c r="F15" s="61" t="n">
        <v>0.7916666666666666</v>
      </c>
      <c r="G15" s="61" t="n">
        <v>0.875</v>
      </c>
      <c r="H15" s="62">
        <f>IF(OR($F15="",$G15=""),"",($G15-$F15)*24)</f>
        <v/>
      </c>
      <c r="I15" s="58" t="inlineStr">
        <is>
          <t>Primaire</t>
        </is>
      </c>
      <c r="J15" s="59" t="inlineStr">
        <is>
          <t>5éme</t>
        </is>
      </c>
      <c r="K15" s="63" t="inlineStr">
        <is>
          <t>عربية</t>
        </is>
      </c>
      <c r="L15" s="63" t="inlineStr">
        <is>
          <t>Arabe</t>
        </is>
      </c>
      <c r="M15" s="59" t="inlineStr">
        <is>
          <t>Lobna</t>
        </is>
      </c>
      <c r="N15" s="58" t="n"/>
      <c r="O15" s="58" t="n"/>
      <c r="P15" s="58" t="inlineStr">
        <is>
          <t>Hebdomadaire</t>
        </is>
      </c>
      <c r="Q15" s="59" t="inlineStr"/>
      <c r="R15" s="58" t="n">
        <v>1</v>
      </c>
      <c r="S15" s="58" t="inlineStr">
        <is>
          <t>Oui</t>
        </is>
      </c>
      <c r="T15" s="58" t="inlineStr">
        <is>
          <t>S1-010</t>
        </is>
      </c>
      <c r="U15" s="59" t="inlineStr">
        <is>
          <t>Original (septembre)</t>
        </is>
      </c>
      <c r="V15" s="59" t="inlineStr"/>
      <c r="W15" s="10" t="n"/>
      <c r="X15" s="10" t="inlineStr"/>
      <c r="Y15" s="64">
        <f>IF($M15="","",IF(SUMPRODUCT(($D$4:$D$863=$D15)*($M$4:$M$863=$M15)*($T$4:$T$863&lt;&gt;$T15)*($F$4:$F$863&lt;$G15)*($G$4:$G$863&gt;$F15))&gt;0,"⚠ CONFLIT",""))</f>
        <v/>
      </c>
      <c r="Z15" s="64">
        <f>IF($J15="","",IF(SUMPRODUCT(($D$4:$D$863=$D15)*($J$4:$J$863=$J15)*($T$4:$T$863&lt;&gt;$T15)*($F$4:$F$863&lt;$G15)*($G$4:$G$863&gt;$F15)*(1-($X$4:$X$863="Oui")*($X15="Oui")))&gt;0,"⚠ CONFLIT",""))</f>
        <v/>
      </c>
      <c r="AA15" s="64">
        <f>IF(COUNTIFS($D$4:$D$863,$D15,$J$4:$J$863,$J15,$F$4:$F$863,$F15,$K$4:$K$863,$K15)&gt;1,"⚠ DOUBLON","")</f>
        <v/>
      </c>
      <c r="AB15" s="64">
        <f>IF(COUNTIF($T$4:$T$863,$T15)&lt;&gt;COUNTIFS($T$4:$T$863,$T15,$D$4:$D$863,$D15,$F$4:$F$863,$F15,$G$4:$G$863,$G15,$K$4:$K$863,$K15,$M$4:$M$863,$M15),"⚠ INCOHÉRENT","")</f>
        <v/>
      </c>
      <c r="AC15" s="64">
        <f>COUNTIFS($A$4:$A15,$A15,$J$4:$J15,$J15,$E$4:$E15,$E15)</f>
        <v/>
      </c>
      <c r="AD15" s="65">
        <f>$A15&amp;"|"&amp;$J15&amp;"|"&amp;$E15&amp;"|"&amp;$AC15</f>
        <v/>
      </c>
      <c r="AE15" s="66">
        <f>IF($W15&lt;&gt;"","⚑ "&amp;$W15&amp;CHAR(10),"")&amp;TEXT($F15,"hh:mm")&amp;"-"&amp;TEXT($G15,"hh:mm")&amp;IF(OR($P15="Quinzaine A",AND($P15="Hebdo · groupes alternés",$C15="A"))," Q-A",IF(OR($P15="Quinzaine B",AND($P15="Hebdo · groupes alternés",$C15="B"))," Q-B",IF($P15="Exception"," PONCT.","")))&amp;IF($X15="Oui"," OPT","")&amp;CHAR(10)&amp;$K15&amp;CHAR(10)&amp;$M15&amp;IF($N15&lt;&gt;"",CHAR(10)&amp;"Salle "&amp;$N15,"")&amp;IF($O15="En ligne",CHAR(10)&amp;"EN LIGNE","")&amp;IF($V15&lt;&gt;"",CHAR(10)&amp;$V15,"")</f>
        <v/>
      </c>
      <c r="AF15" s="65" t="inlineStr">
        <is>
          <t>19h-21h عربية (Lobna)</t>
        </is>
      </c>
      <c r="AG15" s="65" t="inlineStr">
        <is>
          <t>du 14-09 jusquà le 20-09!H6</t>
        </is>
      </c>
    </row>
    <row r="16" ht="15" customHeight="1">
      <c r="A16" s="58" t="inlineStr">
        <is>
          <t>S1</t>
        </is>
      </c>
      <c r="B16" s="59" t="inlineStr">
        <is>
          <t>du 14 au 20 septembre 2026</t>
        </is>
      </c>
      <c r="C16" s="58" t="inlineStr">
        <is>
          <t>A</t>
        </is>
      </c>
      <c r="D16" s="60" t="n">
        <v>46280</v>
      </c>
      <c r="E16" s="58" t="inlineStr">
        <is>
          <t>Mardi</t>
        </is>
      </c>
      <c r="F16" s="61" t="n">
        <v>0.7916666666666666</v>
      </c>
      <c r="G16" s="61" t="n">
        <v>0.8541666666666666</v>
      </c>
      <c r="H16" s="62">
        <f>IF(OR($F16="",$G16=""),"",($G16-$F16)*24)</f>
        <v/>
      </c>
      <c r="I16" s="58" t="inlineStr">
        <is>
          <t>Primaire</t>
        </is>
      </c>
      <c r="J16" s="59" t="inlineStr">
        <is>
          <t>6éme (B)</t>
        </is>
      </c>
      <c r="K16" s="67" t="inlineStr">
        <is>
          <t>Français</t>
        </is>
      </c>
      <c r="L16" s="67" t="inlineStr">
        <is>
          <t>Français</t>
        </is>
      </c>
      <c r="M16" s="59" t="inlineStr">
        <is>
          <t>Hend</t>
        </is>
      </c>
      <c r="N16" s="58" t="n"/>
      <c r="O16" s="58" t="n"/>
      <c r="P16" s="58" t="inlineStr">
        <is>
          <t>Hebdomadaire</t>
        </is>
      </c>
      <c r="Q16" s="59" t="inlineStr"/>
      <c r="R16" s="58" t="n">
        <v>1</v>
      </c>
      <c r="S16" s="58" t="inlineStr">
        <is>
          <t>Oui</t>
        </is>
      </c>
      <c r="T16" s="58" t="inlineStr">
        <is>
          <t>S1-011</t>
        </is>
      </c>
      <c r="U16" s="59" t="inlineStr">
        <is>
          <t>Original (septembre)</t>
        </is>
      </c>
      <c r="V16" s="59" t="inlineStr"/>
      <c r="W16" s="10" t="n"/>
      <c r="X16" s="10" t="inlineStr"/>
      <c r="Y16" s="64">
        <f>IF($M16="","",IF(SUMPRODUCT(($D$4:$D$863=$D16)*($M$4:$M$863=$M16)*($T$4:$T$863&lt;&gt;$T16)*($F$4:$F$863&lt;$G16)*($G$4:$G$863&gt;$F16))&gt;0,"⚠ CONFLIT",""))</f>
        <v/>
      </c>
      <c r="Z16" s="64">
        <f>IF($J16="","",IF(SUMPRODUCT(($D$4:$D$863=$D16)*($J$4:$J$863=$J16)*($T$4:$T$863&lt;&gt;$T16)*($F$4:$F$863&lt;$G16)*($G$4:$G$863&gt;$F16)*(1-($X$4:$X$863="Oui")*($X16="Oui")))&gt;0,"⚠ CONFLIT",""))</f>
        <v/>
      </c>
      <c r="AA16" s="64">
        <f>IF(COUNTIFS($D$4:$D$863,$D16,$J$4:$J$863,$J16,$F$4:$F$863,$F16,$K$4:$K$863,$K16)&gt;1,"⚠ DOUBLON","")</f>
        <v/>
      </c>
      <c r="AB16" s="64">
        <f>IF(COUNTIF($T$4:$T$863,$T16)&lt;&gt;COUNTIFS($T$4:$T$863,$T16,$D$4:$D$863,$D16,$F$4:$F$863,$F16,$G$4:$G$863,$G16,$K$4:$K$863,$K16,$M$4:$M$863,$M16),"⚠ INCOHÉRENT","")</f>
        <v/>
      </c>
      <c r="AC16" s="64">
        <f>COUNTIFS($A$4:$A16,$A16,$J$4:$J16,$J16,$E$4:$E16,$E16)</f>
        <v/>
      </c>
      <c r="AD16" s="65">
        <f>$A16&amp;"|"&amp;$J16&amp;"|"&amp;$E16&amp;"|"&amp;$AC16</f>
        <v/>
      </c>
      <c r="AE16" s="66">
        <f>IF($W16&lt;&gt;"","⚑ "&amp;$W16&amp;CHAR(10),"")&amp;TEXT($F16,"hh:mm")&amp;"-"&amp;TEXT($G16,"hh:mm")&amp;IF(OR($P16="Quinzaine A",AND($P16="Hebdo · groupes alternés",$C16="A"))," Q-A",IF(OR($P16="Quinzaine B",AND($P16="Hebdo · groupes alternés",$C16="B"))," Q-B",IF($P16="Exception"," PONCT.","")))&amp;IF($X16="Oui"," OPT","")&amp;CHAR(10)&amp;$K16&amp;CHAR(10)&amp;$M16&amp;IF($N16&lt;&gt;"",CHAR(10)&amp;"Salle "&amp;$N16,"")&amp;IF($O16="En ligne",CHAR(10)&amp;"EN LIGNE","")&amp;IF($V16&lt;&gt;"",CHAR(10)&amp;$V16,"")</f>
        <v/>
      </c>
      <c r="AF16" s="65" t="inlineStr">
        <is>
          <t>19h-20h30 Français (Hend)</t>
        </is>
      </c>
      <c r="AG16" s="65" t="inlineStr">
        <is>
          <t>du 14-09 jusquà le 20-09!H16</t>
        </is>
      </c>
    </row>
    <row r="17" ht="15" customHeight="1">
      <c r="A17" s="68" t="inlineStr">
        <is>
          <t>S1</t>
        </is>
      </c>
      <c r="B17" s="69" t="inlineStr">
        <is>
          <t>du 14 au 20 septembre 2026</t>
        </is>
      </c>
      <c r="C17" s="68" t="inlineStr">
        <is>
          <t>A</t>
        </is>
      </c>
      <c r="D17" s="70" t="n">
        <v>46280</v>
      </c>
      <c r="E17" s="68" t="inlineStr">
        <is>
          <t>Mardi</t>
        </is>
      </c>
      <c r="F17" s="71" t="n">
        <v>0.7916666666666666</v>
      </c>
      <c r="G17" s="71" t="n">
        <v>0.8541666666666666</v>
      </c>
      <c r="H17" s="72">
        <f>IF(OR($F17="",$G17=""),"",($G17-$F17)*24)</f>
        <v/>
      </c>
      <c r="I17" s="68" t="inlineStr">
        <is>
          <t>Collège</t>
        </is>
      </c>
      <c r="J17" s="69" t="inlineStr">
        <is>
          <t>7éme (A)</t>
        </is>
      </c>
      <c r="K17" s="87" t="inlineStr">
        <is>
          <t>Anglais</t>
        </is>
      </c>
      <c r="L17" s="87" t="inlineStr">
        <is>
          <t>Anglais</t>
        </is>
      </c>
      <c r="M17" s="69" t="inlineStr">
        <is>
          <t>Imen Ben Lazrak</t>
        </is>
      </c>
      <c r="N17" s="68" t="n"/>
      <c r="O17" s="68" t="n"/>
      <c r="P17" s="68" t="inlineStr">
        <is>
          <t>Hebdo · groupes alternés</t>
        </is>
      </c>
      <c r="Q17" s="69" t="inlineStr"/>
      <c r="R17" s="68" t="n">
        <v>1</v>
      </c>
      <c r="S17" s="68" t="inlineStr">
        <is>
          <t>Oui</t>
        </is>
      </c>
      <c r="T17" s="68" t="inlineStr">
        <is>
          <t>S1-012</t>
        </is>
      </c>
      <c r="U17" s="69" t="inlineStr">
        <is>
          <t>Original (septembre)</t>
        </is>
      </c>
      <c r="V17" s="69" t="inlineStr"/>
      <c r="W17" s="10" t="n"/>
      <c r="X17" s="10" t="inlineStr"/>
      <c r="Y17" s="64">
        <f>IF($M17="","",IF(SUMPRODUCT(($D$4:$D$863=$D17)*($M$4:$M$863=$M17)*($T$4:$T$863&lt;&gt;$T17)*($F$4:$F$863&lt;$G17)*($G$4:$G$863&gt;$F17))&gt;0,"⚠ CONFLIT",""))</f>
        <v/>
      </c>
      <c r="Z17" s="64">
        <f>IF($J17="","",IF(SUMPRODUCT(($D$4:$D$863=$D17)*($J$4:$J$863=$J17)*($T$4:$T$863&lt;&gt;$T17)*($F$4:$F$863&lt;$G17)*($G$4:$G$863&gt;$F17)*(1-($X$4:$X$863="Oui")*($X17="Oui")))&gt;0,"⚠ CONFLIT",""))</f>
        <v/>
      </c>
      <c r="AA17" s="64">
        <f>IF(COUNTIFS($D$4:$D$863,$D17,$J$4:$J$863,$J17,$F$4:$F$863,$F17,$K$4:$K$863,$K17)&gt;1,"⚠ DOUBLON","")</f>
        <v/>
      </c>
      <c r="AB17" s="64">
        <f>IF(COUNTIF($T$4:$T$863,$T17)&lt;&gt;COUNTIFS($T$4:$T$863,$T17,$D$4:$D$863,$D17,$F$4:$F$863,$F17,$G$4:$G$863,$G17,$K$4:$K$863,$K17,$M$4:$M$863,$M17),"⚠ INCOHÉRENT","")</f>
        <v/>
      </c>
      <c r="AC17" s="64">
        <f>COUNTIFS($A$4:$A17,$A17,$J$4:$J17,$J17,$E$4:$E17,$E17)</f>
        <v/>
      </c>
      <c r="AD17" s="65">
        <f>$A17&amp;"|"&amp;$J17&amp;"|"&amp;$E17&amp;"|"&amp;$AC17</f>
        <v/>
      </c>
      <c r="AE17" s="66">
        <f>IF($W17&lt;&gt;"","⚑ "&amp;$W17&amp;CHAR(10),"")&amp;TEXT($F17,"hh:mm")&amp;"-"&amp;TEXT($G17,"hh:mm")&amp;IF(OR($P17="Quinzaine A",AND($P17="Hebdo · groupes alternés",$C17="A"))," Q-A",IF(OR($P17="Quinzaine B",AND($P17="Hebdo · groupes alternés",$C17="B"))," Q-B",IF($P17="Exception"," PONCT.","")))&amp;IF($X17="Oui"," OPT","")&amp;CHAR(10)&amp;$K17&amp;CHAR(10)&amp;$M17&amp;IF($N17&lt;&gt;"",CHAR(10)&amp;"Salle "&amp;$N17,"")&amp;IF($O17="En ligne",CHAR(10)&amp;"EN LIGNE","")&amp;IF($V17&lt;&gt;"",CHAR(10)&amp;$V17,"")</f>
        <v/>
      </c>
      <c r="AF17" s="65" t="inlineStr">
        <is>
          <t>19h-20h30 Anglais /par quinzaine (Imen Ben Lazrak)</t>
        </is>
      </c>
      <c r="AG17" s="65" t="inlineStr">
        <is>
          <t>du 14-09 jusquà le 20-09!H19</t>
        </is>
      </c>
    </row>
    <row r="18" ht="15" customHeight="1">
      <c r="A18" s="68" t="inlineStr">
        <is>
          <t>S1</t>
        </is>
      </c>
      <c r="B18" s="69" t="inlineStr">
        <is>
          <t>du 14 au 20 septembre 2026</t>
        </is>
      </c>
      <c r="C18" s="68" t="inlineStr">
        <is>
          <t>A</t>
        </is>
      </c>
      <c r="D18" s="70" t="n">
        <v>46280</v>
      </c>
      <c r="E18" s="68" t="inlineStr">
        <is>
          <t>Mardi</t>
        </is>
      </c>
      <c r="F18" s="71" t="n">
        <v>0.8125</v>
      </c>
      <c r="G18" s="71" t="n">
        <v>0.875</v>
      </c>
      <c r="H18" s="72">
        <f>IF(OR($F18="",$G18=""),"",($G18-$F18)*24)</f>
        <v/>
      </c>
      <c r="I18" s="68" t="inlineStr">
        <is>
          <t>Collège</t>
        </is>
      </c>
      <c r="J18" s="69" t="inlineStr">
        <is>
          <t>8éme (B)</t>
        </is>
      </c>
      <c r="K18" s="63" t="inlineStr">
        <is>
          <t>Arabe</t>
        </is>
      </c>
      <c r="L18" s="63" t="inlineStr">
        <is>
          <t>Arabe</t>
        </is>
      </c>
      <c r="M18" s="69" t="inlineStr">
        <is>
          <t>Yahya</t>
        </is>
      </c>
      <c r="N18" s="68" t="n"/>
      <c r="O18" s="68" t="n"/>
      <c r="P18" s="68" t="inlineStr">
        <is>
          <t>Hebdomadaire</t>
        </is>
      </c>
      <c r="Q18" s="69" t="inlineStr">
        <is>
          <t>8éme (B) + 8éme (C)</t>
        </is>
      </c>
      <c r="R18" s="68" t="n">
        <v>2</v>
      </c>
      <c r="S18" s="68" t="inlineStr">
        <is>
          <t>Oui</t>
        </is>
      </c>
      <c r="T18" s="68" t="inlineStr">
        <is>
          <t>S1-013</t>
        </is>
      </c>
      <c r="U18" s="69" t="inlineStr">
        <is>
          <t>Original (septembre)</t>
        </is>
      </c>
      <c r="V18" s="69" t="inlineStr"/>
      <c r="W18" s="10" t="n"/>
      <c r="X18" s="10" t="inlineStr"/>
      <c r="Y18" s="64">
        <f>IF($M18="","",IF(SUMPRODUCT(($D$4:$D$863=$D18)*($M$4:$M$863=$M18)*($T$4:$T$863&lt;&gt;$T18)*($F$4:$F$863&lt;$G18)*($G$4:$G$863&gt;$F18))&gt;0,"⚠ CONFLIT",""))</f>
        <v/>
      </c>
      <c r="Z18" s="64">
        <f>IF($J18="","",IF(SUMPRODUCT(($D$4:$D$863=$D18)*($J$4:$J$863=$J18)*($T$4:$T$863&lt;&gt;$T18)*($F$4:$F$863&lt;$G18)*($G$4:$G$863&gt;$F18)*(1-($X$4:$X$863="Oui")*($X18="Oui")))&gt;0,"⚠ CONFLIT",""))</f>
        <v/>
      </c>
      <c r="AA18" s="64">
        <f>IF(COUNTIFS($D$4:$D$863,$D18,$J$4:$J$863,$J18,$F$4:$F$863,$F18,$K$4:$K$863,$K18)&gt;1,"⚠ DOUBLON","")</f>
        <v/>
      </c>
      <c r="AB18" s="64">
        <f>IF(COUNTIF($T$4:$T$863,$T18)&lt;&gt;COUNTIFS($T$4:$T$863,$T18,$D$4:$D$863,$D18,$F$4:$F$863,$F18,$G$4:$G$863,$G18,$K$4:$K$863,$K18,$M$4:$M$863,$M18),"⚠ INCOHÉRENT","")</f>
        <v/>
      </c>
      <c r="AC18" s="64">
        <f>COUNTIFS($A$4:$A18,$A18,$J$4:$J18,$J18,$E$4:$E18,$E18)</f>
        <v/>
      </c>
      <c r="AD18" s="65">
        <f>$A18&amp;"|"&amp;$J18&amp;"|"&amp;$E18&amp;"|"&amp;$AC18</f>
        <v/>
      </c>
      <c r="AE18" s="66">
        <f>IF($W18&lt;&gt;"","⚑ "&amp;$W18&amp;CHAR(10),"")&amp;TEXT($F18,"hh:mm")&amp;"-"&amp;TEXT($G18,"hh:mm")&amp;IF(OR($P18="Quinzaine A",AND($P18="Hebdo · groupes alternés",$C18="A"))," Q-A",IF(OR($P18="Quinzaine B",AND($P18="Hebdo · groupes alternés",$C18="B"))," Q-B",IF($P18="Exception"," PONCT.","")))&amp;IF($X18="Oui"," OPT","")&amp;CHAR(10)&amp;$K18&amp;CHAR(10)&amp;$M18&amp;IF($N18&lt;&gt;"",CHAR(10)&amp;"Salle "&amp;$N18,"")&amp;IF($O18="En ligne",CHAR(10)&amp;"EN LIGNE","")&amp;IF($V18&lt;&gt;"",CHAR(10)&amp;$V18,"")</f>
        <v/>
      </c>
      <c r="AF18" s="65" t="inlineStr">
        <is>
          <t>19h30-21h Arabe (Yahya)</t>
        </is>
      </c>
      <c r="AG18" s="65" t="inlineStr">
        <is>
          <t>du 14-09 jusquà le 20-09!H31</t>
        </is>
      </c>
    </row>
    <row r="19" ht="15" customHeight="1">
      <c r="A19" s="68" t="inlineStr">
        <is>
          <t>S1</t>
        </is>
      </c>
      <c r="B19" s="69" t="inlineStr">
        <is>
          <t>du 14 au 20 septembre 2026</t>
        </is>
      </c>
      <c r="C19" s="68" t="inlineStr">
        <is>
          <t>A</t>
        </is>
      </c>
      <c r="D19" s="70" t="n">
        <v>46280</v>
      </c>
      <c r="E19" s="68" t="inlineStr">
        <is>
          <t>Mardi</t>
        </is>
      </c>
      <c r="F19" s="71" t="n">
        <v>0.8125</v>
      </c>
      <c r="G19" s="71" t="n">
        <v>0.875</v>
      </c>
      <c r="H19" s="72">
        <f>IF(OR($F19="",$G19=""),"",($G19-$F19)*24)</f>
        <v/>
      </c>
      <c r="I19" s="68" t="inlineStr">
        <is>
          <t>Collège</t>
        </is>
      </c>
      <c r="J19" s="69" t="inlineStr">
        <is>
          <t>8éme (C)</t>
        </is>
      </c>
      <c r="K19" s="63" t="inlineStr">
        <is>
          <t>Arabe</t>
        </is>
      </c>
      <c r="L19" s="63" t="inlineStr">
        <is>
          <t>Arabe</t>
        </is>
      </c>
      <c r="M19" s="69" t="inlineStr">
        <is>
          <t>Yahya</t>
        </is>
      </c>
      <c r="N19" s="68" t="n"/>
      <c r="O19" s="68" t="n"/>
      <c r="P19" s="68" t="inlineStr">
        <is>
          <t>Hebdomadaire</t>
        </is>
      </c>
      <c r="Q19" s="69" t="inlineStr">
        <is>
          <t>8éme (B) + 8éme (C)</t>
        </is>
      </c>
      <c r="R19" s="68" t="n">
        <v>2</v>
      </c>
      <c r="S19" s="68" t="inlineStr"/>
      <c r="T19" s="68" t="inlineStr">
        <is>
          <t>S1-013</t>
        </is>
      </c>
      <c r="U19" s="69" t="inlineStr">
        <is>
          <t>Original (septembre)</t>
        </is>
      </c>
      <c r="V19" s="69" t="inlineStr"/>
      <c r="W19" s="10" t="n"/>
      <c r="X19" s="10" t="inlineStr"/>
      <c r="Y19" s="64">
        <f>IF($M19="","",IF(SUMPRODUCT(($D$4:$D$863=$D19)*($M$4:$M$863=$M19)*($T$4:$T$863&lt;&gt;$T19)*($F$4:$F$863&lt;$G19)*($G$4:$G$863&gt;$F19))&gt;0,"⚠ CONFLIT",""))</f>
        <v/>
      </c>
      <c r="Z19" s="64">
        <f>IF($J19="","",IF(SUMPRODUCT(($D$4:$D$863=$D19)*($J$4:$J$863=$J19)*($T$4:$T$863&lt;&gt;$T19)*($F$4:$F$863&lt;$G19)*($G$4:$G$863&gt;$F19)*(1-($X$4:$X$863="Oui")*($X19="Oui")))&gt;0,"⚠ CONFLIT",""))</f>
        <v/>
      </c>
      <c r="AA19" s="64">
        <f>IF(COUNTIFS($D$4:$D$863,$D19,$J$4:$J$863,$J19,$F$4:$F$863,$F19,$K$4:$K$863,$K19)&gt;1,"⚠ DOUBLON","")</f>
        <v/>
      </c>
      <c r="AB19" s="64">
        <f>IF(COUNTIF($T$4:$T$863,$T19)&lt;&gt;COUNTIFS($T$4:$T$863,$T19,$D$4:$D$863,$D19,$F$4:$F$863,$F19,$G$4:$G$863,$G19,$K$4:$K$863,$K19,$M$4:$M$863,$M19),"⚠ INCOHÉRENT","")</f>
        <v/>
      </c>
      <c r="AC19" s="64">
        <f>COUNTIFS($A$4:$A19,$A19,$J$4:$J19,$J19,$E$4:$E19,$E19)</f>
        <v/>
      </c>
      <c r="AD19" s="65">
        <f>$A19&amp;"|"&amp;$J19&amp;"|"&amp;$E19&amp;"|"&amp;$AC19</f>
        <v/>
      </c>
      <c r="AE19" s="66">
        <f>IF($W19&lt;&gt;"","⚑ "&amp;$W19&amp;CHAR(10),"")&amp;TEXT($F19,"hh:mm")&amp;"-"&amp;TEXT($G19,"hh:mm")&amp;IF(OR($P19="Quinzaine A",AND($P19="Hebdo · groupes alternés",$C19="A"))," Q-A",IF(OR($P19="Quinzaine B",AND($P19="Hebdo · groupes alternés",$C19="B"))," Q-B",IF($P19="Exception"," PONCT.","")))&amp;IF($X19="Oui"," OPT","")&amp;CHAR(10)&amp;$K19&amp;CHAR(10)&amp;$M19&amp;IF($N19&lt;&gt;"",CHAR(10)&amp;"Salle "&amp;$N19,"")&amp;IF($O19="En ligne",CHAR(10)&amp;"EN LIGNE","")&amp;IF($V19&lt;&gt;"",CHAR(10)&amp;$V19,"")</f>
        <v/>
      </c>
      <c r="AF19" s="65" t="inlineStr">
        <is>
          <t>19h30-21h Arabe (Yahya)</t>
        </is>
      </c>
      <c r="AG19" s="65" t="inlineStr">
        <is>
          <t>du 14-09 jusquà le 20-09!H31</t>
        </is>
      </c>
    </row>
    <row r="20" ht="15" customHeight="1">
      <c r="A20" s="68" t="inlineStr">
        <is>
          <t>S1</t>
        </is>
      </c>
      <c r="B20" s="69" t="inlineStr">
        <is>
          <t>du 14 au 20 septembre 2026</t>
        </is>
      </c>
      <c r="C20" s="68" t="inlineStr">
        <is>
          <t>A</t>
        </is>
      </c>
      <c r="D20" s="70" t="n">
        <v>46280</v>
      </c>
      <c r="E20" s="68" t="inlineStr">
        <is>
          <t>Mardi</t>
        </is>
      </c>
      <c r="F20" s="71" t="n">
        <v>0.7916666666666666</v>
      </c>
      <c r="G20" s="71" t="n">
        <v>0.8541666666666666</v>
      </c>
      <c r="H20" s="72">
        <f>IF(OR($F20="",$G20=""),"",($G20-$F20)*24)</f>
        <v/>
      </c>
      <c r="I20" s="68" t="inlineStr">
        <is>
          <t>Collège</t>
        </is>
      </c>
      <c r="J20" s="69" t="inlineStr">
        <is>
          <t>9éme (A)</t>
        </is>
      </c>
      <c r="K20" s="79" t="inlineStr">
        <is>
          <t>Math</t>
        </is>
      </c>
      <c r="L20" s="79" t="inlineStr">
        <is>
          <t>Math</t>
        </is>
      </c>
      <c r="M20" s="69" t="inlineStr">
        <is>
          <t>Faouzi</t>
        </is>
      </c>
      <c r="N20" s="68" t="n"/>
      <c r="O20" s="68" t="n"/>
      <c r="P20" s="68" t="inlineStr">
        <is>
          <t>Hebdomadaire</t>
        </is>
      </c>
      <c r="Q20" s="69" t="inlineStr"/>
      <c r="R20" s="68" t="n">
        <v>1</v>
      </c>
      <c r="S20" s="68" t="inlineStr">
        <is>
          <t>Oui</t>
        </is>
      </c>
      <c r="T20" s="68" t="inlineStr">
        <is>
          <t>S1-014</t>
        </is>
      </c>
      <c r="U20" s="69" t="inlineStr">
        <is>
          <t>Original (septembre)</t>
        </is>
      </c>
      <c r="V20" s="69" t="inlineStr"/>
      <c r="W20" s="10" t="n"/>
      <c r="X20" s="10" t="inlineStr"/>
      <c r="Y20" s="64">
        <f>IF($M20="","",IF(SUMPRODUCT(($D$4:$D$863=$D20)*($M$4:$M$863=$M20)*($T$4:$T$863&lt;&gt;$T20)*($F$4:$F$863&lt;$G20)*($G$4:$G$863&gt;$F20))&gt;0,"⚠ CONFLIT",""))</f>
        <v/>
      </c>
      <c r="Z20" s="64">
        <f>IF($J20="","",IF(SUMPRODUCT(($D$4:$D$863=$D20)*($J$4:$J$863=$J20)*($T$4:$T$863&lt;&gt;$T20)*($F$4:$F$863&lt;$G20)*($G$4:$G$863&gt;$F20)*(1-($X$4:$X$863="Oui")*($X20="Oui")))&gt;0,"⚠ CONFLIT",""))</f>
        <v/>
      </c>
      <c r="AA20" s="64">
        <f>IF(COUNTIFS($D$4:$D$863,$D20,$J$4:$J$863,$J20,$F$4:$F$863,$F20,$K$4:$K$863,$K20)&gt;1,"⚠ DOUBLON","")</f>
        <v/>
      </c>
      <c r="AB20" s="64">
        <f>IF(COUNTIF($T$4:$T$863,$T20)&lt;&gt;COUNTIFS($T$4:$T$863,$T20,$D$4:$D$863,$D20,$F$4:$F$863,$F20,$G$4:$G$863,$G20,$K$4:$K$863,$K20,$M$4:$M$863,$M20),"⚠ INCOHÉRENT","")</f>
        <v/>
      </c>
      <c r="AC20" s="64">
        <f>COUNTIFS($A$4:$A20,$A20,$J$4:$J20,$J20,$E$4:$E20,$E20)</f>
        <v/>
      </c>
      <c r="AD20" s="65">
        <f>$A20&amp;"|"&amp;$J20&amp;"|"&amp;$E20&amp;"|"&amp;$AC20</f>
        <v/>
      </c>
      <c r="AE20" s="66">
        <f>IF($W20&lt;&gt;"","⚑ "&amp;$W20&amp;CHAR(10),"")&amp;TEXT($F20,"hh:mm")&amp;"-"&amp;TEXT($G20,"hh:mm")&amp;IF(OR($P20="Quinzaine A",AND($P20="Hebdo · groupes alternés",$C20="A"))," Q-A",IF(OR($P20="Quinzaine B",AND($P20="Hebdo · groupes alternés",$C20="B"))," Q-B",IF($P20="Exception"," PONCT.","")))&amp;IF($X20="Oui"," OPT","")&amp;CHAR(10)&amp;$K20&amp;CHAR(10)&amp;$M20&amp;IF($N20&lt;&gt;"",CHAR(10)&amp;"Salle "&amp;$N20,"")&amp;IF($O20="En ligne",CHAR(10)&amp;"EN LIGNE","")&amp;IF($V20&lt;&gt;"",CHAR(10)&amp;$V20,"")</f>
        <v/>
      </c>
      <c r="AF20" s="65" t="inlineStr">
        <is>
          <t>19h-20h30 Math (Faouzi)</t>
        </is>
      </c>
      <c r="AG20" s="65" t="inlineStr">
        <is>
          <t>du 14-09 jusquà le 20-09!H36</t>
        </is>
      </c>
    </row>
    <row r="21" ht="15" customHeight="1">
      <c r="A21" s="68" t="inlineStr">
        <is>
          <t>S1</t>
        </is>
      </c>
      <c r="B21" s="69" t="inlineStr">
        <is>
          <t>du 14 au 20 septembre 2026</t>
        </is>
      </c>
      <c r="C21" s="68" t="inlineStr">
        <is>
          <t>A</t>
        </is>
      </c>
      <c r="D21" s="70" t="n">
        <v>46280</v>
      </c>
      <c r="E21" s="68" t="inlineStr">
        <is>
          <t>Mardi</t>
        </is>
      </c>
      <c r="F21" s="71" t="n">
        <v>0.8020833333333334</v>
      </c>
      <c r="G21" s="71" t="n">
        <v>0.8645833333333334</v>
      </c>
      <c r="H21" s="72">
        <f>IF(OR($F21="",$G21=""),"",($G21-$F21)*24)</f>
        <v/>
      </c>
      <c r="I21" s="68" t="inlineStr">
        <is>
          <t>Collège</t>
        </is>
      </c>
      <c r="J21" s="69" t="inlineStr">
        <is>
          <t>9éme (B)</t>
        </is>
      </c>
      <c r="K21" s="88" t="inlineStr">
        <is>
          <t>SVT</t>
        </is>
      </c>
      <c r="L21" s="88" t="inlineStr">
        <is>
          <t>SVT</t>
        </is>
      </c>
      <c r="M21" s="69" t="inlineStr">
        <is>
          <t>Imen Jribi</t>
        </is>
      </c>
      <c r="N21" s="68" t="n"/>
      <c r="O21" s="68" t="n"/>
      <c r="P21" s="68" t="inlineStr">
        <is>
          <t>Hebdomadaire</t>
        </is>
      </c>
      <c r="Q21" s="69" t="inlineStr"/>
      <c r="R21" s="68" t="n">
        <v>1</v>
      </c>
      <c r="S21" s="68" t="inlineStr">
        <is>
          <t>Oui</t>
        </is>
      </c>
      <c r="T21" s="68" t="inlineStr">
        <is>
          <t>S1-015</t>
        </is>
      </c>
      <c r="U21" s="69" t="inlineStr">
        <is>
          <t>Original (septembre)</t>
        </is>
      </c>
      <c r="V21" s="69" t="inlineStr"/>
      <c r="W21" s="10" t="n"/>
      <c r="X21" s="10" t="inlineStr"/>
      <c r="Y21" s="64">
        <f>IF($M21="","",IF(SUMPRODUCT(($D$4:$D$863=$D21)*($M$4:$M$863=$M21)*($T$4:$T$863&lt;&gt;$T21)*($F$4:$F$863&lt;$G21)*($G$4:$G$863&gt;$F21))&gt;0,"⚠ CONFLIT",""))</f>
        <v/>
      </c>
      <c r="Z21" s="64">
        <f>IF($J21="","",IF(SUMPRODUCT(($D$4:$D$863=$D21)*($J$4:$J$863=$J21)*($T$4:$T$863&lt;&gt;$T21)*($F$4:$F$863&lt;$G21)*($G$4:$G$863&gt;$F21)*(1-($X$4:$X$863="Oui")*($X21="Oui")))&gt;0,"⚠ CONFLIT",""))</f>
        <v/>
      </c>
      <c r="AA21" s="64">
        <f>IF(COUNTIFS($D$4:$D$863,$D21,$J$4:$J$863,$J21,$F$4:$F$863,$F21,$K$4:$K$863,$K21)&gt;1,"⚠ DOUBLON","")</f>
        <v/>
      </c>
      <c r="AB21" s="64">
        <f>IF(COUNTIF($T$4:$T$863,$T21)&lt;&gt;COUNTIFS($T$4:$T$863,$T21,$D$4:$D$863,$D21,$F$4:$F$863,$F21,$G$4:$G$863,$G21,$K$4:$K$863,$K21,$M$4:$M$863,$M21),"⚠ INCOHÉRENT","")</f>
        <v/>
      </c>
      <c r="AC21" s="64">
        <f>COUNTIFS($A$4:$A21,$A21,$J$4:$J21,$J21,$E$4:$E21,$E21)</f>
        <v/>
      </c>
      <c r="AD21" s="65">
        <f>$A21&amp;"|"&amp;$J21&amp;"|"&amp;$E21&amp;"|"&amp;$AC21</f>
        <v/>
      </c>
      <c r="AE21" s="66">
        <f>IF($W21&lt;&gt;"","⚑ "&amp;$W21&amp;CHAR(10),"")&amp;TEXT($F21,"hh:mm")&amp;"-"&amp;TEXT($G21,"hh:mm")&amp;IF(OR($P21="Quinzaine A",AND($P21="Hebdo · groupes alternés",$C21="A"))," Q-A",IF(OR($P21="Quinzaine B",AND($P21="Hebdo · groupes alternés",$C21="B"))," Q-B",IF($P21="Exception"," PONCT.","")))&amp;IF($X21="Oui"," OPT","")&amp;CHAR(10)&amp;$K21&amp;CHAR(10)&amp;$M21&amp;IF($N21&lt;&gt;"",CHAR(10)&amp;"Salle "&amp;$N21,"")&amp;IF($O21="En ligne",CHAR(10)&amp;"EN LIGNE","")&amp;IF($V21&lt;&gt;"",CHAR(10)&amp;$V21,"")</f>
        <v/>
      </c>
      <c r="AF21" s="65" t="inlineStr">
        <is>
          <t>19h15-20h45 SVT (Imen Jribi)</t>
        </is>
      </c>
      <c r="AG21" s="65" t="inlineStr">
        <is>
          <t>du 14-09 jusquà le 20-09!H43</t>
        </is>
      </c>
    </row>
    <row r="22" ht="15" customHeight="1">
      <c r="A22" s="74" t="inlineStr">
        <is>
          <t>S1</t>
        </is>
      </c>
      <c r="B22" s="75" t="inlineStr">
        <is>
          <t>du 14 au 20 septembre 2026</t>
        </is>
      </c>
      <c r="C22" s="74" t="inlineStr">
        <is>
          <t>A</t>
        </is>
      </c>
      <c r="D22" s="76" t="n">
        <v>46280</v>
      </c>
      <c r="E22" s="74" t="inlineStr">
        <is>
          <t>Mardi</t>
        </is>
      </c>
      <c r="F22" s="77" t="n">
        <v>0.8125</v>
      </c>
      <c r="G22" s="77" t="n">
        <v>0.875</v>
      </c>
      <c r="H22" s="78">
        <f>IF(OR($F22="",$G22=""),"",($G22-$F22)*24)</f>
        <v/>
      </c>
      <c r="I22" s="74" t="inlineStr">
        <is>
          <t>Secondaire</t>
        </is>
      </c>
      <c r="J22" s="75" t="inlineStr">
        <is>
          <t>1ére (A)</t>
        </is>
      </c>
      <c r="K22" s="67" t="inlineStr">
        <is>
          <t>Français</t>
        </is>
      </c>
      <c r="L22" s="67" t="inlineStr">
        <is>
          <t>Français</t>
        </is>
      </c>
      <c r="M22" s="75" t="inlineStr">
        <is>
          <t>Nassima</t>
        </is>
      </c>
      <c r="N22" s="74" t="n"/>
      <c r="O22" s="74" t="n"/>
      <c r="P22" s="74" t="inlineStr">
        <is>
          <t>Hebdomadaire</t>
        </is>
      </c>
      <c r="Q22" s="75" t="inlineStr"/>
      <c r="R22" s="74" t="n">
        <v>1</v>
      </c>
      <c r="S22" s="74" t="inlineStr">
        <is>
          <t>Oui</t>
        </is>
      </c>
      <c r="T22" s="74" t="inlineStr">
        <is>
          <t>S1-016</t>
        </is>
      </c>
      <c r="U22" s="75" t="inlineStr">
        <is>
          <t>Original (septembre)</t>
        </is>
      </c>
      <c r="V22" s="75" t="inlineStr"/>
      <c r="W22" s="10" t="n"/>
      <c r="X22" s="10" t="inlineStr"/>
      <c r="Y22" s="64">
        <f>IF($M22="","",IF(SUMPRODUCT(($D$4:$D$863=$D22)*($M$4:$M$863=$M22)*($T$4:$T$863&lt;&gt;$T22)*($F$4:$F$863&lt;$G22)*($G$4:$G$863&gt;$F22))&gt;0,"⚠ CONFLIT",""))</f>
        <v/>
      </c>
      <c r="Z22" s="64">
        <f>IF($J22="","",IF(SUMPRODUCT(($D$4:$D$863=$D22)*($J$4:$J$863=$J22)*($T$4:$T$863&lt;&gt;$T22)*($F$4:$F$863&lt;$G22)*($G$4:$G$863&gt;$F22)*(1-($X$4:$X$863="Oui")*($X22="Oui")))&gt;0,"⚠ CONFLIT",""))</f>
        <v/>
      </c>
      <c r="AA22" s="64">
        <f>IF(COUNTIFS($D$4:$D$863,$D22,$J$4:$J$863,$J22,$F$4:$F$863,$F22,$K$4:$K$863,$K22)&gt;1,"⚠ DOUBLON","")</f>
        <v/>
      </c>
      <c r="AB22" s="64">
        <f>IF(COUNTIF($T$4:$T$863,$T22)&lt;&gt;COUNTIFS($T$4:$T$863,$T22,$D$4:$D$863,$D22,$F$4:$F$863,$F22,$G$4:$G$863,$G22,$K$4:$K$863,$K22,$M$4:$M$863,$M22),"⚠ INCOHÉRENT","")</f>
        <v/>
      </c>
      <c r="AC22" s="64">
        <f>COUNTIFS($A$4:$A22,$A22,$J$4:$J22,$J22,$E$4:$E22,$E22)</f>
        <v/>
      </c>
      <c r="AD22" s="65">
        <f>$A22&amp;"|"&amp;$J22&amp;"|"&amp;$E22&amp;"|"&amp;$AC22</f>
        <v/>
      </c>
      <c r="AE22" s="66">
        <f>IF($W22&lt;&gt;"","⚑ "&amp;$W22&amp;CHAR(10),"")&amp;TEXT($F22,"hh:mm")&amp;"-"&amp;TEXT($G22,"hh:mm")&amp;IF(OR($P22="Quinzaine A",AND($P22="Hebdo · groupes alternés",$C22="A"))," Q-A",IF(OR($P22="Quinzaine B",AND($P22="Hebdo · groupes alternés",$C22="B"))," Q-B",IF($P22="Exception"," PONCT.","")))&amp;IF($X22="Oui"," OPT","")&amp;CHAR(10)&amp;$K22&amp;CHAR(10)&amp;$M22&amp;IF($N22&lt;&gt;"",CHAR(10)&amp;"Salle "&amp;$N22,"")&amp;IF($O22="En ligne",CHAR(10)&amp;"EN LIGNE","")&amp;IF($V22&lt;&gt;"",CHAR(10)&amp;$V22,"")</f>
        <v/>
      </c>
      <c r="AF22" s="65" t="inlineStr">
        <is>
          <t>19h30-21h Français (Nassima)</t>
        </is>
      </c>
      <c r="AG22" s="65" t="inlineStr">
        <is>
          <t>du 14-09 jusquà le 20-09!H48</t>
        </is>
      </c>
    </row>
    <row r="23" ht="15" customHeight="1">
      <c r="A23" s="74" t="inlineStr">
        <is>
          <t>S1</t>
        </is>
      </c>
      <c r="B23" s="75" t="inlineStr">
        <is>
          <t>du 14 au 20 septembre 2026</t>
        </is>
      </c>
      <c r="C23" s="74" t="inlineStr">
        <is>
          <t>A</t>
        </is>
      </c>
      <c r="D23" s="76" t="n">
        <v>46280</v>
      </c>
      <c r="E23" s="74" t="inlineStr">
        <is>
          <t>Mardi</t>
        </is>
      </c>
      <c r="F23" s="77" t="n">
        <v>0.8125</v>
      </c>
      <c r="G23" s="77" t="n">
        <v>0.875</v>
      </c>
      <c r="H23" s="78">
        <f>IF(OR($F23="",$G23=""),"",($G23-$F23)*24)</f>
        <v/>
      </c>
      <c r="I23" s="74" t="inlineStr">
        <is>
          <t>Secondaire</t>
        </is>
      </c>
      <c r="J23" s="75" t="inlineStr">
        <is>
          <t>1ére (B)</t>
        </is>
      </c>
      <c r="K23" s="79" t="inlineStr">
        <is>
          <t>Math</t>
        </is>
      </c>
      <c r="L23" s="79" t="inlineStr">
        <is>
          <t>Math</t>
        </is>
      </c>
      <c r="M23" s="75" t="inlineStr">
        <is>
          <t>Haythem</t>
        </is>
      </c>
      <c r="N23" s="74" t="n"/>
      <c r="O23" s="74" t="n"/>
      <c r="P23" s="74" t="inlineStr">
        <is>
          <t>Hebdomadaire</t>
        </is>
      </c>
      <c r="Q23" s="75" t="inlineStr"/>
      <c r="R23" s="74" t="n">
        <v>1</v>
      </c>
      <c r="S23" s="74" t="inlineStr">
        <is>
          <t>Oui</t>
        </is>
      </c>
      <c r="T23" s="74" t="inlineStr">
        <is>
          <t>S1-017</t>
        </is>
      </c>
      <c r="U23" s="75" t="inlineStr">
        <is>
          <t>Original (septembre)</t>
        </is>
      </c>
      <c r="V23" s="75" t="inlineStr"/>
      <c r="W23" s="10" t="n"/>
      <c r="X23" s="10" t="inlineStr"/>
      <c r="Y23" s="64">
        <f>IF($M23="","",IF(SUMPRODUCT(($D$4:$D$863=$D23)*($M$4:$M$863=$M23)*($T$4:$T$863&lt;&gt;$T23)*($F$4:$F$863&lt;$G23)*($G$4:$G$863&gt;$F23))&gt;0,"⚠ CONFLIT",""))</f>
        <v/>
      </c>
      <c r="Z23" s="64">
        <f>IF($J23="","",IF(SUMPRODUCT(($D$4:$D$863=$D23)*($J$4:$J$863=$J23)*($T$4:$T$863&lt;&gt;$T23)*($F$4:$F$863&lt;$G23)*($G$4:$G$863&gt;$F23)*(1-($X$4:$X$863="Oui")*($X23="Oui")))&gt;0,"⚠ CONFLIT",""))</f>
        <v/>
      </c>
      <c r="AA23" s="64">
        <f>IF(COUNTIFS($D$4:$D$863,$D23,$J$4:$J$863,$J23,$F$4:$F$863,$F23,$K$4:$K$863,$K23)&gt;1,"⚠ DOUBLON","")</f>
        <v/>
      </c>
      <c r="AB23" s="64">
        <f>IF(COUNTIF($T$4:$T$863,$T23)&lt;&gt;COUNTIFS($T$4:$T$863,$T23,$D$4:$D$863,$D23,$F$4:$F$863,$F23,$G$4:$G$863,$G23,$K$4:$K$863,$K23,$M$4:$M$863,$M23),"⚠ INCOHÉRENT","")</f>
        <v/>
      </c>
      <c r="AC23" s="64">
        <f>COUNTIFS($A$4:$A23,$A23,$J$4:$J23,$J23,$E$4:$E23,$E23)</f>
        <v/>
      </c>
      <c r="AD23" s="65">
        <f>$A23&amp;"|"&amp;$J23&amp;"|"&amp;$E23&amp;"|"&amp;$AC23</f>
        <v/>
      </c>
      <c r="AE23" s="66">
        <f>IF($W23&lt;&gt;"","⚑ "&amp;$W23&amp;CHAR(10),"")&amp;TEXT($F23,"hh:mm")&amp;"-"&amp;TEXT($G23,"hh:mm")&amp;IF(OR($P23="Quinzaine A",AND($P23="Hebdo · groupes alternés",$C23="A"))," Q-A",IF(OR($P23="Quinzaine B",AND($P23="Hebdo · groupes alternés",$C23="B"))," Q-B",IF($P23="Exception"," PONCT.","")))&amp;IF($X23="Oui"," OPT","")&amp;CHAR(10)&amp;$K23&amp;CHAR(10)&amp;$M23&amp;IF($N23&lt;&gt;"",CHAR(10)&amp;"Salle "&amp;$N23,"")&amp;IF($O23="En ligne",CHAR(10)&amp;"EN LIGNE","")&amp;IF($V23&lt;&gt;"",CHAR(10)&amp;$V23,"")</f>
        <v/>
      </c>
      <c r="AF23" s="65" t="inlineStr">
        <is>
          <t>19h30-21h Math (Haythem)</t>
        </is>
      </c>
      <c r="AG23" s="65" t="inlineStr">
        <is>
          <t>du 14-09 jusquà le 20-09!H52</t>
        </is>
      </c>
    </row>
    <row r="24" ht="15" customHeight="1">
      <c r="A24" s="74" t="inlineStr">
        <is>
          <t>S1</t>
        </is>
      </c>
      <c r="B24" s="75" t="inlineStr">
        <is>
          <t>du 14 au 20 septembre 2026</t>
        </is>
      </c>
      <c r="C24" s="74" t="inlineStr">
        <is>
          <t>A</t>
        </is>
      </c>
      <c r="D24" s="76" t="n">
        <v>46280</v>
      </c>
      <c r="E24" s="74" t="inlineStr">
        <is>
          <t>Mardi</t>
        </is>
      </c>
      <c r="F24" s="77" t="n">
        <v>0.8020833333333334</v>
      </c>
      <c r="G24" s="77" t="n">
        <v>0.8645833333333334</v>
      </c>
      <c r="H24" s="78">
        <f>IF(OR($F24="",$G24=""),"",($G24-$F24)*24)</f>
        <v/>
      </c>
      <c r="I24" s="74" t="inlineStr">
        <is>
          <t>Secondaire</t>
        </is>
      </c>
      <c r="J24" s="75" t="inlineStr">
        <is>
          <t>2éme Eco</t>
        </is>
      </c>
      <c r="K24" s="87" t="inlineStr">
        <is>
          <t>Anglais</t>
        </is>
      </c>
      <c r="L24" s="87" t="inlineStr">
        <is>
          <t>Anglais</t>
        </is>
      </c>
      <c r="M24" s="75" t="inlineStr">
        <is>
          <t>Imen Bennour</t>
        </is>
      </c>
      <c r="N24" s="74" t="n"/>
      <c r="O24" s="74" t="n"/>
      <c r="P24" s="74" t="inlineStr">
        <is>
          <t>Quinzaine A</t>
        </is>
      </c>
      <c r="Q24" s="75" t="inlineStr">
        <is>
          <t>2éme Eco + 2éme SCE + 2éme INFO</t>
        </is>
      </c>
      <c r="R24" s="74" t="n">
        <v>3</v>
      </c>
      <c r="S24" s="74" t="inlineStr">
        <is>
          <t>Oui</t>
        </is>
      </c>
      <c r="T24" s="74" t="inlineStr">
        <is>
          <t>S1-018</t>
        </is>
      </c>
      <c r="U24" s="75" t="inlineStr">
        <is>
          <t>Original (septembre)</t>
        </is>
      </c>
      <c r="V24" s="75" t="inlineStr"/>
      <c r="W24" s="10" t="n"/>
      <c r="X24" s="10" t="inlineStr"/>
      <c r="Y24" s="64">
        <f>IF($M24="","",IF(SUMPRODUCT(($D$4:$D$863=$D24)*($M$4:$M$863=$M24)*($T$4:$T$863&lt;&gt;$T24)*($F$4:$F$863&lt;$G24)*($G$4:$G$863&gt;$F24))&gt;0,"⚠ CONFLIT",""))</f>
        <v/>
      </c>
      <c r="Z24" s="64">
        <f>IF($J24="","",IF(SUMPRODUCT(($D$4:$D$863=$D24)*($J$4:$J$863=$J24)*($T$4:$T$863&lt;&gt;$T24)*($F$4:$F$863&lt;$G24)*($G$4:$G$863&gt;$F24)*(1-($X$4:$X$863="Oui")*($X24="Oui")))&gt;0,"⚠ CONFLIT",""))</f>
        <v/>
      </c>
      <c r="AA24" s="64">
        <f>IF(COUNTIFS($D$4:$D$863,$D24,$J$4:$J$863,$J24,$F$4:$F$863,$F24,$K$4:$K$863,$K24)&gt;1,"⚠ DOUBLON","")</f>
        <v/>
      </c>
      <c r="AB24" s="64">
        <f>IF(COUNTIF($T$4:$T$863,$T24)&lt;&gt;COUNTIFS($T$4:$T$863,$T24,$D$4:$D$863,$D24,$F$4:$F$863,$F24,$G$4:$G$863,$G24,$K$4:$K$863,$K24,$M$4:$M$863,$M24),"⚠ INCOHÉRENT","")</f>
        <v/>
      </c>
      <c r="AC24" s="64">
        <f>COUNTIFS($A$4:$A24,$A24,$J$4:$J24,$J24,$E$4:$E24,$E24)</f>
        <v/>
      </c>
      <c r="AD24" s="65">
        <f>$A24&amp;"|"&amp;$J24&amp;"|"&amp;$E24&amp;"|"&amp;$AC24</f>
        <v/>
      </c>
      <c r="AE24" s="66">
        <f>IF($W24&lt;&gt;"","⚑ "&amp;$W24&amp;CHAR(10),"")&amp;TEXT($F24,"hh:mm")&amp;"-"&amp;TEXT($G24,"hh:mm")&amp;IF(OR($P24="Quinzaine A",AND($P24="Hebdo · groupes alternés",$C24="A"))," Q-A",IF(OR($P24="Quinzaine B",AND($P24="Hebdo · groupes alternés",$C24="B"))," Q-B",IF($P24="Exception"," PONCT.","")))&amp;IF($X24="Oui"," OPT","")&amp;CHAR(10)&amp;$K24&amp;CHAR(10)&amp;$M24&amp;IF($N24&lt;&gt;"",CHAR(10)&amp;"Salle "&amp;$N24,"")&amp;IF($O24="En ligne",CHAR(10)&amp;"EN LIGNE","")&amp;IF($V24&lt;&gt;"",CHAR(10)&amp;$V24,"")</f>
        <v/>
      </c>
      <c r="AF24" s="65" t="inlineStr">
        <is>
          <t>19h15-20h45 Anglais /par quinzaine (Imen Bennour)</t>
        </is>
      </c>
      <c r="AG24" s="65" t="inlineStr">
        <is>
          <t>du 14-09 jusquà le 20-09!H56</t>
        </is>
      </c>
    </row>
    <row r="25" ht="15" customHeight="1">
      <c r="A25" s="74" t="inlineStr">
        <is>
          <t>S1</t>
        </is>
      </c>
      <c r="B25" s="75" t="inlineStr">
        <is>
          <t>du 14 au 20 septembre 2026</t>
        </is>
      </c>
      <c r="C25" s="74" t="inlineStr">
        <is>
          <t>A</t>
        </is>
      </c>
      <c r="D25" s="76" t="n">
        <v>46280</v>
      </c>
      <c r="E25" s="74" t="inlineStr">
        <is>
          <t>Mardi</t>
        </is>
      </c>
      <c r="F25" s="77" t="n">
        <v>0.8020833333333334</v>
      </c>
      <c r="G25" s="77" t="n">
        <v>0.8645833333333334</v>
      </c>
      <c r="H25" s="78">
        <f>IF(OR($F25="",$G25=""),"",($G25-$F25)*24)</f>
        <v/>
      </c>
      <c r="I25" s="74" t="inlineStr">
        <is>
          <t>Secondaire</t>
        </is>
      </c>
      <c r="J25" s="75" t="inlineStr">
        <is>
          <t>2éme SCE</t>
        </is>
      </c>
      <c r="K25" s="87" t="inlineStr">
        <is>
          <t>Anglais</t>
        </is>
      </c>
      <c r="L25" s="87" t="inlineStr">
        <is>
          <t>Anglais</t>
        </is>
      </c>
      <c r="M25" s="75" t="inlineStr">
        <is>
          <t>Imen Bennour</t>
        </is>
      </c>
      <c r="N25" s="74" t="n"/>
      <c r="O25" s="74" t="n"/>
      <c r="P25" s="74" t="inlineStr">
        <is>
          <t>Quinzaine A</t>
        </is>
      </c>
      <c r="Q25" s="75" t="inlineStr">
        <is>
          <t>2éme Eco + 2éme SCE + 2éme INFO</t>
        </is>
      </c>
      <c r="R25" s="74" t="n">
        <v>3</v>
      </c>
      <c r="S25" s="74" t="inlineStr"/>
      <c r="T25" s="74" t="inlineStr">
        <is>
          <t>S1-018</t>
        </is>
      </c>
      <c r="U25" s="75" t="inlineStr">
        <is>
          <t>Original (septembre)</t>
        </is>
      </c>
      <c r="V25" s="75" t="inlineStr"/>
      <c r="W25" s="10" t="n"/>
      <c r="X25" s="10" t="inlineStr"/>
      <c r="Y25" s="64">
        <f>IF($M25="","",IF(SUMPRODUCT(($D$4:$D$863=$D25)*($M$4:$M$863=$M25)*($T$4:$T$863&lt;&gt;$T25)*($F$4:$F$863&lt;$G25)*($G$4:$G$863&gt;$F25))&gt;0,"⚠ CONFLIT",""))</f>
        <v/>
      </c>
      <c r="Z25" s="64">
        <f>IF($J25="","",IF(SUMPRODUCT(($D$4:$D$863=$D25)*($J$4:$J$863=$J25)*($T$4:$T$863&lt;&gt;$T25)*($F$4:$F$863&lt;$G25)*($G$4:$G$863&gt;$F25)*(1-($X$4:$X$863="Oui")*($X25="Oui")))&gt;0,"⚠ CONFLIT",""))</f>
        <v/>
      </c>
      <c r="AA25" s="64">
        <f>IF(COUNTIFS($D$4:$D$863,$D25,$J$4:$J$863,$J25,$F$4:$F$863,$F25,$K$4:$K$863,$K25)&gt;1,"⚠ DOUBLON","")</f>
        <v/>
      </c>
      <c r="AB25" s="64">
        <f>IF(COUNTIF($T$4:$T$863,$T25)&lt;&gt;COUNTIFS($T$4:$T$863,$T25,$D$4:$D$863,$D25,$F$4:$F$863,$F25,$G$4:$G$863,$G25,$K$4:$K$863,$K25,$M$4:$M$863,$M25),"⚠ INCOHÉRENT","")</f>
        <v/>
      </c>
      <c r="AC25" s="64">
        <f>COUNTIFS($A$4:$A25,$A25,$J$4:$J25,$J25,$E$4:$E25,$E25)</f>
        <v/>
      </c>
      <c r="AD25" s="65">
        <f>$A25&amp;"|"&amp;$J25&amp;"|"&amp;$E25&amp;"|"&amp;$AC25</f>
        <v/>
      </c>
      <c r="AE25" s="66">
        <f>IF($W25&lt;&gt;"","⚑ "&amp;$W25&amp;CHAR(10),"")&amp;TEXT($F25,"hh:mm")&amp;"-"&amp;TEXT($G25,"hh:mm")&amp;IF(OR($P25="Quinzaine A",AND($P25="Hebdo · groupes alternés",$C25="A"))," Q-A",IF(OR($P25="Quinzaine B",AND($P25="Hebdo · groupes alternés",$C25="B"))," Q-B",IF($P25="Exception"," PONCT.","")))&amp;IF($X25="Oui"," OPT","")&amp;CHAR(10)&amp;$K25&amp;CHAR(10)&amp;$M25&amp;IF($N25&lt;&gt;"",CHAR(10)&amp;"Salle "&amp;$N25,"")&amp;IF($O25="En ligne",CHAR(10)&amp;"EN LIGNE","")&amp;IF($V25&lt;&gt;"",CHAR(10)&amp;$V25,"")</f>
        <v/>
      </c>
      <c r="AF25" s="65" t="inlineStr">
        <is>
          <t>19h15-20h45 Anglais /par quinzaine (Imen Bennour)</t>
        </is>
      </c>
      <c r="AG25" s="65" t="inlineStr">
        <is>
          <t>du 14-09 jusquà le 20-09!H56</t>
        </is>
      </c>
    </row>
    <row r="26" ht="15" customHeight="1">
      <c r="A26" s="74" t="inlineStr">
        <is>
          <t>S1</t>
        </is>
      </c>
      <c r="B26" s="75" t="inlineStr">
        <is>
          <t>du 14 au 20 septembre 2026</t>
        </is>
      </c>
      <c r="C26" s="74" t="inlineStr">
        <is>
          <t>A</t>
        </is>
      </c>
      <c r="D26" s="76" t="n">
        <v>46280</v>
      </c>
      <c r="E26" s="74" t="inlineStr">
        <is>
          <t>Mardi</t>
        </is>
      </c>
      <c r="F26" s="77" t="n">
        <v>0.8020833333333334</v>
      </c>
      <c r="G26" s="77" t="n">
        <v>0.8645833333333334</v>
      </c>
      <c r="H26" s="78">
        <f>IF(OR($F26="",$G26=""),"",($G26-$F26)*24)</f>
        <v/>
      </c>
      <c r="I26" s="74" t="inlineStr">
        <is>
          <t>Secondaire</t>
        </is>
      </c>
      <c r="J26" s="75" t="inlineStr">
        <is>
          <t>2éme INFO</t>
        </is>
      </c>
      <c r="K26" s="87" t="inlineStr">
        <is>
          <t>Anglais</t>
        </is>
      </c>
      <c r="L26" s="87" t="inlineStr">
        <is>
          <t>Anglais</t>
        </is>
      </c>
      <c r="M26" s="75" t="inlineStr">
        <is>
          <t>Imen Bennour</t>
        </is>
      </c>
      <c r="N26" s="74" t="n"/>
      <c r="O26" s="74" t="n"/>
      <c r="P26" s="74" t="inlineStr">
        <is>
          <t>Quinzaine A</t>
        </is>
      </c>
      <c r="Q26" s="75" t="inlineStr">
        <is>
          <t>2éme Eco + 2éme SCE + 2éme INFO</t>
        </is>
      </c>
      <c r="R26" s="74" t="n">
        <v>3</v>
      </c>
      <c r="S26" s="74" t="inlineStr"/>
      <c r="T26" s="74" t="inlineStr">
        <is>
          <t>S1-018</t>
        </is>
      </c>
      <c r="U26" s="75" t="inlineStr">
        <is>
          <t>Original (septembre)</t>
        </is>
      </c>
      <c r="V26" s="75" t="inlineStr"/>
      <c r="W26" s="10" t="n"/>
      <c r="X26" s="10" t="inlineStr"/>
      <c r="Y26" s="64">
        <f>IF($M26="","",IF(SUMPRODUCT(($D$4:$D$863=$D26)*($M$4:$M$863=$M26)*($T$4:$T$863&lt;&gt;$T26)*($F$4:$F$863&lt;$G26)*($G$4:$G$863&gt;$F26))&gt;0,"⚠ CONFLIT",""))</f>
        <v/>
      </c>
      <c r="Z26" s="64">
        <f>IF($J26="","",IF(SUMPRODUCT(($D$4:$D$863=$D26)*($J$4:$J$863=$J26)*($T$4:$T$863&lt;&gt;$T26)*($F$4:$F$863&lt;$G26)*($G$4:$G$863&gt;$F26)*(1-($X$4:$X$863="Oui")*($X26="Oui")))&gt;0,"⚠ CONFLIT",""))</f>
        <v/>
      </c>
      <c r="AA26" s="64">
        <f>IF(COUNTIFS($D$4:$D$863,$D26,$J$4:$J$863,$J26,$F$4:$F$863,$F26,$K$4:$K$863,$K26)&gt;1,"⚠ DOUBLON","")</f>
        <v/>
      </c>
      <c r="AB26" s="64">
        <f>IF(COUNTIF($T$4:$T$863,$T26)&lt;&gt;COUNTIFS($T$4:$T$863,$T26,$D$4:$D$863,$D26,$F$4:$F$863,$F26,$G$4:$G$863,$G26,$K$4:$K$863,$K26,$M$4:$M$863,$M26),"⚠ INCOHÉRENT","")</f>
        <v/>
      </c>
      <c r="AC26" s="64">
        <f>COUNTIFS($A$4:$A26,$A26,$J$4:$J26,$J26,$E$4:$E26,$E26)</f>
        <v/>
      </c>
      <c r="AD26" s="65">
        <f>$A26&amp;"|"&amp;$J26&amp;"|"&amp;$E26&amp;"|"&amp;$AC26</f>
        <v/>
      </c>
      <c r="AE26" s="66">
        <f>IF($W26&lt;&gt;"","⚑ "&amp;$W26&amp;CHAR(10),"")&amp;TEXT($F26,"hh:mm")&amp;"-"&amp;TEXT($G26,"hh:mm")&amp;IF(OR($P26="Quinzaine A",AND($P26="Hebdo · groupes alternés",$C26="A"))," Q-A",IF(OR($P26="Quinzaine B",AND($P26="Hebdo · groupes alternés",$C26="B"))," Q-B",IF($P26="Exception"," PONCT.","")))&amp;IF($X26="Oui"," OPT","")&amp;CHAR(10)&amp;$K26&amp;CHAR(10)&amp;$M26&amp;IF($N26&lt;&gt;"",CHAR(10)&amp;"Salle "&amp;$N26,"")&amp;IF($O26="En ligne",CHAR(10)&amp;"EN LIGNE","")&amp;IF($V26&lt;&gt;"",CHAR(10)&amp;$V26,"")</f>
        <v/>
      </c>
      <c r="AF26" s="65" t="inlineStr">
        <is>
          <t>19h15-20h45 Anglais /par quinzaine (Imen Bennour)</t>
        </is>
      </c>
      <c r="AG26" s="65" t="inlineStr">
        <is>
          <t>du 14-09 jusquà le 20-09!H56</t>
        </is>
      </c>
    </row>
    <row r="27" ht="15" customHeight="1">
      <c r="A27" s="81" t="inlineStr">
        <is>
          <t>S1</t>
        </is>
      </c>
      <c r="B27" s="82" t="inlineStr">
        <is>
          <t>du 14 au 20 septembre 2026</t>
        </is>
      </c>
      <c r="C27" s="81" t="inlineStr">
        <is>
          <t>A</t>
        </is>
      </c>
      <c r="D27" s="83" t="n">
        <v>46280</v>
      </c>
      <c r="E27" s="81" t="inlineStr">
        <is>
          <t>Mardi</t>
        </is>
      </c>
      <c r="F27" s="84" t="n">
        <v>0.8020833333333334</v>
      </c>
      <c r="G27" s="84" t="n">
        <v>0.8645833333333334</v>
      </c>
      <c r="H27" s="85">
        <f>IF(OR($F27="",$G27=""),"",($G27-$F27)*24)</f>
        <v/>
      </c>
      <c r="I27" s="81" t="inlineStr">
        <is>
          <t>Bac</t>
        </is>
      </c>
      <c r="J27" s="82" t="inlineStr">
        <is>
          <t>Bac Eco</t>
        </is>
      </c>
      <c r="K27" s="89" t="inlineStr">
        <is>
          <t>Espagnol</t>
        </is>
      </c>
      <c r="L27" s="89" t="inlineStr">
        <is>
          <t>Espagnol</t>
        </is>
      </c>
      <c r="M27" s="82" t="inlineStr">
        <is>
          <t>Imen</t>
        </is>
      </c>
      <c r="N27" s="81" t="n"/>
      <c r="O27" s="81" t="n"/>
      <c r="P27" s="81" t="inlineStr">
        <is>
          <t>Hebdo · groupes alternés</t>
        </is>
      </c>
      <c r="Q27" s="82" t="inlineStr">
        <is>
          <t>Bac Eco + Bac SCE</t>
        </is>
      </c>
      <c r="R27" s="81" t="n">
        <v>2</v>
      </c>
      <c r="S27" s="81" t="inlineStr">
        <is>
          <t>Oui</t>
        </is>
      </c>
      <c r="T27" s="81" t="inlineStr">
        <is>
          <t>S1-019</t>
        </is>
      </c>
      <c r="U27" s="82" t="inlineStr">
        <is>
          <t>Original (septembre)</t>
        </is>
      </c>
      <c r="V27" s="82" t="inlineStr"/>
      <c r="W27" s="10" t="n"/>
      <c r="X27" s="10" t="inlineStr">
        <is>
          <t>Oui</t>
        </is>
      </c>
      <c r="Y27" s="64">
        <f>IF($M27="","",IF(SUMPRODUCT(($D$4:$D$863=$D27)*($M$4:$M$863=$M27)*($T$4:$T$863&lt;&gt;$T27)*($F$4:$F$863&lt;$G27)*($G$4:$G$863&gt;$F27))&gt;0,"⚠ CONFLIT",""))</f>
        <v/>
      </c>
      <c r="Z27" s="64">
        <f>IF($J27="","",IF(SUMPRODUCT(($D$4:$D$863=$D27)*($J$4:$J$863=$J27)*($T$4:$T$863&lt;&gt;$T27)*($F$4:$F$863&lt;$G27)*($G$4:$G$863&gt;$F27)*(1-($X$4:$X$863="Oui")*($X27="Oui")))&gt;0,"⚠ CONFLIT",""))</f>
        <v/>
      </c>
      <c r="AA27" s="64">
        <f>IF(COUNTIFS($D$4:$D$863,$D27,$J$4:$J$863,$J27,$F$4:$F$863,$F27,$K$4:$K$863,$K27)&gt;1,"⚠ DOUBLON","")</f>
        <v/>
      </c>
      <c r="AB27" s="64">
        <f>IF(COUNTIF($T$4:$T$863,$T27)&lt;&gt;COUNTIFS($T$4:$T$863,$T27,$D$4:$D$863,$D27,$F$4:$F$863,$F27,$G$4:$G$863,$G27,$K$4:$K$863,$K27,$M$4:$M$863,$M27),"⚠ INCOHÉRENT","")</f>
        <v/>
      </c>
      <c r="AC27" s="64">
        <f>COUNTIFS($A$4:$A27,$A27,$J$4:$J27,$J27,$E$4:$E27,$E27)</f>
        <v/>
      </c>
      <c r="AD27" s="65">
        <f>$A27&amp;"|"&amp;$J27&amp;"|"&amp;$E27&amp;"|"&amp;$AC27</f>
        <v/>
      </c>
      <c r="AE27" s="66">
        <f>IF($W27&lt;&gt;"","⚑ "&amp;$W27&amp;CHAR(10),"")&amp;TEXT($F27,"hh:mm")&amp;"-"&amp;TEXT($G27,"hh:mm")&amp;IF(OR($P27="Quinzaine A",AND($P27="Hebdo · groupes alternés",$C27="A"))," Q-A",IF(OR($P27="Quinzaine B",AND($P27="Hebdo · groupes alternés",$C27="B"))," Q-B",IF($P27="Exception"," PONCT.","")))&amp;IF($X27="Oui"," OPT","")&amp;CHAR(10)&amp;$K27&amp;CHAR(10)&amp;$M27&amp;IF($N27&lt;&gt;"",CHAR(10)&amp;"Salle "&amp;$N27,"")&amp;IF($O27="En ligne",CHAR(10)&amp;"EN LIGNE","")&amp;IF($V27&lt;&gt;"",CHAR(10)&amp;$V27,"")</f>
        <v/>
      </c>
      <c r="AF27" s="65" t="inlineStr">
        <is>
          <t>19h15-20h45 Espagnol (Imen)</t>
        </is>
      </c>
      <c r="AG27" s="65" t="inlineStr">
        <is>
          <t>du 14-09 jusquà le 20-09!H68</t>
        </is>
      </c>
    </row>
    <row r="28" ht="15" customHeight="1">
      <c r="A28" s="81" t="inlineStr">
        <is>
          <t>S1</t>
        </is>
      </c>
      <c r="B28" s="82" t="inlineStr">
        <is>
          <t>du 14 au 20 septembre 2026</t>
        </is>
      </c>
      <c r="C28" s="81" t="inlineStr">
        <is>
          <t>A</t>
        </is>
      </c>
      <c r="D28" s="83" t="n">
        <v>46280</v>
      </c>
      <c r="E28" s="81" t="inlineStr">
        <is>
          <t>Mardi</t>
        </is>
      </c>
      <c r="F28" s="84" t="n">
        <v>0.8020833333333334</v>
      </c>
      <c r="G28" s="84" t="n">
        <v>0.8645833333333334</v>
      </c>
      <c r="H28" s="85">
        <f>IF(OR($F28="",$G28=""),"",($G28-$F28)*24)</f>
        <v/>
      </c>
      <c r="I28" s="81" t="inlineStr">
        <is>
          <t>Bac</t>
        </is>
      </c>
      <c r="J28" s="82" t="inlineStr">
        <is>
          <t>Bac SCE</t>
        </is>
      </c>
      <c r="K28" s="89" t="inlineStr">
        <is>
          <t>Espagnol</t>
        </is>
      </c>
      <c r="L28" s="89" t="inlineStr">
        <is>
          <t>Espagnol</t>
        </is>
      </c>
      <c r="M28" s="82" t="inlineStr">
        <is>
          <t>Imen</t>
        </is>
      </c>
      <c r="N28" s="81" t="n"/>
      <c r="O28" s="81" t="n"/>
      <c r="P28" s="81" t="inlineStr">
        <is>
          <t>Hebdo · groupes alternés</t>
        </is>
      </c>
      <c r="Q28" s="82" t="inlineStr">
        <is>
          <t>Bac Eco + Bac SCE</t>
        </is>
      </c>
      <c r="R28" s="81" t="n">
        <v>2</v>
      </c>
      <c r="S28" s="81" t="inlineStr"/>
      <c r="T28" s="81" t="inlineStr">
        <is>
          <t>S1-019</t>
        </is>
      </c>
      <c r="U28" s="82" t="inlineStr">
        <is>
          <t>Original (septembre)</t>
        </is>
      </c>
      <c r="V28" s="82" t="inlineStr"/>
      <c r="W28" s="10" t="n"/>
      <c r="X28" s="10" t="inlineStr">
        <is>
          <t>Oui</t>
        </is>
      </c>
      <c r="Y28" s="64">
        <f>IF($M28="","",IF(SUMPRODUCT(($D$4:$D$863=$D28)*($M$4:$M$863=$M28)*($T$4:$T$863&lt;&gt;$T28)*($F$4:$F$863&lt;$G28)*($G$4:$G$863&gt;$F28))&gt;0,"⚠ CONFLIT",""))</f>
        <v/>
      </c>
      <c r="Z28" s="64">
        <f>IF($J28="","",IF(SUMPRODUCT(($D$4:$D$863=$D28)*($J$4:$J$863=$J28)*($T$4:$T$863&lt;&gt;$T28)*($F$4:$F$863&lt;$G28)*($G$4:$G$863&gt;$F28)*(1-($X$4:$X$863="Oui")*($X28="Oui")))&gt;0,"⚠ CONFLIT",""))</f>
        <v/>
      </c>
      <c r="AA28" s="64">
        <f>IF(COUNTIFS($D$4:$D$863,$D28,$J$4:$J$863,$J28,$F$4:$F$863,$F28,$K$4:$K$863,$K28)&gt;1,"⚠ DOUBLON","")</f>
        <v/>
      </c>
      <c r="AB28" s="64">
        <f>IF(COUNTIF($T$4:$T$863,$T28)&lt;&gt;COUNTIFS($T$4:$T$863,$T28,$D$4:$D$863,$D28,$F$4:$F$863,$F28,$G$4:$G$863,$G28,$K$4:$K$863,$K28,$M$4:$M$863,$M28),"⚠ INCOHÉRENT","")</f>
        <v/>
      </c>
      <c r="AC28" s="64">
        <f>COUNTIFS($A$4:$A28,$A28,$J$4:$J28,$J28,$E$4:$E28,$E28)</f>
        <v/>
      </c>
      <c r="AD28" s="65">
        <f>$A28&amp;"|"&amp;$J28&amp;"|"&amp;$E28&amp;"|"&amp;$AC28</f>
        <v/>
      </c>
      <c r="AE28" s="66">
        <f>IF($W28&lt;&gt;"","⚑ "&amp;$W28&amp;CHAR(10),"")&amp;TEXT($F28,"hh:mm")&amp;"-"&amp;TEXT($G28,"hh:mm")&amp;IF(OR($P28="Quinzaine A",AND($P28="Hebdo · groupes alternés",$C28="A"))," Q-A",IF(OR($P28="Quinzaine B",AND($P28="Hebdo · groupes alternés",$C28="B"))," Q-B",IF($P28="Exception"," PONCT.","")))&amp;IF($X28="Oui"," OPT","")&amp;CHAR(10)&amp;$K28&amp;CHAR(10)&amp;$M28&amp;IF($N28&lt;&gt;"",CHAR(10)&amp;"Salle "&amp;$N28,"")&amp;IF($O28="En ligne",CHAR(10)&amp;"EN LIGNE","")&amp;IF($V28&lt;&gt;"",CHAR(10)&amp;$V28,"")</f>
        <v/>
      </c>
      <c r="AF28" s="65" t="inlineStr">
        <is>
          <t>19h15-20h45 Espagnol (Imen)</t>
        </is>
      </c>
      <c r="AG28" s="65" t="inlineStr">
        <is>
          <t>du 14-09 jusquà le 20-09!H68</t>
        </is>
      </c>
    </row>
    <row r="29" ht="15" customHeight="1">
      <c r="A29" s="81" t="inlineStr">
        <is>
          <t>S1</t>
        </is>
      </c>
      <c r="B29" s="82" t="inlineStr">
        <is>
          <t>du 14 au 20 septembre 2026</t>
        </is>
      </c>
      <c r="C29" s="81" t="inlineStr">
        <is>
          <t>A</t>
        </is>
      </c>
      <c r="D29" s="83" t="n">
        <v>46280</v>
      </c>
      <c r="E29" s="81" t="inlineStr">
        <is>
          <t>Mardi</t>
        </is>
      </c>
      <c r="F29" s="84" t="n">
        <v>0.8020833333333334</v>
      </c>
      <c r="G29" s="84" t="n">
        <v>0.8645833333333334</v>
      </c>
      <c r="H29" s="85">
        <f>IF(OR($F29="",$G29=""),"",($G29-$F29)*24)</f>
        <v/>
      </c>
      <c r="I29" s="81" t="inlineStr">
        <is>
          <t>Bac</t>
        </is>
      </c>
      <c r="J29" s="82" t="inlineStr">
        <is>
          <t>Bac SCE</t>
        </is>
      </c>
      <c r="K29" s="90" t="inlineStr">
        <is>
          <t>Italien</t>
        </is>
      </c>
      <c r="L29" s="90" t="inlineStr">
        <is>
          <t>Italien</t>
        </is>
      </c>
      <c r="M29" s="82" t="inlineStr">
        <is>
          <t>Amel</t>
        </is>
      </c>
      <c r="N29" s="81" t="n"/>
      <c r="O29" s="81" t="n"/>
      <c r="P29" s="81" t="inlineStr">
        <is>
          <t>Hebdo · groupes alternés</t>
        </is>
      </c>
      <c r="Q29" s="82" t="inlineStr">
        <is>
          <t>Bac SCE + Bac INFO</t>
        </is>
      </c>
      <c r="R29" s="81" t="n">
        <v>2</v>
      </c>
      <c r="S29" s="81" t="inlineStr">
        <is>
          <t>Oui</t>
        </is>
      </c>
      <c r="T29" s="81" t="inlineStr">
        <is>
          <t>S1-020</t>
        </is>
      </c>
      <c r="U29" s="82" t="inlineStr">
        <is>
          <t>Original (septembre)</t>
        </is>
      </c>
      <c r="V29" s="82" t="inlineStr"/>
      <c r="W29" s="10" t="n"/>
      <c r="X29" s="10" t="inlineStr">
        <is>
          <t>Oui</t>
        </is>
      </c>
      <c r="Y29" s="64">
        <f>IF($M29="","",IF(SUMPRODUCT(($D$4:$D$863=$D29)*($M$4:$M$863=$M29)*($T$4:$T$863&lt;&gt;$T29)*($F$4:$F$863&lt;$G29)*($G$4:$G$863&gt;$F29))&gt;0,"⚠ CONFLIT",""))</f>
        <v/>
      </c>
      <c r="Z29" s="64">
        <f>IF($J29="","",IF(SUMPRODUCT(($D$4:$D$863=$D29)*($J$4:$J$863=$J29)*($T$4:$T$863&lt;&gt;$T29)*($F$4:$F$863&lt;$G29)*($G$4:$G$863&gt;$F29)*(1-($X$4:$X$863="Oui")*($X29="Oui")))&gt;0,"⚠ CONFLIT",""))</f>
        <v/>
      </c>
      <c r="AA29" s="64">
        <f>IF(COUNTIFS($D$4:$D$863,$D29,$J$4:$J$863,$J29,$F$4:$F$863,$F29,$K$4:$K$863,$K29)&gt;1,"⚠ DOUBLON","")</f>
        <v/>
      </c>
      <c r="AB29" s="64">
        <f>IF(COUNTIF($T$4:$T$863,$T29)&lt;&gt;COUNTIFS($T$4:$T$863,$T29,$D$4:$D$863,$D29,$F$4:$F$863,$F29,$G$4:$G$863,$G29,$K$4:$K$863,$K29,$M$4:$M$863,$M29),"⚠ INCOHÉRENT","")</f>
        <v/>
      </c>
      <c r="AC29" s="64">
        <f>COUNTIFS($A$4:$A29,$A29,$J$4:$J29,$J29,$E$4:$E29,$E29)</f>
        <v/>
      </c>
      <c r="AD29" s="65">
        <f>$A29&amp;"|"&amp;$J29&amp;"|"&amp;$E29&amp;"|"&amp;$AC29</f>
        <v/>
      </c>
      <c r="AE29" s="66">
        <f>IF($W29&lt;&gt;"","⚑ "&amp;$W29&amp;CHAR(10),"")&amp;TEXT($F29,"hh:mm")&amp;"-"&amp;TEXT($G29,"hh:mm")&amp;IF(OR($P29="Quinzaine A",AND($P29="Hebdo · groupes alternés",$C29="A"))," Q-A",IF(OR($P29="Quinzaine B",AND($P29="Hebdo · groupes alternés",$C29="B"))," Q-B",IF($P29="Exception"," PONCT.","")))&amp;IF($X29="Oui"," OPT","")&amp;CHAR(10)&amp;$K29&amp;CHAR(10)&amp;$M29&amp;IF($N29&lt;&gt;"",CHAR(10)&amp;"Salle "&amp;$N29,"")&amp;IF($O29="En ligne",CHAR(10)&amp;"EN LIGNE","")&amp;IF($V29&lt;&gt;"",CHAR(10)&amp;$V29,"")</f>
        <v/>
      </c>
      <c r="AF29" s="65" t="inlineStr">
        <is>
          <t>19h15-20h45 Italien (Amel)</t>
        </is>
      </c>
      <c r="AG29" s="65" t="inlineStr">
        <is>
          <t>du 14-09 jusquà le 20-09!H76</t>
        </is>
      </c>
    </row>
    <row r="30" ht="15" customHeight="1">
      <c r="A30" s="81" t="inlineStr">
        <is>
          <t>S1</t>
        </is>
      </c>
      <c r="B30" s="82" t="inlineStr">
        <is>
          <t>du 14 au 20 septembre 2026</t>
        </is>
      </c>
      <c r="C30" s="81" t="inlineStr">
        <is>
          <t>A</t>
        </is>
      </c>
      <c r="D30" s="83" t="n">
        <v>46280</v>
      </c>
      <c r="E30" s="81" t="inlineStr">
        <is>
          <t>Mardi</t>
        </is>
      </c>
      <c r="F30" s="84" t="n">
        <v>0.8020833333333334</v>
      </c>
      <c r="G30" s="84" t="n">
        <v>0.8645833333333334</v>
      </c>
      <c r="H30" s="85">
        <f>IF(OR($F30="",$G30=""),"",($G30-$F30)*24)</f>
        <v/>
      </c>
      <c r="I30" s="81" t="inlineStr">
        <is>
          <t>Bac</t>
        </is>
      </c>
      <c r="J30" s="82" t="inlineStr">
        <is>
          <t>Bac INFO</t>
        </is>
      </c>
      <c r="K30" s="90" t="inlineStr">
        <is>
          <t>Italien</t>
        </is>
      </c>
      <c r="L30" s="90" t="inlineStr">
        <is>
          <t>Italien</t>
        </is>
      </c>
      <c r="M30" s="82" t="inlineStr">
        <is>
          <t>Amel</t>
        </is>
      </c>
      <c r="N30" s="81" t="n"/>
      <c r="O30" s="81" t="n"/>
      <c r="P30" s="81" t="inlineStr">
        <is>
          <t>Hebdo · groupes alternés</t>
        </is>
      </c>
      <c r="Q30" s="82" t="inlineStr">
        <is>
          <t>Bac SCE + Bac INFO</t>
        </is>
      </c>
      <c r="R30" s="81" t="n">
        <v>2</v>
      </c>
      <c r="S30" s="81" t="inlineStr"/>
      <c r="T30" s="81" t="inlineStr">
        <is>
          <t>S1-020</t>
        </is>
      </c>
      <c r="U30" s="82" t="inlineStr">
        <is>
          <t>Original (septembre)</t>
        </is>
      </c>
      <c r="V30" s="82" t="inlineStr"/>
      <c r="W30" s="10" t="n"/>
      <c r="X30" s="10" t="inlineStr">
        <is>
          <t>Oui</t>
        </is>
      </c>
      <c r="Y30" s="64">
        <f>IF($M30="","",IF(SUMPRODUCT(($D$4:$D$863=$D30)*($M$4:$M$863=$M30)*($T$4:$T$863&lt;&gt;$T30)*($F$4:$F$863&lt;$G30)*($G$4:$G$863&gt;$F30))&gt;0,"⚠ CONFLIT",""))</f>
        <v/>
      </c>
      <c r="Z30" s="64">
        <f>IF($J30="","",IF(SUMPRODUCT(($D$4:$D$863=$D30)*($J$4:$J$863=$J30)*($T$4:$T$863&lt;&gt;$T30)*($F$4:$F$863&lt;$G30)*($G$4:$G$863&gt;$F30)*(1-($X$4:$X$863="Oui")*($X30="Oui")))&gt;0,"⚠ CONFLIT",""))</f>
        <v/>
      </c>
      <c r="AA30" s="64">
        <f>IF(COUNTIFS($D$4:$D$863,$D30,$J$4:$J$863,$J30,$F$4:$F$863,$F30,$K$4:$K$863,$K30)&gt;1,"⚠ DOUBLON","")</f>
        <v/>
      </c>
      <c r="AB30" s="64">
        <f>IF(COUNTIF($T$4:$T$863,$T30)&lt;&gt;COUNTIFS($T$4:$T$863,$T30,$D$4:$D$863,$D30,$F$4:$F$863,$F30,$G$4:$G$863,$G30,$K$4:$K$863,$K30,$M$4:$M$863,$M30),"⚠ INCOHÉRENT","")</f>
        <v/>
      </c>
      <c r="AC30" s="64">
        <f>COUNTIFS($A$4:$A30,$A30,$J$4:$J30,$J30,$E$4:$E30,$E30)</f>
        <v/>
      </c>
      <c r="AD30" s="65">
        <f>$A30&amp;"|"&amp;$J30&amp;"|"&amp;$E30&amp;"|"&amp;$AC30</f>
        <v/>
      </c>
      <c r="AE30" s="66">
        <f>IF($W30&lt;&gt;"","⚑ "&amp;$W30&amp;CHAR(10),"")&amp;TEXT($F30,"hh:mm")&amp;"-"&amp;TEXT($G30,"hh:mm")&amp;IF(OR($P30="Quinzaine A",AND($P30="Hebdo · groupes alternés",$C30="A"))," Q-A",IF(OR($P30="Quinzaine B",AND($P30="Hebdo · groupes alternés",$C30="B"))," Q-B",IF($P30="Exception"," PONCT.","")))&amp;IF($X30="Oui"," OPT","")&amp;CHAR(10)&amp;$K30&amp;CHAR(10)&amp;$M30&amp;IF($N30&lt;&gt;"",CHAR(10)&amp;"Salle "&amp;$N30,"")&amp;IF($O30="En ligne",CHAR(10)&amp;"EN LIGNE","")&amp;IF($V30&lt;&gt;"",CHAR(10)&amp;$V30,"")</f>
        <v/>
      </c>
      <c r="AF30" s="65" t="inlineStr">
        <is>
          <t>19h15-20h45 Italien (Amel)</t>
        </is>
      </c>
      <c r="AG30" s="65" t="inlineStr">
        <is>
          <t>du 14-09 jusquà le 20-09!H76</t>
        </is>
      </c>
    </row>
    <row r="31" ht="15" customHeight="1">
      <c r="A31" s="58" t="inlineStr">
        <is>
          <t>S1</t>
        </is>
      </c>
      <c r="B31" s="59" t="inlineStr">
        <is>
          <t>du 14 au 20 septembre 2026</t>
        </is>
      </c>
      <c r="C31" s="58" t="inlineStr">
        <is>
          <t>A</t>
        </is>
      </c>
      <c r="D31" s="60" t="n">
        <v>46281</v>
      </c>
      <c r="E31" s="58" t="inlineStr">
        <is>
          <t>Mercredi</t>
        </is>
      </c>
      <c r="F31" s="61" t="n">
        <v>0.7916666666666666</v>
      </c>
      <c r="G31" s="61" t="n">
        <v>0.875</v>
      </c>
      <c r="H31" s="62">
        <f>IF(OR($F31="",$G31=""),"",($G31-$F31)*24)</f>
        <v/>
      </c>
      <c r="I31" s="58" t="inlineStr">
        <is>
          <t>Primaire</t>
        </is>
      </c>
      <c r="J31" s="59" t="inlineStr">
        <is>
          <t>4éme</t>
        </is>
      </c>
      <c r="K31" s="79" t="inlineStr">
        <is>
          <t>رياضيات</t>
        </is>
      </c>
      <c r="L31" s="79" t="inlineStr">
        <is>
          <t>Math</t>
        </is>
      </c>
      <c r="M31" s="59" t="inlineStr">
        <is>
          <t>Bassma</t>
        </is>
      </c>
      <c r="N31" s="58" t="n"/>
      <c r="O31" s="58" t="n"/>
      <c r="P31" s="58" t="inlineStr">
        <is>
          <t>Hebdomadaire</t>
        </is>
      </c>
      <c r="Q31" s="59" t="inlineStr"/>
      <c r="R31" s="58" t="n">
        <v>1</v>
      </c>
      <c r="S31" s="58" t="inlineStr">
        <is>
          <t>Oui</t>
        </is>
      </c>
      <c r="T31" s="58" t="inlineStr">
        <is>
          <t>S1-021</t>
        </is>
      </c>
      <c r="U31" s="59" t="inlineStr">
        <is>
          <t>Original (septembre)</t>
        </is>
      </c>
      <c r="V31" s="59" t="inlineStr"/>
      <c r="W31" s="10" t="n"/>
      <c r="X31" s="10" t="inlineStr"/>
      <c r="Y31" s="64">
        <f>IF($M31="","",IF(SUMPRODUCT(($D$4:$D$863=$D31)*($M$4:$M$863=$M31)*($T$4:$T$863&lt;&gt;$T31)*($F$4:$F$863&lt;$G31)*($G$4:$G$863&gt;$F31))&gt;0,"⚠ CONFLIT",""))</f>
        <v/>
      </c>
      <c r="Z31" s="64">
        <f>IF($J31="","",IF(SUMPRODUCT(($D$4:$D$863=$D31)*($J$4:$J$863=$J31)*($T$4:$T$863&lt;&gt;$T31)*($F$4:$F$863&lt;$G31)*($G$4:$G$863&gt;$F31)*(1-($X$4:$X$863="Oui")*($X31="Oui")))&gt;0,"⚠ CONFLIT",""))</f>
        <v/>
      </c>
      <c r="AA31" s="64">
        <f>IF(COUNTIFS($D$4:$D$863,$D31,$J$4:$J$863,$J31,$F$4:$F$863,$F31,$K$4:$K$863,$K31)&gt;1,"⚠ DOUBLON","")</f>
        <v/>
      </c>
      <c r="AB31" s="64">
        <f>IF(COUNTIF($T$4:$T$863,$T31)&lt;&gt;COUNTIFS($T$4:$T$863,$T31,$D$4:$D$863,$D31,$F$4:$F$863,$F31,$G$4:$G$863,$G31,$K$4:$K$863,$K31,$M$4:$M$863,$M31),"⚠ INCOHÉRENT","")</f>
        <v/>
      </c>
      <c r="AC31" s="64">
        <f>COUNTIFS($A$4:$A31,$A31,$J$4:$J31,$J31,$E$4:$E31,$E31)</f>
        <v/>
      </c>
      <c r="AD31" s="65">
        <f>$A31&amp;"|"&amp;$J31&amp;"|"&amp;$E31&amp;"|"&amp;$AC31</f>
        <v/>
      </c>
      <c r="AE31" s="66">
        <f>IF($W31&lt;&gt;"","⚑ "&amp;$W31&amp;CHAR(10),"")&amp;TEXT($F31,"hh:mm")&amp;"-"&amp;TEXT($G31,"hh:mm")&amp;IF(OR($P31="Quinzaine A",AND($P31="Hebdo · groupes alternés",$C31="A"))," Q-A",IF(OR($P31="Quinzaine B",AND($P31="Hebdo · groupes alternés",$C31="B"))," Q-B",IF($P31="Exception"," PONCT.","")))&amp;IF($X31="Oui"," OPT","")&amp;CHAR(10)&amp;$K31&amp;CHAR(10)&amp;$M31&amp;IF($N31&lt;&gt;"",CHAR(10)&amp;"Salle "&amp;$N31,"")&amp;IF($O31="En ligne",CHAR(10)&amp;"EN LIGNE","")&amp;IF($V31&lt;&gt;"",CHAR(10)&amp;$V31,"")</f>
        <v/>
      </c>
      <c r="AF31" s="65" t="inlineStr">
        <is>
          <t>19h-21h رياضيات (Bassma)</t>
        </is>
      </c>
      <c r="AG31" s="65" t="inlineStr">
        <is>
          <t>du 14-09 jusquà le 20-09!I3</t>
        </is>
      </c>
    </row>
    <row r="32" ht="15" customHeight="1">
      <c r="A32" s="58" t="inlineStr">
        <is>
          <t>S1</t>
        </is>
      </c>
      <c r="B32" s="59" t="inlineStr">
        <is>
          <t>du 14 au 20 septembre 2026</t>
        </is>
      </c>
      <c r="C32" s="58" t="inlineStr">
        <is>
          <t>A</t>
        </is>
      </c>
      <c r="D32" s="60" t="n">
        <v>46281</v>
      </c>
      <c r="E32" s="58" t="inlineStr">
        <is>
          <t>Mercredi</t>
        </is>
      </c>
      <c r="F32" s="61" t="n">
        <v>0.7916666666666666</v>
      </c>
      <c r="G32" s="61" t="n">
        <v>0.875</v>
      </c>
      <c r="H32" s="62">
        <f>IF(OR($F32="",$G32=""),"",($G32-$F32)*24)</f>
        <v/>
      </c>
      <c r="I32" s="58" t="inlineStr">
        <is>
          <t>Primaire</t>
        </is>
      </c>
      <c r="J32" s="59" t="inlineStr">
        <is>
          <t>6éme Pilote (A)</t>
        </is>
      </c>
      <c r="K32" s="79" t="inlineStr">
        <is>
          <t>رياضيات</t>
        </is>
      </c>
      <c r="L32" s="79" t="inlineStr">
        <is>
          <t>Math</t>
        </is>
      </c>
      <c r="M32" s="59" t="inlineStr">
        <is>
          <t>Noura</t>
        </is>
      </c>
      <c r="N32" s="58" t="n"/>
      <c r="O32" s="58" t="n"/>
      <c r="P32" s="58" t="inlineStr">
        <is>
          <t>Hebdomadaire</t>
        </is>
      </c>
      <c r="Q32" s="59" t="inlineStr"/>
      <c r="R32" s="58" t="n">
        <v>1</v>
      </c>
      <c r="S32" s="58" t="inlineStr">
        <is>
          <t>Oui</t>
        </is>
      </c>
      <c r="T32" s="58" t="inlineStr">
        <is>
          <t>S1-022</t>
        </is>
      </c>
      <c r="U32" s="59" t="inlineStr">
        <is>
          <t>Original (septembre)</t>
        </is>
      </c>
      <c r="V32" s="59" t="inlineStr"/>
      <c r="W32" s="10" t="n"/>
      <c r="X32" s="10" t="inlineStr"/>
      <c r="Y32" s="64">
        <f>IF($M32="","",IF(SUMPRODUCT(($D$4:$D$863=$D32)*($M$4:$M$863=$M32)*($T$4:$T$863&lt;&gt;$T32)*($F$4:$F$863&lt;$G32)*($G$4:$G$863&gt;$F32))&gt;0,"⚠ CONFLIT",""))</f>
        <v/>
      </c>
      <c r="Z32" s="64">
        <f>IF($J32="","",IF(SUMPRODUCT(($D$4:$D$863=$D32)*($J$4:$J$863=$J32)*($T$4:$T$863&lt;&gt;$T32)*($F$4:$F$863&lt;$G32)*($G$4:$G$863&gt;$F32)*(1-($X$4:$X$863="Oui")*($X32="Oui")))&gt;0,"⚠ CONFLIT",""))</f>
        <v/>
      </c>
      <c r="AA32" s="64">
        <f>IF(COUNTIFS($D$4:$D$863,$D32,$J$4:$J$863,$J32,$F$4:$F$863,$F32,$K$4:$K$863,$K32)&gt;1,"⚠ DOUBLON","")</f>
        <v/>
      </c>
      <c r="AB32" s="64">
        <f>IF(COUNTIF($T$4:$T$863,$T32)&lt;&gt;COUNTIFS($T$4:$T$863,$T32,$D$4:$D$863,$D32,$F$4:$F$863,$F32,$G$4:$G$863,$G32,$K$4:$K$863,$K32,$M$4:$M$863,$M32),"⚠ INCOHÉRENT","")</f>
        <v/>
      </c>
      <c r="AC32" s="64">
        <f>COUNTIFS($A$4:$A32,$A32,$J$4:$J32,$J32,$E$4:$E32,$E32)</f>
        <v/>
      </c>
      <c r="AD32" s="65">
        <f>$A32&amp;"|"&amp;$J32&amp;"|"&amp;$E32&amp;"|"&amp;$AC32</f>
        <v/>
      </c>
      <c r="AE32" s="66">
        <f>IF($W32&lt;&gt;"","⚑ "&amp;$W32&amp;CHAR(10),"")&amp;TEXT($F32,"hh:mm")&amp;"-"&amp;TEXT($G32,"hh:mm")&amp;IF(OR($P32="Quinzaine A",AND($P32="Hebdo · groupes alternés",$C32="A"))," Q-A",IF(OR($P32="Quinzaine B",AND($P32="Hebdo · groupes alternés",$C32="B"))," Q-B",IF($P32="Exception"," PONCT.","")))&amp;IF($X32="Oui"," OPT","")&amp;CHAR(10)&amp;$K32&amp;CHAR(10)&amp;$M32&amp;IF($N32&lt;&gt;"",CHAR(10)&amp;"Salle "&amp;$N32,"")&amp;IF($O32="En ligne",CHAR(10)&amp;"EN LIGNE","")&amp;IF($V32&lt;&gt;"",CHAR(10)&amp;$V32,"")</f>
        <v/>
      </c>
      <c r="AF32" s="65" t="inlineStr">
        <is>
          <t>19h-21h رياضيات (Noura)</t>
        </is>
      </c>
      <c r="AG32" s="65" t="inlineStr">
        <is>
          <t>du 14-09 jusquà le 20-09!I12</t>
        </is>
      </c>
    </row>
    <row r="33" ht="15" customHeight="1">
      <c r="A33" s="68" t="inlineStr">
        <is>
          <t>S1</t>
        </is>
      </c>
      <c r="B33" s="69" t="inlineStr">
        <is>
          <t>du 14 au 20 septembre 2026</t>
        </is>
      </c>
      <c r="C33" s="68" t="inlineStr">
        <is>
          <t>A</t>
        </is>
      </c>
      <c r="D33" s="70" t="n">
        <v>46281</v>
      </c>
      <c r="E33" s="68" t="inlineStr">
        <is>
          <t>Mercredi</t>
        </is>
      </c>
      <c r="F33" s="71" t="n">
        <v>0.8125</v>
      </c>
      <c r="G33" s="71" t="n">
        <v>0.875</v>
      </c>
      <c r="H33" s="72">
        <f>IF(OR($F33="",$G33=""),"",($G33-$F33)*24)</f>
        <v/>
      </c>
      <c r="I33" s="68" t="inlineStr">
        <is>
          <t>Collège</t>
        </is>
      </c>
      <c r="J33" s="69" t="inlineStr">
        <is>
          <t>7éme (A)</t>
        </is>
      </c>
      <c r="K33" s="73" t="inlineStr">
        <is>
          <t>فيزياء</t>
        </is>
      </c>
      <c r="L33" s="73" t="inlineStr">
        <is>
          <t>Physique</t>
        </is>
      </c>
      <c r="M33" s="69" t="inlineStr">
        <is>
          <t>Melek</t>
        </is>
      </c>
      <c r="N33" s="68" t="n"/>
      <c r="O33" s="68" t="n"/>
      <c r="P33" s="68" t="inlineStr">
        <is>
          <t>Hebdomadaire</t>
        </is>
      </c>
      <c r="Q33" s="69" t="inlineStr">
        <is>
          <t>7éme (A) + 7éme (B)</t>
        </is>
      </c>
      <c r="R33" s="68" t="n">
        <v>2</v>
      </c>
      <c r="S33" s="68" t="inlineStr">
        <is>
          <t>Oui</t>
        </is>
      </c>
      <c r="T33" s="68" t="inlineStr">
        <is>
          <t>S1-023</t>
        </is>
      </c>
      <c r="U33" s="69" t="inlineStr">
        <is>
          <t>Original (septembre)</t>
        </is>
      </c>
      <c r="V33" s="69" t="inlineStr"/>
      <c r="W33" s="10" t="n"/>
      <c r="X33" s="10" t="inlineStr"/>
      <c r="Y33" s="64">
        <f>IF($M33="","",IF(SUMPRODUCT(($D$4:$D$863=$D33)*($M$4:$M$863=$M33)*($T$4:$T$863&lt;&gt;$T33)*($F$4:$F$863&lt;$G33)*($G$4:$G$863&gt;$F33))&gt;0,"⚠ CONFLIT",""))</f>
        <v/>
      </c>
      <c r="Z33" s="64">
        <f>IF($J33="","",IF(SUMPRODUCT(($D$4:$D$863=$D33)*($J$4:$J$863=$J33)*($T$4:$T$863&lt;&gt;$T33)*($F$4:$F$863&lt;$G33)*($G$4:$G$863&gt;$F33)*(1-($X$4:$X$863="Oui")*($X33="Oui")))&gt;0,"⚠ CONFLIT",""))</f>
        <v/>
      </c>
      <c r="AA33" s="64">
        <f>IF(COUNTIFS($D$4:$D$863,$D33,$J$4:$J$863,$J33,$F$4:$F$863,$F33,$K$4:$K$863,$K33)&gt;1,"⚠ DOUBLON","")</f>
        <v/>
      </c>
      <c r="AB33" s="64">
        <f>IF(COUNTIF($T$4:$T$863,$T33)&lt;&gt;COUNTIFS($T$4:$T$863,$T33,$D$4:$D$863,$D33,$F$4:$F$863,$F33,$G$4:$G$863,$G33,$K$4:$K$863,$K33,$M$4:$M$863,$M33),"⚠ INCOHÉRENT","")</f>
        <v/>
      </c>
      <c r="AC33" s="64">
        <f>COUNTIFS($A$4:$A33,$A33,$J$4:$J33,$J33,$E$4:$E33,$E33)</f>
        <v/>
      </c>
      <c r="AD33" s="65">
        <f>$A33&amp;"|"&amp;$J33&amp;"|"&amp;$E33&amp;"|"&amp;$AC33</f>
        <v/>
      </c>
      <c r="AE33" s="66">
        <f>IF($W33&lt;&gt;"","⚑ "&amp;$W33&amp;CHAR(10),"")&amp;TEXT($F33,"hh:mm")&amp;"-"&amp;TEXT($G33,"hh:mm")&amp;IF(OR($P33="Quinzaine A",AND($P33="Hebdo · groupes alternés",$C33="A"))," Q-A",IF(OR($P33="Quinzaine B",AND($P33="Hebdo · groupes alternés",$C33="B"))," Q-B",IF($P33="Exception"," PONCT.","")))&amp;IF($X33="Oui"," OPT","")&amp;CHAR(10)&amp;$K33&amp;CHAR(10)&amp;$M33&amp;IF($N33&lt;&gt;"",CHAR(10)&amp;"Salle "&amp;$N33,"")&amp;IF($O33="En ligne",CHAR(10)&amp;"EN LIGNE","")&amp;IF($V33&lt;&gt;"",CHAR(10)&amp;$V33,"")</f>
        <v/>
      </c>
      <c r="AF33" s="65" t="inlineStr">
        <is>
          <t>19h30-21h فيزياء /par quinzaine (Melek)</t>
        </is>
      </c>
      <c r="AG33" s="65" t="inlineStr">
        <is>
          <t>du 14-09 jusquà le 20-09!I19</t>
        </is>
      </c>
    </row>
    <row r="34" ht="15" customHeight="1">
      <c r="A34" s="68" t="inlineStr">
        <is>
          <t>S1</t>
        </is>
      </c>
      <c r="B34" s="69" t="inlineStr">
        <is>
          <t>du 14 au 20 septembre 2026</t>
        </is>
      </c>
      <c r="C34" s="68" t="inlineStr">
        <is>
          <t>A</t>
        </is>
      </c>
      <c r="D34" s="70" t="n">
        <v>46281</v>
      </c>
      <c r="E34" s="68" t="inlineStr">
        <is>
          <t>Mercredi</t>
        </is>
      </c>
      <c r="F34" s="71" t="n">
        <v>0.8125</v>
      </c>
      <c r="G34" s="71" t="n">
        <v>0.875</v>
      </c>
      <c r="H34" s="72">
        <f>IF(OR($F34="",$G34=""),"",($G34-$F34)*24)</f>
        <v/>
      </c>
      <c r="I34" s="68" t="inlineStr">
        <is>
          <t>Collège</t>
        </is>
      </c>
      <c r="J34" s="69" t="inlineStr">
        <is>
          <t>7éme (B)</t>
        </is>
      </c>
      <c r="K34" s="73" t="inlineStr">
        <is>
          <t>فيزياء</t>
        </is>
      </c>
      <c r="L34" s="73" t="inlineStr">
        <is>
          <t>Physique</t>
        </is>
      </c>
      <c r="M34" s="69" t="inlineStr">
        <is>
          <t>Melek</t>
        </is>
      </c>
      <c r="N34" s="68" t="n"/>
      <c r="O34" s="68" t="n"/>
      <c r="P34" s="68" t="inlineStr">
        <is>
          <t>Hebdomadaire</t>
        </is>
      </c>
      <c r="Q34" s="69" t="inlineStr">
        <is>
          <t>7éme (A) + 7éme (B)</t>
        </is>
      </c>
      <c r="R34" s="68" t="n">
        <v>2</v>
      </c>
      <c r="S34" s="68" t="inlineStr"/>
      <c r="T34" s="68" t="inlineStr">
        <is>
          <t>S1-023</t>
        </is>
      </c>
      <c r="U34" s="69" t="inlineStr">
        <is>
          <t>Original (septembre)</t>
        </is>
      </c>
      <c r="V34" s="69" t="inlineStr"/>
      <c r="W34" s="10" t="n"/>
      <c r="X34" s="10" t="inlineStr"/>
      <c r="Y34" s="64">
        <f>IF($M34="","",IF(SUMPRODUCT(($D$4:$D$863=$D34)*($M$4:$M$863=$M34)*($T$4:$T$863&lt;&gt;$T34)*($F$4:$F$863&lt;$G34)*($G$4:$G$863&gt;$F34))&gt;0,"⚠ CONFLIT",""))</f>
        <v/>
      </c>
      <c r="Z34" s="64">
        <f>IF($J34="","",IF(SUMPRODUCT(($D$4:$D$863=$D34)*($J$4:$J$863=$J34)*($T$4:$T$863&lt;&gt;$T34)*($F$4:$F$863&lt;$G34)*($G$4:$G$863&gt;$F34)*(1-($X$4:$X$863="Oui")*($X34="Oui")))&gt;0,"⚠ CONFLIT",""))</f>
        <v/>
      </c>
      <c r="AA34" s="64">
        <f>IF(COUNTIFS($D$4:$D$863,$D34,$J$4:$J$863,$J34,$F$4:$F$863,$F34,$K$4:$K$863,$K34)&gt;1,"⚠ DOUBLON","")</f>
        <v/>
      </c>
      <c r="AB34" s="64">
        <f>IF(COUNTIF($T$4:$T$863,$T34)&lt;&gt;COUNTIFS($T$4:$T$863,$T34,$D$4:$D$863,$D34,$F$4:$F$863,$F34,$G$4:$G$863,$G34,$K$4:$K$863,$K34,$M$4:$M$863,$M34),"⚠ INCOHÉRENT","")</f>
        <v/>
      </c>
      <c r="AC34" s="64">
        <f>COUNTIFS($A$4:$A34,$A34,$J$4:$J34,$J34,$E$4:$E34,$E34)</f>
        <v/>
      </c>
      <c r="AD34" s="65">
        <f>$A34&amp;"|"&amp;$J34&amp;"|"&amp;$E34&amp;"|"&amp;$AC34</f>
        <v/>
      </c>
      <c r="AE34" s="66">
        <f>IF($W34&lt;&gt;"","⚑ "&amp;$W34&amp;CHAR(10),"")&amp;TEXT($F34,"hh:mm")&amp;"-"&amp;TEXT($G34,"hh:mm")&amp;IF(OR($P34="Quinzaine A",AND($P34="Hebdo · groupes alternés",$C34="A"))," Q-A",IF(OR($P34="Quinzaine B",AND($P34="Hebdo · groupes alternés",$C34="B"))," Q-B",IF($P34="Exception"," PONCT.","")))&amp;IF($X34="Oui"," OPT","")&amp;CHAR(10)&amp;$K34&amp;CHAR(10)&amp;$M34&amp;IF($N34&lt;&gt;"",CHAR(10)&amp;"Salle "&amp;$N34,"")&amp;IF($O34="En ligne",CHAR(10)&amp;"EN LIGNE","")&amp;IF($V34&lt;&gt;"",CHAR(10)&amp;$V34,"")</f>
        <v/>
      </c>
      <c r="AF34" s="65" t="inlineStr">
        <is>
          <t>19h30-21h فيزياء /par quinzaine (Melek)</t>
        </is>
      </c>
      <c r="AG34" s="65" t="inlineStr">
        <is>
          <t>du 14-09 jusquà le 20-09!I19</t>
        </is>
      </c>
    </row>
    <row r="35" ht="15" customHeight="1">
      <c r="A35" s="68" t="inlineStr">
        <is>
          <t>S1</t>
        </is>
      </c>
      <c r="B35" s="69" t="inlineStr">
        <is>
          <t>du 14 au 20 septembre 2026</t>
        </is>
      </c>
      <c r="C35" s="68" t="inlineStr">
        <is>
          <t>A</t>
        </is>
      </c>
      <c r="D35" s="70" t="n">
        <v>46281</v>
      </c>
      <c r="E35" s="68" t="inlineStr">
        <is>
          <t>Mercredi</t>
        </is>
      </c>
      <c r="F35" s="71" t="n">
        <v>0.7916666666666666</v>
      </c>
      <c r="G35" s="71" t="n">
        <v>0.8541666666666666</v>
      </c>
      <c r="H35" s="72">
        <f>IF(OR($F35="",$G35=""),"",($G35-$F35)*24)</f>
        <v/>
      </c>
      <c r="I35" s="68" t="inlineStr">
        <is>
          <t>Collège</t>
        </is>
      </c>
      <c r="J35" s="69" t="inlineStr">
        <is>
          <t>8éme (A)</t>
        </is>
      </c>
      <c r="K35" s="63" t="inlineStr">
        <is>
          <t>Arabe</t>
        </is>
      </c>
      <c r="L35" s="63" t="inlineStr">
        <is>
          <t>Arabe</t>
        </is>
      </c>
      <c r="M35" s="69" t="inlineStr">
        <is>
          <t>Awatef</t>
        </is>
      </c>
      <c r="N35" s="68" t="n"/>
      <c r="O35" s="68" t="n"/>
      <c r="P35" s="68" t="inlineStr">
        <is>
          <t>Hebdomadaire</t>
        </is>
      </c>
      <c r="Q35" s="69" t="inlineStr"/>
      <c r="R35" s="68" t="n">
        <v>1</v>
      </c>
      <c r="S35" s="68" t="inlineStr">
        <is>
          <t>Oui</t>
        </is>
      </c>
      <c r="T35" s="68" t="inlineStr">
        <is>
          <t>S1-024</t>
        </is>
      </c>
      <c r="U35" s="69" t="inlineStr">
        <is>
          <t>Original (septembre)</t>
        </is>
      </c>
      <c r="V35" s="69" t="inlineStr"/>
      <c r="W35" s="10" t="n"/>
      <c r="X35" s="10" t="inlineStr"/>
      <c r="Y35" s="64">
        <f>IF($M35="","",IF(SUMPRODUCT(($D$4:$D$863=$D35)*($M$4:$M$863=$M35)*($T$4:$T$863&lt;&gt;$T35)*($F$4:$F$863&lt;$G35)*($G$4:$G$863&gt;$F35))&gt;0,"⚠ CONFLIT",""))</f>
        <v/>
      </c>
      <c r="Z35" s="64">
        <f>IF($J35="","",IF(SUMPRODUCT(($D$4:$D$863=$D35)*($J$4:$J$863=$J35)*($T$4:$T$863&lt;&gt;$T35)*($F$4:$F$863&lt;$G35)*($G$4:$G$863&gt;$F35)*(1-($X$4:$X$863="Oui")*($X35="Oui")))&gt;0,"⚠ CONFLIT",""))</f>
        <v/>
      </c>
      <c r="AA35" s="64">
        <f>IF(COUNTIFS($D$4:$D$863,$D35,$J$4:$J$863,$J35,$F$4:$F$863,$F35,$K$4:$K$863,$K35)&gt;1,"⚠ DOUBLON","")</f>
        <v/>
      </c>
      <c r="AB35" s="64">
        <f>IF(COUNTIF($T$4:$T$863,$T35)&lt;&gt;COUNTIFS($T$4:$T$863,$T35,$D$4:$D$863,$D35,$F$4:$F$863,$F35,$G$4:$G$863,$G35,$K$4:$K$863,$K35,$M$4:$M$863,$M35),"⚠ INCOHÉRENT","")</f>
        <v/>
      </c>
      <c r="AC35" s="64">
        <f>COUNTIFS($A$4:$A35,$A35,$J$4:$J35,$J35,$E$4:$E35,$E35)</f>
        <v/>
      </c>
      <c r="AD35" s="65">
        <f>$A35&amp;"|"&amp;$J35&amp;"|"&amp;$E35&amp;"|"&amp;$AC35</f>
        <v/>
      </c>
      <c r="AE35" s="66">
        <f>IF($W35&lt;&gt;"","⚑ "&amp;$W35&amp;CHAR(10),"")&amp;TEXT($F35,"hh:mm")&amp;"-"&amp;TEXT($G35,"hh:mm")&amp;IF(OR($P35="Quinzaine A",AND($P35="Hebdo · groupes alternés",$C35="A"))," Q-A",IF(OR($P35="Quinzaine B",AND($P35="Hebdo · groupes alternés",$C35="B"))," Q-B",IF($P35="Exception"," PONCT.","")))&amp;IF($X35="Oui"," OPT","")&amp;CHAR(10)&amp;$K35&amp;CHAR(10)&amp;$M35&amp;IF($N35&lt;&gt;"",CHAR(10)&amp;"Salle "&amp;$N35,"")&amp;IF($O35="En ligne",CHAR(10)&amp;"EN LIGNE","")&amp;IF($V35&lt;&gt;"",CHAR(10)&amp;$V35,"")</f>
        <v/>
      </c>
      <c r="AF35" s="65" t="inlineStr">
        <is>
          <t>19h-20h30 Arabe (Awatef)</t>
        </is>
      </c>
      <c r="AG35" s="65" t="inlineStr">
        <is>
          <t>du 14-09 jusquà le 20-09!I27</t>
        </is>
      </c>
    </row>
    <row r="36" ht="15" customHeight="1">
      <c r="A36" s="68" t="inlineStr">
        <is>
          <t>S1</t>
        </is>
      </c>
      <c r="B36" s="69" t="inlineStr">
        <is>
          <t>du 14 au 20 septembre 2026</t>
        </is>
      </c>
      <c r="C36" s="68" t="inlineStr">
        <is>
          <t>A</t>
        </is>
      </c>
      <c r="D36" s="70" t="n">
        <v>46281</v>
      </c>
      <c r="E36" s="68" t="inlineStr">
        <is>
          <t>Mercredi</t>
        </is>
      </c>
      <c r="F36" s="71" t="n">
        <v>0.8020833333333334</v>
      </c>
      <c r="G36" s="71" t="n">
        <v>0.8645833333333334</v>
      </c>
      <c r="H36" s="72">
        <f>IF(OR($F36="",$G36=""),"",($G36-$F36)*24)</f>
        <v/>
      </c>
      <c r="I36" s="68" t="inlineStr">
        <is>
          <t>Collège</t>
        </is>
      </c>
      <c r="J36" s="69" t="inlineStr">
        <is>
          <t>8éme (B)</t>
        </is>
      </c>
      <c r="K36" s="79" t="inlineStr">
        <is>
          <t>Math</t>
        </is>
      </c>
      <c r="L36" s="79" t="inlineStr">
        <is>
          <t>Math</t>
        </is>
      </c>
      <c r="M36" s="69" t="inlineStr">
        <is>
          <t>Khouloud</t>
        </is>
      </c>
      <c r="N36" s="68" t="n"/>
      <c r="O36" s="68" t="n"/>
      <c r="P36" s="68" t="inlineStr">
        <is>
          <t>Hebdomadaire</t>
        </is>
      </c>
      <c r="Q36" s="69" t="inlineStr"/>
      <c r="R36" s="68" t="n">
        <v>1</v>
      </c>
      <c r="S36" s="68" t="inlineStr">
        <is>
          <t>Oui</t>
        </is>
      </c>
      <c r="T36" s="68" t="inlineStr">
        <is>
          <t>S1-025</t>
        </is>
      </c>
      <c r="U36" s="69" t="inlineStr">
        <is>
          <t>Original (septembre)</t>
        </is>
      </c>
      <c r="V36" s="69" t="inlineStr"/>
      <c r="W36" s="10" t="n"/>
      <c r="X36" s="10" t="inlineStr"/>
      <c r="Y36" s="64">
        <f>IF($M36="","",IF(SUMPRODUCT(($D$4:$D$863=$D36)*($M$4:$M$863=$M36)*($T$4:$T$863&lt;&gt;$T36)*($F$4:$F$863&lt;$G36)*($G$4:$G$863&gt;$F36))&gt;0,"⚠ CONFLIT",""))</f>
        <v/>
      </c>
      <c r="Z36" s="64">
        <f>IF($J36="","",IF(SUMPRODUCT(($D$4:$D$863=$D36)*($J$4:$J$863=$J36)*($T$4:$T$863&lt;&gt;$T36)*($F$4:$F$863&lt;$G36)*($G$4:$G$863&gt;$F36)*(1-($X$4:$X$863="Oui")*($X36="Oui")))&gt;0,"⚠ CONFLIT",""))</f>
        <v/>
      </c>
      <c r="AA36" s="64">
        <f>IF(COUNTIFS($D$4:$D$863,$D36,$J$4:$J$863,$J36,$F$4:$F$863,$F36,$K$4:$K$863,$K36)&gt;1,"⚠ DOUBLON","")</f>
        <v/>
      </c>
      <c r="AB36" s="64">
        <f>IF(COUNTIF($T$4:$T$863,$T36)&lt;&gt;COUNTIFS($T$4:$T$863,$T36,$D$4:$D$863,$D36,$F$4:$F$863,$F36,$G$4:$G$863,$G36,$K$4:$K$863,$K36,$M$4:$M$863,$M36),"⚠ INCOHÉRENT","")</f>
        <v/>
      </c>
      <c r="AC36" s="64">
        <f>COUNTIFS($A$4:$A36,$A36,$J$4:$J36,$J36,$E$4:$E36,$E36)</f>
        <v/>
      </c>
      <c r="AD36" s="65">
        <f>$A36&amp;"|"&amp;$J36&amp;"|"&amp;$E36&amp;"|"&amp;$AC36</f>
        <v/>
      </c>
      <c r="AE36" s="66">
        <f>IF($W36&lt;&gt;"","⚑ "&amp;$W36&amp;CHAR(10),"")&amp;TEXT($F36,"hh:mm")&amp;"-"&amp;TEXT($G36,"hh:mm")&amp;IF(OR($P36="Quinzaine A",AND($P36="Hebdo · groupes alternés",$C36="A"))," Q-A",IF(OR($P36="Quinzaine B",AND($P36="Hebdo · groupes alternés",$C36="B"))," Q-B",IF($P36="Exception"," PONCT.","")))&amp;IF($X36="Oui"," OPT","")&amp;CHAR(10)&amp;$K36&amp;CHAR(10)&amp;$M36&amp;IF($N36&lt;&gt;"",CHAR(10)&amp;"Salle "&amp;$N36,"")&amp;IF($O36="En ligne",CHAR(10)&amp;"EN LIGNE","")&amp;IF($V36&lt;&gt;"",CHAR(10)&amp;$V36,"")</f>
        <v/>
      </c>
      <c r="AF36" s="65" t="inlineStr">
        <is>
          <t>19h15-20h45 Math (Khouloud)</t>
        </is>
      </c>
      <c r="AG36" s="65" t="inlineStr">
        <is>
          <t>du 14-09 jusquà le 20-09!I31</t>
        </is>
      </c>
    </row>
    <row r="37" ht="15" customHeight="1">
      <c r="A37" s="68" t="inlineStr">
        <is>
          <t>S1</t>
        </is>
      </c>
      <c r="B37" s="69" t="inlineStr">
        <is>
          <t>du 14 au 20 septembre 2026</t>
        </is>
      </c>
      <c r="C37" s="68" t="inlineStr">
        <is>
          <t>A</t>
        </is>
      </c>
      <c r="D37" s="70" t="n">
        <v>46281</v>
      </c>
      <c r="E37" s="68" t="inlineStr">
        <is>
          <t>Mercredi</t>
        </is>
      </c>
      <c r="F37" s="71" t="n">
        <v>0.8125</v>
      </c>
      <c r="G37" s="71" t="n">
        <v>0.875</v>
      </c>
      <c r="H37" s="72">
        <f>IF(OR($F37="",$G37=""),"",($G37-$F37)*24)</f>
        <v/>
      </c>
      <c r="I37" s="68" t="inlineStr">
        <is>
          <t>Collège</t>
        </is>
      </c>
      <c r="J37" s="69" t="inlineStr">
        <is>
          <t>8éme (C)</t>
        </is>
      </c>
      <c r="K37" s="67" t="inlineStr">
        <is>
          <t>Français</t>
        </is>
      </c>
      <c r="L37" s="67" t="inlineStr">
        <is>
          <t>Français</t>
        </is>
      </c>
      <c r="M37" s="69" t="inlineStr">
        <is>
          <t>Nabil</t>
        </is>
      </c>
      <c r="N37" s="68" t="n"/>
      <c r="O37" s="68" t="n"/>
      <c r="P37" s="68" t="inlineStr">
        <is>
          <t>Hebdomadaire</t>
        </is>
      </c>
      <c r="Q37" s="69" t="inlineStr"/>
      <c r="R37" s="68" t="n">
        <v>1</v>
      </c>
      <c r="S37" s="68" t="inlineStr">
        <is>
          <t>Oui</t>
        </is>
      </c>
      <c r="T37" s="68" t="inlineStr">
        <is>
          <t>S1-026</t>
        </is>
      </c>
      <c r="U37" s="69" t="inlineStr">
        <is>
          <t>Original (septembre)</t>
        </is>
      </c>
      <c r="V37" s="69" t="inlineStr"/>
      <c r="W37" s="10" t="n"/>
      <c r="X37" s="10" t="inlineStr"/>
      <c r="Y37" s="64">
        <f>IF($M37="","",IF(SUMPRODUCT(($D$4:$D$863=$D37)*($M$4:$M$863=$M37)*($T$4:$T$863&lt;&gt;$T37)*($F$4:$F$863&lt;$G37)*($G$4:$G$863&gt;$F37))&gt;0,"⚠ CONFLIT",""))</f>
        <v/>
      </c>
      <c r="Z37" s="64">
        <f>IF($J37="","",IF(SUMPRODUCT(($D$4:$D$863=$D37)*($J$4:$J$863=$J37)*($T$4:$T$863&lt;&gt;$T37)*($F$4:$F$863&lt;$G37)*($G$4:$G$863&gt;$F37)*(1-($X$4:$X$863="Oui")*($X37="Oui")))&gt;0,"⚠ CONFLIT",""))</f>
        <v/>
      </c>
      <c r="AA37" s="64">
        <f>IF(COUNTIFS($D$4:$D$863,$D37,$J$4:$J$863,$J37,$F$4:$F$863,$F37,$K$4:$K$863,$K37)&gt;1,"⚠ DOUBLON","")</f>
        <v/>
      </c>
      <c r="AB37" s="64">
        <f>IF(COUNTIF($T$4:$T$863,$T37)&lt;&gt;COUNTIFS($T$4:$T$863,$T37,$D$4:$D$863,$D37,$F$4:$F$863,$F37,$G$4:$G$863,$G37,$K$4:$K$863,$K37,$M$4:$M$863,$M37),"⚠ INCOHÉRENT","")</f>
        <v/>
      </c>
      <c r="AC37" s="64">
        <f>COUNTIFS($A$4:$A37,$A37,$J$4:$J37,$J37,$E$4:$E37,$E37)</f>
        <v/>
      </c>
      <c r="AD37" s="65">
        <f>$A37&amp;"|"&amp;$J37&amp;"|"&amp;$E37&amp;"|"&amp;$AC37</f>
        <v/>
      </c>
      <c r="AE37" s="66">
        <f>IF($W37&lt;&gt;"","⚑ "&amp;$W37&amp;CHAR(10),"")&amp;TEXT($F37,"hh:mm")&amp;"-"&amp;TEXT($G37,"hh:mm")&amp;IF(OR($P37="Quinzaine A",AND($P37="Hebdo · groupes alternés",$C37="A"))," Q-A",IF(OR($P37="Quinzaine B",AND($P37="Hebdo · groupes alternés",$C37="B"))," Q-B",IF($P37="Exception"," PONCT.","")))&amp;IF($X37="Oui"," OPT","")&amp;CHAR(10)&amp;$K37&amp;CHAR(10)&amp;$M37&amp;IF($N37&lt;&gt;"",CHAR(10)&amp;"Salle "&amp;$N37,"")&amp;IF($O37="En ligne",CHAR(10)&amp;"EN LIGNE","")&amp;IF($V37&lt;&gt;"",CHAR(10)&amp;$V37,"")</f>
        <v/>
      </c>
      <c r="AF37" s="65" t="inlineStr">
        <is>
          <t>19h30-21h Français (Nabil)</t>
        </is>
      </c>
      <c r="AG37" s="65" t="inlineStr">
        <is>
          <t>du 14-09 jusquà le 20-09!I34</t>
        </is>
      </c>
    </row>
    <row r="38" ht="15" customHeight="1">
      <c r="A38" s="68" t="inlineStr">
        <is>
          <t>S1</t>
        </is>
      </c>
      <c r="B38" s="69" t="inlineStr">
        <is>
          <t>du 14 au 20 septembre 2026</t>
        </is>
      </c>
      <c r="C38" s="68" t="inlineStr">
        <is>
          <t>A</t>
        </is>
      </c>
      <c r="D38" s="70" t="n">
        <v>46281</v>
      </c>
      <c r="E38" s="68" t="inlineStr">
        <is>
          <t>Mercredi</t>
        </is>
      </c>
      <c r="F38" s="71" t="n">
        <v>0.8125</v>
      </c>
      <c r="G38" s="71" t="n">
        <v>0.875</v>
      </c>
      <c r="H38" s="72">
        <f>IF(OR($F38="",$G38=""),"",($G38-$F38)*24)</f>
        <v/>
      </c>
      <c r="I38" s="68" t="inlineStr">
        <is>
          <t>Collège</t>
        </is>
      </c>
      <c r="J38" s="69" t="inlineStr">
        <is>
          <t>9éme (B)</t>
        </is>
      </c>
      <c r="K38" s="63" t="inlineStr">
        <is>
          <t>Arabe</t>
        </is>
      </c>
      <c r="L38" s="63" t="inlineStr">
        <is>
          <t>Arabe</t>
        </is>
      </c>
      <c r="M38" s="69" t="inlineStr">
        <is>
          <t>Yahya</t>
        </is>
      </c>
      <c r="N38" s="68" t="n"/>
      <c r="O38" s="68" t="n"/>
      <c r="P38" s="68" t="inlineStr">
        <is>
          <t>Hebdomadaire</t>
        </is>
      </c>
      <c r="Q38" s="69" t="inlineStr"/>
      <c r="R38" s="68" t="n">
        <v>1</v>
      </c>
      <c r="S38" s="68" t="inlineStr">
        <is>
          <t>Oui</t>
        </is>
      </c>
      <c r="T38" s="68" t="inlineStr">
        <is>
          <t>S1-027</t>
        </is>
      </c>
      <c r="U38" s="69" t="inlineStr">
        <is>
          <t>Original (septembre)</t>
        </is>
      </c>
      <c r="V38" s="69" t="inlineStr"/>
      <c r="W38" s="10" t="n"/>
      <c r="X38" s="10" t="inlineStr"/>
      <c r="Y38" s="64">
        <f>IF($M38="","",IF(SUMPRODUCT(($D$4:$D$863=$D38)*($M$4:$M$863=$M38)*($T$4:$T$863&lt;&gt;$T38)*($F$4:$F$863&lt;$G38)*($G$4:$G$863&gt;$F38))&gt;0,"⚠ CONFLIT",""))</f>
        <v/>
      </c>
      <c r="Z38" s="64">
        <f>IF($J38="","",IF(SUMPRODUCT(($D$4:$D$863=$D38)*($J$4:$J$863=$J38)*($T$4:$T$863&lt;&gt;$T38)*($F$4:$F$863&lt;$G38)*($G$4:$G$863&gt;$F38)*(1-($X$4:$X$863="Oui")*($X38="Oui")))&gt;0,"⚠ CONFLIT",""))</f>
        <v/>
      </c>
      <c r="AA38" s="64">
        <f>IF(COUNTIFS($D$4:$D$863,$D38,$J$4:$J$863,$J38,$F$4:$F$863,$F38,$K$4:$K$863,$K38)&gt;1,"⚠ DOUBLON","")</f>
        <v/>
      </c>
      <c r="AB38" s="64">
        <f>IF(COUNTIF($T$4:$T$863,$T38)&lt;&gt;COUNTIFS($T$4:$T$863,$T38,$D$4:$D$863,$D38,$F$4:$F$863,$F38,$G$4:$G$863,$G38,$K$4:$K$863,$K38,$M$4:$M$863,$M38),"⚠ INCOHÉRENT","")</f>
        <v/>
      </c>
      <c r="AC38" s="64">
        <f>COUNTIFS($A$4:$A38,$A38,$J$4:$J38,$J38,$E$4:$E38,$E38)</f>
        <v/>
      </c>
      <c r="AD38" s="65">
        <f>$A38&amp;"|"&amp;$J38&amp;"|"&amp;$E38&amp;"|"&amp;$AC38</f>
        <v/>
      </c>
      <c r="AE38" s="66">
        <f>IF($W38&lt;&gt;"","⚑ "&amp;$W38&amp;CHAR(10),"")&amp;TEXT($F38,"hh:mm")&amp;"-"&amp;TEXT($G38,"hh:mm")&amp;IF(OR($P38="Quinzaine A",AND($P38="Hebdo · groupes alternés",$C38="A"))," Q-A",IF(OR($P38="Quinzaine B",AND($P38="Hebdo · groupes alternés",$C38="B"))," Q-B",IF($P38="Exception"," PONCT.","")))&amp;IF($X38="Oui"," OPT","")&amp;CHAR(10)&amp;$K38&amp;CHAR(10)&amp;$M38&amp;IF($N38&lt;&gt;"",CHAR(10)&amp;"Salle "&amp;$N38,"")&amp;IF($O38="En ligne",CHAR(10)&amp;"EN LIGNE","")&amp;IF($V38&lt;&gt;"",CHAR(10)&amp;$V38,"")</f>
        <v/>
      </c>
      <c r="AF38" s="65" t="inlineStr">
        <is>
          <t>19h30-21h Arabe (Yahya)</t>
        </is>
      </c>
      <c r="AG38" s="65" t="inlineStr">
        <is>
          <t>du 14-09 jusquà le 20-09!I43</t>
        </is>
      </c>
    </row>
    <row r="39" ht="15" customHeight="1">
      <c r="A39" s="68" t="inlineStr">
        <is>
          <t>S1</t>
        </is>
      </c>
      <c r="B39" s="69" t="inlineStr">
        <is>
          <t>du 14 au 20 septembre 2026</t>
        </is>
      </c>
      <c r="C39" s="68" t="inlineStr">
        <is>
          <t>A</t>
        </is>
      </c>
      <c r="D39" s="70" t="n">
        <v>46281</v>
      </c>
      <c r="E39" s="68" t="inlineStr">
        <is>
          <t>Mercredi</t>
        </is>
      </c>
      <c r="F39" s="71" t="n">
        <v>0.8020833333333334</v>
      </c>
      <c r="G39" s="71" t="n">
        <v>0.8645833333333334</v>
      </c>
      <c r="H39" s="72">
        <f>IF(OR($F39="",$G39=""),"",($G39-$F39)*24)</f>
        <v/>
      </c>
      <c r="I39" s="68" t="inlineStr">
        <is>
          <t>Collège</t>
        </is>
      </c>
      <c r="J39" s="69" t="inlineStr">
        <is>
          <t>9éme (C)</t>
        </is>
      </c>
      <c r="K39" s="88" t="inlineStr">
        <is>
          <t>SVT</t>
        </is>
      </c>
      <c r="L39" s="88" t="inlineStr">
        <is>
          <t>SVT</t>
        </is>
      </c>
      <c r="M39" s="69" t="inlineStr">
        <is>
          <t>Imen Jribi</t>
        </is>
      </c>
      <c r="N39" s="68" t="n"/>
      <c r="O39" s="68" t="n"/>
      <c r="P39" s="68" t="inlineStr">
        <is>
          <t>Hebdomadaire</t>
        </is>
      </c>
      <c r="Q39" s="69" t="inlineStr"/>
      <c r="R39" s="68" t="n">
        <v>1</v>
      </c>
      <c r="S39" s="68" t="inlineStr">
        <is>
          <t>Oui</t>
        </is>
      </c>
      <c r="T39" s="68" t="inlineStr">
        <is>
          <t>S1-028</t>
        </is>
      </c>
      <c r="U39" s="69" t="inlineStr">
        <is>
          <t>Original (septembre)</t>
        </is>
      </c>
      <c r="V39" s="69" t="inlineStr"/>
      <c r="W39" s="10" t="n"/>
      <c r="X39" s="10" t="inlineStr"/>
      <c r="Y39" s="64">
        <f>IF($M39="","",IF(SUMPRODUCT(($D$4:$D$863=$D39)*($M$4:$M$863=$M39)*($T$4:$T$863&lt;&gt;$T39)*($F$4:$F$863&lt;$G39)*($G$4:$G$863&gt;$F39))&gt;0,"⚠ CONFLIT",""))</f>
        <v/>
      </c>
      <c r="Z39" s="64">
        <f>IF($J39="","",IF(SUMPRODUCT(($D$4:$D$863=$D39)*($J$4:$J$863=$J39)*($T$4:$T$863&lt;&gt;$T39)*($F$4:$F$863&lt;$G39)*($G$4:$G$863&gt;$F39)*(1-($X$4:$X$863="Oui")*($X39="Oui")))&gt;0,"⚠ CONFLIT",""))</f>
        <v/>
      </c>
      <c r="AA39" s="64">
        <f>IF(COUNTIFS($D$4:$D$863,$D39,$J$4:$J$863,$J39,$F$4:$F$863,$F39,$K$4:$K$863,$K39)&gt;1,"⚠ DOUBLON","")</f>
        <v/>
      </c>
      <c r="AB39" s="64">
        <f>IF(COUNTIF($T$4:$T$863,$T39)&lt;&gt;COUNTIFS($T$4:$T$863,$T39,$D$4:$D$863,$D39,$F$4:$F$863,$F39,$G$4:$G$863,$G39,$K$4:$K$863,$K39,$M$4:$M$863,$M39),"⚠ INCOHÉRENT","")</f>
        <v/>
      </c>
      <c r="AC39" s="64">
        <f>COUNTIFS($A$4:$A39,$A39,$J$4:$J39,$J39,$E$4:$E39,$E39)</f>
        <v/>
      </c>
      <c r="AD39" s="65">
        <f>$A39&amp;"|"&amp;$J39&amp;"|"&amp;$E39&amp;"|"&amp;$AC39</f>
        <v/>
      </c>
      <c r="AE39" s="66">
        <f>IF($W39&lt;&gt;"","⚑ "&amp;$W39&amp;CHAR(10),"")&amp;TEXT($F39,"hh:mm")&amp;"-"&amp;TEXT($G39,"hh:mm")&amp;IF(OR($P39="Quinzaine A",AND($P39="Hebdo · groupes alternés",$C39="A"))," Q-A",IF(OR($P39="Quinzaine B",AND($P39="Hebdo · groupes alternés",$C39="B"))," Q-B",IF($P39="Exception"," PONCT.","")))&amp;IF($X39="Oui"," OPT","")&amp;CHAR(10)&amp;$K39&amp;CHAR(10)&amp;$M39&amp;IF($N39&lt;&gt;"",CHAR(10)&amp;"Salle "&amp;$N39,"")&amp;IF($O39="En ligne",CHAR(10)&amp;"EN LIGNE","")&amp;IF($V39&lt;&gt;"",CHAR(10)&amp;$V39,"")</f>
        <v/>
      </c>
      <c r="AF39" s="65" t="inlineStr">
        <is>
          <t>19h15-20h45 SVT (Imen Jribi)</t>
        </is>
      </c>
      <c r="AG39" s="65" t="inlineStr">
        <is>
          <t>du 14-09 jusquà le 20-09!I46</t>
        </is>
      </c>
    </row>
    <row r="40" ht="15" customHeight="1">
      <c r="A40" s="74" t="inlineStr">
        <is>
          <t>S1</t>
        </is>
      </c>
      <c r="B40" s="75" t="inlineStr">
        <is>
          <t>du 14 au 20 septembre 2026</t>
        </is>
      </c>
      <c r="C40" s="74" t="inlineStr">
        <is>
          <t>A</t>
        </is>
      </c>
      <c r="D40" s="76" t="n">
        <v>46281</v>
      </c>
      <c r="E40" s="74" t="inlineStr">
        <is>
          <t>Mercredi</t>
        </is>
      </c>
      <c r="F40" s="77" t="n">
        <v>0.8125</v>
      </c>
      <c r="G40" s="77" t="n">
        <v>0.875</v>
      </c>
      <c r="H40" s="78">
        <f>IF(OR($F40="",$G40=""),"",($G40-$F40)*24)</f>
        <v/>
      </c>
      <c r="I40" s="74" t="inlineStr">
        <is>
          <t>Secondaire</t>
        </is>
      </c>
      <c r="J40" s="75" t="inlineStr">
        <is>
          <t>1ére (B)</t>
        </is>
      </c>
      <c r="K40" s="67" t="inlineStr">
        <is>
          <t>Français</t>
        </is>
      </c>
      <c r="L40" s="67" t="inlineStr">
        <is>
          <t>Français</t>
        </is>
      </c>
      <c r="M40" s="75" t="inlineStr">
        <is>
          <t>Nassima</t>
        </is>
      </c>
      <c r="N40" s="74" t="n"/>
      <c r="O40" s="74" t="n"/>
      <c r="P40" s="74" t="inlineStr">
        <is>
          <t>Hebdomadaire</t>
        </is>
      </c>
      <c r="Q40" s="75" t="inlineStr"/>
      <c r="R40" s="74" t="n">
        <v>1</v>
      </c>
      <c r="S40" s="74" t="inlineStr">
        <is>
          <t>Oui</t>
        </is>
      </c>
      <c r="T40" s="74" t="inlineStr">
        <is>
          <t>S1-029</t>
        </is>
      </c>
      <c r="U40" s="75" t="inlineStr">
        <is>
          <t>Original (septembre)</t>
        </is>
      </c>
      <c r="V40" s="75" t="inlineStr"/>
      <c r="W40" s="10" t="n"/>
      <c r="X40" s="10" t="inlineStr"/>
      <c r="Y40" s="64">
        <f>IF($M40="","",IF(SUMPRODUCT(($D$4:$D$863=$D40)*($M$4:$M$863=$M40)*($T$4:$T$863&lt;&gt;$T40)*($F$4:$F$863&lt;$G40)*($G$4:$G$863&gt;$F40))&gt;0,"⚠ CONFLIT",""))</f>
        <v/>
      </c>
      <c r="Z40" s="64">
        <f>IF($J40="","",IF(SUMPRODUCT(($D$4:$D$863=$D40)*($J$4:$J$863=$J40)*($T$4:$T$863&lt;&gt;$T40)*($F$4:$F$863&lt;$G40)*($G$4:$G$863&gt;$F40)*(1-($X$4:$X$863="Oui")*($X40="Oui")))&gt;0,"⚠ CONFLIT",""))</f>
        <v/>
      </c>
      <c r="AA40" s="64">
        <f>IF(COUNTIFS($D$4:$D$863,$D40,$J$4:$J$863,$J40,$F$4:$F$863,$F40,$K$4:$K$863,$K40)&gt;1,"⚠ DOUBLON","")</f>
        <v/>
      </c>
      <c r="AB40" s="64">
        <f>IF(COUNTIF($T$4:$T$863,$T40)&lt;&gt;COUNTIFS($T$4:$T$863,$T40,$D$4:$D$863,$D40,$F$4:$F$863,$F40,$G$4:$G$863,$G40,$K$4:$K$863,$K40,$M$4:$M$863,$M40),"⚠ INCOHÉRENT","")</f>
        <v/>
      </c>
      <c r="AC40" s="64">
        <f>COUNTIFS($A$4:$A40,$A40,$J$4:$J40,$J40,$E$4:$E40,$E40)</f>
        <v/>
      </c>
      <c r="AD40" s="65">
        <f>$A40&amp;"|"&amp;$J40&amp;"|"&amp;$E40&amp;"|"&amp;$AC40</f>
        <v/>
      </c>
      <c r="AE40" s="66">
        <f>IF($W40&lt;&gt;"","⚑ "&amp;$W40&amp;CHAR(10),"")&amp;TEXT($F40,"hh:mm")&amp;"-"&amp;TEXT($G40,"hh:mm")&amp;IF(OR($P40="Quinzaine A",AND($P40="Hebdo · groupes alternés",$C40="A"))," Q-A",IF(OR($P40="Quinzaine B",AND($P40="Hebdo · groupes alternés",$C40="B"))," Q-B",IF($P40="Exception"," PONCT.","")))&amp;IF($X40="Oui"," OPT","")&amp;CHAR(10)&amp;$K40&amp;CHAR(10)&amp;$M40&amp;IF($N40&lt;&gt;"",CHAR(10)&amp;"Salle "&amp;$N40,"")&amp;IF($O40="En ligne",CHAR(10)&amp;"EN LIGNE","")&amp;IF($V40&lt;&gt;"",CHAR(10)&amp;$V40,"")</f>
        <v/>
      </c>
      <c r="AF40" s="65" t="inlineStr">
        <is>
          <t>19h30-21h Français (Nassima)</t>
        </is>
      </c>
      <c r="AG40" s="65" t="inlineStr">
        <is>
          <t>du 14-09 jusquà le 20-09!I52</t>
        </is>
      </c>
    </row>
    <row r="41" ht="15" customHeight="1">
      <c r="A41" s="74" t="inlineStr">
        <is>
          <t>S1</t>
        </is>
      </c>
      <c r="B41" s="75" t="inlineStr">
        <is>
          <t>du 14 au 20 septembre 2026</t>
        </is>
      </c>
      <c r="C41" s="74" t="inlineStr">
        <is>
          <t>A</t>
        </is>
      </c>
      <c r="D41" s="76" t="n">
        <v>46281</v>
      </c>
      <c r="E41" s="74" t="inlineStr">
        <is>
          <t>Mercredi</t>
        </is>
      </c>
      <c r="F41" s="77" t="n">
        <v>0.8125</v>
      </c>
      <c r="G41" s="77" t="n">
        <v>0.875</v>
      </c>
      <c r="H41" s="78">
        <f>IF(OR($F41="",$G41=""),"",($G41-$F41)*24)</f>
        <v/>
      </c>
      <c r="I41" s="74" t="inlineStr">
        <is>
          <t>Secondaire</t>
        </is>
      </c>
      <c r="J41" s="75" t="inlineStr">
        <is>
          <t>2éme Eco</t>
        </is>
      </c>
      <c r="K41" s="79" t="inlineStr">
        <is>
          <t>Math</t>
        </is>
      </c>
      <c r="L41" s="79" t="inlineStr">
        <is>
          <t>Math</t>
        </is>
      </c>
      <c r="M41" s="75" t="inlineStr">
        <is>
          <t>Haythem</t>
        </is>
      </c>
      <c r="N41" s="74" t="n"/>
      <c r="O41" s="74" t="n"/>
      <c r="P41" s="74" t="inlineStr">
        <is>
          <t>Hebdomadaire</t>
        </is>
      </c>
      <c r="Q41" s="75" t="inlineStr"/>
      <c r="R41" s="74" t="n">
        <v>1</v>
      </c>
      <c r="S41" s="74" t="inlineStr">
        <is>
          <t>Oui</t>
        </is>
      </c>
      <c r="T41" s="74" t="inlineStr">
        <is>
          <t>S1-030</t>
        </is>
      </c>
      <c r="U41" s="75" t="inlineStr">
        <is>
          <t>Original (septembre)</t>
        </is>
      </c>
      <c r="V41" s="75" t="inlineStr"/>
      <c r="W41" s="10" t="n"/>
      <c r="X41" s="10" t="inlineStr"/>
      <c r="Y41" s="64">
        <f>IF($M41="","",IF(SUMPRODUCT(($D$4:$D$863=$D41)*($M$4:$M$863=$M41)*($T$4:$T$863&lt;&gt;$T41)*($F$4:$F$863&lt;$G41)*($G$4:$G$863&gt;$F41))&gt;0,"⚠ CONFLIT",""))</f>
        <v/>
      </c>
      <c r="Z41" s="64">
        <f>IF($J41="","",IF(SUMPRODUCT(($D$4:$D$863=$D41)*($J$4:$J$863=$J41)*($T$4:$T$863&lt;&gt;$T41)*($F$4:$F$863&lt;$G41)*($G$4:$G$863&gt;$F41)*(1-($X$4:$X$863="Oui")*($X41="Oui")))&gt;0,"⚠ CONFLIT",""))</f>
        <v/>
      </c>
      <c r="AA41" s="64">
        <f>IF(COUNTIFS($D$4:$D$863,$D41,$J$4:$J$863,$J41,$F$4:$F$863,$F41,$K$4:$K$863,$K41)&gt;1,"⚠ DOUBLON","")</f>
        <v/>
      </c>
      <c r="AB41" s="64">
        <f>IF(COUNTIF($T$4:$T$863,$T41)&lt;&gt;COUNTIFS($T$4:$T$863,$T41,$D$4:$D$863,$D41,$F$4:$F$863,$F41,$G$4:$G$863,$G41,$K$4:$K$863,$K41,$M$4:$M$863,$M41),"⚠ INCOHÉRENT","")</f>
        <v/>
      </c>
      <c r="AC41" s="64">
        <f>COUNTIFS($A$4:$A41,$A41,$J$4:$J41,$J41,$E$4:$E41,$E41)</f>
        <v/>
      </c>
      <c r="AD41" s="65">
        <f>$A41&amp;"|"&amp;$J41&amp;"|"&amp;$E41&amp;"|"&amp;$AC41</f>
        <v/>
      </c>
      <c r="AE41" s="66">
        <f>IF($W41&lt;&gt;"","⚑ "&amp;$W41&amp;CHAR(10),"")&amp;TEXT($F41,"hh:mm")&amp;"-"&amp;TEXT($G41,"hh:mm")&amp;IF(OR($P41="Quinzaine A",AND($P41="Hebdo · groupes alternés",$C41="A"))," Q-A",IF(OR($P41="Quinzaine B",AND($P41="Hebdo · groupes alternés",$C41="B"))," Q-B",IF($P41="Exception"," PONCT.","")))&amp;IF($X41="Oui"," OPT","")&amp;CHAR(10)&amp;$K41&amp;CHAR(10)&amp;$M41&amp;IF($N41&lt;&gt;"",CHAR(10)&amp;"Salle "&amp;$N41,"")&amp;IF($O41="En ligne",CHAR(10)&amp;"EN LIGNE","")&amp;IF($V41&lt;&gt;"",CHAR(10)&amp;$V41,"")</f>
        <v/>
      </c>
      <c r="AF41" s="65" t="inlineStr">
        <is>
          <t>19h30-21h Math (Haythem)</t>
        </is>
      </c>
      <c r="AG41" s="65" t="inlineStr">
        <is>
          <t>du 14-09 jusquà le 20-09!I56</t>
        </is>
      </c>
    </row>
    <row r="42" ht="15" customHeight="1">
      <c r="A42" s="74" t="inlineStr">
        <is>
          <t>S1</t>
        </is>
      </c>
      <c r="B42" s="75" t="inlineStr">
        <is>
          <t>du 14 au 20 septembre 2026</t>
        </is>
      </c>
      <c r="C42" s="74" t="inlineStr">
        <is>
          <t>A</t>
        </is>
      </c>
      <c r="D42" s="76" t="n">
        <v>46281</v>
      </c>
      <c r="E42" s="74" t="inlineStr">
        <is>
          <t>Mercredi</t>
        </is>
      </c>
      <c r="F42" s="77" t="n">
        <v>0.7916666666666666</v>
      </c>
      <c r="G42" s="77" t="n">
        <v>0.8541666666666666</v>
      </c>
      <c r="H42" s="78">
        <f>IF(OR($F42="",$G42=""),"",($G42-$F42)*24)</f>
        <v/>
      </c>
      <c r="I42" s="74" t="inlineStr">
        <is>
          <t>Secondaire</t>
        </is>
      </c>
      <c r="J42" s="75" t="inlineStr">
        <is>
          <t>3éme Eco</t>
        </is>
      </c>
      <c r="K42" s="86" t="inlineStr">
        <is>
          <t>Gestion</t>
        </is>
      </c>
      <c r="L42" s="86" t="inlineStr">
        <is>
          <t>Gestion</t>
        </is>
      </c>
      <c r="M42" s="75" t="inlineStr">
        <is>
          <t>Yassine</t>
        </is>
      </c>
      <c r="N42" s="74" t="n"/>
      <c r="O42" s="74" t="n"/>
      <c r="P42" s="74" t="inlineStr">
        <is>
          <t>Hebdomadaire</t>
        </is>
      </c>
      <c r="Q42" s="75" t="inlineStr"/>
      <c r="R42" s="74" t="n">
        <v>1</v>
      </c>
      <c r="S42" s="74" t="inlineStr">
        <is>
          <t>Oui</t>
        </is>
      </c>
      <c r="T42" s="74" t="inlineStr">
        <is>
          <t>S1-031</t>
        </is>
      </c>
      <c r="U42" s="75" t="inlineStr">
        <is>
          <t>Original (septembre)</t>
        </is>
      </c>
      <c r="V42" s="75" t="inlineStr"/>
      <c r="W42" s="10" t="n"/>
      <c r="X42" s="10" t="inlineStr"/>
      <c r="Y42" s="64">
        <f>IF($M42="","",IF(SUMPRODUCT(($D$4:$D$863=$D42)*($M$4:$M$863=$M42)*($T$4:$T$863&lt;&gt;$T42)*($F$4:$F$863&lt;$G42)*($G$4:$G$863&gt;$F42))&gt;0,"⚠ CONFLIT",""))</f>
        <v/>
      </c>
      <c r="Z42" s="64">
        <f>IF($J42="","",IF(SUMPRODUCT(($D$4:$D$863=$D42)*($J$4:$J$863=$J42)*($T$4:$T$863&lt;&gt;$T42)*($F$4:$F$863&lt;$G42)*($G$4:$G$863&gt;$F42)*(1-($X$4:$X$863="Oui")*($X42="Oui")))&gt;0,"⚠ CONFLIT",""))</f>
        <v/>
      </c>
      <c r="AA42" s="64">
        <f>IF(COUNTIFS($D$4:$D$863,$D42,$J$4:$J$863,$J42,$F$4:$F$863,$F42,$K$4:$K$863,$K42)&gt;1,"⚠ DOUBLON","")</f>
        <v/>
      </c>
      <c r="AB42" s="64">
        <f>IF(COUNTIF($T$4:$T$863,$T42)&lt;&gt;COUNTIFS($T$4:$T$863,$T42,$D$4:$D$863,$D42,$F$4:$F$863,$F42,$G$4:$G$863,$G42,$K$4:$K$863,$K42,$M$4:$M$863,$M42),"⚠ INCOHÉRENT","")</f>
        <v/>
      </c>
      <c r="AC42" s="64">
        <f>COUNTIFS($A$4:$A42,$A42,$J$4:$J42,$J42,$E$4:$E42,$E42)</f>
        <v/>
      </c>
      <c r="AD42" s="65">
        <f>$A42&amp;"|"&amp;$J42&amp;"|"&amp;$E42&amp;"|"&amp;$AC42</f>
        <v/>
      </c>
      <c r="AE42" s="66">
        <f>IF($W42&lt;&gt;"","⚑ "&amp;$W42&amp;CHAR(10),"")&amp;TEXT($F42,"hh:mm")&amp;"-"&amp;TEXT($G42,"hh:mm")&amp;IF(OR($P42="Quinzaine A",AND($P42="Hebdo · groupes alternés",$C42="A"))," Q-A",IF(OR($P42="Quinzaine B",AND($P42="Hebdo · groupes alternés",$C42="B"))," Q-B",IF($P42="Exception"," PONCT.","")))&amp;IF($X42="Oui"," OPT","")&amp;CHAR(10)&amp;$K42&amp;CHAR(10)&amp;$M42&amp;IF($N42&lt;&gt;"",CHAR(10)&amp;"Salle "&amp;$N42,"")&amp;IF($O42="En ligne",CHAR(10)&amp;"EN LIGNE","")&amp;IF($V42&lt;&gt;"",CHAR(10)&amp;$V42,"")</f>
        <v/>
      </c>
      <c r="AF42" s="65" t="inlineStr">
        <is>
          <t>19h-20h30 Gestion (Yassine)</t>
        </is>
      </c>
      <c r="AG42" s="65" t="inlineStr">
        <is>
          <t>du 14-09 jusquà le 20-09!I62</t>
        </is>
      </c>
    </row>
    <row r="43" ht="15" customHeight="1">
      <c r="A43" s="74" t="inlineStr">
        <is>
          <t>S1</t>
        </is>
      </c>
      <c r="B43" s="75" t="inlineStr">
        <is>
          <t>du 14 au 20 septembre 2026</t>
        </is>
      </c>
      <c r="C43" s="74" t="inlineStr">
        <is>
          <t>A</t>
        </is>
      </c>
      <c r="D43" s="76" t="n">
        <v>46281</v>
      </c>
      <c r="E43" s="74" t="inlineStr">
        <is>
          <t>Mercredi</t>
        </is>
      </c>
      <c r="F43" s="77" t="n">
        <v>0.8125</v>
      </c>
      <c r="G43" s="77" t="n">
        <v>0.875</v>
      </c>
      <c r="H43" s="78">
        <f>IF(OR($F43="",$G43=""),"",($G43-$F43)*24)</f>
        <v/>
      </c>
      <c r="I43" s="74" t="inlineStr">
        <is>
          <t>Secondaire</t>
        </is>
      </c>
      <c r="J43" s="75" t="inlineStr">
        <is>
          <t>3éme INFO</t>
        </is>
      </c>
      <c r="K43" s="73" t="inlineStr">
        <is>
          <t>Physique</t>
        </is>
      </c>
      <c r="L43" s="73" t="inlineStr">
        <is>
          <t>Physique</t>
        </is>
      </c>
      <c r="M43" s="75" t="inlineStr">
        <is>
          <t>Samia</t>
        </is>
      </c>
      <c r="N43" s="74" t="n"/>
      <c r="O43" s="74" t="n"/>
      <c r="P43" s="74" t="inlineStr">
        <is>
          <t>Hebdomadaire</t>
        </is>
      </c>
      <c r="Q43" s="75" t="inlineStr"/>
      <c r="R43" s="74" t="n">
        <v>1</v>
      </c>
      <c r="S43" s="74" t="inlineStr">
        <is>
          <t>Oui</t>
        </is>
      </c>
      <c r="T43" s="74" t="inlineStr">
        <is>
          <t>S1-032</t>
        </is>
      </c>
      <c r="U43" s="75" t="inlineStr">
        <is>
          <t>Original (septembre)</t>
        </is>
      </c>
      <c r="V43" s="75" t="inlineStr"/>
      <c r="W43" s="10" t="n"/>
      <c r="X43" s="10" t="inlineStr"/>
      <c r="Y43" s="64">
        <f>IF($M43="","",IF(SUMPRODUCT(($D$4:$D$863=$D43)*($M$4:$M$863=$M43)*($T$4:$T$863&lt;&gt;$T43)*($F$4:$F$863&lt;$G43)*($G$4:$G$863&gt;$F43))&gt;0,"⚠ CONFLIT",""))</f>
        <v/>
      </c>
      <c r="Z43" s="64">
        <f>IF($J43="","",IF(SUMPRODUCT(($D$4:$D$863=$D43)*($J$4:$J$863=$J43)*($T$4:$T$863&lt;&gt;$T43)*($F$4:$F$863&lt;$G43)*($G$4:$G$863&gt;$F43)*(1-($X$4:$X$863="Oui")*($X43="Oui")))&gt;0,"⚠ CONFLIT",""))</f>
        <v/>
      </c>
      <c r="AA43" s="64">
        <f>IF(COUNTIFS($D$4:$D$863,$D43,$J$4:$J$863,$J43,$F$4:$F$863,$F43,$K$4:$K$863,$K43)&gt;1,"⚠ DOUBLON","")</f>
        <v/>
      </c>
      <c r="AB43" s="64">
        <f>IF(COUNTIF($T$4:$T$863,$T43)&lt;&gt;COUNTIFS($T$4:$T$863,$T43,$D$4:$D$863,$D43,$F$4:$F$863,$F43,$G$4:$G$863,$G43,$K$4:$K$863,$K43,$M$4:$M$863,$M43),"⚠ INCOHÉRENT","")</f>
        <v/>
      </c>
      <c r="AC43" s="64">
        <f>COUNTIFS($A$4:$A43,$A43,$J$4:$J43,$J43,$E$4:$E43,$E43)</f>
        <v/>
      </c>
      <c r="AD43" s="65">
        <f>$A43&amp;"|"&amp;$J43&amp;"|"&amp;$E43&amp;"|"&amp;$AC43</f>
        <v/>
      </c>
      <c r="AE43" s="66">
        <f>IF($W43&lt;&gt;"","⚑ "&amp;$W43&amp;CHAR(10),"")&amp;TEXT($F43,"hh:mm")&amp;"-"&amp;TEXT($G43,"hh:mm")&amp;IF(OR($P43="Quinzaine A",AND($P43="Hebdo · groupes alternés",$C43="A"))," Q-A",IF(OR($P43="Quinzaine B",AND($P43="Hebdo · groupes alternés",$C43="B"))," Q-B",IF($P43="Exception"," PONCT.","")))&amp;IF($X43="Oui"," OPT","")&amp;CHAR(10)&amp;$K43&amp;CHAR(10)&amp;$M43&amp;IF($N43&lt;&gt;"",CHAR(10)&amp;"Salle "&amp;$N43,"")&amp;IF($O43="En ligne",CHAR(10)&amp;"EN LIGNE","")&amp;IF($V43&lt;&gt;"",CHAR(10)&amp;$V43,"")</f>
        <v/>
      </c>
      <c r="AF43" s="65" t="inlineStr">
        <is>
          <t>19h30-21h Physique (Samia)</t>
        </is>
      </c>
      <c r="AG43" s="65" t="inlineStr">
        <is>
          <t>du 14-09 jusquà le 20-09!I64</t>
        </is>
      </c>
    </row>
    <row r="44" ht="15" customHeight="1">
      <c r="A44" s="81" t="inlineStr">
        <is>
          <t>S1</t>
        </is>
      </c>
      <c r="B44" s="82" t="inlineStr">
        <is>
          <t>du 14 au 20 septembre 2026</t>
        </is>
      </c>
      <c r="C44" s="81" t="inlineStr">
        <is>
          <t>A</t>
        </is>
      </c>
      <c r="D44" s="83" t="n">
        <v>46281</v>
      </c>
      <c r="E44" s="81" t="inlineStr">
        <is>
          <t>Mercredi</t>
        </is>
      </c>
      <c r="F44" s="84" t="n">
        <v>0.7916666666666666</v>
      </c>
      <c r="G44" s="84" t="n">
        <v>0.875</v>
      </c>
      <c r="H44" s="85">
        <f>IF(OR($F44="",$G44=""),"",($G44-$F44)*24)</f>
        <v/>
      </c>
      <c r="I44" s="81" t="inlineStr">
        <is>
          <t>Bac</t>
        </is>
      </c>
      <c r="J44" s="82" t="inlineStr">
        <is>
          <t>Bac SCE</t>
        </is>
      </c>
      <c r="K44" s="79" t="inlineStr">
        <is>
          <t>Math</t>
        </is>
      </c>
      <c r="L44" s="79" t="inlineStr">
        <is>
          <t>Math</t>
        </is>
      </c>
      <c r="M44" s="82" t="inlineStr">
        <is>
          <t>Ahmed</t>
        </is>
      </c>
      <c r="N44" s="81" t="n"/>
      <c r="O44" s="81" t="n"/>
      <c r="P44" s="81" t="inlineStr">
        <is>
          <t>Hebdomadaire</t>
        </is>
      </c>
      <c r="Q44" s="82" t="inlineStr"/>
      <c r="R44" s="81" t="n">
        <v>1</v>
      </c>
      <c r="S44" s="81" t="inlineStr">
        <is>
          <t>Oui</t>
        </is>
      </c>
      <c r="T44" s="81" t="inlineStr">
        <is>
          <t>S1-033</t>
        </is>
      </c>
      <c r="U44" s="82" t="inlineStr">
        <is>
          <t>Original (septembre)</t>
        </is>
      </c>
      <c r="V44" s="82" t="inlineStr"/>
      <c r="W44" s="10" t="n"/>
      <c r="X44" s="10" t="inlineStr"/>
      <c r="Y44" s="64">
        <f>IF($M44="","",IF(SUMPRODUCT(($D$4:$D$863=$D44)*($M$4:$M$863=$M44)*($T$4:$T$863&lt;&gt;$T44)*($F$4:$F$863&lt;$G44)*($G$4:$G$863&gt;$F44))&gt;0,"⚠ CONFLIT",""))</f>
        <v/>
      </c>
      <c r="Z44" s="64">
        <f>IF($J44="","",IF(SUMPRODUCT(($D$4:$D$863=$D44)*($J$4:$J$863=$J44)*($T$4:$T$863&lt;&gt;$T44)*($F$4:$F$863&lt;$G44)*($G$4:$G$863&gt;$F44)*(1-($X$4:$X$863="Oui")*($X44="Oui")))&gt;0,"⚠ CONFLIT",""))</f>
        <v/>
      </c>
      <c r="AA44" s="64">
        <f>IF(COUNTIFS($D$4:$D$863,$D44,$J$4:$J$863,$J44,$F$4:$F$863,$F44,$K$4:$K$863,$K44)&gt;1,"⚠ DOUBLON","")</f>
        <v/>
      </c>
      <c r="AB44" s="64">
        <f>IF(COUNTIF($T$4:$T$863,$T44)&lt;&gt;COUNTIFS($T$4:$T$863,$T44,$D$4:$D$863,$D44,$F$4:$F$863,$F44,$G$4:$G$863,$G44,$K$4:$K$863,$K44,$M$4:$M$863,$M44),"⚠ INCOHÉRENT","")</f>
        <v/>
      </c>
      <c r="AC44" s="64">
        <f>COUNTIFS($A$4:$A44,$A44,$J$4:$J44,$J44,$E$4:$E44,$E44)</f>
        <v/>
      </c>
      <c r="AD44" s="65">
        <f>$A44&amp;"|"&amp;$J44&amp;"|"&amp;$E44&amp;"|"&amp;$AC44</f>
        <v/>
      </c>
      <c r="AE44" s="66">
        <f>IF($W44&lt;&gt;"","⚑ "&amp;$W44&amp;CHAR(10),"")&amp;TEXT($F44,"hh:mm")&amp;"-"&amp;TEXT($G44,"hh:mm")&amp;IF(OR($P44="Quinzaine A",AND($P44="Hebdo · groupes alternés",$C44="A"))," Q-A",IF(OR($P44="Quinzaine B",AND($P44="Hebdo · groupes alternés",$C44="B"))," Q-B",IF($P44="Exception"," PONCT.","")))&amp;IF($X44="Oui"," OPT","")&amp;CHAR(10)&amp;$K44&amp;CHAR(10)&amp;$M44&amp;IF($N44&lt;&gt;"",CHAR(10)&amp;"Salle "&amp;$N44,"")&amp;IF($O44="En ligne",CHAR(10)&amp;"EN LIGNE","")&amp;IF($V44&lt;&gt;"",CHAR(10)&amp;$V44,"")</f>
        <v/>
      </c>
      <c r="AF44" s="65" t="inlineStr">
        <is>
          <t>19h-21h Math (Ahmed)</t>
        </is>
      </c>
      <c r="AG44" s="65" t="inlineStr">
        <is>
          <t>du 14-09 jusquà le 20-09!I74</t>
        </is>
      </c>
    </row>
    <row r="45" ht="15" customHeight="1">
      <c r="A45" s="58" t="inlineStr">
        <is>
          <t>S1</t>
        </is>
      </c>
      <c r="B45" s="59" t="inlineStr">
        <is>
          <t>du 14 au 20 septembre 2026</t>
        </is>
      </c>
      <c r="C45" s="58" t="inlineStr">
        <is>
          <t>A</t>
        </is>
      </c>
      <c r="D45" s="60" t="n">
        <v>46282</v>
      </c>
      <c r="E45" s="58" t="inlineStr">
        <is>
          <t>Jeudi</t>
        </is>
      </c>
      <c r="F45" s="61" t="n">
        <v>0.7916666666666666</v>
      </c>
      <c r="G45" s="61" t="n">
        <v>0.875</v>
      </c>
      <c r="H45" s="62">
        <f>IF(OR($F45="",$G45=""),"",($G45-$F45)*24)</f>
        <v/>
      </c>
      <c r="I45" s="58" t="inlineStr">
        <is>
          <t>Primaire</t>
        </is>
      </c>
      <c r="J45" s="59" t="inlineStr">
        <is>
          <t>5éme</t>
        </is>
      </c>
      <c r="K45" s="79" t="inlineStr">
        <is>
          <t>رياضيات</t>
        </is>
      </c>
      <c r="L45" s="79" t="inlineStr">
        <is>
          <t>Math</t>
        </is>
      </c>
      <c r="M45" s="59" t="inlineStr">
        <is>
          <t>Bassma</t>
        </is>
      </c>
      <c r="N45" s="58" t="n"/>
      <c r="O45" s="58" t="n"/>
      <c r="P45" s="58" t="inlineStr">
        <is>
          <t>Hebdomadaire</t>
        </is>
      </c>
      <c r="Q45" s="59" t="inlineStr"/>
      <c r="R45" s="58" t="n">
        <v>1</v>
      </c>
      <c r="S45" s="58" t="inlineStr">
        <is>
          <t>Oui</t>
        </is>
      </c>
      <c r="T45" s="58" t="inlineStr">
        <is>
          <t>S1-034</t>
        </is>
      </c>
      <c r="U45" s="59" t="inlineStr">
        <is>
          <t>Original (septembre)</t>
        </is>
      </c>
      <c r="V45" s="59" t="inlineStr"/>
      <c r="W45" s="10" t="n"/>
      <c r="X45" s="10" t="inlineStr"/>
      <c r="Y45" s="64">
        <f>IF($M45="","",IF(SUMPRODUCT(($D$4:$D$863=$D45)*($M$4:$M$863=$M45)*($T$4:$T$863&lt;&gt;$T45)*($F$4:$F$863&lt;$G45)*($G$4:$G$863&gt;$F45))&gt;0,"⚠ CONFLIT",""))</f>
        <v/>
      </c>
      <c r="Z45" s="64">
        <f>IF($J45="","",IF(SUMPRODUCT(($D$4:$D$863=$D45)*($J$4:$J$863=$J45)*($T$4:$T$863&lt;&gt;$T45)*($F$4:$F$863&lt;$G45)*($G$4:$G$863&gt;$F45)*(1-($X$4:$X$863="Oui")*($X45="Oui")))&gt;0,"⚠ CONFLIT",""))</f>
        <v/>
      </c>
      <c r="AA45" s="64">
        <f>IF(COUNTIFS($D$4:$D$863,$D45,$J$4:$J$863,$J45,$F$4:$F$863,$F45,$K$4:$K$863,$K45)&gt;1,"⚠ DOUBLON","")</f>
        <v/>
      </c>
      <c r="AB45" s="64">
        <f>IF(COUNTIF($T$4:$T$863,$T45)&lt;&gt;COUNTIFS($T$4:$T$863,$T45,$D$4:$D$863,$D45,$F$4:$F$863,$F45,$G$4:$G$863,$G45,$K$4:$K$863,$K45,$M$4:$M$863,$M45),"⚠ INCOHÉRENT","")</f>
        <v/>
      </c>
      <c r="AC45" s="64">
        <f>COUNTIFS($A$4:$A45,$A45,$J$4:$J45,$J45,$E$4:$E45,$E45)</f>
        <v/>
      </c>
      <c r="AD45" s="65">
        <f>$A45&amp;"|"&amp;$J45&amp;"|"&amp;$E45&amp;"|"&amp;$AC45</f>
        <v/>
      </c>
      <c r="AE45" s="66">
        <f>IF($W45&lt;&gt;"","⚑ "&amp;$W45&amp;CHAR(10),"")&amp;TEXT($F45,"hh:mm")&amp;"-"&amp;TEXT($G45,"hh:mm")&amp;IF(OR($P45="Quinzaine A",AND($P45="Hebdo · groupes alternés",$C45="A"))," Q-A",IF(OR($P45="Quinzaine B",AND($P45="Hebdo · groupes alternés",$C45="B"))," Q-B",IF($P45="Exception"," PONCT.","")))&amp;IF($X45="Oui"," OPT","")&amp;CHAR(10)&amp;$K45&amp;CHAR(10)&amp;$M45&amp;IF($N45&lt;&gt;"",CHAR(10)&amp;"Salle "&amp;$N45,"")&amp;IF($O45="En ligne",CHAR(10)&amp;"EN LIGNE","")&amp;IF($V45&lt;&gt;"",CHAR(10)&amp;$V45,"")</f>
        <v/>
      </c>
      <c r="AF45" s="65" t="inlineStr">
        <is>
          <t>19h-21h رياضيات (Bassma)</t>
        </is>
      </c>
      <c r="AG45" s="65" t="inlineStr">
        <is>
          <t>du 14-09 jusquà le 20-09!J6</t>
        </is>
      </c>
    </row>
    <row r="46" ht="15" customHeight="1">
      <c r="A46" s="58" t="inlineStr">
        <is>
          <t>S1</t>
        </is>
      </c>
      <c r="B46" s="59" t="inlineStr">
        <is>
          <t>du 14 au 20 septembre 2026</t>
        </is>
      </c>
      <c r="C46" s="58" t="inlineStr">
        <is>
          <t>A</t>
        </is>
      </c>
      <c r="D46" s="60" t="n">
        <v>46282</v>
      </c>
      <c r="E46" s="58" t="inlineStr">
        <is>
          <t>Jeudi</t>
        </is>
      </c>
      <c r="F46" s="61" t="n">
        <v>0.7916666666666666</v>
      </c>
      <c r="G46" s="61" t="n">
        <v>0.875</v>
      </c>
      <c r="H46" s="62">
        <f>IF(OR($F46="",$G46=""),"",($G46-$F46)*24)</f>
        <v/>
      </c>
      <c r="I46" s="58" t="inlineStr">
        <is>
          <t>Primaire</t>
        </is>
      </c>
      <c r="J46" s="59" t="inlineStr">
        <is>
          <t>6éme (B)</t>
        </is>
      </c>
      <c r="K46" s="79" t="inlineStr">
        <is>
          <t>رياضيات</t>
        </is>
      </c>
      <c r="L46" s="79" t="inlineStr">
        <is>
          <t>Math</t>
        </is>
      </c>
      <c r="M46" s="59" t="inlineStr">
        <is>
          <t>Noura</t>
        </is>
      </c>
      <c r="N46" s="58" t="n"/>
      <c r="O46" s="58" t="n"/>
      <c r="P46" s="58" t="inlineStr">
        <is>
          <t>Hebdomadaire</t>
        </is>
      </c>
      <c r="Q46" s="59" t="inlineStr"/>
      <c r="R46" s="58" t="n">
        <v>1</v>
      </c>
      <c r="S46" s="58" t="inlineStr">
        <is>
          <t>Oui</t>
        </is>
      </c>
      <c r="T46" s="58" t="inlineStr">
        <is>
          <t>S1-035</t>
        </is>
      </c>
      <c r="U46" s="59" t="inlineStr">
        <is>
          <t>Original (septembre)</t>
        </is>
      </c>
      <c r="V46" s="59" t="inlineStr"/>
      <c r="W46" s="10" t="n"/>
      <c r="X46" s="10" t="inlineStr"/>
      <c r="Y46" s="64">
        <f>IF($M46="","",IF(SUMPRODUCT(($D$4:$D$863=$D46)*($M$4:$M$863=$M46)*($T$4:$T$863&lt;&gt;$T46)*($F$4:$F$863&lt;$G46)*($G$4:$G$863&gt;$F46))&gt;0,"⚠ CONFLIT",""))</f>
        <v/>
      </c>
      <c r="Z46" s="64">
        <f>IF($J46="","",IF(SUMPRODUCT(($D$4:$D$863=$D46)*($J$4:$J$863=$J46)*($T$4:$T$863&lt;&gt;$T46)*($F$4:$F$863&lt;$G46)*($G$4:$G$863&gt;$F46)*(1-($X$4:$X$863="Oui")*($X46="Oui")))&gt;0,"⚠ CONFLIT",""))</f>
        <v/>
      </c>
      <c r="AA46" s="64">
        <f>IF(COUNTIFS($D$4:$D$863,$D46,$J$4:$J$863,$J46,$F$4:$F$863,$F46,$K$4:$K$863,$K46)&gt;1,"⚠ DOUBLON","")</f>
        <v/>
      </c>
      <c r="AB46" s="64">
        <f>IF(COUNTIF($T$4:$T$863,$T46)&lt;&gt;COUNTIFS($T$4:$T$863,$T46,$D$4:$D$863,$D46,$F$4:$F$863,$F46,$G$4:$G$863,$G46,$K$4:$K$863,$K46,$M$4:$M$863,$M46),"⚠ INCOHÉRENT","")</f>
        <v/>
      </c>
      <c r="AC46" s="64">
        <f>COUNTIFS($A$4:$A46,$A46,$J$4:$J46,$J46,$E$4:$E46,$E46)</f>
        <v/>
      </c>
      <c r="AD46" s="65">
        <f>$A46&amp;"|"&amp;$J46&amp;"|"&amp;$E46&amp;"|"&amp;$AC46</f>
        <v/>
      </c>
      <c r="AE46" s="66">
        <f>IF($W46&lt;&gt;"","⚑ "&amp;$W46&amp;CHAR(10),"")&amp;TEXT($F46,"hh:mm")&amp;"-"&amp;TEXT($G46,"hh:mm")&amp;IF(OR($P46="Quinzaine A",AND($P46="Hebdo · groupes alternés",$C46="A"))," Q-A",IF(OR($P46="Quinzaine B",AND($P46="Hebdo · groupes alternés",$C46="B"))," Q-B",IF($P46="Exception"," PONCT.","")))&amp;IF($X46="Oui"," OPT","")&amp;CHAR(10)&amp;$K46&amp;CHAR(10)&amp;$M46&amp;IF($N46&lt;&gt;"",CHAR(10)&amp;"Salle "&amp;$N46,"")&amp;IF($O46="En ligne",CHAR(10)&amp;"EN LIGNE","")&amp;IF($V46&lt;&gt;"",CHAR(10)&amp;$V46,"")</f>
        <v/>
      </c>
      <c r="AF46" s="65" t="inlineStr">
        <is>
          <t>19h-21h رياضيات (Noura)</t>
        </is>
      </c>
      <c r="AG46" s="65" t="inlineStr">
        <is>
          <t>du 14-09 jusquà le 20-09!J16</t>
        </is>
      </c>
    </row>
    <row r="47" ht="15" customHeight="1">
      <c r="A47" s="68" t="inlineStr">
        <is>
          <t>S1</t>
        </is>
      </c>
      <c r="B47" s="69" t="inlineStr">
        <is>
          <t>du 14 au 20 septembre 2026</t>
        </is>
      </c>
      <c r="C47" s="68" t="inlineStr">
        <is>
          <t>A</t>
        </is>
      </c>
      <c r="D47" s="70" t="n">
        <v>46282</v>
      </c>
      <c r="E47" s="68" t="inlineStr">
        <is>
          <t>Jeudi</t>
        </is>
      </c>
      <c r="F47" s="71" t="n">
        <v>0.8125</v>
      </c>
      <c r="G47" s="71" t="n">
        <v>0.875</v>
      </c>
      <c r="H47" s="72">
        <f>IF(OR($F47="",$G47=""),"",($G47-$F47)*24)</f>
        <v/>
      </c>
      <c r="I47" s="68" t="inlineStr">
        <is>
          <t>Collège</t>
        </is>
      </c>
      <c r="J47" s="69" t="inlineStr">
        <is>
          <t>8éme (A)</t>
        </is>
      </c>
      <c r="K47" s="67" t="inlineStr">
        <is>
          <t>Français</t>
        </is>
      </c>
      <c r="L47" s="67" t="inlineStr">
        <is>
          <t>Français</t>
        </is>
      </c>
      <c r="M47" s="69" t="inlineStr">
        <is>
          <t>Nassima</t>
        </is>
      </c>
      <c r="N47" s="68" t="n"/>
      <c r="O47" s="68" t="n"/>
      <c r="P47" s="68" t="inlineStr">
        <is>
          <t>Hebdomadaire</t>
        </is>
      </c>
      <c r="Q47" s="69" t="inlineStr"/>
      <c r="R47" s="68" t="n">
        <v>1</v>
      </c>
      <c r="S47" s="68" t="inlineStr">
        <is>
          <t>Oui</t>
        </is>
      </c>
      <c r="T47" s="68" t="inlineStr">
        <is>
          <t>S1-036</t>
        </is>
      </c>
      <c r="U47" s="69" t="inlineStr">
        <is>
          <t>Original (septembre)</t>
        </is>
      </c>
      <c r="V47" s="69" t="inlineStr"/>
      <c r="W47" s="10" t="n"/>
      <c r="X47" s="10" t="inlineStr"/>
      <c r="Y47" s="64">
        <f>IF($M47="","",IF(SUMPRODUCT(($D$4:$D$863=$D47)*($M$4:$M$863=$M47)*($T$4:$T$863&lt;&gt;$T47)*($F$4:$F$863&lt;$G47)*($G$4:$G$863&gt;$F47))&gt;0,"⚠ CONFLIT",""))</f>
        <v/>
      </c>
      <c r="Z47" s="64">
        <f>IF($J47="","",IF(SUMPRODUCT(($D$4:$D$863=$D47)*($J$4:$J$863=$J47)*($T$4:$T$863&lt;&gt;$T47)*($F$4:$F$863&lt;$G47)*($G$4:$G$863&gt;$F47)*(1-($X$4:$X$863="Oui")*($X47="Oui")))&gt;0,"⚠ CONFLIT",""))</f>
        <v/>
      </c>
      <c r="AA47" s="64">
        <f>IF(COUNTIFS($D$4:$D$863,$D47,$J$4:$J$863,$J47,$F$4:$F$863,$F47,$K$4:$K$863,$K47)&gt;1,"⚠ DOUBLON","")</f>
        <v/>
      </c>
      <c r="AB47" s="64">
        <f>IF(COUNTIF($T$4:$T$863,$T47)&lt;&gt;COUNTIFS($T$4:$T$863,$T47,$D$4:$D$863,$D47,$F$4:$F$863,$F47,$G$4:$G$863,$G47,$K$4:$K$863,$K47,$M$4:$M$863,$M47),"⚠ INCOHÉRENT","")</f>
        <v/>
      </c>
      <c r="AC47" s="64">
        <f>COUNTIFS($A$4:$A47,$A47,$J$4:$J47,$J47,$E$4:$E47,$E47)</f>
        <v/>
      </c>
      <c r="AD47" s="65">
        <f>$A47&amp;"|"&amp;$J47&amp;"|"&amp;$E47&amp;"|"&amp;$AC47</f>
        <v/>
      </c>
      <c r="AE47" s="66">
        <f>IF($W47&lt;&gt;"","⚑ "&amp;$W47&amp;CHAR(10),"")&amp;TEXT($F47,"hh:mm")&amp;"-"&amp;TEXT($G47,"hh:mm")&amp;IF(OR($P47="Quinzaine A",AND($P47="Hebdo · groupes alternés",$C47="A"))," Q-A",IF(OR($P47="Quinzaine B",AND($P47="Hebdo · groupes alternés",$C47="B"))," Q-B",IF($P47="Exception"," PONCT.","")))&amp;IF($X47="Oui"," OPT","")&amp;CHAR(10)&amp;$K47&amp;CHAR(10)&amp;$M47&amp;IF($N47&lt;&gt;"",CHAR(10)&amp;"Salle "&amp;$N47,"")&amp;IF($O47="En ligne",CHAR(10)&amp;"EN LIGNE","")&amp;IF($V47&lt;&gt;"",CHAR(10)&amp;$V47,"")</f>
        <v/>
      </c>
      <c r="AF47" s="65" t="inlineStr">
        <is>
          <t>19h30-21h Français (Nassima)</t>
        </is>
      </c>
      <c r="AG47" s="65" t="inlineStr">
        <is>
          <t>du 14-09 jusquà le 20-09!J27</t>
        </is>
      </c>
    </row>
    <row r="48" ht="15" customHeight="1">
      <c r="A48" s="68" t="inlineStr">
        <is>
          <t>S1</t>
        </is>
      </c>
      <c r="B48" s="69" t="inlineStr">
        <is>
          <t>du 14 au 20 septembre 2026</t>
        </is>
      </c>
      <c r="C48" s="68" t="inlineStr">
        <is>
          <t>A</t>
        </is>
      </c>
      <c r="D48" s="70" t="n">
        <v>46282</v>
      </c>
      <c r="E48" s="68" t="inlineStr">
        <is>
          <t>Jeudi</t>
        </is>
      </c>
      <c r="F48" s="71" t="n">
        <v>0.8020833333333334</v>
      </c>
      <c r="G48" s="71" t="n">
        <v>0.8645833333333334</v>
      </c>
      <c r="H48" s="72">
        <f>IF(OR($F48="",$G48=""),"",($G48-$F48)*24)</f>
        <v/>
      </c>
      <c r="I48" s="68" t="inlineStr">
        <is>
          <t>Collège</t>
        </is>
      </c>
      <c r="J48" s="69" t="inlineStr">
        <is>
          <t>8éme (C)</t>
        </is>
      </c>
      <c r="K48" s="79" t="inlineStr">
        <is>
          <t>Math</t>
        </is>
      </c>
      <c r="L48" s="79" t="inlineStr">
        <is>
          <t>Math</t>
        </is>
      </c>
      <c r="M48" s="69" t="inlineStr">
        <is>
          <t>Khouloud</t>
        </is>
      </c>
      <c r="N48" s="68" t="n"/>
      <c r="O48" s="68" t="n"/>
      <c r="P48" s="68" t="inlineStr">
        <is>
          <t>Hebdomadaire</t>
        </is>
      </c>
      <c r="Q48" s="69" t="inlineStr"/>
      <c r="R48" s="68" t="n">
        <v>1</v>
      </c>
      <c r="S48" s="68" t="inlineStr">
        <is>
          <t>Oui</t>
        </is>
      </c>
      <c r="T48" s="68" t="inlineStr">
        <is>
          <t>S1-037</t>
        </is>
      </c>
      <c r="U48" s="69" t="inlineStr">
        <is>
          <t>Original (septembre)</t>
        </is>
      </c>
      <c r="V48" s="69" t="inlineStr"/>
      <c r="W48" s="10" t="n"/>
      <c r="X48" s="10" t="inlineStr"/>
      <c r="Y48" s="64">
        <f>IF($M48="","",IF(SUMPRODUCT(($D$4:$D$863=$D48)*($M$4:$M$863=$M48)*($T$4:$T$863&lt;&gt;$T48)*($F$4:$F$863&lt;$G48)*($G$4:$G$863&gt;$F48))&gt;0,"⚠ CONFLIT",""))</f>
        <v/>
      </c>
      <c r="Z48" s="64">
        <f>IF($J48="","",IF(SUMPRODUCT(($D$4:$D$863=$D48)*($J$4:$J$863=$J48)*($T$4:$T$863&lt;&gt;$T48)*($F$4:$F$863&lt;$G48)*($G$4:$G$863&gt;$F48)*(1-($X$4:$X$863="Oui")*($X48="Oui")))&gt;0,"⚠ CONFLIT",""))</f>
        <v/>
      </c>
      <c r="AA48" s="64">
        <f>IF(COUNTIFS($D$4:$D$863,$D48,$J$4:$J$863,$J48,$F$4:$F$863,$F48,$K$4:$K$863,$K48)&gt;1,"⚠ DOUBLON","")</f>
        <v/>
      </c>
      <c r="AB48" s="64">
        <f>IF(COUNTIF($T$4:$T$863,$T48)&lt;&gt;COUNTIFS($T$4:$T$863,$T48,$D$4:$D$863,$D48,$F$4:$F$863,$F48,$G$4:$G$863,$G48,$K$4:$K$863,$K48,$M$4:$M$863,$M48),"⚠ INCOHÉRENT","")</f>
        <v/>
      </c>
      <c r="AC48" s="64">
        <f>COUNTIFS($A$4:$A48,$A48,$J$4:$J48,$J48,$E$4:$E48,$E48)</f>
        <v/>
      </c>
      <c r="AD48" s="65">
        <f>$A48&amp;"|"&amp;$J48&amp;"|"&amp;$E48&amp;"|"&amp;$AC48</f>
        <v/>
      </c>
      <c r="AE48" s="66">
        <f>IF($W48&lt;&gt;"","⚑ "&amp;$W48&amp;CHAR(10),"")&amp;TEXT($F48,"hh:mm")&amp;"-"&amp;TEXT($G48,"hh:mm")&amp;IF(OR($P48="Quinzaine A",AND($P48="Hebdo · groupes alternés",$C48="A"))," Q-A",IF(OR($P48="Quinzaine B",AND($P48="Hebdo · groupes alternés",$C48="B"))," Q-B",IF($P48="Exception"," PONCT.","")))&amp;IF($X48="Oui"," OPT","")&amp;CHAR(10)&amp;$K48&amp;CHAR(10)&amp;$M48&amp;IF($N48&lt;&gt;"",CHAR(10)&amp;"Salle "&amp;$N48,"")&amp;IF($O48="En ligne",CHAR(10)&amp;"EN LIGNE","")&amp;IF($V48&lt;&gt;"",CHAR(10)&amp;$V48,"")</f>
        <v/>
      </c>
      <c r="AF48" s="65" t="inlineStr">
        <is>
          <t>19h15-20h45 Math (Khouloud)</t>
        </is>
      </c>
      <c r="AG48" s="65" t="inlineStr">
        <is>
          <t>du 14-09 jusquà le 20-09!J34</t>
        </is>
      </c>
    </row>
    <row r="49" ht="15" customHeight="1">
      <c r="A49" s="68" t="inlineStr">
        <is>
          <t>S1</t>
        </is>
      </c>
      <c r="B49" s="69" t="inlineStr">
        <is>
          <t>du 14 au 20 septembre 2026</t>
        </is>
      </c>
      <c r="C49" s="68" t="inlineStr">
        <is>
          <t>A</t>
        </is>
      </c>
      <c r="D49" s="70" t="n">
        <v>46282</v>
      </c>
      <c r="E49" s="68" t="inlineStr">
        <is>
          <t>Jeudi</t>
        </is>
      </c>
      <c r="F49" s="71" t="n">
        <v>0.8020833333333334</v>
      </c>
      <c r="G49" s="71" t="n">
        <v>0.8645833333333334</v>
      </c>
      <c r="H49" s="72">
        <f>IF(OR($F49="",$G49=""),"",($G49-$F49)*24)</f>
        <v/>
      </c>
      <c r="I49" s="68" t="inlineStr">
        <is>
          <t>Collège</t>
        </is>
      </c>
      <c r="J49" s="69" t="inlineStr">
        <is>
          <t>9éme (A)</t>
        </is>
      </c>
      <c r="K49" s="88" t="inlineStr">
        <is>
          <t>SVT</t>
        </is>
      </c>
      <c r="L49" s="88" t="inlineStr">
        <is>
          <t>SVT</t>
        </is>
      </c>
      <c r="M49" s="69" t="inlineStr">
        <is>
          <t>Imen Jribi</t>
        </is>
      </c>
      <c r="N49" s="68" t="n"/>
      <c r="O49" s="68" t="n"/>
      <c r="P49" s="68" t="inlineStr">
        <is>
          <t>Hebdomadaire</t>
        </is>
      </c>
      <c r="Q49" s="69" t="inlineStr"/>
      <c r="R49" s="68" t="n">
        <v>1</v>
      </c>
      <c r="S49" s="68" t="inlineStr">
        <is>
          <t>Oui</t>
        </is>
      </c>
      <c r="T49" s="68" t="inlineStr">
        <is>
          <t>S1-038</t>
        </is>
      </c>
      <c r="U49" s="69" t="inlineStr">
        <is>
          <t>Original (septembre)</t>
        </is>
      </c>
      <c r="V49" s="69" t="inlineStr"/>
      <c r="W49" s="10" t="n"/>
      <c r="X49" s="10" t="inlineStr"/>
      <c r="Y49" s="64">
        <f>IF($M49="","",IF(SUMPRODUCT(($D$4:$D$863=$D49)*($M$4:$M$863=$M49)*($T$4:$T$863&lt;&gt;$T49)*($F$4:$F$863&lt;$G49)*($G$4:$G$863&gt;$F49))&gt;0,"⚠ CONFLIT",""))</f>
        <v/>
      </c>
      <c r="Z49" s="64">
        <f>IF($J49="","",IF(SUMPRODUCT(($D$4:$D$863=$D49)*($J$4:$J$863=$J49)*($T$4:$T$863&lt;&gt;$T49)*($F$4:$F$863&lt;$G49)*($G$4:$G$863&gt;$F49)*(1-($X$4:$X$863="Oui")*($X49="Oui")))&gt;0,"⚠ CONFLIT",""))</f>
        <v/>
      </c>
      <c r="AA49" s="64">
        <f>IF(COUNTIFS($D$4:$D$863,$D49,$J$4:$J$863,$J49,$F$4:$F$863,$F49,$K$4:$K$863,$K49)&gt;1,"⚠ DOUBLON","")</f>
        <v/>
      </c>
      <c r="AB49" s="64">
        <f>IF(COUNTIF($T$4:$T$863,$T49)&lt;&gt;COUNTIFS($T$4:$T$863,$T49,$D$4:$D$863,$D49,$F$4:$F$863,$F49,$G$4:$G$863,$G49,$K$4:$K$863,$K49,$M$4:$M$863,$M49),"⚠ INCOHÉRENT","")</f>
        <v/>
      </c>
      <c r="AC49" s="64">
        <f>COUNTIFS($A$4:$A49,$A49,$J$4:$J49,$J49,$E$4:$E49,$E49)</f>
        <v/>
      </c>
      <c r="AD49" s="65">
        <f>$A49&amp;"|"&amp;$J49&amp;"|"&amp;$E49&amp;"|"&amp;$AC49</f>
        <v/>
      </c>
      <c r="AE49" s="66">
        <f>IF($W49&lt;&gt;"","⚑ "&amp;$W49&amp;CHAR(10),"")&amp;TEXT($F49,"hh:mm")&amp;"-"&amp;TEXT($G49,"hh:mm")&amp;IF(OR($P49="Quinzaine A",AND($P49="Hebdo · groupes alternés",$C49="A"))," Q-A",IF(OR($P49="Quinzaine B",AND($P49="Hebdo · groupes alternés",$C49="B"))," Q-B",IF($P49="Exception"," PONCT.","")))&amp;IF($X49="Oui"," OPT","")&amp;CHAR(10)&amp;$K49&amp;CHAR(10)&amp;$M49&amp;IF($N49&lt;&gt;"",CHAR(10)&amp;"Salle "&amp;$N49,"")&amp;IF($O49="En ligne",CHAR(10)&amp;"EN LIGNE","")&amp;IF($V49&lt;&gt;"",CHAR(10)&amp;$V49,"")</f>
        <v/>
      </c>
      <c r="AF49" s="65" t="inlineStr">
        <is>
          <t>19h15-20h45 SVT (Imen Jribi)</t>
        </is>
      </c>
      <c r="AG49" s="65" t="inlineStr">
        <is>
          <t>du 14-09 jusquà le 20-09!J36</t>
        </is>
      </c>
    </row>
    <row r="50" ht="15" customHeight="1">
      <c r="A50" s="68" t="inlineStr">
        <is>
          <t>S1</t>
        </is>
      </c>
      <c r="B50" s="69" t="inlineStr">
        <is>
          <t>du 14 au 20 septembre 2026</t>
        </is>
      </c>
      <c r="C50" s="68" t="inlineStr">
        <is>
          <t>A</t>
        </is>
      </c>
      <c r="D50" s="70" t="n">
        <v>46282</v>
      </c>
      <c r="E50" s="68" t="inlineStr">
        <is>
          <t>Jeudi</t>
        </is>
      </c>
      <c r="F50" s="71" t="n">
        <v>0.8125</v>
      </c>
      <c r="G50" s="71" t="n">
        <v>0.875</v>
      </c>
      <c r="H50" s="72">
        <f>IF(OR($F50="",$G50=""),"",($G50-$F50)*24)</f>
        <v/>
      </c>
      <c r="I50" s="68" t="inlineStr">
        <is>
          <t>Collège</t>
        </is>
      </c>
      <c r="J50" s="69" t="inlineStr">
        <is>
          <t>9éme (C)</t>
        </is>
      </c>
      <c r="K50" s="87" t="inlineStr">
        <is>
          <t>Anglais</t>
        </is>
      </c>
      <c r="L50" s="87" t="inlineStr">
        <is>
          <t>Anglais</t>
        </is>
      </c>
      <c r="M50" s="69" t="inlineStr">
        <is>
          <t>Saber</t>
        </is>
      </c>
      <c r="N50" s="68" t="n"/>
      <c r="O50" s="68" t="n"/>
      <c r="P50" s="68" t="inlineStr">
        <is>
          <t>Hebdomadaire</t>
        </is>
      </c>
      <c r="Q50" s="69" t="inlineStr"/>
      <c r="R50" s="68" t="n">
        <v>1</v>
      </c>
      <c r="S50" s="68" t="inlineStr">
        <is>
          <t>Oui</t>
        </is>
      </c>
      <c r="T50" s="68" t="inlineStr">
        <is>
          <t>S1-039</t>
        </is>
      </c>
      <c r="U50" s="69" t="inlineStr">
        <is>
          <t>Original (septembre)</t>
        </is>
      </c>
      <c r="V50" s="69" t="inlineStr"/>
      <c r="W50" s="10" t="n"/>
      <c r="X50" s="10" t="inlineStr"/>
      <c r="Y50" s="64">
        <f>IF($M50="","",IF(SUMPRODUCT(($D$4:$D$863=$D50)*($M$4:$M$863=$M50)*($T$4:$T$863&lt;&gt;$T50)*($F$4:$F$863&lt;$G50)*($G$4:$G$863&gt;$F50))&gt;0,"⚠ CONFLIT",""))</f>
        <v/>
      </c>
      <c r="Z50" s="64">
        <f>IF($J50="","",IF(SUMPRODUCT(($D$4:$D$863=$D50)*($J$4:$J$863=$J50)*($T$4:$T$863&lt;&gt;$T50)*($F$4:$F$863&lt;$G50)*($G$4:$G$863&gt;$F50)*(1-($X$4:$X$863="Oui")*($X50="Oui")))&gt;0,"⚠ CONFLIT",""))</f>
        <v/>
      </c>
      <c r="AA50" s="64">
        <f>IF(COUNTIFS($D$4:$D$863,$D50,$J$4:$J$863,$J50,$F$4:$F$863,$F50,$K$4:$K$863,$K50)&gt;1,"⚠ DOUBLON","")</f>
        <v/>
      </c>
      <c r="AB50" s="64">
        <f>IF(COUNTIF($T$4:$T$863,$T50)&lt;&gt;COUNTIFS($T$4:$T$863,$T50,$D$4:$D$863,$D50,$F$4:$F$863,$F50,$G$4:$G$863,$G50,$K$4:$K$863,$K50,$M$4:$M$863,$M50),"⚠ INCOHÉRENT","")</f>
        <v/>
      </c>
      <c r="AC50" s="64">
        <f>COUNTIFS($A$4:$A50,$A50,$J$4:$J50,$J50,$E$4:$E50,$E50)</f>
        <v/>
      </c>
      <c r="AD50" s="65">
        <f>$A50&amp;"|"&amp;$J50&amp;"|"&amp;$E50&amp;"|"&amp;$AC50</f>
        <v/>
      </c>
      <c r="AE50" s="66">
        <f>IF($W50&lt;&gt;"","⚑ "&amp;$W50&amp;CHAR(10),"")&amp;TEXT($F50,"hh:mm")&amp;"-"&amp;TEXT($G50,"hh:mm")&amp;IF(OR($P50="Quinzaine A",AND($P50="Hebdo · groupes alternés",$C50="A"))," Q-A",IF(OR($P50="Quinzaine B",AND($P50="Hebdo · groupes alternés",$C50="B"))," Q-B",IF($P50="Exception"," PONCT.","")))&amp;IF($X50="Oui"," OPT","")&amp;CHAR(10)&amp;$K50&amp;CHAR(10)&amp;$M50&amp;IF($N50&lt;&gt;"",CHAR(10)&amp;"Salle "&amp;$N50,"")&amp;IF($O50="En ligne",CHAR(10)&amp;"EN LIGNE","")&amp;IF($V50&lt;&gt;"",CHAR(10)&amp;$V50,"")</f>
        <v/>
      </c>
      <c r="AF50" s="65" t="inlineStr">
        <is>
          <t>19h30-21h Anglais (Saber)</t>
        </is>
      </c>
      <c r="AG50" s="65" t="inlineStr">
        <is>
          <t>du 14-09 jusquà le 20-09!J46</t>
        </is>
      </c>
    </row>
    <row r="51" ht="15" customHeight="1">
      <c r="A51" s="74" t="inlineStr">
        <is>
          <t>S1</t>
        </is>
      </c>
      <c r="B51" s="75" t="inlineStr">
        <is>
          <t>du 14 au 20 septembre 2026</t>
        </is>
      </c>
      <c r="C51" s="74" t="inlineStr">
        <is>
          <t>A</t>
        </is>
      </c>
      <c r="D51" s="76" t="n">
        <v>46282</v>
      </c>
      <c r="E51" s="74" t="inlineStr">
        <is>
          <t>Jeudi</t>
        </is>
      </c>
      <c r="F51" s="77" t="n">
        <v>0.8020833333333334</v>
      </c>
      <c r="G51" s="77" t="n">
        <v>0.8645833333333334</v>
      </c>
      <c r="H51" s="78">
        <f>IF(OR($F51="",$G51=""),"",($G51-$F51)*24)</f>
        <v/>
      </c>
      <c r="I51" s="74" t="inlineStr">
        <is>
          <t>Secondaire</t>
        </is>
      </c>
      <c r="J51" s="75" t="inlineStr">
        <is>
          <t>1ére (A)</t>
        </is>
      </c>
      <c r="K51" s="87" t="inlineStr">
        <is>
          <t>Anglais</t>
        </is>
      </c>
      <c r="L51" s="87" t="inlineStr">
        <is>
          <t>Anglais</t>
        </is>
      </c>
      <c r="M51" s="75" t="inlineStr">
        <is>
          <t>Imen Bennour</t>
        </is>
      </c>
      <c r="N51" s="74" t="n"/>
      <c r="O51" s="74" t="n"/>
      <c r="P51" s="74" t="inlineStr">
        <is>
          <t>Hebdo · groupes alternés</t>
        </is>
      </c>
      <c r="Q51" s="75" t="inlineStr"/>
      <c r="R51" s="74" t="n">
        <v>1</v>
      </c>
      <c r="S51" s="74" t="inlineStr">
        <is>
          <t>Oui</t>
        </is>
      </c>
      <c r="T51" s="74" t="inlineStr">
        <is>
          <t>S1-040</t>
        </is>
      </c>
      <c r="U51" s="75" t="inlineStr">
        <is>
          <t>Original (septembre)</t>
        </is>
      </c>
      <c r="V51" s="75" t="inlineStr"/>
      <c r="W51" s="10" t="n"/>
      <c r="X51" s="10" t="inlineStr"/>
      <c r="Y51" s="64">
        <f>IF($M51="","",IF(SUMPRODUCT(($D$4:$D$863=$D51)*($M$4:$M$863=$M51)*($T$4:$T$863&lt;&gt;$T51)*($F$4:$F$863&lt;$G51)*($G$4:$G$863&gt;$F51))&gt;0,"⚠ CONFLIT",""))</f>
        <v/>
      </c>
      <c r="Z51" s="64">
        <f>IF($J51="","",IF(SUMPRODUCT(($D$4:$D$863=$D51)*($J$4:$J$863=$J51)*($T$4:$T$863&lt;&gt;$T51)*($F$4:$F$863&lt;$G51)*($G$4:$G$863&gt;$F51)*(1-($X$4:$X$863="Oui")*($X51="Oui")))&gt;0,"⚠ CONFLIT",""))</f>
        <v/>
      </c>
      <c r="AA51" s="64">
        <f>IF(COUNTIFS($D$4:$D$863,$D51,$J$4:$J$863,$J51,$F$4:$F$863,$F51,$K$4:$K$863,$K51)&gt;1,"⚠ DOUBLON","")</f>
        <v/>
      </c>
      <c r="AB51" s="64">
        <f>IF(COUNTIF($T$4:$T$863,$T51)&lt;&gt;COUNTIFS($T$4:$T$863,$T51,$D$4:$D$863,$D51,$F$4:$F$863,$F51,$G$4:$G$863,$G51,$K$4:$K$863,$K51,$M$4:$M$863,$M51),"⚠ INCOHÉRENT","")</f>
        <v/>
      </c>
      <c r="AC51" s="64">
        <f>COUNTIFS($A$4:$A51,$A51,$J$4:$J51,$J51,$E$4:$E51,$E51)</f>
        <v/>
      </c>
      <c r="AD51" s="65">
        <f>$A51&amp;"|"&amp;$J51&amp;"|"&amp;$E51&amp;"|"&amp;$AC51</f>
        <v/>
      </c>
      <c r="AE51" s="66">
        <f>IF($W51&lt;&gt;"","⚑ "&amp;$W51&amp;CHAR(10),"")&amp;TEXT($F51,"hh:mm")&amp;"-"&amp;TEXT($G51,"hh:mm")&amp;IF(OR($P51="Quinzaine A",AND($P51="Hebdo · groupes alternés",$C51="A"))," Q-A",IF(OR($P51="Quinzaine B",AND($P51="Hebdo · groupes alternés",$C51="B"))," Q-B",IF($P51="Exception"," PONCT.","")))&amp;IF($X51="Oui"," OPT","")&amp;CHAR(10)&amp;$K51&amp;CHAR(10)&amp;$M51&amp;IF($N51&lt;&gt;"",CHAR(10)&amp;"Salle "&amp;$N51,"")&amp;IF($O51="En ligne",CHAR(10)&amp;"EN LIGNE","")&amp;IF($V51&lt;&gt;"",CHAR(10)&amp;$V51,"")</f>
        <v/>
      </c>
      <c r="AF51" s="65" t="inlineStr">
        <is>
          <t>19h15-20h45 Anglais /par quinzaine (Imen Bennour)</t>
        </is>
      </c>
      <c r="AG51" s="65" t="inlineStr">
        <is>
          <t>du 14-09 jusquà le 20-09!J48</t>
        </is>
      </c>
    </row>
    <row r="52" ht="15" customHeight="1">
      <c r="A52" s="74" t="inlineStr">
        <is>
          <t>S1</t>
        </is>
      </c>
      <c r="B52" s="75" t="inlineStr">
        <is>
          <t>du 14 au 20 septembre 2026</t>
        </is>
      </c>
      <c r="C52" s="74" t="inlineStr">
        <is>
          <t>A</t>
        </is>
      </c>
      <c r="D52" s="76" t="n">
        <v>46282</v>
      </c>
      <c r="E52" s="74" t="inlineStr">
        <is>
          <t>Jeudi</t>
        </is>
      </c>
      <c r="F52" s="77" t="n">
        <v>0.7916666666666666</v>
      </c>
      <c r="G52" s="77" t="n">
        <v>0.8541666666666666</v>
      </c>
      <c r="H52" s="78">
        <f>IF(OR($F52="",$G52=""),"",($G52-$F52)*24)</f>
        <v/>
      </c>
      <c r="I52" s="74" t="inlineStr">
        <is>
          <t>Secondaire</t>
        </is>
      </c>
      <c r="J52" s="75" t="inlineStr">
        <is>
          <t>2éme Eco</t>
        </is>
      </c>
      <c r="K52" s="86" t="inlineStr">
        <is>
          <t>Gestion</t>
        </is>
      </c>
      <c r="L52" s="86" t="inlineStr">
        <is>
          <t>Gestion</t>
        </is>
      </c>
      <c r="M52" s="75" t="inlineStr">
        <is>
          <t>Yassine</t>
        </is>
      </c>
      <c r="N52" s="74" t="n"/>
      <c r="O52" s="74" t="n"/>
      <c r="P52" s="74" t="inlineStr">
        <is>
          <t>Hebdomadaire</t>
        </is>
      </c>
      <c r="Q52" s="75" t="inlineStr"/>
      <c r="R52" s="74" t="n">
        <v>1</v>
      </c>
      <c r="S52" s="74" t="inlineStr">
        <is>
          <t>Oui</t>
        </is>
      </c>
      <c r="T52" s="74" t="inlineStr">
        <is>
          <t>S1-041</t>
        </is>
      </c>
      <c r="U52" s="75" t="inlineStr">
        <is>
          <t>Original (septembre)</t>
        </is>
      </c>
      <c r="V52" s="75" t="inlineStr"/>
      <c r="W52" s="10" t="n"/>
      <c r="X52" s="10" t="inlineStr"/>
      <c r="Y52" s="64">
        <f>IF($M52="","",IF(SUMPRODUCT(($D$4:$D$863=$D52)*($M$4:$M$863=$M52)*($T$4:$T$863&lt;&gt;$T52)*($F$4:$F$863&lt;$G52)*($G$4:$G$863&gt;$F52))&gt;0,"⚠ CONFLIT",""))</f>
        <v/>
      </c>
      <c r="Z52" s="64">
        <f>IF($J52="","",IF(SUMPRODUCT(($D$4:$D$863=$D52)*($J$4:$J$863=$J52)*($T$4:$T$863&lt;&gt;$T52)*($F$4:$F$863&lt;$G52)*($G$4:$G$863&gt;$F52)*(1-($X$4:$X$863="Oui")*($X52="Oui")))&gt;0,"⚠ CONFLIT",""))</f>
        <v/>
      </c>
      <c r="AA52" s="64">
        <f>IF(COUNTIFS($D$4:$D$863,$D52,$J$4:$J$863,$J52,$F$4:$F$863,$F52,$K$4:$K$863,$K52)&gt;1,"⚠ DOUBLON","")</f>
        <v/>
      </c>
      <c r="AB52" s="64">
        <f>IF(COUNTIF($T$4:$T$863,$T52)&lt;&gt;COUNTIFS($T$4:$T$863,$T52,$D$4:$D$863,$D52,$F$4:$F$863,$F52,$G$4:$G$863,$G52,$K$4:$K$863,$K52,$M$4:$M$863,$M52),"⚠ INCOHÉRENT","")</f>
        <v/>
      </c>
      <c r="AC52" s="64">
        <f>COUNTIFS($A$4:$A52,$A52,$J$4:$J52,$J52,$E$4:$E52,$E52)</f>
        <v/>
      </c>
      <c r="AD52" s="65">
        <f>$A52&amp;"|"&amp;$J52&amp;"|"&amp;$E52&amp;"|"&amp;$AC52</f>
        <v/>
      </c>
      <c r="AE52" s="66">
        <f>IF($W52&lt;&gt;"","⚑ "&amp;$W52&amp;CHAR(10),"")&amp;TEXT($F52,"hh:mm")&amp;"-"&amp;TEXT($G52,"hh:mm")&amp;IF(OR($P52="Quinzaine A",AND($P52="Hebdo · groupes alternés",$C52="A"))," Q-A",IF(OR($P52="Quinzaine B",AND($P52="Hebdo · groupes alternés",$C52="B"))," Q-B",IF($P52="Exception"," PONCT.","")))&amp;IF($X52="Oui"," OPT","")&amp;CHAR(10)&amp;$K52&amp;CHAR(10)&amp;$M52&amp;IF($N52&lt;&gt;"",CHAR(10)&amp;"Salle "&amp;$N52,"")&amp;IF($O52="En ligne",CHAR(10)&amp;"EN LIGNE","")&amp;IF($V52&lt;&gt;"",CHAR(10)&amp;$V52,"")</f>
        <v/>
      </c>
      <c r="AF52" s="65" t="inlineStr">
        <is>
          <t>19h-20h30 Gestion (Yassine)</t>
        </is>
      </c>
      <c r="AG52" s="65" t="inlineStr">
        <is>
          <t>du 14-09 jusquà le 20-09!J56</t>
        </is>
      </c>
    </row>
    <row r="53" ht="15" customHeight="1">
      <c r="A53" s="74" t="inlineStr">
        <is>
          <t>S1</t>
        </is>
      </c>
      <c r="B53" s="75" t="inlineStr">
        <is>
          <t>du 14 au 20 septembre 2026</t>
        </is>
      </c>
      <c r="C53" s="74" t="inlineStr">
        <is>
          <t>A</t>
        </is>
      </c>
      <c r="D53" s="76" t="n">
        <v>46282</v>
      </c>
      <c r="E53" s="74" t="inlineStr">
        <is>
          <t>Jeudi</t>
        </is>
      </c>
      <c r="F53" s="77" t="n">
        <v>0.8125</v>
      </c>
      <c r="G53" s="77" t="n">
        <v>0.875</v>
      </c>
      <c r="H53" s="78">
        <f>IF(OR($F53="",$G53=""),"",($G53-$F53)*24)</f>
        <v/>
      </c>
      <c r="I53" s="74" t="inlineStr">
        <is>
          <t>Secondaire</t>
        </is>
      </c>
      <c r="J53" s="75" t="inlineStr">
        <is>
          <t>2éme SCE</t>
        </is>
      </c>
      <c r="K53" s="79" t="inlineStr">
        <is>
          <t>Math</t>
        </is>
      </c>
      <c r="L53" s="79" t="inlineStr">
        <is>
          <t>Math</t>
        </is>
      </c>
      <c r="M53" s="75" t="inlineStr">
        <is>
          <t>Haythem</t>
        </is>
      </c>
      <c r="N53" s="74" t="n"/>
      <c r="O53" s="74" t="n"/>
      <c r="P53" s="74" t="inlineStr">
        <is>
          <t>Hebdomadaire</t>
        </is>
      </c>
      <c r="Q53" s="75" t="inlineStr"/>
      <c r="R53" s="74" t="n">
        <v>1</v>
      </c>
      <c r="S53" s="74" t="inlineStr">
        <is>
          <t>Oui</t>
        </is>
      </c>
      <c r="T53" s="74" t="inlineStr">
        <is>
          <t>S1-042</t>
        </is>
      </c>
      <c r="U53" s="75" t="inlineStr">
        <is>
          <t>Original (septembre)</t>
        </is>
      </c>
      <c r="V53" s="75" t="inlineStr"/>
      <c r="W53" s="10" t="n"/>
      <c r="X53" s="10" t="inlineStr"/>
      <c r="Y53" s="64">
        <f>IF($M53="","",IF(SUMPRODUCT(($D$4:$D$863=$D53)*($M$4:$M$863=$M53)*($T$4:$T$863&lt;&gt;$T53)*($F$4:$F$863&lt;$G53)*($G$4:$G$863&gt;$F53))&gt;0,"⚠ CONFLIT",""))</f>
        <v/>
      </c>
      <c r="Z53" s="64">
        <f>IF($J53="","",IF(SUMPRODUCT(($D$4:$D$863=$D53)*($J$4:$J$863=$J53)*($T$4:$T$863&lt;&gt;$T53)*($F$4:$F$863&lt;$G53)*($G$4:$G$863&gt;$F53)*(1-($X$4:$X$863="Oui")*($X53="Oui")))&gt;0,"⚠ CONFLIT",""))</f>
        <v/>
      </c>
      <c r="AA53" s="64">
        <f>IF(COUNTIFS($D$4:$D$863,$D53,$J$4:$J$863,$J53,$F$4:$F$863,$F53,$K$4:$K$863,$K53)&gt;1,"⚠ DOUBLON","")</f>
        <v/>
      </c>
      <c r="AB53" s="64">
        <f>IF(COUNTIF($T$4:$T$863,$T53)&lt;&gt;COUNTIFS($T$4:$T$863,$T53,$D$4:$D$863,$D53,$F$4:$F$863,$F53,$G$4:$G$863,$G53,$K$4:$K$863,$K53,$M$4:$M$863,$M53),"⚠ INCOHÉRENT","")</f>
        <v/>
      </c>
      <c r="AC53" s="64">
        <f>COUNTIFS($A$4:$A53,$A53,$J$4:$J53,$J53,$E$4:$E53,$E53)</f>
        <v/>
      </c>
      <c r="AD53" s="65">
        <f>$A53&amp;"|"&amp;$J53&amp;"|"&amp;$E53&amp;"|"&amp;$AC53</f>
        <v/>
      </c>
      <c r="AE53" s="66">
        <f>IF($W53&lt;&gt;"","⚑ "&amp;$W53&amp;CHAR(10),"")&amp;TEXT($F53,"hh:mm")&amp;"-"&amp;TEXT($G53,"hh:mm")&amp;IF(OR($P53="Quinzaine A",AND($P53="Hebdo · groupes alternés",$C53="A"))," Q-A",IF(OR($P53="Quinzaine B",AND($P53="Hebdo · groupes alternés",$C53="B"))," Q-B",IF($P53="Exception"," PONCT.","")))&amp;IF($X53="Oui"," OPT","")&amp;CHAR(10)&amp;$K53&amp;CHAR(10)&amp;$M53&amp;IF($N53&lt;&gt;"",CHAR(10)&amp;"Salle "&amp;$N53,"")&amp;IF($O53="En ligne",CHAR(10)&amp;"EN LIGNE","")&amp;IF($V53&lt;&gt;"",CHAR(10)&amp;$V53,"")</f>
        <v/>
      </c>
      <c r="AF53" s="65" t="inlineStr">
        <is>
          <t>19h30-21h Math (Haythem)</t>
        </is>
      </c>
      <c r="AG53" s="65" t="inlineStr">
        <is>
          <t>du 14-09 jusquà le 20-09!J58</t>
        </is>
      </c>
    </row>
    <row r="54" ht="15" customHeight="1">
      <c r="A54" s="74" t="inlineStr">
        <is>
          <t>S1</t>
        </is>
      </c>
      <c r="B54" s="75" t="inlineStr">
        <is>
          <t>du 14 au 20 septembre 2026</t>
        </is>
      </c>
      <c r="C54" s="74" t="inlineStr">
        <is>
          <t>A</t>
        </is>
      </c>
      <c r="D54" s="76" t="n">
        <v>46282</v>
      </c>
      <c r="E54" s="74" t="inlineStr">
        <is>
          <t>Jeudi</t>
        </is>
      </c>
      <c r="F54" s="77" t="n">
        <v>0.8125</v>
      </c>
      <c r="G54" s="77" t="n">
        <v>0.875</v>
      </c>
      <c r="H54" s="78">
        <f>IF(OR($F54="",$G54=""),"",($G54-$F54)*24)</f>
        <v/>
      </c>
      <c r="I54" s="74" t="inlineStr">
        <is>
          <t>Secondaire</t>
        </is>
      </c>
      <c r="J54" s="75" t="inlineStr">
        <is>
          <t>2éme INFO</t>
        </is>
      </c>
      <c r="K54" s="73" t="inlineStr">
        <is>
          <t>Physique</t>
        </is>
      </c>
      <c r="L54" s="73" t="inlineStr">
        <is>
          <t>Physique</t>
        </is>
      </c>
      <c r="M54" s="75" t="inlineStr">
        <is>
          <t>Samia</t>
        </is>
      </c>
      <c r="N54" s="74" t="n"/>
      <c r="O54" s="74" t="n"/>
      <c r="P54" s="74" t="inlineStr">
        <is>
          <t>Hebdomadaire</t>
        </is>
      </c>
      <c r="Q54" s="75" t="inlineStr"/>
      <c r="R54" s="74" t="n">
        <v>1</v>
      </c>
      <c r="S54" s="74" t="inlineStr">
        <is>
          <t>Oui</t>
        </is>
      </c>
      <c r="T54" s="74" t="inlineStr">
        <is>
          <t>S1-043</t>
        </is>
      </c>
      <c r="U54" s="75" t="inlineStr">
        <is>
          <t>Original (septembre)</t>
        </is>
      </c>
      <c r="V54" s="75" t="inlineStr"/>
      <c r="W54" s="10" t="n"/>
      <c r="X54" s="10" t="inlineStr"/>
      <c r="Y54" s="64">
        <f>IF($M54="","",IF(SUMPRODUCT(($D$4:$D$863=$D54)*($M$4:$M$863=$M54)*($T$4:$T$863&lt;&gt;$T54)*($F$4:$F$863&lt;$G54)*($G$4:$G$863&gt;$F54))&gt;0,"⚠ CONFLIT",""))</f>
        <v/>
      </c>
      <c r="Z54" s="64">
        <f>IF($J54="","",IF(SUMPRODUCT(($D$4:$D$863=$D54)*($J$4:$J$863=$J54)*($T$4:$T$863&lt;&gt;$T54)*($F$4:$F$863&lt;$G54)*($G$4:$G$863&gt;$F54)*(1-($X$4:$X$863="Oui")*($X54="Oui")))&gt;0,"⚠ CONFLIT",""))</f>
        <v/>
      </c>
      <c r="AA54" s="64">
        <f>IF(COUNTIFS($D$4:$D$863,$D54,$J$4:$J$863,$J54,$F$4:$F$863,$F54,$K$4:$K$863,$K54)&gt;1,"⚠ DOUBLON","")</f>
        <v/>
      </c>
      <c r="AB54" s="64">
        <f>IF(COUNTIF($T$4:$T$863,$T54)&lt;&gt;COUNTIFS($T$4:$T$863,$T54,$D$4:$D$863,$D54,$F$4:$F$863,$F54,$G$4:$G$863,$G54,$K$4:$K$863,$K54,$M$4:$M$863,$M54),"⚠ INCOHÉRENT","")</f>
        <v/>
      </c>
      <c r="AC54" s="64">
        <f>COUNTIFS($A$4:$A54,$A54,$J$4:$J54,$J54,$E$4:$E54,$E54)</f>
        <v/>
      </c>
      <c r="AD54" s="65">
        <f>$A54&amp;"|"&amp;$J54&amp;"|"&amp;$E54&amp;"|"&amp;$AC54</f>
        <v/>
      </c>
      <c r="AE54" s="66">
        <f>IF($W54&lt;&gt;"","⚑ "&amp;$W54&amp;CHAR(10),"")&amp;TEXT($F54,"hh:mm")&amp;"-"&amp;TEXT($G54,"hh:mm")&amp;IF(OR($P54="Quinzaine A",AND($P54="Hebdo · groupes alternés",$C54="A"))," Q-A",IF(OR($P54="Quinzaine B",AND($P54="Hebdo · groupes alternés",$C54="B"))," Q-B",IF($P54="Exception"," PONCT.","")))&amp;IF($X54="Oui"," OPT","")&amp;CHAR(10)&amp;$K54&amp;CHAR(10)&amp;$M54&amp;IF($N54&lt;&gt;"",CHAR(10)&amp;"Salle "&amp;$N54,"")&amp;IF($O54="En ligne",CHAR(10)&amp;"EN LIGNE","")&amp;IF($V54&lt;&gt;"",CHAR(10)&amp;$V54,"")</f>
        <v/>
      </c>
      <c r="AF54" s="65" t="inlineStr">
        <is>
          <t>19h30-21h Physique (Samia)</t>
        </is>
      </c>
      <c r="AG54" s="65" t="inlineStr">
        <is>
          <t>du 14-09 jusquà le 20-09!J60</t>
        </is>
      </c>
    </row>
    <row r="55" ht="15" customHeight="1">
      <c r="A55" s="74" t="inlineStr">
        <is>
          <t>S1</t>
        </is>
      </c>
      <c r="B55" s="75" t="inlineStr">
        <is>
          <t>du 14 au 20 septembre 2026</t>
        </is>
      </c>
      <c r="C55" s="74" t="inlineStr">
        <is>
          <t>A</t>
        </is>
      </c>
      <c r="D55" s="76" t="n">
        <v>46282</v>
      </c>
      <c r="E55" s="74" t="inlineStr">
        <is>
          <t>Jeudi</t>
        </is>
      </c>
      <c r="F55" s="77" t="n">
        <v>0.8125</v>
      </c>
      <c r="G55" s="77" t="n">
        <v>0.875</v>
      </c>
      <c r="H55" s="78">
        <f>IF(OR($F55="",$G55=""),"",($G55-$F55)*24)</f>
        <v/>
      </c>
      <c r="I55" s="74" t="inlineStr">
        <is>
          <t>Secondaire</t>
        </is>
      </c>
      <c r="J55" s="75" t="inlineStr">
        <is>
          <t>3éme Eco</t>
        </is>
      </c>
      <c r="K55" s="63" t="inlineStr">
        <is>
          <t>Arabe</t>
        </is>
      </c>
      <c r="L55" s="63" t="inlineStr">
        <is>
          <t>Arabe</t>
        </is>
      </c>
      <c r="M55" s="75" t="inlineStr">
        <is>
          <t>Najet</t>
        </is>
      </c>
      <c r="N55" s="74" t="n"/>
      <c r="O55" s="74" t="n"/>
      <c r="P55" s="74" t="inlineStr">
        <is>
          <t>Hebdo · groupes alternés</t>
        </is>
      </c>
      <c r="Q55" s="75" t="inlineStr">
        <is>
          <t>3éme Eco + 3éme INFO + 3éme SCE</t>
        </is>
      </c>
      <c r="R55" s="74" t="n">
        <v>3</v>
      </c>
      <c r="S55" s="74" t="inlineStr">
        <is>
          <t>Oui</t>
        </is>
      </c>
      <c r="T55" s="74" t="inlineStr">
        <is>
          <t>S1-044</t>
        </is>
      </c>
      <c r="U55" s="75" t="inlineStr">
        <is>
          <t>Original (septembre)</t>
        </is>
      </c>
      <c r="V55" s="75" t="inlineStr"/>
      <c r="W55" s="10" t="n"/>
      <c r="X55" s="10" t="inlineStr"/>
      <c r="Y55" s="64">
        <f>IF($M55="","",IF(SUMPRODUCT(($D$4:$D$863=$D55)*($M$4:$M$863=$M55)*($T$4:$T$863&lt;&gt;$T55)*($F$4:$F$863&lt;$G55)*($G$4:$G$863&gt;$F55))&gt;0,"⚠ CONFLIT",""))</f>
        <v/>
      </c>
      <c r="Z55" s="64">
        <f>IF($J55="","",IF(SUMPRODUCT(($D$4:$D$863=$D55)*($J$4:$J$863=$J55)*($T$4:$T$863&lt;&gt;$T55)*($F$4:$F$863&lt;$G55)*($G$4:$G$863&gt;$F55)*(1-($X$4:$X$863="Oui")*($X55="Oui")))&gt;0,"⚠ CONFLIT",""))</f>
        <v/>
      </c>
      <c r="AA55" s="64">
        <f>IF(COUNTIFS($D$4:$D$863,$D55,$J$4:$J$863,$J55,$F$4:$F$863,$F55,$K$4:$K$863,$K55)&gt;1,"⚠ DOUBLON","")</f>
        <v/>
      </c>
      <c r="AB55" s="64">
        <f>IF(COUNTIF($T$4:$T$863,$T55)&lt;&gt;COUNTIFS($T$4:$T$863,$T55,$D$4:$D$863,$D55,$F$4:$F$863,$F55,$G$4:$G$863,$G55,$K$4:$K$863,$K55,$M$4:$M$863,$M55),"⚠ INCOHÉRENT","")</f>
        <v/>
      </c>
      <c r="AC55" s="64">
        <f>COUNTIFS($A$4:$A55,$A55,$J$4:$J55,$J55,$E$4:$E55,$E55)</f>
        <v/>
      </c>
      <c r="AD55" s="65">
        <f>$A55&amp;"|"&amp;$J55&amp;"|"&amp;$E55&amp;"|"&amp;$AC55</f>
        <v/>
      </c>
      <c r="AE55" s="66">
        <f>IF($W55&lt;&gt;"","⚑ "&amp;$W55&amp;CHAR(10),"")&amp;TEXT($F55,"hh:mm")&amp;"-"&amp;TEXT($G55,"hh:mm")&amp;IF(OR($P55="Quinzaine A",AND($P55="Hebdo · groupes alternés",$C55="A"))," Q-A",IF(OR($P55="Quinzaine B",AND($P55="Hebdo · groupes alternés",$C55="B"))," Q-B",IF($P55="Exception"," PONCT.","")))&amp;IF($X55="Oui"," OPT","")&amp;CHAR(10)&amp;$K55&amp;CHAR(10)&amp;$M55&amp;IF($N55&lt;&gt;"",CHAR(10)&amp;"Salle "&amp;$N55,"")&amp;IF($O55="En ligne",CHAR(10)&amp;"EN LIGNE","")&amp;IF($V55&lt;&gt;"",CHAR(10)&amp;$V55,"")</f>
        <v/>
      </c>
      <c r="AF55" s="65" t="inlineStr">
        <is>
          <t>19h30-21h Arabe (Najet) /par quinzaine</t>
        </is>
      </c>
      <c r="AG55" s="65" t="inlineStr">
        <is>
          <t>du 14-09 jusquà le 20-09!J62</t>
        </is>
      </c>
    </row>
    <row r="56" ht="15" customHeight="1">
      <c r="A56" s="74" t="inlineStr">
        <is>
          <t>S1</t>
        </is>
      </c>
      <c r="B56" s="75" t="inlineStr">
        <is>
          <t>du 14 au 20 septembre 2026</t>
        </is>
      </c>
      <c r="C56" s="74" t="inlineStr">
        <is>
          <t>A</t>
        </is>
      </c>
      <c r="D56" s="76" t="n">
        <v>46282</v>
      </c>
      <c r="E56" s="74" t="inlineStr">
        <is>
          <t>Jeudi</t>
        </is>
      </c>
      <c r="F56" s="77" t="n">
        <v>0.8125</v>
      </c>
      <c r="G56" s="77" t="n">
        <v>0.875</v>
      </c>
      <c r="H56" s="78">
        <f>IF(OR($F56="",$G56=""),"",($G56-$F56)*24)</f>
        <v/>
      </c>
      <c r="I56" s="74" t="inlineStr">
        <is>
          <t>Secondaire</t>
        </is>
      </c>
      <c r="J56" s="75" t="inlineStr">
        <is>
          <t>3éme INFO</t>
        </is>
      </c>
      <c r="K56" s="63" t="inlineStr">
        <is>
          <t>Arabe</t>
        </is>
      </c>
      <c r="L56" s="63" t="inlineStr">
        <is>
          <t>Arabe</t>
        </is>
      </c>
      <c r="M56" s="75" t="inlineStr">
        <is>
          <t>Najet</t>
        </is>
      </c>
      <c r="N56" s="74" t="n"/>
      <c r="O56" s="74" t="n"/>
      <c r="P56" s="74" t="inlineStr">
        <is>
          <t>Hebdo · groupes alternés</t>
        </is>
      </c>
      <c r="Q56" s="75" t="inlineStr">
        <is>
          <t>3éme Eco + 3éme INFO + 3éme SCE</t>
        </is>
      </c>
      <c r="R56" s="74" t="n">
        <v>3</v>
      </c>
      <c r="S56" s="74" t="inlineStr"/>
      <c r="T56" s="74" t="inlineStr">
        <is>
          <t>S1-044</t>
        </is>
      </c>
      <c r="U56" s="75" t="inlineStr">
        <is>
          <t>Original (septembre)</t>
        </is>
      </c>
      <c r="V56" s="75" t="inlineStr"/>
      <c r="W56" s="10" t="n"/>
      <c r="X56" s="10" t="inlineStr"/>
      <c r="Y56" s="64">
        <f>IF($M56="","",IF(SUMPRODUCT(($D$4:$D$863=$D56)*($M$4:$M$863=$M56)*($T$4:$T$863&lt;&gt;$T56)*($F$4:$F$863&lt;$G56)*($G$4:$G$863&gt;$F56))&gt;0,"⚠ CONFLIT",""))</f>
        <v/>
      </c>
      <c r="Z56" s="64">
        <f>IF($J56="","",IF(SUMPRODUCT(($D$4:$D$863=$D56)*($J$4:$J$863=$J56)*($T$4:$T$863&lt;&gt;$T56)*($F$4:$F$863&lt;$G56)*($G$4:$G$863&gt;$F56)*(1-($X$4:$X$863="Oui")*($X56="Oui")))&gt;0,"⚠ CONFLIT",""))</f>
        <v/>
      </c>
      <c r="AA56" s="64">
        <f>IF(COUNTIFS($D$4:$D$863,$D56,$J$4:$J$863,$J56,$F$4:$F$863,$F56,$K$4:$K$863,$K56)&gt;1,"⚠ DOUBLON","")</f>
        <v/>
      </c>
      <c r="AB56" s="64">
        <f>IF(COUNTIF($T$4:$T$863,$T56)&lt;&gt;COUNTIFS($T$4:$T$863,$T56,$D$4:$D$863,$D56,$F$4:$F$863,$F56,$G$4:$G$863,$G56,$K$4:$K$863,$K56,$M$4:$M$863,$M56),"⚠ INCOHÉRENT","")</f>
        <v/>
      </c>
      <c r="AC56" s="64">
        <f>COUNTIFS($A$4:$A56,$A56,$J$4:$J56,$J56,$E$4:$E56,$E56)</f>
        <v/>
      </c>
      <c r="AD56" s="65">
        <f>$A56&amp;"|"&amp;$J56&amp;"|"&amp;$E56&amp;"|"&amp;$AC56</f>
        <v/>
      </c>
      <c r="AE56" s="66">
        <f>IF($W56&lt;&gt;"","⚑ "&amp;$W56&amp;CHAR(10),"")&amp;TEXT($F56,"hh:mm")&amp;"-"&amp;TEXT($G56,"hh:mm")&amp;IF(OR($P56="Quinzaine A",AND($P56="Hebdo · groupes alternés",$C56="A"))," Q-A",IF(OR($P56="Quinzaine B",AND($P56="Hebdo · groupes alternés",$C56="B"))," Q-B",IF($P56="Exception"," PONCT.","")))&amp;IF($X56="Oui"," OPT","")&amp;CHAR(10)&amp;$K56&amp;CHAR(10)&amp;$M56&amp;IF($N56&lt;&gt;"",CHAR(10)&amp;"Salle "&amp;$N56,"")&amp;IF($O56="En ligne",CHAR(10)&amp;"EN LIGNE","")&amp;IF($V56&lt;&gt;"",CHAR(10)&amp;$V56,"")</f>
        <v/>
      </c>
      <c r="AF56" s="65" t="inlineStr">
        <is>
          <t>19h30-21h Arabe (Najet) /par quinzaine</t>
        </is>
      </c>
      <c r="AG56" s="65" t="inlineStr">
        <is>
          <t>du 14-09 jusquà le 20-09!J62</t>
        </is>
      </c>
    </row>
    <row r="57" ht="15" customHeight="1">
      <c r="A57" s="74" t="inlineStr">
        <is>
          <t>S1</t>
        </is>
      </c>
      <c r="B57" s="75" t="inlineStr">
        <is>
          <t>du 14 au 20 septembre 2026</t>
        </is>
      </c>
      <c r="C57" s="74" t="inlineStr">
        <is>
          <t>A</t>
        </is>
      </c>
      <c r="D57" s="76" t="n">
        <v>46282</v>
      </c>
      <c r="E57" s="74" t="inlineStr">
        <is>
          <t>Jeudi</t>
        </is>
      </c>
      <c r="F57" s="77" t="n">
        <v>0.8125</v>
      </c>
      <c r="G57" s="77" t="n">
        <v>0.875</v>
      </c>
      <c r="H57" s="78">
        <f>IF(OR($F57="",$G57=""),"",($G57-$F57)*24)</f>
        <v/>
      </c>
      <c r="I57" s="74" t="inlineStr">
        <is>
          <t>Secondaire</t>
        </is>
      </c>
      <c r="J57" s="75" t="inlineStr">
        <is>
          <t>3éme SCE</t>
        </is>
      </c>
      <c r="K57" s="63" t="inlineStr">
        <is>
          <t>Arabe</t>
        </is>
      </c>
      <c r="L57" s="63" t="inlineStr">
        <is>
          <t>Arabe</t>
        </is>
      </c>
      <c r="M57" s="75" t="inlineStr">
        <is>
          <t>Najet</t>
        </is>
      </c>
      <c r="N57" s="74" t="n"/>
      <c r="O57" s="74" t="n"/>
      <c r="P57" s="74" t="inlineStr">
        <is>
          <t>Hebdo · groupes alternés</t>
        </is>
      </c>
      <c r="Q57" s="75" t="inlineStr">
        <is>
          <t>3éme Eco + 3éme INFO + 3éme SCE</t>
        </is>
      </c>
      <c r="R57" s="74" t="n">
        <v>3</v>
      </c>
      <c r="S57" s="74" t="inlineStr"/>
      <c r="T57" s="74" t="inlineStr">
        <is>
          <t>S1-044</t>
        </is>
      </c>
      <c r="U57" s="75" t="inlineStr">
        <is>
          <t>Original (septembre)</t>
        </is>
      </c>
      <c r="V57" s="75" t="inlineStr"/>
      <c r="W57" s="10" t="n"/>
      <c r="X57" s="10" t="inlineStr"/>
      <c r="Y57" s="64">
        <f>IF($M57="","",IF(SUMPRODUCT(($D$4:$D$863=$D57)*($M$4:$M$863=$M57)*($T$4:$T$863&lt;&gt;$T57)*($F$4:$F$863&lt;$G57)*($G$4:$G$863&gt;$F57))&gt;0,"⚠ CONFLIT",""))</f>
        <v/>
      </c>
      <c r="Z57" s="64">
        <f>IF($J57="","",IF(SUMPRODUCT(($D$4:$D$863=$D57)*($J$4:$J$863=$J57)*($T$4:$T$863&lt;&gt;$T57)*($F$4:$F$863&lt;$G57)*($G$4:$G$863&gt;$F57)*(1-($X$4:$X$863="Oui")*($X57="Oui")))&gt;0,"⚠ CONFLIT",""))</f>
        <v/>
      </c>
      <c r="AA57" s="64">
        <f>IF(COUNTIFS($D$4:$D$863,$D57,$J$4:$J$863,$J57,$F$4:$F$863,$F57,$K$4:$K$863,$K57)&gt;1,"⚠ DOUBLON","")</f>
        <v/>
      </c>
      <c r="AB57" s="64">
        <f>IF(COUNTIF($T$4:$T$863,$T57)&lt;&gt;COUNTIFS($T$4:$T$863,$T57,$D$4:$D$863,$D57,$F$4:$F$863,$F57,$G$4:$G$863,$G57,$K$4:$K$863,$K57,$M$4:$M$863,$M57),"⚠ INCOHÉRENT","")</f>
        <v/>
      </c>
      <c r="AC57" s="64">
        <f>COUNTIFS($A$4:$A57,$A57,$J$4:$J57,$J57,$E$4:$E57,$E57)</f>
        <v/>
      </c>
      <c r="AD57" s="65">
        <f>$A57&amp;"|"&amp;$J57&amp;"|"&amp;$E57&amp;"|"&amp;$AC57</f>
        <v/>
      </c>
      <c r="AE57" s="66">
        <f>IF($W57&lt;&gt;"","⚑ "&amp;$W57&amp;CHAR(10),"")&amp;TEXT($F57,"hh:mm")&amp;"-"&amp;TEXT($G57,"hh:mm")&amp;IF(OR($P57="Quinzaine A",AND($P57="Hebdo · groupes alternés",$C57="A"))," Q-A",IF(OR($P57="Quinzaine B",AND($P57="Hebdo · groupes alternés",$C57="B"))," Q-B",IF($P57="Exception"," PONCT.","")))&amp;IF($X57="Oui"," OPT","")&amp;CHAR(10)&amp;$K57&amp;CHAR(10)&amp;$M57&amp;IF($N57&lt;&gt;"",CHAR(10)&amp;"Salle "&amp;$N57,"")&amp;IF($O57="En ligne",CHAR(10)&amp;"EN LIGNE","")&amp;IF($V57&lt;&gt;"",CHAR(10)&amp;$V57,"")</f>
        <v/>
      </c>
      <c r="AF57" s="65" t="inlineStr">
        <is>
          <t>19h30-21h Arabe (Najet) /par quinzaine</t>
        </is>
      </c>
      <c r="AG57" s="65" t="inlineStr">
        <is>
          <t>du 14-09 jusquà le 20-09!J62</t>
        </is>
      </c>
    </row>
    <row r="58" ht="15" customHeight="1">
      <c r="A58" s="81" t="inlineStr">
        <is>
          <t>S1</t>
        </is>
      </c>
      <c r="B58" s="82" t="inlineStr">
        <is>
          <t>du 14 au 20 septembre 2026</t>
        </is>
      </c>
      <c r="C58" s="81" t="inlineStr">
        <is>
          <t>A</t>
        </is>
      </c>
      <c r="D58" s="83" t="n">
        <v>46282</v>
      </c>
      <c r="E58" s="81" t="inlineStr">
        <is>
          <t>Jeudi</t>
        </is>
      </c>
      <c r="F58" s="84" t="n">
        <v>0.7916666666666666</v>
      </c>
      <c r="G58" s="84" t="n">
        <v>0.8541666666666666</v>
      </c>
      <c r="H58" s="85">
        <f>IF(OR($F58="",$G58=""),"",($G58-$F58)*24)</f>
        <v/>
      </c>
      <c r="I58" s="81" t="inlineStr">
        <is>
          <t>Bac</t>
        </is>
      </c>
      <c r="J58" s="82" t="inlineStr">
        <is>
          <t>Bac Eco</t>
        </is>
      </c>
      <c r="K58" s="91" t="inlineStr">
        <is>
          <t>Philo</t>
        </is>
      </c>
      <c r="L58" s="91" t="inlineStr">
        <is>
          <t>Philo</t>
        </is>
      </c>
      <c r="M58" s="82" t="inlineStr">
        <is>
          <t>Fayssel</t>
        </is>
      </c>
      <c r="N58" s="81" t="n"/>
      <c r="O58" s="81" t="n"/>
      <c r="P58" s="81" t="inlineStr">
        <is>
          <t>Hebdo · groupes alternés</t>
        </is>
      </c>
      <c r="Q58" s="82" t="inlineStr">
        <is>
          <t>Bac Eco + Bac SCE + Bac INFO</t>
        </is>
      </c>
      <c r="R58" s="81" t="n">
        <v>3</v>
      </c>
      <c r="S58" s="81" t="inlineStr">
        <is>
          <t>Oui</t>
        </is>
      </c>
      <c r="T58" s="81" t="inlineStr">
        <is>
          <t>S1-045</t>
        </is>
      </c>
      <c r="U58" s="82" t="inlineStr">
        <is>
          <t>Original (septembre)</t>
        </is>
      </c>
      <c r="V58" s="82" t="inlineStr"/>
      <c r="W58" s="10" t="n"/>
      <c r="X58" s="10" t="inlineStr"/>
      <c r="Y58" s="64">
        <f>IF($M58="","",IF(SUMPRODUCT(($D$4:$D$863=$D58)*($M$4:$M$863=$M58)*($T$4:$T$863&lt;&gt;$T58)*($F$4:$F$863&lt;$G58)*($G$4:$G$863&gt;$F58))&gt;0,"⚠ CONFLIT",""))</f>
        <v/>
      </c>
      <c r="Z58" s="64">
        <f>IF($J58="","",IF(SUMPRODUCT(($D$4:$D$863=$D58)*($J$4:$J$863=$J58)*($T$4:$T$863&lt;&gt;$T58)*($F$4:$F$863&lt;$G58)*($G$4:$G$863&gt;$F58)*(1-($X$4:$X$863="Oui")*($X58="Oui")))&gt;0,"⚠ CONFLIT",""))</f>
        <v/>
      </c>
      <c r="AA58" s="64">
        <f>IF(COUNTIFS($D$4:$D$863,$D58,$J$4:$J$863,$J58,$F$4:$F$863,$F58,$K$4:$K$863,$K58)&gt;1,"⚠ DOUBLON","")</f>
        <v/>
      </c>
      <c r="AB58" s="64">
        <f>IF(COUNTIF($T$4:$T$863,$T58)&lt;&gt;COUNTIFS($T$4:$T$863,$T58,$D$4:$D$863,$D58,$F$4:$F$863,$F58,$G$4:$G$863,$G58,$K$4:$K$863,$K58,$M$4:$M$863,$M58),"⚠ INCOHÉRENT","")</f>
        <v/>
      </c>
      <c r="AC58" s="64">
        <f>COUNTIFS($A$4:$A58,$A58,$J$4:$J58,$J58,$E$4:$E58,$E58)</f>
        <v/>
      </c>
      <c r="AD58" s="65">
        <f>$A58&amp;"|"&amp;$J58&amp;"|"&amp;$E58&amp;"|"&amp;$AC58</f>
        <v/>
      </c>
      <c r="AE58" s="66">
        <f>IF($W58&lt;&gt;"","⚑ "&amp;$W58&amp;CHAR(10),"")&amp;TEXT($F58,"hh:mm")&amp;"-"&amp;TEXT($G58,"hh:mm")&amp;IF(OR($P58="Quinzaine A",AND($P58="Hebdo · groupes alternés",$C58="A"))," Q-A",IF(OR($P58="Quinzaine B",AND($P58="Hebdo · groupes alternés",$C58="B"))," Q-B",IF($P58="Exception"," PONCT.","")))&amp;IF($X58="Oui"," OPT","")&amp;CHAR(10)&amp;$K58&amp;CHAR(10)&amp;$M58&amp;IF($N58&lt;&gt;"",CHAR(10)&amp;"Salle "&amp;$N58,"")&amp;IF($O58="En ligne",CHAR(10)&amp;"EN LIGNE","")&amp;IF($V58&lt;&gt;"",CHAR(10)&amp;$V58,"")</f>
        <v/>
      </c>
      <c r="AF58" s="65" t="inlineStr">
        <is>
          <t>19h-20h30 Philo (Fayssel) /par quizaine</t>
        </is>
      </c>
      <c r="AG58" s="65" t="inlineStr">
        <is>
          <t>du 14-09 jusquà le 20-09!J68</t>
        </is>
      </c>
    </row>
    <row r="59" ht="15" customHeight="1">
      <c r="A59" s="81" t="inlineStr">
        <is>
          <t>S1</t>
        </is>
      </c>
      <c r="B59" s="82" t="inlineStr">
        <is>
          <t>du 14 au 20 septembre 2026</t>
        </is>
      </c>
      <c r="C59" s="81" t="inlineStr">
        <is>
          <t>A</t>
        </is>
      </c>
      <c r="D59" s="83" t="n">
        <v>46282</v>
      </c>
      <c r="E59" s="81" t="inlineStr">
        <is>
          <t>Jeudi</t>
        </is>
      </c>
      <c r="F59" s="84" t="n">
        <v>0.7916666666666666</v>
      </c>
      <c r="G59" s="84" t="n">
        <v>0.8541666666666666</v>
      </c>
      <c r="H59" s="85">
        <f>IF(OR($F59="",$G59=""),"",($G59-$F59)*24)</f>
        <v/>
      </c>
      <c r="I59" s="81" t="inlineStr">
        <is>
          <t>Bac</t>
        </is>
      </c>
      <c r="J59" s="82" t="inlineStr">
        <is>
          <t>Bac SCE</t>
        </is>
      </c>
      <c r="K59" s="91" t="inlineStr">
        <is>
          <t>Philo</t>
        </is>
      </c>
      <c r="L59" s="91" t="inlineStr">
        <is>
          <t>Philo</t>
        </is>
      </c>
      <c r="M59" s="82" t="inlineStr">
        <is>
          <t>Fayssel</t>
        </is>
      </c>
      <c r="N59" s="81" t="n"/>
      <c r="O59" s="81" t="n"/>
      <c r="P59" s="81" t="inlineStr">
        <is>
          <t>Hebdo · groupes alternés</t>
        </is>
      </c>
      <c r="Q59" s="82" t="inlineStr">
        <is>
          <t>Bac Eco + Bac SCE + Bac INFO</t>
        </is>
      </c>
      <c r="R59" s="81" t="n">
        <v>3</v>
      </c>
      <c r="S59" s="81" t="inlineStr"/>
      <c r="T59" s="81" t="inlineStr">
        <is>
          <t>S1-045</t>
        </is>
      </c>
      <c r="U59" s="82" t="inlineStr">
        <is>
          <t>Original (septembre)</t>
        </is>
      </c>
      <c r="V59" s="82" t="inlineStr"/>
      <c r="W59" s="10" t="n"/>
      <c r="X59" s="10" t="inlineStr"/>
      <c r="Y59" s="64">
        <f>IF($M59="","",IF(SUMPRODUCT(($D$4:$D$863=$D59)*($M$4:$M$863=$M59)*($T$4:$T$863&lt;&gt;$T59)*($F$4:$F$863&lt;$G59)*($G$4:$G$863&gt;$F59))&gt;0,"⚠ CONFLIT",""))</f>
        <v/>
      </c>
      <c r="Z59" s="64">
        <f>IF($J59="","",IF(SUMPRODUCT(($D$4:$D$863=$D59)*($J$4:$J$863=$J59)*($T$4:$T$863&lt;&gt;$T59)*($F$4:$F$863&lt;$G59)*($G$4:$G$863&gt;$F59)*(1-($X$4:$X$863="Oui")*($X59="Oui")))&gt;0,"⚠ CONFLIT",""))</f>
        <v/>
      </c>
      <c r="AA59" s="64">
        <f>IF(COUNTIFS($D$4:$D$863,$D59,$J$4:$J$863,$J59,$F$4:$F$863,$F59,$K$4:$K$863,$K59)&gt;1,"⚠ DOUBLON","")</f>
        <v/>
      </c>
      <c r="AB59" s="64">
        <f>IF(COUNTIF($T$4:$T$863,$T59)&lt;&gt;COUNTIFS($T$4:$T$863,$T59,$D$4:$D$863,$D59,$F$4:$F$863,$F59,$G$4:$G$863,$G59,$K$4:$K$863,$K59,$M$4:$M$863,$M59),"⚠ INCOHÉRENT","")</f>
        <v/>
      </c>
      <c r="AC59" s="64">
        <f>COUNTIFS($A$4:$A59,$A59,$J$4:$J59,$J59,$E$4:$E59,$E59)</f>
        <v/>
      </c>
      <c r="AD59" s="65">
        <f>$A59&amp;"|"&amp;$J59&amp;"|"&amp;$E59&amp;"|"&amp;$AC59</f>
        <v/>
      </c>
      <c r="AE59" s="66">
        <f>IF($W59&lt;&gt;"","⚑ "&amp;$W59&amp;CHAR(10),"")&amp;TEXT($F59,"hh:mm")&amp;"-"&amp;TEXT($G59,"hh:mm")&amp;IF(OR($P59="Quinzaine A",AND($P59="Hebdo · groupes alternés",$C59="A"))," Q-A",IF(OR($P59="Quinzaine B",AND($P59="Hebdo · groupes alternés",$C59="B"))," Q-B",IF($P59="Exception"," PONCT.","")))&amp;IF($X59="Oui"," OPT","")&amp;CHAR(10)&amp;$K59&amp;CHAR(10)&amp;$M59&amp;IF($N59&lt;&gt;"",CHAR(10)&amp;"Salle "&amp;$N59,"")&amp;IF($O59="En ligne",CHAR(10)&amp;"EN LIGNE","")&amp;IF($V59&lt;&gt;"",CHAR(10)&amp;$V59,"")</f>
        <v/>
      </c>
      <c r="AF59" s="65" t="inlineStr">
        <is>
          <t>19h-20h30 Philo (Fayssel) /par quizaine</t>
        </is>
      </c>
      <c r="AG59" s="65" t="inlineStr">
        <is>
          <t>du 14-09 jusquà le 20-09!J68</t>
        </is>
      </c>
    </row>
    <row r="60" ht="15" customHeight="1">
      <c r="A60" s="81" t="inlineStr">
        <is>
          <t>S1</t>
        </is>
      </c>
      <c r="B60" s="82" t="inlineStr">
        <is>
          <t>du 14 au 20 septembre 2026</t>
        </is>
      </c>
      <c r="C60" s="81" t="inlineStr">
        <is>
          <t>A</t>
        </is>
      </c>
      <c r="D60" s="83" t="n">
        <v>46282</v>
      </c>
      <c r="E60" s="81" t="inlineStr">
        <is>
          <t>Jeudi</t>
        </is>
      </c>
      <c r="F60" s="84" t="n">
        <v>0.7916666666666666</v>
      </c>
      <c r="G60" s="84" t="n">
        <v>0.8541666666666666</v>
      </c>
      <c r="H60" s="85">
        <f>IF(OR($F60="",$G60=""),"",($G60-$F60)*24)</f>
        <v/>
      </c>
      <c r="I60" s="81" t="inlineStr">
        <is>
          <t>Bac</t>
        </is>
      </c>
      <c r="J60" s="82" t="inlineStr">
        <is>
          <t>Bac INFO</t>
        </is>
      </c>
      <c r="K60" s="91" t="inlineStr">
        <is>
          <t>Philo</t>
        </is>
      </c>
      <c r="L60" s="91" t="inlineStr">
        <is>
          <t>Philo</t>
        </is>
      </c>
      <c r="M60" s="82" t="inlineStr">
        <is>
          <t>Fayssel</t>
        </is>
      </c>
      <c r="N60" s="81" t="n"/>
      <c r="O60" s="81" t="n"/>
      <c r="P60" s="81" t="inlineStr">
        <is>
          <t>Hebdo · groupes alternés</t>
        </is>
      </c>
      <c r="Q60" s="82" t="inlineStr">
        <is>
          <t>Bac Eco + Bac SCE + Bac INFO</t>
        </is>
      </c>
      <c r="R60" s="81" t="n">
        <v>3</v>
      </c>
      <c r="S60" s="81" t="inlineStr"/>
      <c r="T60" s="81" t="inlineStr">
        <is>
          <t>S1-045</t>
        </is>
      </c>
      <c r="U60" s="82" t="inlineStr">
        <is>
          <t>Original (septembre)</t>
        </is>
      </c>
      <c r="V60" s="82" t="inlineStr"/>
      <c r="W60" s="10" t="n"/>
      <c r="X60" s="10" t="inlineStr"/>
      <c r="Y60" s="64">
        <f>IF($M60="","",IF(SUMPRODUCT(($D$4:$D$863=$D60)*($M$4:$M$863=$M60)*($T$4:$T$863&lt;&gt;$T60)*($F$4:$F$863&lt;$G60)*($G$4:$G$863&gt;$F60))&gt;0,"⚠ CONFLIT",""))</f>
        <v/>
      </c>
      <c r="Z60" s="64">
        <f>IF($J60="","",IF(SUMPRODUCT(($D$4:$D$863=$D60)*($J$4:$J$863=$J60)*($T$4:$T$863&lt;&gt;$T60)*($F$4:$F$863&lt;$G60)*($G$4:$G$863&gt;$F60)*(1-($X$4:$X$863="Oui")*($X60="Oui")))&gt;0,"⚠ CONFLIT",""))</f>
        <v/>
      </c>
      <c r="AA60" s="64">
        <f>IF(COUNTIFS($D$4:$D$863,$D60,$J$4:$J$863,$J60,$F$4:$F$863,$F60,$K$4:$K$863,$K60)&gt;1,"⚠ DOUBLON","")</f>
        <v/>
      </c>
      <c r="AB60" s="64">
        <f>IF(COUNTIF($T$4:$T$863,$T60)&lt;&gt;COUNTIFS($T$4:$T$863,$T60,$D$4:$D$863,$D60,$F$4:$F$863,$F60,$G$4:$G$863,$G60,$K$4:$K$863,$K60,$M$4:$M$863,$M60),"⚠ INCOHÉRENT","")</f>
        <v/>
      </c>
      <c r="AC60" s="64">
        <f>COUNTIFS($A$4:$A60,$A60,$J$4:$J60,$J60,$E$4:$E60,$E60)</f>
        <v/>
      </c>
      <c r="AD60" s="65">
        <f>$A60&amp;"|"&amp;$J60&amp;"|"&amp;$E60&amp;"|"&amp;$AC60</f>
        <v/>
      </c>
      <c r="AE60" s="66">
        <f>IF($W60&lt;&gt;"","⚑ "&amp;$W60&amp;CHAR(10),"")&amp;TEXT($F60,"hh:mm")&amp;"-"&amp;TEXT($G60,"hh:mm")&amp;IF(OR($P60="Quinzaine A",AND($P60="Hebdo · groupes alternés",$C60="A"))," Q-A",IF(OR($P60="Quinzaine B",AND($P60="Hebdo · groupes alternés",$C60="B"))," Q-B",IF($P60="Exception"," PONCT.","")))&amp;IF($X60="Oui"," OPT","")&amp;CHAR(10)&amp;$K60&amp;CHAR(10)&amp;$M60&amp;IF($N60&lt;&gt;"",CHAR(10)&amp;"Salle "&amp;$N60,"")&amp;IF($O60="En ligne",CHAR(10)&amp;"EN LIGNE","")&amp;IF($V60&lt;&gt;"",CHAR(10)&amp;$V60,"")</f>
        <v/>
      </c>
      <c r="AF60" s="65" t="inlineStr">
        <is>
          <t>19h-20h30 Philo (Fayssel) /par quizaine</t>
        </is>
      </c>
      <c r="AG60" s="65" t="inlineStr">
        <is>
          <t>du 14-09 jusquà le 20-09!J68</t>
        </is>
      </c>
    </row>
    <row r="61" ht="15" customHeight="1">
      <c r="A61" s="58" t="inlineStr">
        <is>
          <t>S1</t>
        </is>
      </c>
      <c r="B61" s="59" t="inlineStr">
        <is>
          <t>du 14 au 20 septembre 2026</t>
        </is>
      </c>
      <c r="C61" s="58" t="inlineStr">
        <is>
          <t>A</t>
        </is>
      </c>
      <c r="D61" s="60" t="n">
        <v>46283</v>
      </c>
      <c r="E61" s="58" t="inlineStr">
        <is>
          <t>Vendredi</t>
        </is>
      </c>
      <c r="F61" s="61" t="n">
        <v>0.7916666666666666</v>
      </c>
      <c r="G61" s="61" t="n">
        <v>0.8541666666666666</v>
      </c>
      <c r="H61" s="62">
        <f>IF(OR($F61="",$G61=""),"",($G61-$F61)*24)</f>
        <v/>
      </c>
      <c r="I61" s="58" t="inlineStr">
        <is>
          <t>Primaire</t>
        </is>
      </c>
      <c r="J61" s="59" t="inlineStr">
        <is>
          <t>4éme</t>
        </is>
      </c>
      <c r="K61" s="92" t="inlineStr">
        <is>
          <t>إيقاظ علمي</t>
        </is>
      </c>
      <c r="L61" s="92" t="inlineStr">
        <is>
          <t>Éveil scientifique</t>
        </is>
      </c>
      <c r="M61" s="59" t="inlineStr">
        <is>
          <t>Bassma</t>
        </is>
      </c>
      <c r="N61" s="58" t="n"/>
      <c r="O61" s="58" t="n"/>
      <c r="P61" s="58" t="inlineStr">
        <is>
          <t>Hebdo · groupes alternés</t>
        </is>
      </c>
      <c r="Q61" s="59" t="inlineStr"/>
      <c r="R61" s="58" t="n">
        <v>1</v>
      </c>
      <c r="S61" s="58" t="inlineStr">
        <is>
          <t>Oui</t>
        </is>
      </c>
      <c r="T61" s="58" t="inlineStr">
        <is>
          <t>S1-046</t>
        </is>
      </c>
      <c r="U61" s="59" t="inlineStr">
        <is>
          <t>Original (septembre)</t>
        </is>
      </c>
      <c r="V61" s="59" t="inlineStr"/>
      <c r="W61" s="10" t="n"/>
      <c r="X61" s="10" t="inlineStr"/>
      <c r="Y61" s="64">
        <f>IF($M61="","",IF(SUMPRODUCT(($D$4:$D$863=$D61)*($M$4:$M$863=$M61)*($T$4:$T$863&lt;&gt;$T61)*($F$4:$F$863&lt;$G61)*($G$4:$G$863&gt;$F61))&gt;0,"⚠ CONFLIT",""))</f>
        <v/>
      </c>
      <c r="Z61" s="64">
        <f>IF($J61="","",IF(SUMPRODUCT(($D$4:$D$863=$D61)*($J$4:$J$863=$J61)*($T$4:$T$863&lt;&gt;$T61)*($F$4:$F$863&lt;$G61)*($G$4:$G$863&gt;$F61)*(1-($X$4:$X$863="Oui")*($X61="Oui")))&gt;0,"⚠ CONFLIT",""))</f>
        <v/>
      </c>
      <c r="AA61" s="64">
        <f>IF(COUNTIFS($D$4:$D$863,$D61,$J$4:$J$863,$J61,$F$4:$F$863,$F61,$K$4:$K$863,$K61)&gt;1,"⚠ DOUBLON","")</f>
        <v/>
      </c>
      <c r="AB61" s="64">
        <f>IF(COUNTIF($T$4:$T$863,$T61)&lt;&gt;COUNTIFS($T$4:$T$863,$T61,$D$4:$D$863,$D61,$F$4:$F$863,$F61,$G$4:$G$863,$G61,$K$4:$K$863,$K61,$M$4:$M$863,$M61),"⚠ INCOHÉRENT","")</f>
        <v/>
      </c>
      <c r="AC61" s="64">
        <f>COUNTIFS($A$4:$A61,$A61,$J$4:$J61,$J61,$E$4:$E61,$E61)</f>
        <v/>
      </c>
      <c r="AD61" s="65">
        <f>$A61&amp;"|"&amp;$J61&amp;"|"&amp;$E61&amp;"|"&amp;$AC61</f>
        <v/>
      </c>
      <c r="AE61" s="66">
        <f>IF($W61&lt;&gt;"","⚑ "&amp;$W61&amp;CHAR(10),"")&amp;TEXT($F61,"hh:mm")&amp;"-"&amp;TEXT($G61,"hh:mm")&amp;IF(OR($P61="Quinzaine A",AND($P61="Hebdo · groupes alternés",$C61="A"))," Q-A",IF(OR($P61="Quinzaine B",AND($P61="Hebdo · groupes alternés",$C61="B"))," Q-B",IF($P61="Exception"," PONCT.","")))&amp;IF($X61="Oui"," OPT","")&amp;CHAR(10)&amp;$K61&amp;CHAR(10)&amp;$M61&amp;IF($N61&lt;&gt;"",CHAR(10)&amp;"Salle "&amp;$N61,"")&amp;IF($O61="En ligne",CHAR(10)&amp;"EN LIGNE","")&amp;IF($V61&lt;&gt;"",CHAR(10)&amp;$V61,"")</f>
        <v/>
      </c>
      <c r="AF61" s="65" t="inlineStr">
        <is>
          <t>19h-20h30 إيقاظ علمي /par quinzaine (Bassma)</t>
        </is>
      </c>
      <c r="AG61" s="65" t="inlineStr">
        <is>
          <t>du 14-09 jusquà le 20-09!K3</t>
        </is>
      </c>
    </row>
    <row r="62" ht="15" customHeight="1">
      <c r="A62" s="58" t="inlineStr">
        <is>
          <t>S1</t>
        </is>
      </c>
      <c r="B62" s="59" t="inlineStr">
        <is>
          <t>du 14 au 20 septembre 2026</t>
        </is>
      </c>
      <c r="C62" s="58" t="inlineStr">
        <is>
          <t>A</t>
        </is>
      </c>
      <c r="D62" s="60" t="n">
        <v>46283</v>
      </c>
      <c r="E62" s="58" t="inlineStr">
        <is>
          <t>Vendredi</t>
        </is>
      </c>
      <c r="F62" s="61" t="n">
        <v>0.8125</v>
      </c>
      <c r="G62" s="61" t="n">
        <v>0.875</v>
      </c>
      <c r="H62" s="62">
        <f>IF(OR($F62="",$G62=""),"",($G62-$F62)*24)</f>
        <v/>
      </c>
      <c r="I62" s="58" t="inlineStr">
        <is>
          <t>Primaire</t>
        </is>
      </c>
      <c r="J62" s="59" t="inlineStr">
        <is>
          <t>6éme Pilote (A)</t>
        </is>
      </c>
      <c r="K62" s="92" t="inlineStr">
        <is>
          <t>إيقاظ علمي</t>
        </is>
      </c>
      <c r="L62" s="92" t="inlineStr">
        <is>
          <t>Éveil scientifique</t>
        </is>
      </c>
      <c r="M62" s="59" t="inlineStr">
        <is>
          <t>Noura</t>
        </is>
      </c>
      <c r="N62" s="58" t="n"/>
      <c r="O62" s="58" t="n"/>
      <c r="P62" s="58" t="inlineStr">
        <is>
          <t>Hebdomadaire</t>
        </is>
      </c>
      <c r="Q62" s="59" t="inlineStr">
        <is>
          <t>6éme Pilote (A) + 6éme (B)</t>
        </is>
      </c>
      <c r="R62" s="58" t="n">
        <v>2</v>
      </c>
      <c r="S62" s="58" t="inlineStr">
        <is>
          <t>Oui</t>
        </is>
      </c>
      <c r="T62" s="58" t="inlineStr">
        <is>
          <t>S1-047</t>
        </is>
      </c>
      <c r="U62" s="59" t="inlineStr">
        <is>
          <t>Original (septembre)</t>
        </is>
      </c>
      <c r="V62" s="59" t="inlineStr"/>
      <c r="W62" s="10" t="n"/>
      <c r="X62" s="10" t="inlineStr"/>
      <c r="Y62" s="64">
        <f>IF($M62="","",IF(SUMPRODUCT(($D$4:$D$863=$D62)*($M$4:$M$863=$M62)*($T$4:$T$863&lt;&gt;$T62)*($F$4:$F$863&lt;$G62)*($G$4:$G$863&gt;$F62))&gt;0,"⚠ CONFLIT",""))</f>
        <v/>
      </c>
      <c r="Z62" s="64">
        <f>IF($J62="","",IF(SUMPRODUCT(($D$4:$D$863=$D62)*($J$4:$J$863=$J62)*($T$4:$T$863&lt;&gt;$T62)*($F$4:$F$863&lt;$G62)*($G$4:$G$863&gt;$F62)*(1-($X$4:$X$863="Oui")*($X62="Oui")))&gt;0,"⚠ CONFLIT",""))</f>
        <v/>
      </c>
      <c r="AA62" s="64">
        <f>IF(COUNTIFS($D$4:$D$863,$D62,$J$4:$J$863,$J62,$F$4:$F$863,$F62,$K$4:$K$863,$K62)&gt;1,"⚠ DOUBLON","")</f>
        <v/>
      </c>
      <c r="AB62" s="64">
        <f>IF(COUNTIF($T$4:$T$863,$T62)&lt;&gt;COUNTIFS($T$4:$T$863,$T62,$D$4:$D$863,$D62,$F$4:$F$863,$F62,$G$4:$G$863,$G62,$K$4:$K$863,$K62,$M$4:$M$863,$M62),"⚠ INCOHÉRENT","")</f>
        <v/>
      </c>
      <c r="AC62" s="64">
        <f>COUNTIFS($A$4:$A62,$A62,$J$4:$J62,$J62,$E$4:$E62,$E62)</f>
        <v/>
      </c>
      <c r="AD62" s="65">
        <f>$A62&amp;"|"&amp;$J62&amp;"|"&amp;$E62&amp;"|"&amp;$AC62</f>
        <v/>
      </c>
      <c r="AE62" s="66">
        <f>IF($W62&lt;&gt;"","⚑ "&amp;$W62&amp;CHAR(10),"")&amp;TEXT($F62,"hh:mm")&amp;"-"&amp;TEXT($G62,"hh:mm")&amp;IF(OR($P62="Quinzaine A",AND($P62="Hebdo · groupes alternés",$C62="A"))," Q-A",IF(OR($P62="Quinzaine B",AND($P62="Hebdo · groupes alternés",$C62="B"))," Q-B",IF($P62="Exception"," PONCT.","")))&amp;IF($X62="Oui"," OPT","")&amp;CHAR(10)&amp;$K62&amp;CHAR(10)&amp;$M62&amp;IF($N62&lt;&gt;"",CHAR(10)&amp;"Salle "&amp;$N62,"")&amp;IF($O62="En ligne",CHAR(10)&amp;"EN LIGNE","")&amp;IF($V62&lt;&gt;"",CHAR(10)&amp;$V62,"")</f>
        <v/>
      </c>
      <c r="AF62" s="65" t="inlineStr">
        <is>
          <t>19h30-21h إيقاظ علمي (Noura)</t>
        </is>
      </c>
      <c r="AG62" s="65" t="inlineStr">
        <is>
          <t>du 14-09 jusquà le 20-09!K12</t>
        </is>
      </c>
    </row>
    <row r="63" ht="15" customHeight="1">
      <c r="A63" s="58" t="inlineStr">
        <is>
          <t>S1</t>
        </is>
      </c>
      <c r="B63" s="59" t="inlineStr">
        <is>
          <t>du 14 au 20 septembre 2026</t>
        </is>
      </c>
      <c r="C63" s="58" t="inlineStr">
        <is>
          <t>A</t>
        </is>
      </c>
      <c r="D63" s="60" t="n">
        <v>46283</v>
      </c>
      <c r="E63" s="58" t="inlineStr">
        <is>
          <t>Vendredi</t>
        </is>
      </c>
      <c r="F63" s="61" t="n">
        <v>0.8125</v>
      </c>
      <c r="G63" s="61" t="n">
        <v>0.875</v>
      </c>
      <c r="H63" s="62">
        <f>IF(OR($F63="",$G63=""),"",($G63-$F63)*24)</f>
        <v/>
      </c>
      <c r="I63" s="58" t="inlineStr">
        <is>
          <t>Primaire</t>
        </is>
      </c>
      <c r="J63" s="59" t="inlineStr">
        <is>
          <t>6éme (B)</t>
        </is>
      </c>
      <c r="K63" s="92" t="inlineStr">
        <is>
          <t>إيقاظ علمي</t>
        </is>
      </c>
      <c r="L63" s="92" t="inlineStr">
        <is>
          <t>Éveil scientifique</t>
        </is>
      </c>
      <c r="M63" s="59" t="inlineStr">
        <is>
          <t>Noura</t>
        </is>
      </c>
      <c r="N63" s="58" t="n"/>
      <c r="O63" s="58" t="n"/>
      <c r="P63" s="58" t="inlineStr">
        <is>
          <t>Hebdomadaire</t>
        </is>
      </c>
      <c r="Q63" s="59" t="inlineStr">
        <is>
          <t>6éme Pilote (A) + 6éme (B)</t>
        </is>
      </c>
      <c r="R63" s="58" t="n">
        <v>2</v>
      </c>
      <c r="S63" s="58" t="inlineStr"/>
      <c r="T63" s="58" t="inlineStr">
        <is>
          <t>S1-047</t>
        </is>
      </c>
      <c r="U63" s="59" t="inlineStr">
        <is>
          <t>Original (septembre)</t>
        </is>
      </c>
      <c r="V63" s="59" t="inlineStr"/>
      <c r="W63" s="10" t="n"/>
      <c r="X63" s="10" t="inlineStr"/>
      <c r="Y63" s="64">
        <f>IF($M63="","",IF(SUMPRODUCT(($D$4:$D$863=$D63)*($M$4:$M$863=$M63)*($T$4:$T$863&lt;&gt;$T63)*($F$4:$F$863&lt;$G63)*($G$4:$G$863&gt;$F63))&gt;0,"⚠ CONFLIT",""))</f>
        <v/>
      </c>
      <c r="Z63" s="64">
        <f>IF($J63="","",IF(SUMPRODUCT(($D$4:$D$863=$D63)*($J$4:$J$863=$J63)*($T$4:$T$863&lt;&gt;$T63)*($F$4:$F$863&lt;$G63)*($G$4:$G$863&gt;$F63)*(1-($X$4:$X$863="Oui")*($X63="Oui")))&gt;0,"⚠ CONFLIT",""))</f>
        <v/>
      </c>
      <c r="AA63" s="64">
        <f>IF(COUNTIFS($D$4:$D$863,$D63,$J$4:$J$863,$J63,$F$4:$F$863,$F63,$K$4:$K$863,$K63)&gt;1,"⚠ DOUBLON","")</f>
        <v/>
      </c>
      <c r="AB63" s="64">
        <f>IF(COUNTIF($T$4:$T$863,$T63)&lt;&gt;COUNTIFS($T$4:$T$863,$T63,$D$4:$D$863,$D63,$F$4:$F$863,$F63,$G$4:$G$863,$G63,$K$4:$K$863,$K63,$M$4:$M$863,$M63),"⚠ INCOHÉRENT","")</f>
        <v/>
      </c>
      <c r="AC63" s="64">
        <f>COUNTIFS($A$4:$A63,$A63,$J$4:$J63,$J63,$E$4:$E63,$E63)</f>
        <v/>
      </c>
      <c r="AD63" s="65">
        <f>$A63&amp;"|"&amp;$J63&amp;"|"&amp;$E63&amp;"|"&amp;$AC63</f>
        <v/>
      </c>
      <c r="AE63" s="66">
        <f>IF($W63&lt;&gt;"","⚑ "&amp;$W63&amp;CHAR(10),"")&amp;TEXT($F63,"hh:mm")&amp;"-"&amp;TEXT($G63,"hh:mm")&amp;IF(OR($P63="Quinzaine A",AND($P63="Hebdo · groupes alternés",$C63="A"))," Q-A",IF(OR($P63="Quinzaine B",AND($P63="Hebdo · groupes alternés",$C63="B"))," Q-B",IF($P63="Exception"," PONCT.","")))&amp;IF($X63="Oui"," OPT","")&amp;CHAR(10)&amp;$K63&amp;CHAR(10)&amp;$M63&amp;IF($N63&lt;&gt;"",CHAR(10)&amp;"Salle "&amp;$N63,"")&amp;IF($O63="En ligne",CHAR(10)&amp;"EN LIGNE","")&amp;IF($V63&lt;&gt;"",CHAR(10)&amp;$V63,"")</f>
        <v/>
      </c>
      <c r="AF63" s="65" t="inlineStr">
        <is>
          <t>19h30-21h إيقاظ علمي (Noura)</t>
        </is>
      </c>
      <c r="AG63" s="65" t="inlineStr">
        <is>
          <t>du 14-09 jusquà le 20-09!K12</t>
        </is>
      </c>
    </row>
    <row r="64" ht="15" customHeight="1">
      <c r="A64" s="68" t="inlineStr">
        <is>
          <t>S1</t>
        </is>
      </c>
      <c r="B64" s="69" t="inlineStr">
        <is>
          <t>du 14 au 20 septembre 2026</t>
        </is>
      </c>
      <c r="C64" s="68" t="inlineStr">
        <is>
          <t>A</t>
        </is>
      </c>
      <c r="D64" s="70" t="n">
        <v>46283</v>
      </c>
      <c r="E64" s="68" t="inlineStr">
        <is>
          <t>Vendredi</t>
        </is>
      </c>
      <c r="F64" s="71" t="n">
        <v>0.75</v>
      </c>
      <c r="G64" s="71" t="n">
        <v>0.8125</v>
      </c>
      <c r="H64" s="72">
        <f>IF(OR($F64="",$G64=""),"",($G64-$F64)*24)</f>
        <v/>
      </c>
      <c r="I64" s="68" t="inlineStr">
        <is>
          <t>Collège</t>
        </is>
      </c>
      <c r="J64" s="69" t="inlineStr">
        <is>
          <t>7éme (A)</t>
        </is>
      </c>
      <c r="K64" s="79" t="inlineStr">
        <is>
          <t>Math</t>
        </is>
      </c>
      <c r="L64" s="79" t="inlineStr">
        <is>
          <t>Math</t>
        </is>
      </c>
      <c r="M64" s="69" t="inlineStr">
        <is>
          <t>Khouloud</t>
        </is>
      </c>
      <c r="N64" s="68" t="n"/>
      <c r="O64" s="68" t="n"/>
      <c r="P64" s="68" t="inlineStr">
        <is>
          <t>Hebdomadaire</t>
        </is>
      </c>
      <c r="Q64" s="69" t="inlineStr"/>
      <c r="R64" s="68" t="n">
        <v>1</v>
      </c>
      <c r="S64" s="68" t="inlineStr">
        <is>
          <t>Oui</t>
        </is>
      </c>
      <c r="T64" s="68" t="inlineStr">
        <is>
          <t>S1-048</t>
        </is>
      </c>
      <c r="U64" s="69" t="inlineStr">
        <is>
          <t>Original (septembre)</t>
        </is>
      </c>
      <c r="V64" s="69" t="inlineStr"/>
      <c r="W64" s="10" t="n"/>
      <c r="X64" s="10" t="inlineStr"/>
      <c r="Y64" s="64">
        <f>IF($M64="","",IF(SUMPRODUCT(($D$4:$D$863=$D64)*($M$4:$M$863=$M64)*($T$4:$T$863&lt;&gt;$T64)*($F$4:$F$863&lt;$G64)*($G$4:$G$863&gt;$F64))&gt;0,"⚠ CONFLIT",""))</f>
        <v/>
      </c>
      <c r="Z64" s="64">
        <f>IF($J64="","",IF(SUMPRODUCT(($D$4:$D$863=$D64)*($J$4:$J$863=$J64)*($T$4:$T$863&lt;&gt;$T64)*($F$4:$F$863&lt;$G64)*($G$4:$G$863&gt;$F64)*(1-($X$4:$X$863="Oui")*($X64="Oui")))&gt;0,"⚠ CONFLIT",""))</f>
        <v/>
      </c>
      <c r="AA64" s="64">
        <f>IF(COUNTIFS($D$4:$D$863,$D64,$J$4:$J$863,$J64,$F$4:$F$863,$F64,$K$4:$K$863,$K64)&gt;1,"⚠ DOUBLON","")</f>
        <v/>
      </c>
      <c r="AB64" s="64">
        <f>IF(COUNTIF($T$4:$T$863,$T64)&lt;&gt;COUNTIFS($T$4:$T$863,$T64,$D$4:$D$863,$D64,$F$4:$F$863,$F64,$G$4:$G$863,$G64,$K$4:$K$863,$K64,$M$4:$M$863,$M64),"⚠ INCOHÉRENT","")</f>
        <v/>
      </c>
      <c r="AC64" s="64">
        <f>COUNTIFS($A$4:$A64,$A64,$J$4:$J64,$J64,$E$4:$E64,$E64)</f>
        <v/>
      </c>
      <c r="AD64" s="65">
        <f>$A64&amp;"|"&amp;$J64&amp;"|"&amp;$E64&amp;"|"&amp;$AC64</f>
        <v/>
      </c>
      <c r="AE64" s="66">
        <f>IF($W64&lt;&gt;"","⚑ "&amp;$W64&amp;CHAR(10),"")&amp;TEXT($F64,"hh:mm")&amp;"-"&amp;TEXT($G64,"hh:mm")&amp;IF(OR($P64="Quinzaine A",AND($P64="Hebdo · groupes alternés",$C64="A"))," Q-A",IF(OR($P64="Quinzaine B",AND($P64="Hebdo · groupes alternés",$C64="B"))," Q-B",IF($P64="Exception"," PONCT.","")))&amp;IF($X64="Oui"," OPT","")&amp;CHAR(10)&amp;$K64&amp;CHAR(10)&amp;$M64&amp;IF($N64&lt;&gt;"",CHAR(10)&amp;"Salle "&amp;$N64,"")&amp;IF($O64="En ligne",CHAR(10)&amp;"EN LIGNE","")&amp;IF($V64&lt;&gt;"",CHAR(10)&amp;$V64,"")</f>
        <v/>
      </c>
      <c r="AF64" s="65" t="inlineStr">
        <is>
          <t>18h-19h30 Math (Khouloud)</t>
        </is>
      </c>
      <c r="AG64" s="65" t="inlineStr">
        <is>
          <t>du 14-09 jusquà le 20-09!K19</t>
        </is>
      </c>
    </row>
    <row r="65" ht="15" customHeight="1">
      <c r="A65" s="68" t="inlineStr">
        <is>
          <t>S1</t>
        </is>
      </c>
      <c r="B65" s="69" t="inlineStr">
        <is>
          <t>du 14 au 20 septembre 2026</t>
        </is>
      </c>
      <c r="C65" s="68" t="inlineStr">
        <is>
          <t>A</t>
        </is>
      </c>
      <c r="D65" s="70" t="n">
        <v>46283</v>
      </c>
      <c r="E65" s="68" t="inlineStr">
        <is>
          <t>Vendredi</t>
        </is>
      </c>
      <c r="F65" s="71" t="n">
        <v>0.8125</v>
      </c>
      <c r="G65" s="71" t="n">
        <v>0.875</v>
      </c>
      <c r="H65" s="72">
        <f>IF(OR($F65="",$G65=""),"",($G65-$F65)*24)</f>
        <v/>
      </c>
      <c r="I65" s="68" t="inlineStr">
        <is>
          <t>Collège</t>
        </is>
      </c>
      <c r="J65" s="69" t="inlineStr">
        <is>
          <t>7éme (B)</t>
        </is>
      </c>
      <c r="K65" s="79" t="inlineStr">
        <is>
          <t>Math</t>
        </is>
      </c>
      <c r="L65" s="79" t="inlineStr">
        <is>
          <t>Math</t>
        </is>
      </c>
      <c r="M65" s="69" t="inlineStr">
        <is>
          <t>Khouloud</t>
        </is>
      </c>
      <c r="N65" s="68" t="n"/>
      <c r="O65" s="68" t="n"/>
      <c r="P65" s="68" t="inlineStr">
        <is>
          <t>Hebdomadaire</t>
        </is>
      </c>
      <c r="Q65" s="69" t="inlineStr"/>
      <c r="R65" s="68" t="n">
        <v>1</v>
      </c>
      <c r="S65" s="68" t="inlineStr">
        <is>
          <t>Oui</t>
        </is>
      </c>
      <c r="T65" s="68" t="inlineStr">
        <is>
          <t>S1-049</t>
        </is>
      </c>
      <c r="U65" s="69" t="inlineStr">
        <is>
          <t>Original (septembre)</t>
        </is>
      </c>
      <c r="V65" s="69" t="inlineStr"/>
      <c r="W65" s="10" t="n"/>
      <c r="X65" s="10" t="inlineStr"/>
      <c r="Y65" s="64">
        <f>IF($M65="","",IF(SUMPRODUCT(($D$4:$D$863=$D65)*($M$4:$M$863=$M65)*($T$4:$T$863&lt;&gt;$T65)*($F$4:$F$863&lt;$G65)*($G$4:$G$863&gt;$F65))&gt;0,"⚠ CONFLIT",""))</f>
        <v/>
      </c>
      <c r="Z65" s="64">
        <f>IF($J65="","",IF(SUMPRODUCT(($D$4:$D$863=$D65)*($J$4:$J$863=$J65)*($T$4:$T$863&lt;&gt;$T65)*($F$4:$F$863&lt;$G65)*($G$4:$G$863&gt;$F65)*(1-($X$4:$X$863="Oui")*($X65="Oui")))&gt;0,"⚠ CONFLIT",""))</f>
        <v/>
      </c>
      <c r="AA65" s="64">
        <f>IF(COUNTIFS($D$4:$D$863,$D65,$J$4:$J$863,$J65,$F$4:$F$863,$F65,$K$4:$K$863,$K65)&gt;1,"⚠ DOUBLON","")</f>
        <v/>
      </c>
      <c r="AB65" s="64">
        <f>IF(COUNTIF($T$4:$T$863,$T65)&lt;&gt;COUNTIFS($T$4:$T$863,$T65,$D$4:$D$863,$D65,$F$4:$F$863,$F65,$G$4:$G$863,$G65,$K$4:$K$863,$K65,$M$4:$M$863,$M65),"⚠ INCOHÉRENT","")</f>
        <v/>
      </c>
      <c r="AC65" s="64">
        <f>COUNTIFS($A$4:$A65,$A65,$J$4:$J65,$J65,$E$4:$E65,$E65)</f>
        <v/>
      </c>
      <c r="AD65" s="65">
        <f>$A65&amp;"|"&amp;$J65&amp;"|"&amp;$E65&amp;"|"&amp;$AC65</f>
        <v/>
      </c>
      <c r="AE65" s="66">
        <f>IF($W65&lt;&gt;"","⚑ "&amp;$W65&amp;CHAR(10),"")&amp;TEXT($F65,"hh:mm")&amp;"-"&amp;TEXT($G65,"hh:mm")&amp;IF(OR($P65="Quinzaine A",AND($P65="Hebdo · groupes alternés",$C65="A"))," Q-A",IF(OR($P65="Quinzaine B",AND($P65="Hebdo · groupes alternés",$C65="B"))," Q-B",IF($P65="Exception"," PONCT.","")))&amp;IF($X65="Oui"," OPT","")&amp;CHAR(10)&amp;$K65&amp;CHAR(10)&amp;$M65&amp;IF($N65&lt;&gt;"",CHAR(10)&amp;"Salle "&amp;$N65,"")&amp;IF($O65="En ligne",CHAR(10)&amp;"EN LIGNE","")&amp;IF($V65&lt;&gt;"",CHAR(10)&amp;$V65,"")</f>
        <v/>
      </c>
      <c r="AF65" s="65" t="inlineStr">
        <is>
          <t>19h30-21h Math (Khouloud)</t>
        </is>
      </c>
      <c r="AG65" s="65" t="inlineStr">
        <is>
          <t>du 14-09 jusquà le 20-09!K23</t>
        </is>
      </c>
    </row>
    <row r="66" ht="15" customHeight="1">
      <c r="A66" s="68" t="inlineStr">
        <is>
          <t>S1</t>
        </is>
      </c>
      <c r="B66" s="69" t="inlineStr">
        <is>
          <t>du 14 au 20 septembre 2026</t>
        </is>
      </c>
      <c r="C66" s="68" t="inlineStr">
        <is>
          <t>A</t>
        </is>
      </c>
      <c r="D66" s="70" t="n">
        <v>46283</v>
      </c>
      <c r="E66" s="68" t="inlineStr">
        <is>
          <t>Vendredi</t>
        </is>
      </c>
      <c r="F66" s="71" t="n">
        <v>0.8125</v>
      </c>
      <c r="G66" s="71" t="n">
        <v>0.875</v>
      </c>
      <c r="H66" s="72">
        <f>IF(OR($F66="",$G66=""),"",($G66-$F66)*24)</f>
        <v/>
      </c>
      <c r="I66" s="68" t="inlineStr">
        <is>
          <t>Collège</t>
        </is>
      </c>
      <c r="J66" s="69" t="inlineStr">
        <is>
          <t>8éme (A)</t>
        </is>
      </c>
      <c r="K66" s="73" t="inlineStr">
        <is>
          <t>فيزياء</t>
        </is>
      </c>
      <c r="L66" s="73" t="inlineStr">
        <is>
          <t>Physique</t>
        </is>
      </c>
      <c r="M66" s="69" t="inlineStr">
        <is>
          <t>Melek</t>
        </is>
      </c>
      <c r="N66" s="68" t="n"/>
      <c r="O66" s="68" t="n"/>
      <c r="P66" s="68" t="inlineStr">
        <is>
          <t>Hebdomadaire</t>
        </is>
      </c>
      <c r="Q66" s="69" t="inlineStr">
        <is>
          <t>8éme (A) + 8éme (B) + 8éme (C)</t>
        </is>
      </c>
      <c r="R66" s="68" t="n">
        <v>3</v>
      </c>
      <c r="S66" s="68" t="inlineStr">
        <is>
          <t>Oui</t>
        </is>
      </c>
      <c r="T66" s="68" t="inlineStr">
        <is>
          <t>S1-050</t>
        </is>
      </c>
      <c r="U66" s="69" t="inlineStr">
        <is>
          <t>Original (septembre)</t>
        </is>
      </c>
      <c r="V66" s="69" t="inlineStr"/>
      <c r="W66" s="10" t="n"/>
      <c r="X66" s="10" t="inlineStr"/>
      <c r="Y66" s="64">
        <f>IF($M66="","",IF(SUMPRODUCT(($D$4:$D$863=$D66)*($M$4:$M$863=$M66)*($T$4:$T$863&lt;&gt;$T66)*($F$4:$F$863&lt;$G66)*($G$4:$G$863&gt;$F66))&gt;0,"⚠ CONFLIT",""))</f>
        <v/>
      </c>
      <c r="Z66" s="64">
        <f>IF($J66="","",IF(SUMPRODUCT(($D$4:$D$863=$D66)*($J$4:$J$863=$J66)*($T$4:$T$863&lt;&gt;$T66)*($F$4:$F$863&lt;$G66)*($G$4:$G$863&gt;$F66)*(1-($X$4:$X$863="Oui")*($X66="Oui")))&gt;0,"⚠ CONFLIT",""))</f>
        <v/>
      </c>
      <c r="AA66" s="64">
        <f>IF(COUNTIFS($D$4:$D$863,$D66,$J$4:$J$863,$J66,$F$4:$F$863,$F66,$K$4:$K$863,$K66)&gt;1,"⚠ DOUBLON","")</f>
        <v/>
      </c>
      <c r="AB66" s="64">
        <f>IF(COUNTIF($T$4:$T$863,$T66)&lt;&gt;COUNTIFS($T$4:$T$863,$T66,$D$4:$D$863,$D66,$F$4:$F$863,$F66,$G$4:$G$863,$G66,$K$4:$K$863,$K66,$M$4:$M$863,$M66),"⚠ INCOHÉRENT","")</f>
        <v/>
      </c>
      <c r="AC66" s="64">
        <f>COUNTIFS($A$4:$A66,$A66,$J$4:$J66,$J66,$E$4:$E66,$E66)</f>
        <v/>
      </c>
      <c r="AD66" s="65">
        <f>$A66&amp;"|"&amp;$J66&amp;"|"&amp;$E66&amp;"|"&amp;$AC66</f>
        <v/>
      </c>
      <c r="AE66" s="66">
        <f>IF($W66&lt;&gt;"","⚑ "&amp;$W66&amp;CHAR(10),"")&amp;TEXT($F66,"hh:mm")&amp;"-"&amp;TEXT($G66,"hh:mm")&amp;IF(OR($P66="Quinzaine A",AND($P66="Hebdo · groupes alternés",$C66="A"))," Q-A",IF(OR($P66="Quinzaine B",AND($P66="Hebdo · groupes alternés",$C66="B"))," Q-B",IF($P66="Exception"," PONCT.","")))&amp;IF($X66="Oui"," OPT","")&amp;CHAR(10)&amp;$K66&amp;CHAR(10)&amp;$M66&amp;IF($N66&lt;&gt;"",CHAR(10)&amp;"Salle "&amp;$N66,"")&amp;IF($O66="En ligne",CHAR(10)&amp;"EN LIGNE","")&amp;IF($V66&lt;&gt;"",CHAR(10)&amp;$V66,"")</f>
        <v/>
      </c>
      <c r="AF66" s="65" t="inlineStr">
        <is>
          <t>19h30-21h فيزياء /par quinzaine (Melek)</t>
        </is>
      </c>
      <c r="AG66" s="65" t="inlineStr">
        <is>
          <t>du 14-09 jusquà le 20-09!K27</t>
        </is>
      </c>
    </row>
    <row r="67" ht="15" customHeight="1">
      <c r="A67" s="68" t="inlineStr">
        <is>
          <t>S1</t>
        </is>
      </c>
      <c r="B67" s="69" t="inlineStr">
        <is>
          <t>du 14 au 20 septembre 2026</t>
        </is>
      </c>
      <c r="C67" s="68" t="inlineStr">
        <is>
          <t>A</t>
        </is>
      </c>
      <c r="D67" s="70" t="n">
        <v>46283</v>
      </c>
      <c r="E67" s="68" t="inlineStr">
        <is>
          <t>Vendredi</t>
        </is>
      </c>
      <c r="F67" s="71" t="n">
        <v>0.8125</v>
      </c>
      <c r="G67" s="71" t="n">
        <v>0.875</v>
      </c>
      <c r="H67" s="72">
        <f>IF(OR($F67="",$G67=""),"",($G67-$F67)*24)</f>
        <v/>
      </c>
      <c r="I67" s="68" t="inlineStr">
        <is>
          <t>Collège</t>
        </is>
      </c>
      <c r="J67" s="69" t="inlineStr">
        <is>
          <t>8éme (B)</t>
        </is>
      </c>
      <c r="K67" s="73" t="inlineStr">
        <is>
          <t>فيزياء</t>
        </is>
      </c>
      <c r="L67" s="73" t="inlineStr">
        <is>
          <t>Physique</t>
        </is>
      </c>
      <c r="M67" s="69" t="inlineStr">
        <is>
          <t>Melek</t>
        </is>
      </c>
      <c r="N67" s="68" t="n"/>
      <c r="O67" s="68" t="n"/>
      <c r="P67" s="68" t="inlineStr">
        <is>
          <t>Hebdomadaire</t>
        </is>
      </c>
      <c r="Q67" s="69" t="inlineStr">
        <is>
          <t>8éme (A) + 8éme (B) + 8éme (C)</t>
        </is>
      </c>
      <c r="R67" s="68" t="n">
        <v>3</v>
      </c>
      <c r="S67" s="68" t="inlineStr"/>
      <c r="T67" s="68" t="inlineStr">
        <is>
          <t>S1-050</t>
        </is>
      </c>
      <c r="U67" s="69" t="inlineStr">
        <is>
          <t>Original (septembre)</t>
        </is>
      </c>
      <c r="V67" s="69" t="inlineStr"/>
      <c r="W67" s="10" t="n"/>
      <c r="X67" s="10" t="inlineStr"/>
      <c r="Y67" s="64">
        <f>IF($M67="","",IF(SUMPRODUCT(($D$4:$D$863=$D67)*($M$4:$M$863=$M67)*($T$4:$T$863&lt;&gt;$T67)*($F$4:$F$863&lt;$G67)*($G$4:$G$863&gt;$F67))&gt;0,"⚠ CONFLIT",""))</f>
        <v/>
      </c>
      <c r="Z67" s="64">
        <f>IF($J67="","",IF(SUMPRODUCT(($D$4:$D$863=$D67)*($J$4:$J$863=$J67)*($T$4:$T$863&lt;&gt;$T67)*($F$4:$F$863&lt;$G67)*($G$4:$G$863&gt;$F67)*(1-($X$4:$X$863="Oui")*($X67="Oui")))&gt;0,"⚠ CONFLIT",""))</f>
        <v/>
      </c>
      <c r="AA67" s="64">
        <f>IF(COUNTIFS($D$4:$D$863,$D67,$J$4:$J$863,$J67,$F$4:$F$863,$F67,$K$4:$K$863,$K67)&gt;1,"⚠ DOUBLON","")</f>
        <v/>
      </c>
      <c r="AB67" s="64">
        <f>IF(COUNTIF($T$4:$T$863,$T67)&lt;&gt;COUNTIFS($T$4:$T$863,$T67,$D$4:$D$863,$D67,$F$4:$F$863,$F67,$G$4:$G$863,$G67,$K$4:$K$863,$K67,$M$4:$M$863,$M67),"⚠ INCOHÉRENT","")</f>
        <v/>
      </c>
      <c r="AC67" s="64">
        <f>COUNTIFS($A$4:$A67,$A67,$J$4:$J67,$J67,$E$4:$E67,$E67)</f>
        <v/>
      </c>
      <c r="AD67" s="65">
        <f>$A67&amp;"|"&amp;$J67&amp;"|"&amp;$E67&amp;"|"&amp;$AC67</f>
        <v/>
      </c>
      <c r="AE67" s="66">
        <f>IF($W67&lt;&gt;"","⚑ "&amp;$W67&amp;CHAR(10),"")&amp;TEXT($F67,"hh:mm")&amp;"-"&amp;TEXT($G67,"hh:mm")&amp;IF(OR($P67="Quinzaine A",AND($P67="Hebdo · groupes alternés",$C67="A"))," Q-A",IF(OR($P67="Quinzaine B",AND($P67="Hebdo · groupes alternés",$C67="B"))," Q-B",IF($P67="Exception"," PONCT.","")))&amp;IF($X67="Oui"," OPT","")&amp;CHAR(10)&amp;$K67&amp;CHAR(10)&amp;$M67&amp;IF($N67&lt;&gt;"",CHAR(10)&amp;"Salle "&amp;$N67,"")&amp;IF($O67="En ligne",CHAR(10)&amp;"EN LIGNE","")&amp;IF($V67&lt;&gt;"",CHAR(10)&amp;$V67,"")</f>
        <v/>
      </c>
      <c r="AF67" s="65" t="inlineStr">
        <is>
          <t>19h30-21h فيزياء /par quinzaine (Melek)</t>
        </is>
      </c>
      <c r="AG67" s="65" t="inlineStr">
        <is>
          <t>du 14-09 jusquà le 20-09!K27</t>
        </is>
      </c>
    </row>
    <row r="68" ht="15" customHeight="1">
      <c r="A68" s="68" t="inlineStr">
        <is>
          <t>S1</t>
        </is>
      </c>
      <c r="B68" s="69" t="inlineStr">
        <is>
          <t>du 14 au 20 septembre 2026</t>
        </is>
      </c>
      <c r="C68" s="68" t="inlineStr">
        <is>
          <t>A</t>
        </is>
      </c>
      <c r="D68" s="70" t="n">
        <v>46283</v>
      </c>
      <c r="E68" s="68" t="inlineStr">
        <is>
          <t>Vendredi</t>
        </is>
      </c>
      <c r="F68" s="71" t="n">
        <v>0.8125</v>
      </c>
      <c r="G68" s="71" t="n">
        <v>0.875</v>
      </c>
      <c r="H68" s="72">
        <f>IF(OR($F68="",$G68=""),"",($G68-$F68)*24)</f>
        <v/>
      </c>
      <c r="I68" s="68" t="inlineStr">
        <is>
          <t>Collège</t>
        </is>
      </c>
      <c r="J68" s="69" t="inlineStr">
        <is>
          <t>8éme (C)</t>
        </is>
      </c>
      <c r="K68" s="73" t="inlineStr">
        <is>
          <t>فيزياء</t>
        </is>
      </c>
      <c r="L68" s="73" t="inlineStr">
        <is>
          <t>Physique</t>
        </is>
      </c>
      <c r="M68" s="69" t="inlineStr">
        <is>
          <t>Melek</t>
        </is>
      </c>
      <c r="N68" s="68" t="n"/>
      <c r="O68" s="68" t="n"/>
      <c r="P68" s="68" t="inlineStr">
        <is>
          <t>Hebdomadaire</t>
        </is>
      </c>
      <c r="Q68" s="69" t="inlineStr">
        <is>
          <t>8éme (A) + 8éme (B) + 8éme (C)</t>
        </is>
      </c>
      <c r="R68" s="68" t="n">
        <v>3</v>
      </c>
      <c r="S68" s="68" t="inlineStr"/>
      <c r="T68" s="68" t="inlineStr">
        <is>
          <t>S1-050</t>
        </is>
      </c>
      <c r="U68" s="69" t="inlineStr">
        <is>
          <t>Original (septembre)</t>
        </is>
      </c>
      <c r="V68" s="69" t="inlineStr"/>
      <c r="W68" s="10" t="n"/>
      <c r="X68" s="10" t="inlineStr"/>
      <c r="Y68" s="64">
        <f>IF($M68="","",IF(SUMPRODUCT(($D$4:$D$863=$D68)*($M$4:$M$863=$M68)*($T$4:$T$863&lt;&gt;$T68)*($F$4:$F$863&lt;$G68)*($G$4:$G$863&gt;$F68))&gt;0,"⚠ CONFLIT",""))</f>
        <v/>
      </c>
      <c r="Z68" s="64">
        <f>IF($J68="","",IF(SUMPRODUCT(($D$4:$D$863=$D68)*($J$4:$J$863=$J68)*($T$4:$T$863&lt;&gt;$T68)*($F$4:$F$863&lt;$G68)*($G$4:$G$863&gt;$F68)*(1-($X$4:$X$863="Oui")*($X68="Oui")))&gt;0,"⚠ CONFLIT",""))</f>
        <v/>
      </c>
      <c r="AA68" s="64">
        <f>IF(COUNTIFS($D$4:$D$863,$D68,$J$4:$J$863,$J68,$F$4:$F$863,$F68,$K$4:$K$863,$K68)&gt;1,"⚠ DOUBLON","")</f>
        <v/>
      </c>
      <c r="AB68" s="64">
        <f>IF(COUNTIF($T$4:$T$863,$T68)&lt;&gt;COUNTIFS($T$4:$T$863,$T68,$D$4:$D$863,$D68,$F$4:$F$863,$F68,$G$4:$G$863,$G68,$K$4:$K$863,$K68,$M$4:$M$863,$M68),"⚠ INCOHÉRENT","")</f>
        <v/>
      </c>
      <c r="AC68" s="64">
        <f>COUNTIFS($A$4:$A68,$A68,$J$4:$J68,$J68,$E$4:$E68,$E68)</f>
        <v/>
      </c>
      <c r="AD68" s="65">
        <f>$A68&amp;"|"&amp;$J68&amp;"|"&amp;$E68&amp;"|"&amp;$AC68</f>
        <v/>
      </c>
      <c r="AE68" s="66">
        <f>IF($W68&lt;&gt;"","⚑ "&amp;$W68&amp;CHAR(10),"")&amp;TEXT($F68,"hh:mm")&amp;"-"&amp;TEXT($G68,"hh:mm")&amp;IF(OR($P68="Quinzaine A",AND($P68="Hebdo · groupes alternés",$C68="A"))," Q-A",IF(OR($P68="Quinzaine B",AND($P68="Hebdo · groupes alternés",$C68="B"))," Q-B",IF($P68="Exception"," PONCT.","")))&amp;IF($X68="Oui"," OPT","")&amp;CHAR(10)&amp;$K68&amp;CHAR(10)&amp;$M68&amp;IF($N68&lt;&gt;"",CHAR(10)&amp;"Salle "&amp;$N68,"")&amp;IF($O68="En ligne",CHAR(10)&amp;"EN LIGNE","")&amp;IF($V68&lt;&gt;"",CHAR(10)&amp;$V68,"")</f>
        <v/>
      </c>
      <c r="AF68" s="65" t="inlineStr">
        <is>
          <t>19h30-21h فيزياء /par quinzaine (Melek)</t>
        </is>
      </c>
      <c r="AG68" s="65" t="inlineStr">
        <is>
          <t>du 14-09 jusquà le 20-09!K27</t>
        </is>
      </c>
    </row>
    <row r="69" ht="15" customHeight="1">
      <c r="A69" s="68" t="inlineStr">
        <is>
          <t>S1</t>
        </is>
      </c>
      <c r="B69" s="69" t="inlineStr">
        <is>
          <t>du 14 au 20 septembre 2026</t>
        </is>
      </c>
      <c r="C69" s="68" t="inlineStr">
        <is>
          <t>A</t>
        </is>
      </c>
      <c r="D69" s="70" t="n">
        <v>46283</v>
      </c>
      <c r="E69" s="68" t="inlineStr">
        <is>
          <t>Vendredi</t>
        </is>
      </c>
      <c r="F69" s="71" t="n">
        <v>0.8125</v>
      </c>
      <c r="G69" s="71" t="n">
        <v>0.875</v>
      </c>
      <c r="H69" s="72">
        <f>IF(OR($F69="",$G69=""),"",($G69-$F69)*24)</f>
        <v/>
      </c>
      <c r="I69" s="68" t="inlineStr">
        <is>
          <t>Collège</t>
        </is>
      </c>
      <c r="J69" s="69" t="inlineStr">
        <is>
          <t>9éme (C)</t>
        </is>
      </c>
      <c r="K69" s="63" t="inlineStr">
        <is>
          <t>Arabe</t>
        </is>
      </c>
      <c r="L69" s="63" t="inlineStr">
        <is>
          <t>Arabe</t>
        </is>
      </c>
      <c r="M69" s="69" t="inlineStr">
        <is>
          <t>Yahya</t>
        </is>
      </c>
      <c r="N69" s="68" t="n"/>
      <c r="O69" s="68" t="n"/>
      <c r="P69" s="68" t="inlineStr">
        <is>
          <t>Hebdomadaire</t>
        </is>
      </c>
      <c r="Q69" s="69" t="inlineStr"/>
      <c r="R69" s="68" t="n">
        <v>1</v>
      </c>
      <c r="S69" s="68" t="inlineStr">
        <is>
          <t>Oui</t>
        </is>
      </c>
      <c r="T69" s="68" t="inlineStr">
        <is>
          <t>S1-051</t>
        </is>
      </c>
      <c r="U69" s="69" t="inlineStr">
        <is>
          <t>Original (septembre)</t>
        </is>
      </c>
      <c r="V69" s="69" t="inlineStr"/>
      <c r="W69" s="10" t="n"/>
      <c r="X69" s="10" t="inlineStr"/>
      <c r="Y69" s="64">
        <f>IF($M69="","",IF(SUMPRODUCT(($D$4:$D$863=$D69)*($M$4:$M$863=$M69)*($T$4:$T$863&lt;&gt;$T69)*($F$4:$F$863&lt;$G69)*($G$4:$G$863&gt;$F69))&gt;0,"⚠ CONFLIT",""))</f>
        <v/>
      </c>
      <c r="Z69" s="64">
        <f>IF($J69="","",IF(SUMPRODUCT(($D$4:$D$863=$D69)*($J$4:$J$863=$J69)*($T$4:$T$863&lt;&gt;$T69)*($F$4:$F$863&lt;$G69)*($G$4:$G$863&gt;$F69)*(1-($X$4:$X$863="Oui")*($X69="Oui")))&gt;0,"⚠ CONFLIT",""))</f>
        <v/>
      </c>
      <c r="AA69" s="64">
        <f>IF(COUNTIFS($D$4:$D$863,$D69,$J$4:$J$863,$J69,$F$4:$F$863,$F69,$K$4:$K$863,$K69)&gt;1,"⚠ DOUBLON","")</f>
        <v/>
      </c>
      <c r="AB69" s="64">
        <f>IF(COUNTIF($T$4:$T$863,$T69)&lt;&gt;COUNTIFS($T$4:$T$863,$T69,$D$4:$D$863,$D69,$F$4:$F$863,$F69,$G$4:$G$863,$G69,$K$4:$K$863,$K69,$M$4:$M$863,$M69),"⚠ INCOHÉRENT","")</f>
        <v/>
      </c>
      <c r="AC69" s="64">
        <f>COUNTIFS($A$4:$A69,$A69,$J$4:$J69,$J69,$E$4:$E69,$E69)</f>
        <v/>
      </c>
      <c r="AD69" s="65">
        <f>$A69&amp;"|"&amp;$J69&amp;"|"&amp;$E69&amp;"|"&amp;$AC69</f>
        <v/>
      </c>
      <c r="AE69" s="66">
        <f>IF($W69&lt;&gt;"","⚑ "&amp;$W69&amp;CHAR(10),"")&amp;TEXT($F69,"hh:mm")&amp;"-"&amp;TEXT($G69,"hh:mm")&amp;IF(OR($P69="Quinzaine A",AND($P69="Hebdo · groupes alternés",$C69="A"))," Q-A",IF(OR($P69="Quinzaine B",AND($P69="Hebdo · groupes alternés",$C69="B"))," Q-B",IF($P69="Exception"," PONCT.","")))&amp;IF($X69="Oui"," OPT","")&amp;CHAR(10)&amp;$K69&amp;CHAR(10)&amp;$M69&amp;IF($N69&lt;&gt;"",CHAR(10)&amp;"Salle "&amp;$N69,"")&amp;IF($O69="En ligne",CHAR(10)&amp;"EN LIGNE","")&amp;IF($V69&lt;&gt;"",CHAR(10)&amp;$V69,"")</f>
        <v/>
      </c>
      <c r="AF69" s="65" t="inlineStr">
        <is>
          <t>19h30-21h Arabe (Yahya)</t>
        </is>
      </c>
      <c r="AG69" s="65" t="inlineStr">
        <is>
          <t>du 14-09 jusquà le 20-09!K46</t>
        </is>
      </c>
    </row>
    <row r="70" ht="15" customHeight="1">
      <c r="A70" s="74" t="inlineStr">
        <is>
          <t>S1</t>
        </is>
      </c>
      <c r="B70" s="75" t="inlineStr">
        <is>
          <t>du 14 au 20 septembre 2026</t>
        </is>
      </c>
      <c r="C70" s="74" t="inlineStr">
        <is>
          <t>A</t>
        </is>
      </c>
      <c r="D70" s="76" t="n">
        <v>46283</v>
      </c>
      <c r="E70" s="74" t="inlineStr">
        <is>
          <t>Vendredi</t>
        </is>
      </c>
      <c r="F70" s="77" t="n">
        <v>0.7291666666666666</v>
      </c>
      <c r="G70" s="77" t="n">
        <v>0.7916666666666666</v>
      </c>
      <c r="H70" s="78">
        <f>IF(OR($F70="",$G70=""),"",($G70-$F70)*24)</f>
        <v/>
      </c>
      <c r="I70" s="74" t="inlineStr">
        <is>
          <t>Secondaire</t>
        </is>
      </c>
      <c r="J70" s="75" t="inlineStr">
        <is>
          <t>1ére (A)</t>
        </is>
      </c>
      <c r="K70" s="63" t="inlineStr">
        <is>
          <t>Arabe</t>
        </is>
      </c>
      <c r="L70" s="63" t="inlineStr">
        <is>
          <t>Arabe</t>
        </is>
      </c>
      <c r="M70" s="75" t="inlineStr">
        <is>
          <t>Najet</t>
        </is>
      </c>
      <c r="N70" s="74" t="n"/>
      <c r="O70" s="74" t="n"/>
      <c r="P70" s="74" t="inlineStr">
        <is>
          <t>Hebdomadaire</t>
        </is>
      </c>
      <c r="Q70" s="75" t="inlineStr"/>
      <c r="R70" s="74" t="n">
        <v>1</v>
      </c>
      <c r="S70" s="74" t="inlineStr">
        <is>
          <t>Oui</t>
        </is>
      </c>
      <c r="T70" s="74" t="inlineStr">
        <is>
          <t>S1-052</t>
        </is>
      </c>
      <c r="U70" s="75" t="inlineStr">
        <is>
          <t>Original (septembre)</t>
        </is>
      </c>
      <c r="V70" s="75" t="inlineStr"/>
      <c r="W70" s="10" t="n"/>
      <c r="X70" s="10" t="inlineStr"/>
      <c r="Y70" s="64">
        <f>IF($M70="","",IF(SUMPRODUCT(($D$4:$D$863=$D70)*($M$4:$M$863=$M70)*($T$4:$T$863&lt;&gt;$T70)*($F$4:$F$863&lt;$G70)*($G$4:$G$863&gt;$F70))&gt;0,"⚠ CONFLIT",""))</f>
        <v/>
      </c>
      <c r="Z70" s="64">
        <f>IF($J70="","",IF(SUMPRODUCT(($D$4:$D$863=$D70)*($J$4:$J$863=$J70)*($T$4:$T$863&lt;&gt;$T70)*($F$4:$F$863&lt;$G70)*($G$4:$G$863&gt;$F70)*(1-($X$4:$X$863="Oui")*($X70="Oui")))&gt;0,"⚠ CONFLIT",""))</f>
        <v/>
      </c>
      <c r="AA70" s="64">
        <f>IF(COUNTIFS($D$4:$D$863,$D70,$J$4:$J$863,$J70,$F$4:$F$863,$F70,$K$4:$K$863,$K70)&gt;1,"⚠ DOUBLON","")</f>
        <v/>
      </c>
      <c r="AB70" s="64">
        <f>IF(COUNTIF($T$4:$T$863,$T70)&lt;&gt;COUNTIFS($T$4:$T$863,$T70,$D$4:$D$863,$D70,$F$4:$F$863,$F70,$G$4:$G$863,$G70,$K$4:$K$863,$K70,$M$4:$M$863,$M70),"⚠ INCOHÉRENT","")</f>
        <v/>
      </c>
      <c r="AC70" s="64">
        <f>COUNTIFS($A$4:$A70,$A70,$J$4:$J70,$J70,$E$4:$E70,$E70)</f>
        <v/>
      </c>
      <c r="AD70" s="65">
        <f>$A70&amp;"|"&amp;$J70&amp;"|"&amp;$E70&amp;"|"&amp;$AC70</f>
        <v/>
      </c>
      <c r="AE70" s="66">
        <f>IF($W70&lt;&gt;"","⚑ "&amp;$W70&amp;CHAR(10),"")&amp;TEXT($F70,"hh:mm")&amp;"-"&amp;TEXT($G70,"hh:mm")&amp;IF(OR($P70="Quinzaine A",AND($P70="Hebdo · groupes alternés",$C70="A"))," Q-A",IF(OR($P70="Quinzaine B",AND($P70="Hebdo · groupes alternés",$C70="B"))," Q-B",IF($P70="Exception"," PONCT.","")))&amp;IF($X70="Oui"," OPT","")&amp;CHAR(10)&amp;$K70&amp;CHAR(10)&amp;$M70&amp;IF($N70&lt;&gt;"",CHAR(10)&amp;"Salle "&amp;$N70,"")&amp;IF($O70="En ligne",CHAR(10)&amp;"EN LIGNE","")&amp;IF($V70&lt;&gt;"",CHAR(10)&amp;$V70,"")</f>
        <v/>
      </c>
      <c r="AF70" s="65" t="inlineStr">
        <is>
          <t>17h30-19h Arabe (Najet)</t>
        </is>
      </c>
      <c r="AG70" s="65" t="inlineStr">
        <is>
          <t>du 14-09 jusquà le 20-09!K48</t>
        </is>
      </c>
    </row>
    <row r="71" ht="15" customHeight="1">
      <c r="A71" s="74" t="inlineStr">
        <is>
          <t>S1</t>
        </is>
      </c>
      <c r="B71" s="75" t="inlineStr">
        <is>
          <t>du 14 au 20 septembre 2026</t>
        </is>
      </c>
      <c r="C71" s="74" t="inlineStr">
        <is>
          <t>A</t>
        </is>
      </c>
      <c r="D71" s="76" t="n">
        <v>46283</v>
      </c>
      <c r="E71" s="74" t="inlineStr">
        <is>
          <t>Vendredi</t>
        </is>
      </c>
      <c r="F71" s="77" t="n">
        <v>0.7916666666666666</v>
      </c>
      <c r="G71" s="77" t="n">
        <v>0.8541666666666666</v>
      </c>
      <c r="H71" s="78">
        <f>IF(OR($F71="",$G71=""),"",($G71-$F71)*24)</f>
        <v/>
      </c>
      <c r="I71" s="74" t="inlineStr">
        <is>
          <t>Secondaire</t>
        </is>
      </c>
      <c r="J71" s="75" t="inlineStr">
        <is>
          <t>1ére (B)</t>
        </is>
      </c>
      <c r="K71" s="63" t="inlineStr">
        <is>
          <t>Arabe</t>
        </is>
      </c>
      <c r="L71" s="63" t="inlineStr">
        <is>
          <t>Arabe</t>
        </is>
      </c>
      <c r="M71" s="75" t="inlineStr">
        <is>
          <t>Najet</t>
        </is>
      </c>
      <c r="N71" s="74" t="n"/>
      <c r="O71" s="74" t="n"/>
      <c r="P71" s="74" t="inlineStr">
        <is>
          <t>Hebdomadaire</t>
        </is>
      </c>
      <c r="Q71" s="75" t="inlineStr"/>
      <c r="R71" s="74" t="n">
        <v>1</v>
      </c>
      <c r="S71" s="74" t="inlineStr">
        <is>
          <t>Oui</t>
        </is>
      </c>
      <c r="T71" s="74" t="inlineStr">
        <is>
          <t>S1-053</t>
        </is>
      </c>
      <c r="U71" s="75" t="inlineStr">
        <is>
          <t>Original (septembre)</t>
        </is>
      </c>
      <c r="V71" s="75" t="inlineStr"/>
      <c r="W71" s="10" t="n"/>
      <c r="X71" s="10" t="inlineStr"/>
      <c r="Y71" s="64">
        <f>IF($M71="","",IF(SUMPRODUCT(($D$4:$D$863=$D71)*($M$4:$M$863=$M71)*($T$4:$T$863&lt;&gt;$T71)*($F$4:$F$863&lt;$G71)*($G$4:$G$863&gt;$F71))&gt;0,"⚠ CONFLIT",""))</f>
        <v/>
      </c>
      <c r="Z71" s="64">
        <f>IF($J71="","",IF(SUMPRODUCT(($D$4:$D$863=$D71)*($J$4:$J$863=$J71)*($T$4:$T$863&lt;&gt;$T71)*($F$4:$F$863&lt;$G71)*($G$4:$G$863&gt;$F71)*(1-($X$4:$X$863="Oui")*($X71="Oui")))&gt;0,"⚠ CONFLIT",""))</f>
        <v/>
      </c>
      <c r="AA71" s="64">
        <f>IF(COUNTIFS($D$4:$D$863,$D71,$J$4:$J$863,$J71,$F$4:$F$863,$F71,$K$4:$K$863,$K71)&gt;1,"⚠ DOUBLON","")</f>
        <v/>
      </c>
      <c r="AB71" s="64">
        <f>IF(COUNTIF($T$4:$T$863,$T71)&lt;&gt;COUNTIFS($T$4:$T$863,$T71,$D$4:$D$863,$D71,$F$4:$F$863,$F71,$G$4:$G$863,$G71,$K$4:$K$863,$K71,$M$4:$M$863,$M71),"⚠ INCOHÉRENT","")</f>
        <v/>
      </c>
      <c r="AC71" s="64">
        <f>COUNTIFS($A$4:$A71,$A71,$J$4:$J71,$J71,$E$4:$E71,$E71)</f>
        <v/>
      </c>
      <c r="AD71" s="65">
        <f>$A71&amp;"|"&amp;$J71&amp;"|"&amp;$E71&amp;"|"&amp;$AC71</f>
        <v/>
      </c>
      <c r="AE71" s="66">
        <f>IF($W71&lt;&gt;"","⚑ "&amp;$W71&amp;CHAR(10),"")&amp;TEXT($F71,"hh:mm")&amp;"-"&amp;TEXT($G71,"hh:mm")&amp;IF(OR($P71="Quinzaine A",AND($P71="Hebdo · groupes alternés",$C71="A"))," Q-A",IF(OR($P71="Quinzaine B",AND($P71="Hebdo · groupes alternés",$C71="B"))," Q-B",IF($P71="Exception"," PONCT.","")))&amp;IF($X71="Oui"," OPT","")&amp;CHAR(10)&amp;$K71&amp;CHAR(10)&amp;$M71&amp;IF($N71&lt;&gt;"",CHAR(10)&amp;"Salle "&amp;$N71,"")&amp;IF($O71="En ligne",CHAR(10)&amp;"EN LIGNE","")&amp;IF($V71&lt;&gt;"",CHAR(10)&amp;$V71,"")</f>
        <v/>
      </c>
      <c r="AF71" s="65" t="inlineStr">
        <is>
          <t>19h-20h30 Arabe (Najet)</t>
        </is>
      </c>
      <c r="AG71" s="65" t="inlineStr">
        <is>
          <t>du 14-09 jusquà le 20-09!K52</t>
        </is>
      </c>
    </row>
    <row r="72" ht="15" customHeight="1">
      <c r="A72" s="74" t="inlineStr">
        <is>
          <t>S1</t>
        </is>
      </c>
      <c r="B72" s="75" t="inlineStr">
        <is>
          <t>du 14 au 20 septembre 2026</t>
        </is>
      </c>
      <c r="C72" s="74" t="inlineStr">
        <is>
          <t>A</t>
        </is>
      </c>
      <c r="D72" s="76" t="n">
        <v>46283</v>
      </c>
      <c r="E72" s="74" t="inlineStr">
        <is>
          <t>Vendredi</t>
        </is>
      </c>
      <c r="F72" s="77" t="n">
        <v>0.7291666666666666</v>
      </c>
      <c r="G72" s="77" t="n">
        <v>0.7916666666666666</v>
      </c>
      <c r="H72" s="78">
        <f>IF(OR($F72="",$G72=""),"",($G72-$F72)*24)</f>
        <v/>
      </c>
      <c r="I72" s="74" t="inlineStr">
        <is>
          <t>Secondaire</t>
        </is>
      </c>
      <c r="J72" s="75" t="inlineStr">
        <is>
          <t>2éme Eco</t>
        </is>
      </c>
      <c r="K72" s="67" t="inlineStr">
        <is>
          <t>Français</t>
        </is>
      </c>
      <c r="L72" s="67" t="inlineStr">
        <is>
          <t>Français</t>
        </is>
      </c>
      <c r="M72" s="75" t="inlineStr">
        <is>
          <t>Nabil</t>
        </is>
      </c>
      <c r="N72" s="74" t="n"/>
      <c r="O72" s="74" t="n"/>
      <c r="P72" s="74" t="inlineStr">
        <is>
          <t>Hebdo · groupes alternés</t>
        </is>
      </c>
      <c r="Q72" s="75" t="inlineStr">
        <is>
          <t>2éme Eco + 2éme SCE + 2éme INFO</t>
        </is>
      </c>
      <c r="R72" s="74" t="n">
        <v>3</v>
      </c>
      <c r="S72" s="74" t="inlineStr">
        <is>
          <t>Oui</t>
        </is>
      </c>
      <c r="T72" s="74" t="inlineStr">
        <is>
          <t>S1-054</t>
        </is>
      </c>
      <c r="U72" s="75" t="inlineStr">
        <is>
          <t>Original (septembre)</t>
        </is>
      </c>
      <c r="V72" s="75" t="inlineStr"/>
      <c r="W72" s="10" t="n"/>
      <c r="X72" s="10" t="inlineStr"/>
      <c r="Y72" s="64">
        <f>IF($M72="","",IF(SUMPRODUCT(($D$4:$D$863=$D72)*($M$4:$M$863=$M72)*($T$4:$T$863&lt;&gt;$T72)*($F$4:$F$863&lt;$G72)*($G$4:$G$863&gt;$F72))&gt;0,"⚠ CONFLIT",""))</f>
        <v/>
      </c>
      <c r="Z72" s="64">
        <f>IF($J72="","",IF(SUMPRODUCT(($D$4:$D$863=$D72)*($J$4:$J$863=$J72)*($T$4:$T$863&lt;&gt;$T72)*($F$4:$F$863&lt;$G72)*($G$4:$G$863&gt;$F72)*(1-($X$4:$X$863="Oui")*($X72="Oui")))&gt;0,"⚠ CONFLIT",""))</f>
        <v/>
      </c>
      <c r="AA72" s="64">
        <f>IF(COUNTIFS($D$4:$D$863,$D72,$J$4:$J$863,$J72,$F$4:$F$863,$F72,$K$4:$K$863,$K72)&gt;1,"⚠ DOUBLON","")</f>
        <v/>
      </c>
      <c r="AB72" s="64">
        <f>IF(COUNTIF($T$4:$T$863,$T72)&lt;&gt;COUNTIFS($T$4:$T$863,$T72,$D$4:$D$863,$D72,$F$4:$F$863,$F72,$G$4:$G$863,$G72,$K$4:$K$863,$K72,$M$4:$M$863,$M72),"⚠ INCOHÉRENT","")</f>
        <v/>
      </c>
      <c r="AC72" s="64">
        <f>COUNTIFS($A$4:$A72,$A72,$J$4:$J72,$J72,$E$4:$E72,$E72)</f>
        <v/>
      </c>
      <c r="AD72" s="65">
        <f>$A72&amp;"|"&amp;$J72&amp;"|"&amp;$E72&amp;"|"&amp;$AC72</f>
        <v/>
      </c>
      <c r="AE72" s="66">
        <f>IF($W72&lt;&gt;"","⚑ "&amp;$W72&amp;CHAR(10),"")&amp;TEXT($F72,"hh:mm")&amp;"-"&amp;TEXT($G72,"hh:mm")&amp;IF(OR($P72="Quinzaine A",AND($P72="Hebdo · groupes alternés",$C72="A"))," Q-A",IF(OR($P72="Quinzaine B",AND($P72="Hebdo · groupes alternés",$C72="B"))," Q-B",IF($P72="Exception"," PONCT.","")))&amp;IF($X72="Oui"," OPT","")&amp;CHAR(10)&amp;$K72&amp;CHAR(10)&amp;$M72&amp;IF($N72&lt;&gt;"",CHAR(10)&amp;"Salle "&amp;$N72,"")&amp;IF($O72="En ligne",CHAR(10)&amp;"EN LIGNE","")&amp;IF($V72&lt;&gt;"",CHAR(10)&amp;$V72,"")</f>
        <v/>
      </c>
      <c r="AF72" s="65" t="inlineStr">
        <is>
          <t>17h30-19h Français (Nabil)</t>
        </is>
      </c>
      <c r="AG72" s="65" t="inlineStr">
        <is>
          <t>du 14-09 jusquà le 20-09!K56</t>
        </is>
      </c>
    </row>
    <row r="73" ht="15" customHeight="1">
      <c r="A73" s="74" t="inlineStr">
        <is>
          <t>S1</t>
        </is>
      </c>
      <c r="B73" s="75" t="inlineStr">
        <is>
          <t>du 14 au 20 septembre 2026</t>
        </is>
      </c>
      <c r="C73" s="74" t="inlineStr">
        <is>
          <t>A</t>
        </is>
      </c>
      <c r="D73" s="76" t="n">
        <v>46283</v>
      </c>
      <c r="E73" s="74" t="inlineStr">
        <is>
          <t>Vendredi</t>
        </is>
      </c>
      <c r="F73" s="77" t="n">
        <v>0.7291666666666666</v>
      </c>
      <c r="G73" s="77" t="n">
        <v>0.7916666666666666</v>
      </c>
      <c r="H73" s="78">
        <f>IF(OR($F73="",$G73=""),"",($G73-$F73)*24)</f>
        <v/>
      </c>
      <c r="I73" s="74" t="inlineStr">
        <is>
          <t>Secondaire</t>
        </is>
      </c>
      <c r="J73" s="75" t="inlineStr">
        <is>
          <t>2éme SCE</t>
        </is>
      </c>
      <c r="K73" s="67" t="inlineStr">
        <is>
          <t>Français</t>
        </is>
      </c>
      <c r="L73" s="67" t="inlineStr">
        <is>
          <t>Français</t>
        </is>
      </c>
      <c r="M73" s="75" t="inlineStr">
        <is>
          <t>Nabil</t>
        </is>
      </c>
      <c r="N73" s="74" t="n"/>
      <c r="O73" s="74" t="n"/>
      <c r="P73" s="74" t="inlineStr">
        <is>
          <t>Hebdo · groupes alternés</t>
        </is>
      </c>
      <c r="Q73" s="75" t="inlineStr">
        <is>
          <t>2éme Eco + 2éme SCE + 2éme INFO</t>
        </is>
      </c>
      <c r="R73" s="74" t="n">
        <v>3</v>
      </c>
      <c r="S73" s="74" t="inlineStr"/>
      <c r="T73" s="74" t="inlineStr">
        <is>
          <t>S1-054</t>
        </is>
      </c>
      <c r="U73" s="75" t="inlineStr">
        <is>
          <t>Original (septembre)</t>
        </is>
      </c>
      <c r="V73" s="75" t="inlineStr"/>
      <c r="W73" s="10" t="n"/>
      <c r="X73" s="10" t="inlineStr"/>
      <c r="Y73" s="64">
        <f>IF($M73="","",IF(SUMPRODUCT(($D$4:$D$863=$D73)*($M$4:$M$863=$M73)*($T$4:$T$863&lt;&gt;$T73)*($F$4:$F$863&lt;$G73)*($G$4:$G$863&gt;$F73))&gt;0,"⚠ CONFLIT",""))</f>
        <v/>
      </c>
      <c r="Z73" s="64">
        <f>IF($J73="","",IF(SUMPRODUCT(($D$4:$D$863=$D73)*($J$4:$J$863=$J73)*($T$4:$T$863&lt;&gt;$T73)*($F$4:$F$863&lt;$G73)*($G$4:$G$863&gt;$F73)*(1-($X$4:$X$863="Oui")*($X73="Oui")))&gt;0,"⚠ CONFLIT",""))</f>
        <v/>
      </c>
      <c r="AA73" s="64">
        <f>IF(COUNTIFS($D$4:$D$863,$D73,$J$4:$J$863,$J73,$F$4:$F$863,$F73,$K$4:$K$863,$K73)&gt;1,"⚠ DOUBLON","")</f>
        <v/>
      </c>
      <c r="AB73" s="64">
        <f>IF(COUNTIF($T$4:$T$863,$T73)&lt;&gt;COUNTIFS($T$4:$T$863,$T73,$D$4:$D$863,$D73,$F$4:$F$863,$F73,$G$4:$G$863,$G73,$K$4:$K$863,$K73,$M$4:$M$863,$M73),"⚠ INCOHÉRENT","")</f>
        <v/>
      </c>
      <c r="AC73" s="64">
        <f>COUNTIFS($A$4:$A73,$A73,$J$4:$J73,$J73,$E$4:$E73,$E73)</f>
        <v/>
      </c>
      <c r="AD73" s="65">
        <f>$A73&amp;"|"&amp;$J73&amp;"|"&amp;$E73&amp;"|"&amp;$AC73</f>
        <v/>
      </c>
      <c r="AE73" s="66">
        <f>IF($W73&lt;&gt;"","⚑ "&amp;$W73&amp;CHAR(10),"")&amp;TEXT($F73,"hh:mm")&amp;"-"&amp;TEXT($G73,"hh:mm")&amp;IF(OR($P73="Quinzaine A",AND($P73="Hebdo · groupes alternés",$C73="A"))," Q-A",IF(OR($P73="Quinzaine B",AND($P73="Hebdo · groupes alternés",$C73="B"))," Q-B",IF($P73="Exception"," PONCT.","")))&amp;IF($X73="Oui"," OPT","")&amp;CHAR(10)&amp;$K73&amp;CHAR(10)&amp;$M73&amp;IF($N73&lt;&gt;"",CHAR(10)&amp;"Salle "&amp;$N73,"")&amp;IF($O73="En ligne",CHAR(10)&amp;"EN LIGNE","")&amp;IF($V73&lt;&gt;"",CHAR(10)&amp;$V73,"")</f>
        <v/>
      </c>
      <c r="AF73" s="65" t="inlineStr">
        <is>
          <t>17h30-19h Français (Nabil)</t>
        </is>
      </c>
      <c r="AG73" s="65" t="inlineStr">
        <is>
          <t>du 14-09 jusquà le 20-09!K56</t>
        </is>
      </c>
    </row>
    <row r="74" ht="15" customHeight="1">
      <c r="A74" s="74" t="inlineStr">
        <is>
          <t>S1</t>
        </is>
      </c>
      <c r="B74" s="75" t="inlineStr">
        <is>
          <t>du 14 au 20 septembre 2026</t>
        </is>
      </c>
      <c r="C74" s="74" t="inlineStr">
        <is>
          <t>A</t>
        </is>
      </c>
      <c r="D74" s="76" t="n">
        <v>46283</v>
      </c>
      <c r="E74" s="74" t="inlineStr">
        <is>
          <t>Vendredi</t>
        </is>
      </c>
      <c r="F74" s="77" t="n">
        <v>0.7291666666666666</v>
      </c>
      <c r="G74" s="77" t="n">
        <v>0.7916666666666666</v>
      </c>
      <c r="H74" s="78">
        <f>IF(OR($F74="",$G74=""),"",($G74-$F74)*24)</f>
        <v/>
      </c>
      <c r="I74" s="74" t="inlineStr">
        <is>
          <t>Secondaire</t>
        </is>
      </c>
      <c r="J74" s="75" t="inlineStr">
        <is>
          <t>2éme INFO</t>
        </is>
      </c>
      <c r="K74" s="67" t="inlineStr">
        <is>
          <t>Français</t>
        </is>
      </c>
      <c r="L74" s="67" t="inlineStr">
        <is>
          <t>Français</t>
        </is>
      </c>
      <c r="M74" s="75" t="inlineStr">
        <is>
          <t>Nabil</t>
        </is>
      </c>
      <c r="N74" s="74" t="n"/>
      <c r="O74" s="74" t="n"/>
      <c r="P74" s="74" t="inlineStr">
        <is>
          <t>Hebdo · groupes alternés</t>
        </is>
      </c>
      <c r="Q74" s="75" t="inlineStr">
        <is>
          <t>2éme Eco + 2éme SCE + 2éme INFO</t>
        </is>
      </c>
      <c r="R74" s="74" t="n">
        <v>3</v>
      </c>
      <c r="S74" s="74" t="inlineStr"/>
      <c r="T74" s="74" t="inlineStr">
        <is>
          <t>S1-054</t>
        </is>
      </c>
      <c r="U74" s="75" t="inlineStr">
        <is>
          <t>Original (septembre)</t>
        </is>
      </c>
      <c r="V74" s="75" t="inlineStr"/>
      <c r="W74" s="10" t="n"/>
      <c r="X74" s="10" t="inlineStr"/>
      <c r="Y74" s="64">
        <f>IF($M74="","",IF(SUMPRODUCT(($D$4:$D$863=$D74)*($M$4:$M$863=$M74)*($T$4:$T$863&lt;&gt;$T74)*($F$4:$F$863&lt;$G74)*($G$4:$G$863&gt;$F74))&gt;0,"⚠ CONFLIT",""))</f>
        <v/>
      </c>
      <c r="Z74" s="64">
        <f>IF($J74="","",IF(SUMPRODUCT(($D$4:$D$863=$D74)*($J$4:$J$863=$J74)*($T$4:$T$863&lt;&gt;$T74)*($F$4:$F$863&lt;$G74)*($G$4:$G$863&gt;$F74)*(1-($X$4:$X$863="Oui")*($X74="Oui")))&gt;0,"⚠ CONFLIT",""))</f>
        <v/>
      </c>
      <c r="AA74" s="64">
        <f>IF(COUNTIFS($D$4:$D$863,$D74,$J$4:$J$863,$J74,$F$4:$F$863,$F74,$K$4:$K$863,$K74)&gt;1,"⚠ DOUBLON","")</f>
        <v/>
      </c>
      <c r="AB74" s="64">
        <f>IF(COUNTIF($T$4:$T$863,$T74)&lt;&gt;COUNTIFS($T$4:$T$863,$T74,$D$4:$D$863,$D74,$F$4:$F$863,$F74,$G$4:$G$863,$G74,$K$4:$K$863,$K74,$M$4:$M$863,$M74),"⚠ INCOHÉRENT","")</f>
        <v/>
      </c>
      <c r="AC74" s="64">
        <f>COUNTIFS($A$4:$A74,$A74,$J$4:$J74,$J74,$E$4:$E74,$E74)</f>
        <v/>
      </c>
      <c r="AD74" s="65">
        <f>$A74&amp;"|"&amp;$J74&amp;"|"&amp;$E74&amp;"|"&amp;$AC74</f>
        <v/>
      </c>
      <c r="AE74" s="66">
        <f>IF($W74&lt;&gt;"","⚑ "&amp;$W74&amp;CHAR(10),"")&amp;TEXT($F74,"hh:mm")&amp;"-"&amp;TEXT($G74,"hh:mm")&amp;IF(OR($P74="Quinzaine A",AND($P74="Hebdo · groupes alternés",$C74="A"))," Q-A",IF(OR($P74="Quinzaine B",AND($P74="Hebdo · groupes alternés",$C74="B"))," Q-B",IF($P74="Exception"," PONCT.","")))&amp;IF($X74="Oui"," OPT","")&amp;CHAR(10)&amp;$K74&amp;CHAR(10)&amp;$M74&amp;IF($N74&lt;&gt;"",CHAR(10)&amp;"Salle "&amp;$N74,"")&amp;IF($O74="En ligne",CHAR(10)&amp;"EN LIGNE","")&amp;IF($V74&lt;&gt;"",CHAR(10)&amp;$V74,"")</f>
        <v/>
      </c>
      <c r="AF74" s="65" t="inlineStr">
        <is>
          <t>17h30-19h Français (Nabil)</t>
        </is>
      </c>
      <c r="AG74" s="65" t="inlineStr">
        <is>
          <t>du 14-09 jusquà le 20-09!K56</t>
        </is>
      </c>
    </row>
    <row r="75" ht="15" customHeight="1">
      <c r="A75" s="74" t="inlineStr">
        <is>
          <t>S1</t>
        </is>
      </c>
      <c r="B75" s="75" t="inlineStr">
        <is>
          <t>du 14 au 20 septembre 2026</t>
        </is>
      </c>
      <c r="C75" s="74" t="inlineStr">
        <is>
          <t>A</t>
        </is>
      </c>
      <c r="D75" s="76" t="n">
        <v>46283</v>
      </c>
      <c r="E75" s="74" t="inlineStr">
        <is>
          <t>Vendredi</t>
        </is>
      </c>
      <c r="F75" s="77" t="n">
        <v>0.8125</v>
      </c>
      <c r="G75" s="77" t="n">
        <v>0.875</v>
      </c>
      <c r="H75" s="78">
        <f>IF(OR($F75="",$G75=""),"",($G75-$F75)*24)</f>
        <v/>
      </c>
      <c r="I75" s="74" t="inlineStr">
        <is>
          <t>Secondaire</t>
        </is>
      </c>
      <c r="J75" s="75" t="inlineStr">
        <is>
          <t>2éme INFO</t>
        </is>
      </c>
      <c r="K75" s="79" t="inlineStr">
        <is>
          <t>Math</t>
        </is>
      </c>
      <c r="L75" s="79" t="inlineStr">
        <is>
          <t>Math</t>
        </is>
      </c>
      <c r="M75" s="75" t="inlineStr">
        <is>
          <t>Haythem</t>
        </is>
      </c>
      <c r="N75" s="74" t="n"/>
      <c r="O75" s="74" t="n"/>
      <c r="P75" s="74" t="inlineStr">
        <is>
          <t>Hebdomadaire</t>
        </is>
      </c>
      <c r="Q75" s="75" t="inlineStr"/>
      <c r="R75" s="74" t="n">
        <v>1</v>
      </c>
      <c r="S75" s="74" t="inlineStr">
        <is>
          <t>Oui</t>
        </is>
      </c>
      <c r="T75" s="74" t="inlineStr">
        <is>
          <t>S1-055</t>
        </is>
      </c>
      <c r="U75" s="75" t="inlineStr">
        <is>
          <t>Original (septembre)</t>
        </is>
      </c>
      <c r="V75" s="75" t="inlineStr"/>
      <c r="W75" s="10" t="n"/>
      <c r="X75" s="10" t="inlineStr"/>
      <c r="Y75" s="64">
        <f>IF($M75="","",IF(SUMPRODUCT(($D$4:$D$863=$D75)*($M$4:$M$863=$M75)*($T$4:$T$863&lt;&gt;$T75)*($F$4:$F$863&lt;$G75)*($G$4:$G$863&gt;$F75))&gt;0,"⚠ CONFLIT",""))</f>
        <v/>
      </c>
      <c r="Z75" s="64">
        <f>IF($J75="","",IF(SUMPRODUCT(($D$4:$D$863=$D75)*($J$4:$J$863=$J75)*($T$4:$T$863&lt;&gt;$T75)*($F$4:$F$863&lt;$G75)*($G$4:$G$863&gt;$F75)*(1-($X$4:$X$863="Oui")*($X75="Oui")))&gt;0,"⚠ CONFLIT",""))</f>
        <v/>
      </c>
      <c r="AA75" s="64">
        <f>IF(COUNTIFS($D$4:$D$863,$D75,$J$4:$J$863,$J75,$F$4:$F$863,$F75,$K$4:$K$863,$K75)&gt;1,"⚠ DOUBLON","")</f>
        <v/>
      </c>
      <c r="AB75" s="64">
        <f>IF(COUNTIF($T$4:$T$863,$T75)&lt;&gt;COUNTIFS($T$4:$T$863,$T75,$D$4:$D$863,$D75,$F$4:$F$863,$F75,$G$4:$G$863,$G75,$K$4:$K$863,$K75,$M$4:$M$863,$M75),"⚠ INCOHÉRENT","")</f>
        <v/>
      </c>
      <c r="AC75" s="64">
        <f>COUNTIFS($A$4:$A75,$A75,$J$4:$J75,$J75,$E$4:$E75,$E75)</f>
        <v/>
      </c>
      <c r="AD75" s="65">
        <f>$A75&amp;"|"&amp;$J75&amp;"|"&amp;$E75&amp;"|"&amp;$AC75</f>
        <v/>
      </c>
      <c r="AE75" s="66">
        <f>IF($W75&lt;&gt;"","⚑ "&amp;$W75&amp;CHAR(10),"")&amp;TEXT($F75,"hh:mm")&amp;"-"&amp;TEXT($G75,"hh:mm")&amp;IF(OR($P75="Quinzaine A",AND($P75="Hebdo · groupes alternés",$C75="A"))," Q-A",IF(OR($P75="Quinzaine B",AND($P75="Hebdo · groupes alternés",$C75="B"))," Q-B",IF($P75="Exception"," PONCT.","")))&amp;IF($X75="Oui"," OPT","")&amp;CHAR(10)&amp;$K75&amp;CHAR(10)&amp;$M75&amp;IF($N75&lt;&gt;"",CHAR(10)&amp;"Salle "&amp;$N75,"")&amp;IF($O75="En ligne",CHAR(10)&amp;"EN LIGNE","")&amp;IF($V75&lt;&gt;"",CHAR(10)&amp;$V75,"")</f>
        <v/>
      </c>
      <c r="AF75" s="65" t="inlineStr">
        <is>
          <t>19h30-21h Math (Haythem)</t>
        </is>
      </c>
      <c r="AG75" s="65" t="inlineStr">
        <is>
          <t>du 14-09 jusquà le 20-09!K61</t>
        </is>
      </c>
    </row>
    <row r="76" ht="15" customHeight="1">
      <c r="A76" s="74" t="inlineStr">
        <is>
          <t>S1</t>
        </is>
      </c>
      <c r="B76" s="75" t="inlineStr">
        <is>
          <t>du 14 au 20 septembre 2026</t>
        </is>
      </c>
      <c r="C76" s="74" t="inlineStr">
        <is>
          <t>A</t>
        </is>
      </c>
      <c r="D76" s="76" t="n">
        <v>46283</v>
      </c>
      <c r="E76" s="74" t="inlineStr">
        <is>
          <t>Vendredi</t>
        </is>
      </c>
      <c r="F76" s="77" t="n">
        <v>0.7916666666666666</v>
      </c>
      <c r="G76" s="77" t="n">
        <v>0.8541666666666666</v>
      </c>
      <c r="H76" s="78">
        <f>IF(OR($F76="",$G76=""),"",($G76-$F76)*24)</f>
        <v/>
      </c>
      <c r="I76" s="74" t="inlineStr">
        <is>
          <t>Secondaire</t>
        </is>
      </c>
      <c r="J76" s="75" t="inlineStr">
        <is>
          <t>3éme Eco</t>
        </is>
      </c>
      <c r="K76" s="67" t="inlineStr">
        <is>
          <t>Français</t>
        </is>
      </c>
      <c r="L76" s="67" t="inlineStr">
        <is>
          <t>Français</t>
        </is>
      </c>
      <c r="M76" s="75" t="inlineStr">
        <is>
          <t>Nabil</t>
        </is>
      </c>
      <c r="N76" s="74" t="n"/>
      <c r="O76" s="74" t="n"/>
      <c r="P76" s="74" t="inlineStr">
        <is>
          <t>Quinzaine A</t>
        </is>
      </c>
      <c r="Q76" s="75" t="inlineStr">
        <is>
          <t>3éme Eco + 3éme INFO + 3éme SCE</t>
        </is>
      </c>
      <c r="R76" s="74" t="n">
        <v>3</v>
      </c>
      <c r="S76" s="74" t="inlineStr">
        <is>
          <t>Oui</t>
        </is>
      </c>
      <c r="T76" s="74" t="inlineStr">
        <is>
          <t>S1-056</t>
        </is>
      </c>
      <c r="U76" s="75" t="inlineStr">
        <is>
          <t>Original (septembre)</t>
        </is>
      </c>
      <c r="V76" s="75" t="inlineStr"/>
      <c r="W76" s="10" t="n"/>
      <c r="X76" s="10" t="inlineStr"/>
      <c r="Y76" s="64">
        <f>IF($M76="","",IF(SUMPRODUCT(($D$4:$D$863=$D76)*($M$4:$M$863=$M76)*($T$4:$T$863&lt;&gt;$T76)*($F$4:$F$863&lt;$G76)*($G$4:$G$863&gt;$F76))&gt;0,"⚠ CONFLIT",""))</f>
        <v/>
      </c>
      <c r="Z76" s="64">
        <f>IF($J76="","",IF(SUMPRODUCT(($D$4:$D$863=$D76)*($J$4:$J$863=$J76)*($T$4:$T$863&lt;&gt;$T76)*($F$4:$F$863&lt;$G76)*($G$4:$G$863&gt;$F76)*(1-($X$4:$X$863="Oui")*($X76="Oui")))&gt;0,"⚠ CONFLIT",""))</f>
        <v/>
      </c>
      <c r="AA76" s="64">
        <f>IF(COUNTIFS($D$4:$D$863,$D76,$J$4:$J$863,$J76,$F$4:$F$863,$F76,$K$4:$K$863,$K76)&gt;1,"⚠ DOUBLON","")</f>
        <v/>
      </c>
      <c r="AB76" s="64">
        <f>IF(COUNTIF($T$4:$T$863,$T76)&lt;&gt;COUNTIFS($T$4:$T$863,$T76,$D$4:$D$863,$D76,$F$4:$F$863,$F76,$G$4:$G$863,$G76,$K$4:$K$863,$K76,$M$4:$M$863,$M76),"⚠ INCOHÉRENT","")</f>
        <v/>
      </c>
      <c r="AC76" s="64">
        <f>COUNTIFS($A$4:$A76,$A76,$J$4:$J76,$J76,$E$4:$E76,$E76)</f>
        <v/>
      </c>
      <c r="AD76" s="65">
        <f>$A76&amp;"|"&amp;$J76&amp;"|"&amp;$E76&amp;"|"&amp;$AC76</f>
        <v/>
      </c>
      <c r="AE76" s="66">
        <f>IF($W76&lt;&gt;"","⚑ "&amp;$W76&amp;CHAR(10),"")&amp;TEXT($F76,"hh:mm")&amp;"-"&amp;TEXT($G76,"hh:mm")&amp;IF(OR($P76="Quinzaine A",AND($P76="Hebdo · groupes alternés",$C76="A"))," Q-A",IF(OR($P76="Quinzaine B",AND($P76="Hebdo · groupes alternés",$C76="B"))," Q-B",IF($P76="Exception"," PONCT.","")))&amp;IF($X76="Oui"," OPT","")&amp;CHAR(10)&amp;$K76&amp;CHAR(10)&amp;$M76&amp;IF($N76&lt;&gt;"",CHAR(10)&amp;"Salle "&amp;$N76,"")&amp;IF($O76="En ligne",CHAR(10)&amp;"EN LIGNE","")&amp;IF($V76&lt;&gt;"",CHAR(10)&amp;$V76,"")</f>
        <v/>
      </c>
      <c r="AF76" s="65" t="inlineStr">
        <is>
          <t>19h-20h30 Français (Nabil) /par quinzaine</t>
        </is>
      </c>
      <c r="AG76" s="65" t="inlineStr">
        <is>
          <t>du 14-09 jusquà le 20-09!K62</t>
        </is>
      </c>
    </row>
    <row r="77" ht="15" customHeight="1">
      <c r="A77" s="74" t="inlineStr">
        <is>
          <t>S1</t>
        </is>
      </c>
      <c r="B77" s="75" t="inlineStr">
        <is>
          <t>du 14 au 20 septembre 2026</t>
        </is>
      </c>
      <c r="C77" s="74" t="inlineStr">
        <is>
          <t>A</t>
        </is>
      </c>
      <c r="D77" s="76" t="n">
        <v>46283</v>
      </c>
      <c r="E77" s="74" t="inlineStr">
        <is>
          <t>Vendredi</t>
        </is>
      </c>
      <c r="F77" s="77" t="n">
        <v>0.7916666666666666</v>
      </c>
      <c r="G77" s="77" t="n">
        <v>0.8541666666666666</v>
      </c>
      <c r="H77" s="78">
        <f>IF(OR($F77="",$G77=""),"",($G77-$F77)*24)</f>
        <v/>
      </c>
      <c r="I77" s="74" t="inlineStr">
        <is>
          <t>Secondaire</t>
        </is>
      </c>
      <c r="J77" s="75" t="inlineStr">
        <is>
          <t>3éme INFO</t>
        </is>
      </c>
      <c r="K77" s="67" t="inlineStr">
        <is>
          <t>Français</t>
        </is>
      </c>
      <c r="L77" s="67" t="inlineStr">
        <is>
          <t>Français</t>
        </is>
      </c>
      <c r="M77" s="75" t="inlineStr">
        <is>
          <t>Nabil</t>
        </is>
      </c>
      <c r="N77" s="74" t="n"/>
      <c r="O77" s="74" t="n"/>
      <c r="P77" s="74" t="inlineStr">
        <is>
          <t>Quinzaine A</t>
        </is>
      </c>
      <c r="Q77" s="75" t="inlineStr">
        <is>
          <t>3éme Eco + 3éme INFO + 3éme SCE</t>
        </is>
      </c>
      <c r="R77" s="74" t="n">
        <v>3</v>
      </c>
      <c r="S77" s="74" t="inlineStr"/>
      <c r="T77" s="74" t="inlineStr">
        <is>
          <t>S1-056</t>
        </is>
      </c>
      <c r="U77" s="75" t="inlineStr">
        <is>
          <t>Original (septembre)</t>
        </is>
      </c>
      <c r="V77" s="75" t="inlineStr"/>
      <c r="W77" s="10" t="n"/>
      <c r="X77" s="10" t="inlineStr"/>
      <c r="Y77" s="64">
        <f>IF($M77="","",IF(SUMPRODUCT(($D$4:$D$863=$D77)*($M$4:$M$863=$M77)*($T$4:$T$863&lt;&gt;$T77)*($F$4:$F$863&lt;$G77)*($G$4:$G$863&gt;$F77))&gt;0,"⚠ CONFLIT",""))</f>
        <v/>
      </c>
      <c r="Z77" s="64">
        <f>IF($J77="","",IF(SUMPRODUCT(($D$4:$D$863=$D77)*($J$4:$J$863=$J77)*($T$4:$T$863&lt;&gt;$T77)*($F$4:$F$863&lt;$G77)*($G$4:$G$863&gt;$F77)*(1-($X$4:$X$863="Oui")*($X77="Oui")))&gt;0,"⚠ CONFLIT",""))</f>
        <v/>
      </c>
      <c r="AA77" s="64">
        <f>IF(COUNTIFS($D$4:$D$863,$D77,$J$4:$J$863,$J77,$F$4:$F$863,$F77,$K$4:$K$863,$K77)&gt;1,"⚠ DOUBLON","")</f>
        <v/>
      </c>
      <c r="AB77" s="64">
        <f>IF(COUNTIF($T$4:$T$863,$T77)&lt;&gt;COUNTIFS($T$4:$T$863,$T77,$D$4:$D$863,$D77,$F$4:$F$863,$F77,$G$4:$G$863,$G77,$K$4:$K$863,$K77,$M$4:$M$863,$M77),"⚠ INCOHÉRENT","")</f>
        <v/>
      </c>
      <c r="AC77" s="64">
        <f>COUNTIFS($A$4:$A77,$A77,$J$4:$J77,$J77,$E$4:$E77,$E77)</f>
        <v/>
      </c>
      <c r="AD77" s="65">
        <f>$A77&amp;"|"&amp;$J77&amp;"|"&amp;$E77&amp;"|"&amp;$AC77</f>
        <v/>
      </c>
      <c r="AE77" s="66">
        <f>IF($W77&lt;&gt;"","⚑ "&amp;$W77&amp;CHAR(10),"")&amp;TEXT($F77,"hh:mm")&amp;"-"&amp;TEXT($G77,"hh:mm")&amp;IF(OR($P77="Quinzaine A",AND($P77="Hebdo · groupes alternés",$C77="A"))," Q-A",IF(OR($P77="Quinzaine B",AND($P77="Hebdo · groupes alternés",$C77="B"))," Q-B",IF($P77="Exception"," PONCT.","")))&amp;IF($X77="Oui"," OPT","")&amp;CHAR(10)&amp;$K77&amp;CHAR(10)&amp;$M77&amp;IF($N77&lt;&gt;"",CHAR(10)&amp;"Salle "&amp;$N77,"")&amp;IF($O77="En ligne",CHAR(10)&amp;"EN LIGNE","")&amp;IF($V77&lt;&gt;"",CHAR(10)&amp;$V77,"")</f>
        <v/>
      </c>
      <c r="AF77" s="65" t="inlineStr">
        <is>
          <t>19h-20h30 Français (Nabil) /par quinzaine</t>
        </is>
      </c>
      <c r="AG77" s="65" t="inlineStr">
        <is>
          <t>du 14-09 jusquà le 20-09!K62</t>
        </is>
      </c>
    </row>
    <row r="78" ht="15" customHeight="1">
      <c r="A78" s="74" t="inlineStr">
        <is>
          <t>S1</t>
        </is>
      </c>
      <c r="B78" s="75" t="inlineStr">
        <is>
          <t>du 14 au 20 septembre 2026</t>
        </is>
      </c>
      <c r="C78" s="74" t="inlineStr">
        <is>
          <t>A</t>
        </is>
      </c>
      <c r="D78" s="76" t="n">
        <v>46283</v>
      </c>
      <c r="E78" s="74" t="inlineStr">
        <is>
          <t>Vendredi</t>
        </is>
      </c>
      <c r="F78" s="77" t="n">
        <v>0.7916666666666666</v>
      </c>
      <c r="G78" s="77" t="n">
        <v>0.8541666666666666</v>
      </c>
      <c r="H78" s="78">
        <f>IF(OR($F78="",$G78=""),"",($G78-$F78)*24)</f>
        <v/>
      </c>
      <c r="I78" s="74" t="inlineStr">
        <is>
          <t>Secondaire</t>
        </is>
      </c>
      <c r="J78" s="75" t="inlineStr">
        <is>
          <t>3éme SCE</t>
        </is>
      </c>
      <c r="K78" s="67" t="inlineStr">
        <is>
          <t>Français</t>
        </is>
      </c>
      <c r="L78" s="67" t="inlineStr">
        <is>
          <t>Français</t>
        </is>
      </c>
      <c r="M78" s="75" t="inlineStr">
        <is>
          <t>Nabil</t>
        </is>
      </c>
      <c r="N78" s="74" t="n"/>
      <c r="O78" s="74" t="n"/>
      <c r="P78" s="74" t="inlineStr">
        <is>
          <t>Quinzaine A</t>
        </is>
      </c>
      <c r="Q78" s="75" t="inlineStr">
        <is>
          <t>3éme Eco + 3éme INFO + 3éme SCE</t>
        </is>
      </c>
      <c r="R78" s="74" t="n">
        <v>3</v>
      </c>
      <c r="S78" s="74" t="inlineStr"/>
      <c r="T78" s="74" t="inlineStr">
        <is>
          <t>S1-056</t>
        </is>
      </c>
      <c r="U78" s="75" t="inlineStr">
        <is>
          <t>Original (septembre)</t>
        </is>
      </c>
      <c r="V78" s="75" t="inlineStr"/>
      <c r="W78" s="10" t="n"/>
      <c r="X78" s="10" t="inlineStr"/>
      <c r="Y78" s="64">
        <f>IF($M78="","",IF(SUMPRODUCT(($D$4:$D$863=$D78)*($M$4:$M$863=$M78)*($T$4:$T$863&lt;&gt;$T78)*($F$4:$F$863&lt;$G78)*($G$4:$G$863&gt;$F78))&gt;0,"⚠ CONFLIT",""))</f>
        <v/>
      </c>
      <c r="Z78" s="64">
        <f>IF($J78="","",IF(SUMPRODUCT(($D$4:$D$863=$D78)*($J$4:$J$863=$J78)*($T$4:$T$863&lt;&gt;$T78)*($F$4:$F$863&lt;$G78)*($G$4:$G$863&gt;$F78)*(1-($X$4:$X$863="Oui")*($X78="Oui")))&gt;0,"⚠ CONFLIT",""))</f>
        <v/>
      </c>
      <c r="AA78" s="64">
        <f>IF(COUNTIFS($D$4:$D$863,$D78,$J$4:$J$863,$J78,$F$4:$F$863,$F78,$K$4:$K$863,$K78)&gt;1,"⚠ DOUBLON","")</f>
        <v/>
      </c>
      <c r="AB78" s="64">
        <f>IF(COUNTIF($T$4:$T$863,$T78)&lt;&gt;COUNTIFS($T$4:$T$863,$T78,$D$4:$D$863,$D78,$F$4:$F$863,$F78,$G$4:$G$863,$G78,$K$4:$K$863,$K78,$M$4:$M$863,$M78),"⚠ INCOHÉRENT","")</f>
        <v/>
      </c>
      <c r="AC78" s="64">
        <f>COUNTIFS($A$4:$A78,$A78,$J$4:$J78,$J78,$E$4:$E78,$E78)</f>
        <v/>
      </c>
      <c r="AD78" s="65">
        <f>$A78&amp;"|"&amp;$J78&amp;"|"&amp;$E78&amp;"|"&amp;$AC78</f>
        <v/>
      </c>
      <c r="AE78" s="66">
        <f>IF($W78&lt;&gt;"","⚑ "&amp;$W78&amp;CHAR(10),"")&amp;TEXT($F78,"hh:mm")&amp;"-"&amp;TEXT($G78,"hh:mm")&amp;IF(OR($P78="Quinzaine A",AND($P78="Hebdo · groupes alternés",$C78="A"))," Q-A",IF(OR($P78="Quinzaine B",AND($P78="Hebdo · groupes alternés",$C78="B"))," Q-B",IF($P78="Exception"," PONCT.","")))&amp;IF($X78="Oui"," OPT","")&amp;CHAR(10)&amp;$K78&amp;CHAR(10)&amp;$M78&amp;IF($N78&lt;&gt;"",CHAR(10)&amp;"Salle "&amp;$N78,"")&amp;IF($O78="En ligne",CHAR(10)&amp;"EN LIGNE","")&amp;IF($V78&lt;&gt;"",CHAR(10)&amp;$V78,"")</f>
        <v/>
      </c>
      <c r="AF78" s="65" t="inlineStr">
        <is>
          <t>19h-20h30 Français (Nabil) /par quinzaine</t>
        </is>
      </c>
      <c r="AG78" s="65" t="inlineStr">
        <is>
          <t>du 14-09 jusquà le 20-09!K62</t>
        </is>
      </c>
    </row>
    <row r="79" ht="15" customHeight="1">
      <c r="A79" s="81" t="inlineStr">
        <is>
          <t>S1</t>
        </is>
      </c>
      <c r="B79" s="82" t="inlineStr">
        <is>
          <t>du 14 au 20 septembre 2026</t>
        </is>
      </c>
      <c r="C79" s="81" t="inlineStr">
        <is>
          <t>A</t>
        </is>
      </c>
      <c r="D79" s="83" t="n">
        <v>46283</v>
      </c>
      <c r="E79" s="81" t="inlineStr">
        <is>
          <t>Vendredi</t>
        </is>
      </c>
      <c r="F79" s="84" t="n">
        <v>0.7291666666666666</v>
      </c>
      <c r="G79" s="84" t="n">
        <v>0.7916666666666666</v>
      </c>
      <c r="H79" s="85">
        <f>IF(OR($F79="",$G79=""),"",($G79-$F79)*24)</f>
        <v/>
      </c>
      <c r="I79" s="81" t="inlineStr">
        <is>
          <t>Bac</t>
        </is>
      </c>
      <c r="J79" s="82" t="inlineStr">
        <is>
          <t>Bac Eco</t>
        </is>
      </c>
      <c r="K79" s="87" t="inlineStr">
        <is>
          <t>Anglais</t>
        </is>
      </c>
      <c r="L79" s="87" t="inlineStr">
        <is>
          <t>Anglais</t>
        </is>
      </c>
      <c r="M79" s="82" t="inlineStr">
        <is>
          <t>Khaled</t>
        </is>
      </c>
      <c r="N79" s="81" t="n"/>
      <c r="O79" s="81" t="n"/>
      <c r="P79" s="81" t="inlineStr">
        <is>
          <t>Hebdo · groupes alternés</t>
        </is>
      </c>
      <c r="Q79" s="82" t="inlineStr">
        <is>
          <t>Bac Eco + Bac SCE + Bac INFO</t>
        </is>
      </c>
      <c r="R79" s="81" t="n">
        <v>3</v>
      </c>
      <c r="S79" s="81" t="inlineStr">
        <is>
          <t>Oui</t>
        </is>
      </c>
      <c r="T79" s="81" t="inlineStr">
        <is>
          <t>S1-057</t>
        </is>
      </c>
      <c r="U79" s="82" t="inlineStr">
        <is>
          <t>Original (septembre)</t>
        </is>
      </c>
      <c r="V79" s="82" t="inlineStr"/>
      <c r="W79" s="10" t="n"/>
      <c r="X79" s="10" t="inlineStr"/>
      <c r="Y79" s="64">
        <f>IF($M79="","",IF(SUMPRODUCT(($D$4:$D$863=$D79)*($M$4:$M$863=$M79)*($T$4:$T$863&lt;&gt;$T79)*($F$4:$F$863&lt;$G79)*($G$4:$G$863&gt;$F79))&gt;0,"⚠ CONFLIT",""))</f>
        <v/>
      </c>
      <c r="Z79" s="64">
        <f>IF($J79="","",IF(SUMPRODUCT(($D$4:$D$863=$D79)*($J$4:$J$863=$J79)*($T$4:$T$863&lt;&gt;$T79)*($F$4:$F$863&lt;$G79)*($G$4:$G$863&gt;$F79)*(1-($X$4:$X$863="Oui")*($X79="Oui")))&gt;0,"⚠ CONFLIT",""))</f>
        <v/>
      </c>
      <c r="AA79" s="64">
        <f>IF(COUNTIFS($D$4:$D$863,$D79,$J$4:$J$863,$J79,$F$4:$F$863,$F79,$K$4:$K$863,$K79)&gt;1,"⚠ DOUBLON","")</f>
        <v/>
      </c>
      <c r="AB79" s="64">
        <f>IF(COUNTIF($T$4:$T$863,$T79)&lt;&gt;COUNTIFS($T$4:$T$863,$T79,$D$4:$D$863,$D79,$F$4:$F$863,$F79,$G$4:$G$863,$G79,$K$4:$K$863,$K79,$M$4:$M$863,$M79),"⚠ INCOHÉRENT","")</f>
        <v/>
      </c>
      <c r="AC79" s="64">
        <f>COUNTIFS($A$4:$A79,$A79,$J$4:$J79,$J79,$E$4:$E79,$E79)</f>
        <v/>
      </c>
      <c r="AD79" s="65">
        <f>$A79&amp;"|"&amp;$J79&amp;"|"&amp;$E79&amp;"|"&amp;$AC79</f>
        <v/>
      </c>
      <c r="AE79" s="66">
        <f>IF($W79&lt;&gt;"","⚑ "&amp;$W79&amp;CHAR(10),"")&amp;TEXT($F79,"hh:mm")&amp;"-"&amp;TEXT($G79,"hh:mm")&amp;IF(OR($P79="Quinzaine A",AND($P79="Hebdo · groupes alternés",$C79="A"))," Q-A",IF(OR($P79="Quinzaine B",AND($P79="Hebdo · groupes alternés",$C79="B"))," Q-B",IF($P79="Exception"," PONCT.","")))&amp;IF($X79="Oui"," OPT","")&amp;CHAR(10)&amp;$K79&amp;CHAR(10)&amp;$M79&amp;IF($N79&lt;&gt;"",CHAR(10)&amp;"Salle "&amp;$N79,"")&amp;IF($O79="En ligne",CHAR(10)&amp;"EN LIGNE","")&amp;IF($V79&lt;&gt;"",CHAR(10)&amp;$V79,"")</f>
        <v/>
      </c>
      <c r="AF79" s="65" t="inlineStr">
        <is>
          <t>17h30-19h Anglais (Khaled) /par quinzaine</t>
        </is>
      </c>
      <c r="AG79" s="65" t="inlineStr">
        <is>
          <t>du 14-09 jusquà le 20-09!K68</t>
        </is>
      </c>
    </row>
    <row r="80" ht="15" customHeight="1">
      <c r="A80" s="81" t="inlineStr">
        <is>
          <t>S1</t>
        </is>
      </c>
      <c r="B80" s="82" t="inlineStr">
        <is>
          <t>du 14 au 20 septembre 2026</t>
        </is>
      </c>
      <c r="C80" s="81" t="inlineStr">
        <is>
          <t>A</t>
        </is>
      </c>
      <c r="D80" s="83" t="n">
        <v>46283</v>
      </c>
      <c r="E80" s="81" t="inlineStr">
        <is>
          <t>Vendredi</t>
        </is>
      </c>
      <c r="F80" s="84" t="n">
        <v>0.7291666666666666</v>
      </c>
      <c r="G80" s="84" t="n">
        <v>0.7916666666666666</v>
      </c>
      <c r="H80" s="85">
        <f>IF(OR($F80="",$G80=""),"",($G80-$F80)*24)</f>
        <v/>
      </c>
      <c r="I80" s="81" t="inlineStr">
        <is>
          <t>Bac</t>
        </is>
      </c>
      <c r="J80" s="82" t="inlineStr">
        <is>
          <t>Bac SCE</t>
        </is>
      </c>
      <c r="K80" s="87" t="inlineStr">
        <is>
          <t>Anglais</t>
        </is>
      </c>
      <c r="L80" s="87" t="inlineStr">
        <is>
          <t>Anglais</t>
        </is>
      </c>
      <c r="M80" s="82" t="inlineStr">
        <is>
          <t>Khaled</t>
        </is>
      </c>
      <c r="N80" s="81" t="n"/>
      <c r="O80" s="81" t="n"/>
      <c r="P80" s="81" t="inlineStr">
        <is>
          <t>Hebdo · groupes alternés</t>
        </is>
      </c>
      <c r="Q80" s="82" t="inlineStr">
        <is>
          <t>Bac Eco + Bac SCE + Bac INFO</t>
        </is>
      </c>
      <c r="R80" s="81" t="n">
        <v>3</v>
      </c>
      <c r="S80" s="81" t="inlineStr"/>
      <c r="T80" s="81" t="inlineStr">
        <is>
          <t>S1-057</t>
        </is>
      </c>
      <c r="U80" s="82" t="inlineStr">
        <is>
          <t>Original (septembre)</t>
        </is>
      </c>
      <c r="V80" s="82" t="inlineStr"/>
      <c r="W80" s="10" t="n"/>
      <c r="X80" s="10" t="inlineStr"/>
      <c r="Y80" s="64">
        <f>IF($M80="","",IF(SUMPRODUCT(($D$4:$D$863=$D80)*($M$4:$M$863=$M80)*($T$4:$T$863&lt;&gt;$T80)*($F$4:$F$863&lt;$G80)*($G$4:$G$863&gt;$F80))&gt;0,"⚠ CONFLIT",""))</f>
        <v/>
      </c>
      <c r="Z80" s="64">
        <f>IF($J80="","",IF(SUMPRODUCT(($D$4:$D$863=$D80)*($J$4:$J$863=$J80)*($T$4:$T$863&lt;&gt;$T80)*($F$4:$F$863&lt;$G80)*($G$4:$G$863&gt;$F80)*(1-($X$4:$X$863="Oui")*($X80="Oui")))&gt;0,"⚠ CONFLIT",""))</f>
        <v/>
      </c>
      <c r="AA80" s="64">
        <f>IF(COUNTIFS($D$4:$D$863,$D80,$J$4:$J$863,$J80,$F$4:$F$863,$F80,$K$4:$K$863,$K80)&gt;1,"⚠ DOUBLON","")</f>
        <v/>
      </c>
      <c r="AB80" s="64">
        <f>IF(COUNTIF($T$4:$T$863,$T80)&lt;&gt;COUNTIFS($T$4:$T$863,$T80,$D$4:$D$863,$D80,$F$4:$F$863,$F80,$G$4:$G$863,$G80,$K$4:$K$863,$K80,$M$4:$M$863,$M80),"⚠ INCOHÉRENT","")</f>
        <v/>
      </c>
      <c r="AC80" s="64">
        <f>COUNTIFS($A$4:$A80,$A80,$J$4:$J80,$J80,$E$4:$E80,$E80)</f>
        <v/>
      </c>
      <c r="AD80" s="65">
        <f>$A80&amp;"|"&amp;$J80&amp;"|"&amp;$E80&amp;"|"&amp;$AC80</f>
        <v/>
      </c>
      <c r="AE80" s="66">
        <f>IF($W80&lt;&gt;"","⚑ "&amp;$W80&amp;CHAR(10),"")&amp;TEXT($F80,"hh:mm")&amp;"-"&amp;TEXT($G80,"hh:mm")&amp;IF(OR($P80="Quinzaine A",AND($P80="Hebdo · groupes alternés",$C80="A"))," Q-A",IF(OR($P80="Quinzaine B",AND($P80="Hebdo · groupes alternés",$C80="B"))," Q-B",IF($P80="Exception"," PONCT.","")))&amp;IF($X80="Oui"," OPT","")&amp;CHAR(10)&amp;$K80&amp;CHAR(10)&amp;$M80&amp;IF($N80&lt;&gt;"",CHAR(10)&amp;"Salle "&amp;$N80,"")&amp;IF($O80="En ligne",CHAR(10)&amp;"EN LIGNE","")&amp;IF($V80&lt;&gt;"",CHAR(10)&amp;$V80,"")</f>
        <v/>
      </c>
      <c r="AF80" s="65" t="inlineStr">
        <is>
          <t>17h30-19h Anglais (Khaled) /par quinzaine</t>
        </is>
      </c>
      <c r="AG80" s="65" t="inlineStr">
        <is>
          <t>du 14-09 jusquà le 20-09!K68</t>
        </is>
      </c>
    </row>
    <row r="81" ht="15" customHeight="1">
      <c r="A81" s="81" t="inlineStr">
        <is>
          <t>S1</t>
        </is>
      </c>
      <c r="B81" s="82" t="inlineStr">
        <is>
          <t>du 14 au 20 septembre 2026</t>
        </is>
      </c>
      <c r="C81" s="81" t="inlineStr">
        <is>
          <t>A</t>
        </is>
      </c>
      <c r="D81" s="83" t="n">
        <v>46283</v>
      </c>
      <c r="E81" s="81" t="inlineStr">
        <is>
          <t>Vendredi</t>
        </is>
      </c>
      <c r="F81" s="84" t="n">
        <v>0.7291666666666666</v>
      </c>
      <c r="G81" s="84" t="n">
        <v>0.7916666666666666</v>
      </c>
      <c r="H81" s="85">
        <f>IF(OR($F81="",$G81=""),"",($G81-$F81)*24)</f>
        <v/>
      </c>
      <c r="I81" s="81" t="inlineStr">
        <is>
          <t>Bac</t>
        </is>
      </c>
      <c r="J81" s="82" t="inlineStr">
        <is>
          <t>Bac INFO</t>
        </is>
      </c>
      <c r="K81" s="87" t="inlineStr">
        <is>
          <t>Anglais</t>
        </is>
      </c>
      <c r="L81" s="87" t="inlineStr">
        <is>
          <t>Anglais</t>
        </is>
      </c>
      <c r="M81" s="82" t="inlineStr">
        <is>
          <t>Khaled</t>
        </is>
      </c>
      <c r="N81" s="81" t="n"/>
      <c r="O81" s="81" t="n"/>
      <c r="P81" s="81" t="inlineStr">
        <is>
          <t>Hebdo · groupes alternés</t>
        </is>
      </c>
      <c r="Q81" s="82" t="inlineStr">
        <is>
          <t>Bac Eco + Bac SCE + Bac INFO</t>
        </is>
      </c>
      <c r="R81" s="81" t="n">
        <v>3</v>
      </c>
      <c r="S81" s="81" t="inlineStr"/>
      <c r="T81" s="81" t="inlineStr">
        <is>
          <t>S1-057</t>
        </is>
      </c>
      <c r="U81" s="82" t="inlineStr">
        <is>
          <t>Original (septembre)</t>
        </is>
      </c>
      <c r="V81" s="82" t="inlineStr"/>
      <c r="W81" s="10" t="n"/>
      <c r="X81" s="10" t="inlineStr"/>
      <c r="Y81" s="64">
        <f>IF($M81="","",IF(SUMPRODUCT(($D$4:$D$863=$D81)*($M$4:$M$863=$M81)*($T$4:$T$863&lt;&gt;$T81)*($F$4:$F$863&lt;$G81)*($G$4:$G$863&gt;$F81))&gt;0,"⚠ CONFLIT",""))</f>
        <v/>
      </c>
      <c r="Z81" s="64">
        <f>IF($J81="","",IF(SUMPRODUCT(($D$4:$D$863=$D81)*($J$4:$J$863=$J81)*($T$4:$T$863&lt;&gt;$T81)*($F$4:$F$863&lt;$G81)*($G$4:$G$863&gt;$F81)*(1-($X$4:$X$863="Oui")*($X81="Oui")))&gt;0,"⚠ CONFLIT",""))</f>
        <v/>
      </c>
      <c r="AA81" s="64">
        <f>IF(COUNTIFS($D$4:$D$863,$D81,$J$4:$J$863,$J81,$F$4:$F$863,$F81,$K$4:$K$863,$K81)&gt;1,"⚠ DOUBLON","")</f>
        <v/>
      </c>
      <c r="AB81" s="64">
        <f>IF(COUNTIF($T$4:$T$863,$T81)&lt;&gt;COUNTIFS($T$4:$T$863,$T81,$D$4:$D$863,$D81,$F$4:$F$863,$F81,$G$4:$G$863,$G81,$K$4:$K$863,$K81,$M$4:$M$863,$M81),"⚠ INCOHÉRENT","")</f>
        <v/>
      </c>
      <c r="AC81" s="64">
        <f>COUNTIFS($A$4:$A81,$A81,$J$4:$J81,$J81,$E$4:$E81,$E81)</f>
        <v/>
      </c>
      <c r="AD81" s="65">
        <f>$A81&amp;"|"&amp;$J81&amp;"|"&amp;$E81&amp;"|"&amp;$AC81</f>
        <v/>
      </c>
      <c r="AE81" s="66">
        <f>IF($W81&lt;&gt;"","⚑ "&amp;$W81&amp;CHAR(10),"")&amp;TEXT($F81,"hh:mm")&amp;"-"&amp;TEXT($G81,"hh:mm")&amp;IF(OR($P81="Quinzaine A",AND($P81="Hebdo · groupes alternés",$C81="A"))," Q-A",IF(OR($P81="Quinzaine B",AND($P81="Hebdo · groupes alternés",$C81="B"))," Q-B",IF($P81="Exception"," PONCT.","")))&amp;IF($X81="Oui"," OPT","")&amp;CHAR(10)&amp;$K81&amp;CHAR(10)&amp;$M81&amp;IF($N81&lt;&gt;"",CHAR(10)&amp;"Salle "&amp;$N81,"")&amp;IF($O81="En ligne",CHAR(10)&amp;"EN LIGNE","")&amp;IF($V81&lt;&gt;"",CHAR(10)&amp;$V81,"")</f>
        <v/>
      </c>
      <c r="AF81" s="65" t="inlineStr">
        <is>
          <t>17h30-19h Anglais (Khaled) /par quinzaine</t>
        </is>
      </c>
      <c r="AG81" s="65" t="inlineStr">
        <is>
          <t>du 14-09 jusquà le 20-09!K68</t>
        </is>
      </c>
    </row>
    <row r="82" ht="15" customHeight="1">
      <c r="A82" s="58" t="inlineStr">
        <is>
          <t>S1</t>
        </is>
      </c>
      <c r="B82" s="59" t="inlineStr">
        <is>
          <t>du 14 au 20 septembre 2026</t>
        </is>
      </c>
      <c r="C82" s="58" t="inlineStr">
        <is>
          <t>A</t>
        </is>
      </c>
      <c r="D82" s="60" t="n">
        <v>46284</v>
      </c>
      <c r="E82" s="58" t="inlineStr">
        <is>
          <t>Samedi</t>
        </is>
      </c>
      <c r="F82" s="61" t="n">
        <v>0.6666666666666666</v>
      </c>
      <c r="G82" s="61" t="n">
        <v>0.7291666666666666</v>
      </c>
      <c r="H82" s="62">
        <f>IF(OR($F82="",$G82=""),"",($G82-$F82)*24)</f>
        <v/>
      </c>
      <c r="I82" s="58" t="inlineStr">
        <is>
          <t>Primaire</t>
        </is>
      </c>
      <c r="J82" s="59" t="inlineStr">
        <is>
          <t>4éme</t>
        </is>
      </c>
      <c r="K82" s="67" t="inlineStr">
        <is>
          <t>Français</t>
        </is>
      </c>
      <c r="L82" s="67" t="inlineStr">
        <is>
          <t>Français</t>
        </is>
      </c>
      <c r="M82" s="59" t="inlineStr">
        <is>
          <t>Hend</t>
        </is>
      </c>
      <c r="N82" s="58" t="n"/>
      <c r="O82" s="58" t="n"/>
      <c r="P82" s="58" t="inlineStr">
        <is>
          <t>Hebdomadaire</t>
        </is>
      </c>
      <c r="Q82" s="59" t="inlineStr"/>
      <c r="R82" s="58" t="n">
        <v>1</v>
      </c>
      <c r="S82" s="58" t="inlineStr">
        <is>
          <t>Oui</t>
        </is>
      </c>
      <c r="T82" s="58" t="inlineStr">
        <is>
          <t>S1-058</t>
        </is>
      </c>
      <c r="U82" s="59" t="inlineStr">
        <is>
          <t>Original (septembre)</t>
        </is>
      </c>
      <c r="V82" s="59" t="inlineStr"/>
      <c r="W82" s="10" t="n"/>
      <c r="X82" s="10" t="inlineStr"/>
      <c r="Y82" s="64">
        <f>IF($M82="","",IF(SUMPRODUCT(($D$4:$D$863=$D82)*($M$4:$M$863=$M82)*($T$4:$T$863&lt;&gt;$T82)*($F$4:$F$863&lt;$G82)*($G$4:$G$863&gt;$F82))&gt;0,"⚠ CONFLIT",""))</f>
        <v/>
      </c>
      <c r="Z82" s="64">
        <f>IF($J82="","",IF(SUMPRODUCT(($D$4:$D$863=$D82)*($J$4:$J$863=$J82)*($T$4:$T$863&lt;&gt;$T82)*($F$4:$F$863&lt;$G82)*($G$4:$G$863&gt;$F82)*(1-($X$4:$X$863="Oui")*($X82="Oui")))&gt;0,"⚠ CONFLIT",""))</f>
        <v/>
      </c>
      <c r="AA82" s="64">
        <f>IF(COUNTIFS($D$4:$D$863,$D82,$J$4:$J$863,$J82,$F$4:$F$863,$F82,$K$4:$K$863,$K82)&gt;1,"⚠ DOUBLON","")</f>
        <v/>
      </c>
      <c r="AB82" s="64">
        <f>IF(COUNTIF($T$4:$T$863,$T82)&lt;&gt;COUNTIFS($T$4:$T$863,$T82,$D$4:$D$863,$D82,$F$4:$F$863,$F82,$G$4:$G$863,$G82,$K$4:$K$863,$K82,$M$4:$M$863,$M82),"⚠ INCOHÉRENT","")</f>
        <v/>
      </c>
      <c r="AC82" s="64">
        <f>COUNTIFS($A$4:$A82,$A82,$J$4:$J82,$J82,$E$4:$E82,$E82)</f>
        <v/>
      </c>
      <c r="AD82" s="65">
        <f>$A82&amp;"|"&amp;$J82&amp;"|"&amp;$E82&amp;"|"&amp;$AC82</f>
        <v/>
      </c>
      <c r="AE82" s="66">
        <f>IF($W82&lt;&gt;"","⚑ "&amp;$W82&amp;CHAR(10),"")&amp;TEXT($F82,"hh:mm")&amp;"-"&amp;TEXT($G82,"hh:mm")&amp;IF(OR($P82="Quinzaine A",AND($P82="Hebdo · groupes alternés",$C82="A"))," Q-A",IF(OR($P82="Quinzaine B",AND($P82="Hebdo · groupes alternés",$C82="B"))," Q-B",IF($P82="Exception"," PONCT.","")))&amp;IF($X82="Oui"," OPT","")&amp;CHAR(10)&amp;$K82&amp;CHAR(10)&amp;$M82&amp;IF($N82&lt;&gt;"",CHAR(10)&amp;"Salle "&amp;$N82,"")&amp;IF($O82="En ligne",CHAR(10)&amp;"EN LIGNE","")&amp;IF($V82&lt;&gt;"",CHAR(10)&amp;$V82,"")</f>
        <v/>
      </c>
      <c r="AF82" s="65" t="inlineStr">
        <is>
          <t>16h-17h30 Français (Hend)</t>
        </is>
      </c>
      <c r="AG82" s="65" t="inlineStr">
        <is>
          <t>du 14-09 jusquà le 20-09!L3</t>
        </is>
      </c>
    </row>
    <row r="83" ht="15" customHeight="1">
      <c r="A83" s="58" t="inlineStr">
        <is>
          <t>S1</t>
        </is>
      </c>
      <c r="B83" s="59" t="inlineStr">
        <is>
          <t>du 14 au 20 septembre 2026</t>
        </is>
      </c>
      <c r="C83" s="58" t="inlineStr">
        <is>
          <t>A</t>
        </is>
      </c>
      <c r="D83" s="60" t="n">
        <v>46284</v>
      </c>
      <c r="E83" s="58" t="inlineStr">
        <is>
          <t>Samedi</t>
        </is>
      </c>
      <c r="F83" s="61" t="n">
        <v>0.75</v>
      </c>
      <c r="G83" s="61" t="n">
        <v>0.8125</v>
      </c>
      <c r="H83" s="62">
        <f>IF(OR($F83="",$G83=""),"",($G83-$F83)*24)</f>
        <v/>
      </c>
      <c r="I83" s="58" t="inlineStr">
        <is>
          <t>Primaire</t>
        </is>
      </c>
      <c r="J83" s="59" t="inlineStr">
        <is>
          <t>5éme</t>
        </is>
      </c>
      <c r="K83" s="67" t="inlineStr">
        <is>
          <t>Français</t>
        </is>
      </c>
      <c r="L83" s="67" t="inlineStr">
        <is>
          <t>Français</t>
        </is>
      </c>
      <c r="M83" s="59" t="inlineStr">
        <is>
          <t>Hend</t>
        </is>
      </c>
      <c r="N83" s="58" t="n"/>
      <c r="O83" s="58" t="n"/>
      <c r="P83" s="58" t="inlineStr">
        <is>
          <t>Hebdomadaire</t>
        </is>
      </c>
      <c r="Q83" s="59" t="inlineStr"/>
      <c r="R83" s="58" t="n">
        <v>1</v>
      </c>
      <c r="S83" s="58" t="inlineStr">
        <is>
          <t>Oui</t>
        </is>
      </c>
      <c r="T83" s="58" t="inlineStr">
        <is>
          <t>S1-059</t>
        </is>
      </c>
      <c r="U83" s="59" t="inlineStr">
        <is>
          <t>Original (septembre)</t>
        </is>
      </c>
      <c r="V83" s="59" t="inlineStr"/>
      <c r="W83" s="10" t="n"/>
      <c r="X83" s="10" t="inlineStr"/>
      <c r="Y83" s="64">
        <f>IF($M83="","",IF(SUMPRODUCT(($D$4:$D$863=$D83)*($M$4:$M$863=$M83)*($T$4:$T$863&lt;&gt;$T83)*($F$4:$F$863&lt;$G83)*($G$4:$G$863&gt;$F83))&gt;0,"⚠ CONFLIT",""))</f>
        <v/>
      </c>
      <c r="Z83" s="64">
        <f>IF($J83="","",IF(SUMPRODUCT(($D$4:$D$863=$D83)*($J$4:$J$863=$J83)*($T$4:$T$863&lt;&gt;$T83)*($F$4:$F$863&lt;$G83)*($G$4:$G$863&gt;$F83)*(1-($X$4:$X$863="Oui")*($X83="Oui")))&gt;0,"⚠ CONFLIT",""))</f>
        <v/>
      </c>
      <c r="AA83" s="64">
        <f>IF(COUNTIFS($D$4:$D$863,$D83,$J$4:$J$863,$J83,$F$4:$F$863,$F83,$K$4:$K$863,$K83)&gt;1,"⚠ DOUBLON","")</f>
        <v/>
      </c>
      <c r="AB83" s="64">
        <f>IF(COUNTIF($T$4:$T$863,$T83)&lt;&gt;COUNTIFS($T$4:$T$863,$T83,$D$4:$D$863,$D83,$F$4:$F$863,$F83,$G$4:$G$863,$G83,$K$4:$K$863,$K83,$M$4:$M$863,$M83),"⚠ INCOHÉRENT","")</f>
        <v/>
      </c>
      <c r="AC83" s="64">
        <f>COUNTIFS($A$4:$A83,$A83,$J$4:$J83,$J83,$E$4:$E83,$E83)</f>
        <v/>
      </c>
      <c r="AD83" s="65">
        <f>$A83&amp;"|"&amp;$J83&amp;"|"&amp;$E83&amp;"|"&amp;$AC83</f>
        <v/>
      </c>
      <c r="AE83" s="66">
        <f>IF($W83&lt;&gt;"","⚑ "&amp;$W83&amp;CHAR(10),"")&amp;TEXT($F83,"hh:mm")&amp;"-"&amp;TEXT($G83,"hh:mm")&amp;IF(OR($P83="Quinzaine A",AND($P83="Hebdo · groupes alternés",$C83="A"))," Q-A",IF(OR($P83="Quinzaine B",AND($P83="Hebdo · groupes alternés",$C83="B"))," Q-B",IF($P83="Exception"," PONCT.","")))&amp;IF($X83="Oui"," OPT","")&amp;CHAR(10)&amp;$K83&amp;CHAR(10)&amp;$M83&amp;IF($N83&lt;&gt;"",CHAR(10)&amp;"Salle "&amp;$N83,"")&amp;IF($O83="En ligne",CHAR(10)&amp;"EN LIGNE","")&amp;IF($V83&lt;&gt;"",CHAR(10)&amp;$V83,"")</f>
        <v/>
      </c>
      <c r="AF83" s="65" t="inlineStr">
        <is>
          <t>18h-19h30 Français (Hend)</t>
        </is>
      </c>
      <c r="AG83" s="65" t="inlineStr">
        <is>
          <t>du 14-09 jusquà le 20-09!L6</t>
        </is>
      </c>
    </row>
    <row r="84" ht="15" customHeight="1">
      <c r="A84" s="58" t="inlineStr">
        <is>
          <t>S1</t>
        </is>
      </c>
      <c r="B84" s="59" t="inlineStr">
        <is>
          <t>du 14 au 20 septembre 2026</t>
        </is>
      </c>
      <c r="C84" s="58" t="inlineStr">
        <is>
          <t>A</t>
        </is>
      </c>
      <c r="D84" s="60" t="n">
        <v>46284</v>
      </c>
      <c r="E84" s="58" t="inlineStr">
        <is>
          <t>Samedi</t>
        </is>
      </c>
      <c r="F84" s="61" t="n">
        <v>0.7916666666666666</v>
      </c>
      <c r="G84" s="61" t="n">
        <v>0.875</v>
      </c>
      <c r="H84" s="62">
        <f>IF(OR($F84="",$G84=""),"",($G84-$F84)*24)</f>
        <v/>
      </c>
      <c r="I84" s="58" t="inlineStr">
        <is>
          <t>Primaire</t>
        </is>
      </c>
      <c r="J84" s="59" t="inlineStr">
        <is>
          <t>6éme Pilote (A)</t>
        </is>
      </c>
      <c r="K84" s="63" t="inlineStr">
        <is>
          <t>عربية</t>
        </is>
      </c>
      <c r="L84" s="63" t="inlineStr">
        <is>
          <t>Arabe</t>
        </is>
      </c>
      <c r="M84" s="59" t="inlineStr">
        <is>
          <t>Lobna</t>
        </is>
      </c>
      <c r="N84" s="58" t="n"/>
      <c r="O84" s="58" t="n"/>
      <c r="P84" s="58" t="inlineStr">
        <is>
          <t>Hebdomadaire</t>
        </is>
      </c>
      <c r="Q84" s="59" t="inlineStr"/>
      <c r="R84" s="58" t="n">
        <v>1</v>
      </c>
      <c r="S84" s="58" t="inlineStr">
        <is>
          <t>Oui</t>
        </is>
      </c>
      <c r="T84" s="58" t="inlineStr">
        <is>
          <t>S1-060</t>
        </is>
      </c>
      <c r="U84" s="59" t="inlineStr">
        <is>
          <t>Original (septembre)</t>
        </is>
      </c>
      <c r="V84" s="59" t="inlineStr"/>
      <c r="W84" s="10" t="n"/>
      <c r="X84" s="10" t="inlineStr"/>
      <c r="Y84" s="64">
        <f>IF($M84="","",IF(SUMPRODUCT(($D$4:$D$863=$D84)*($M$4:$M$863=$M84)*($T$4:$T$863&lt;&gt;$T84)*($F$4:$F$863&lt;$G84)*($G$4:$G$863&gt;$F84))&gt;0,"⚠ CONFLIT",""))</f>
        <v/>
      </c>
      <c r="Z84" s="64">
        <f>IF($J84="","",IF(SUMPRODUCT(($D$4:$D$863=$D84)*($J$4:$J$863=$J84)*($T$4:$T$863&lt;&gt;$T84)*($F$4:$F$863&lt;$G84)*($G$4:$G$863&gt;$F84)*(1-($X$4:$X$863="Oui")*($X84="Oui")))&gt;0,"⚠ CONFLIT",""))</f>
        <v/>
      </c>
      <c r="AA84" s="64">
        <f>IF(COUNTIFS($D$4:$D$863,$D84,$J$4:$J$863,$J84,$F$4:$F$863,$F84,$K$4:$K$863,$K84)&gt;1,"⚠ DOUBLON","")</f>
        <v/>
      </c>
      <c r="AB84" s="64">
        <f>IF(COUNTIF($T$4:$T$863,$T84)&lt;&gt;COUNTIFS($T$4:$T$863,$T84,$D$4:$D$863,$D84,$F$4:$F$863,$F84,$G$4:$G$863,$G84,$K$4:$K$863,$K84,$M$4:$M$863,$M84),"⚠ INCOHÉRENT","")</f>
        <v/>
      </c>
      <c r="AC84" s="64">
        <f>COUNTIFS($A$4:$A84,$A84,$J$4:$J84,$J84,$E$4:$E84,$E84)</f>
        <v/>
      </c>
      <c r="AD84" s="65">
        <f>$A84&amp;"|"&amp;$J84&amp;"|"&amp;$E84&amp;"|"&amp;$AC84</f>
        <v/>
      </c>
      <c r="AE84" s="66">
        <f>IF($W84&lt;&gt;"","⚑ "&amp;$W84&amp;CHAR(10),"")&amp;TEXT($F84,"hh:mm")&amp;"-"&amp;TEXT($G84,"hh:mm")&amp;IF(OR($P84="Quinzaine A",AND($P84="Hebdo · groupes alternés",$C84="A"))," Q-A",IF(OR($P84="Quinzaine B",AND($P84="Hebdo · groupes alternés",$C84="B"))," Q-B",IF($P84="Exception"," PONCT.","")))&amp;IF($X84="Oui"," OPT","")&amp;CHAR(10)&amp;$K84&amp;CHAR(10)&amp;$M84&amp;IF($N84&lt;&gt;"",CHAR(10)&amp;"Salle "&amp;$N84,"")&amp;IF($O84="En ligne",CHAR(10)&amp;"EN LIGNE","")&amp;IF($V84&lt;&gt;"",CHAR(10)&amp;$V84,"")</f>
        <v/>
      </c>
      <c r="AF84" s="65" t="inlineStr">
        <is>
          <t>19h-21h عربية (Lobna)</t>
        </is>
      </c>
      <c r="AG84" s="65" t="inlineStr">
        <is>
          <t>du 14-09 jusquà le 20-09!L12</t>
        </is>
      </c>
    </row>
    <row r="85" ht="15" customHeight="1">
      <c r="A85" s="58" t="inlineStr">
        <is>
          <t>S1</t>
        </is>
      </c>
      <c r="B85" s="59" t="inlineStr">
        <is>
          <t>du 14 au 20 septembre 2026</t>
        </is>
      </c>
      <c r="C85" s="58" t="inlineStr">
        <is>
          <t>A</t>
        </is>
      </c>
      <c r="D85" s="60" t="n">
        <v>46284</v>
      </c>
      <c r="E85" s="58" t="inlineStr">
        <is>
          <t>Samedi</t>
        </is>
      </c>
      <c r="F85" s="61" t="n">
        <v>0.7083333333333334</v>
      </c>
      <c r="G85" s="61" t="n">
        <v>0.7916666666666666</v>
      </c>
      <c r="H85" s="62">
        <f>IF(OR($F85="",$G85=""),"",($G85-$F85)*24)</f>
        <v/>
      </c>
      <c r="I85" s="58" t="inlineStr">
        <is>
          <t>Primaire</t>
        </is>
      </c>
      <c r="J85" s="59" t="inlineStr">
        <is>
          <t>6éme (B)</t>
        </is>
      </c>
      <c r="K85" s="63" t="inlineStr">
        <is>
          <t>عربية</t>
        </is>
      </c>
      <c r="L85" s="63" t="inlineStr">
        <is>
          <t>Arabe</t>
        </is>
      </c>
      <c r="M85" s="59" t="inlineStr">
        <is>
          <t>Lobna</t>
        </is>
      </c>
      <c r="N85" s="58" t="n"/>
      <c r="O85" s="58" t="n"/>
      <c r="P85" s="58" t="inlineStr">
        <is>
          <t>Hebdomadaire</t>
        </is>
      </c>
      <c r="Q85" s="59" t="inlineStr"/>
      <c r="R85" s="58" t="n">
        <v>1</v>
      </c>
      <c r="S85" s="58" t="inlineStr">
        <is>
          <t>Oui</t>
        </is>
      </c>
      <c r="T85" s="58" t="inlineStr">
        <is>
          <t>S1-061</t>
        </is>
      </c>
      <c r="U85" s="59" t="inlineStr">
        <is>
          <t>Original (septembre)</t>
        </is>
      </c>
      <c r="V85" s="59" t="inlineStr"/>
      <c r="W85" s="10" t="n"/>
      <c r="X85" s="10" t="inlineStr"/>
      <c r="Y85" s="64">
        <f>IF($M85="","",IF(SUMPRODUCT(($D$4:$D$863=$D85)*($M$4:$M$863=$M85)*($T$4:$T$863&lt;&gt;$T85)*($F$4:$F$863&lt;$G85)*($G$4:$G$863&gt;$F85))&gt;0,"⚠ CONFLIT",""))</f>
        <v/>
      </c>
      <c r="Z85" s="64">
        <f>IF($J85="","",IF(SUMPRODUCT(($D$4:$D$863=$D85)*($J$4:$J$863=$J85)*($T$4:$T$863&lt;&gt;$T85)*($F$4:$F$863&lt;$G85)*($G$4:$G$863&gt;$F85)*(1-($X$4:$X$863="Oui")*($X85="Oui")))&gt;0,"⚠ CONFLIT",""))</f>
        <v/>
      </c>
      <c r="AA85" s="64">
        <f>IF(COUNTIFS($D$4:$D$863,$D85,$J$4:$J$863,$J85,$F$4:$F$863,$F85,$K$4:$K$863,$K85)&gt;1,"⚠ DOUBLON","")</f>
        <v/>
      </c>
      <c r="AB85" s="64">
        <f>IF(COUNTIF($T$4:$T$863,$T85)&lt;&gt;COUNTIFS($T$4:$T$863,$T85,$D$4:$D$863,$D85,$F$4:$F$863,$F85,$G$4:$G$863,$G85,$K$4:$K$863,$K85,$M$4:$M$863,$M85),"⚠ INCOHÉRENT","")</f>
        <v/>
      </c>
      <c r="AC85" s="64">
        <f>COUNTIFS($A$4:$A85,$A85,$J$4:$J85,$J85,$E$4:$E85,$E85)</f>
        <v/>
      </c>
      <c r="AD85" s="65">
        <f>$A85&amp;"|"&amp;$J85&amp;"|"&amp;$E85&amp;"|"&amp;$AC85</f>
        <v/>
      </c>
      <c r="AE85" s="66">
        <f>IF($W85&lt;&gt;"","⚑ "&amp;$W85&amp;CHAR(10),"")&amp;TEXT($F85,"hh:mm")&amp;"-"&amp;TEXT($G85,"hh:mm")&amp;IF(OR($P85="Quinzaine A",AND($P85="Hebdo · groupes alternés",$C85="A"))," Q-A",IF(OR($P85="Quinzaine B",AND($P85="Hebdo · groupes alternés",$C85="B"))," Q-B",IF($P85="Exception"," PONCT.","")))&amp;IF($X85="Oui"," OPT","")&amp;CHAR(10)&amp;$K85&amp;CHAR(10)&amp;$M85&amp;IF($N85&lt;&gt;"",CHAR(10)&amp;"Salle "&amp;$N85,"")&amp;IF($O85="En ligne",CHAR(10)&amp;"EN LIGNE","")&amp;IF($V85&lt;&gt;"",CHAR(10)&amp;$V85,"")</f>
        <v/>
      </c>
      <c r="AF85" s="65" t="inlineStr">
        <is>
          <t>17h-19h عربية (Lobna)</t>
        </is>
      </c>
      <c r="AG85" s="65" t="inlineStr">
        <is>
          <t>du 14-09 jusquà le 20-09!L16</t>
        </is>
      </c>
    </row>
    <row r="86" ht="15" customHeight="1">
      <c r="A86" s="68" t="inlineStr">
        <is>
          <t>S1</t>
        </is>
      </c>
      <c r="B86" s="69" t="inlineStr">
        <is>
          <t>du 14 au 20 septembre 2026</t>
        </is>
      </c>
      <c r="C86" s="68" t="inlineStr">
        <is>
          <t>A</t>
        </is>
      </c>
      <c r="D86" s="70" t="n">
        <v>46284</v>
      </c>
      <c r="E86" s="68" t="inlineStr">
        <is>
          <t>Samedi</t>
        </is>
      </c>
      <c r="F86" s="71" t="n">
        <v>0.6666666666666666</v>
      </c>
      <c r="G86" s="71" t="n">
        <v>0.7291666666666666</v>
      </c>
      <c r="H86" s="72">
        <f>IF(OR($F86="",$G86=""),"",($G86-$F86)*24)</f>
        <v/>
      </c>
      <c r="I86" s="68" t="inlineStr">
        <is>
          <t>Collège</t>
        </is>
      </c>
      <c r="J86" s="69" t="inlineStr">
        <is>
          <t>7éme (A)</t>
        </is>
      </c>
      <c r="K86" s="88" t="inlineStr">
        <is>
          <t>SVT</t>
        </is>
      </c>
      <c r="L86" s="88" t="inlineStr">
        <is>
          <t>SVT</t>
        </is>
      </c>
      <c r="M86" s="69" t="inlineStr">
        <is>
          <t>Sabrine</t>
        </is>
      </c>
      <c r="N86" s="68" t="n"/>
      <c r="O86" s="68" t="n"/>
      <c r="P86" s="68" t="inlineStr">
        <is>
          <t>Hebdo · groupes alternés</t>
        </is>
      </c>
      <c r="Q86" s="69" t="inlineStr"/>
      <c r="R86" s="68" t="n">
        <v>1</v>
      </c>
      <c r="S86" s="68" t="inlineStr">
        <is>
          <t>Oui</t>
        </is>
      </c>
      <c r="T86" s="68" t="inlineStr">
        <is>
          <t>S1-062</t>
        </is>
      </c>
      <c r="U86" s="69" t="inlineStr">
        <is>
          <t>Original (septembre)</t>
        </is>
      </c>
      <c r="V86" s="69" t="inlineStr"/>
      <c r="W86" s="10" t="n"/>
      <c r="X86" s="10" t="inlineStr"/>
      <c r="Y86" s="64">
        <f>IF($M86="","",IF(SUMPRODUCT(($D$4:$D$863=$D86)*($M$4:$M$863=$M86)*($T$4:$T$863&lt;&gt;$T86)*($F$4:$F$863&lt;$G86)*($G$4:$G$863&gt;$F86))&gt;0,"⚠ CONFLIT",""))</f>
        <v/>
      </c>
      <c r="Z86" s="64">
        <f>IF($J86="","",IF(SUMPRODUCT(($D$4:$D$863=$D86)*($J$4:$J$863=$J86)*($T$4:$T$863&lt;&gt;$T86)*($F$4:$F$863&lt;$G86)*($G$4:$G$863&gt;$F86)*(1-($X$4:$X$863="Oui")*($X86="Oui")))&gt;0,"⚠ CONFLIT",""))</f>
        <v/>
      </c>
      <c r="AA86" s="64">
        <f>IF(COUNTIFS($D$4:$D$863,$D86,$J$4:$J$863,$J86,$F$4:$F$863,$F86,$K$4:$K$863,$K86)&gt;1,"⚠ DOUBLON","")</f>
        <v/>
      </c>
      <c r="AB86" s="64">
        <f>IF(COUNTIF($T$4:$T$863,$T86)&lt;&gt;COUNTIFS($T$4:$T$863,$T86,$D$4:$D$863,$D86,$F$4:$F$863,$F86,$G$4:$G$863,$G86,$K$4:$K$863,$K86,$M$4:$M$863,$M86),"⚠ INCOHÉRENT","")</f>
        <v/>
      </c>
      <c r="AC86" s="64">
        <f>COUNTIFS($A$4:$A86,$A86,$J$4:$J86,$J86,$E$4:$E86,$E86)</f>
        <v/>
      </c>
      <c r="AD86" s="65">
        <f>$A86&amp;"|"&amp;$J86&amp;"|"&amp;$E86&amp;"|"&amp;$AC86</f>
        <v/>
      </c>
      <c r="AE86" s="66">
        <f>IF($W86&lt;&gt;"","⚑ "&amp;$W86&amp;CHAR(10),"")&amp;TEXT($F86,"hh:mm")&amp;"-"&amp;TEXT($G86,"hh:mm")&amp;IF(OR($P86="Quinzaine A",AND($P86="Hebdo · groupes alternés",$C86="A"))," Q-A",IF(OR($P86="Quinzaine B",AND($P86="Hebdo · groupes alternés",$C86="B"))," Q-B",IF($P86="Exception"," PONCT.","")))&amp;IF($X86="Oui"," OPT","")&amp;CHAR(10)&amp;$K86&amp;CHAR(10)&amp;$M86&amp;IF($N86&lt;&gt;"",CHAR(10)&amp;"Salle "&amp;$N86,"")&amp;IF($O86="En ligne",CHAR(10)&amp;"EN LIGNE","")&amp;IF($V86&lt;&gt;"",CHAR(10)&amp;$V86,"")</f>
        <v/>
      </c>
      <c r="AF86" s="65" t="inlineStr">
        <is>
          <t>16h-17h30 SVT /par quinzaine (Sabrine)</t>
        </is>
      </c>
      <c r="AG86" s="65" t="inlineStr">
        <is>
          <t>du 14-09 jusquà le 20-09!L19</t>
        </is>
      </c>
    </row>
    <row r="87" ht="15" customHeight="1">
      <c r="A87" s="68" t="inlineStr">
        <is>
          <t>S1</t>
        </is>
      </c>
      <c r="B87" s="69" t="inlineStr">
        <is>
          <t>du 14 au 20 septembre 2026</t>
        </is>
      </c>
      <c r="C87" s="68" t="inlineStr">
        <is>
          <t>A</t>
        </is>
      </c>
      <c r="D87" s="70" t="n">
        <v>46284</v>
      </c>
      <c r="E87" s="68" t="inlineStr">
        <is>
          <t>Samedi</t>
        </is>
      </c>
      <c r="F87" s="71" t="n">
        <v>0.75</v>
      </c>
      <c r="G87" s="71" t="n">
        <v>0.8125</v>
      </c>
      <c r="H87" s="72">
        <f>IF(OR($F87="",$G87=""),"",($G87-$F87)*24)</f>
        <v/>
      </c>
      <c r="I87" s="68" t="inlineStr">
        <is>
          <t>Collège</t>
        </is>
      </c>
      <c r="J87" s="69" t="inlineStr">
        <is>
          <t>7éme (A)</t>
        </is>
      </c>
      <c r="K87" s="63" t="inlineStr">
        <is>
          <t>Arabe</t>
        </is>
      </c>
      <c r="L87" s="63" t="inlineStr">
        <is>
          <t>Arabe</t>
        </is>
      </c>
      <c r="M87" s="69" t="inlineStr">
        <is>
          <t>Awatef</t>
        </is>
      </c>
      <c r="N87" s="68" t="n"/>
      <c r="O87" s="68" t="n"/>
      <c r="P87" s="68" t="inlineStr">
        <is>
          <t>Hebdomadaire</t>
        </is>
      </c>
      <c r="Q87" s="69" t="inlineStr"/>
      <c r="R87" s="68" t="n">
        <v>1</v>
      </c>
      <c r="S87" s="68" t="inlineStr">
        <is>
          <t>Oui</t>
        </is>
      </c>
      <c r="T87" s="68" t="inlineStr">
        <is>
          <t>S1-063</t>
        </is>
      </c>
      <c r="U87" s="69" t="inlineStr">
        <is>
          <t>Original (septembre)</t>
        </is>
      </c>
      <c r="V87" s="69" t="inlineStr"/>
      <c r="W87" s="10" t="n"/>
      <c r="X87" s="10" t="inlineStr"/>
      <c r="Y87" s="64">
        <f>IF($M87="","",IF(SUMPRODUCT(($D$4:$D$863=$D87)*($M$4:$M$863=$M87)*($T$4:$T$863&lt;&gt;$T87)*($F$4:$F$863&lt;$G87)*($G$4:$G$863&gt;$F87))&gt;0,"⚠ CONFLIT",""))</f>
        <v/>
      </c>
      <c r="Z87" s="64">
        <f>IF($J87="","",IF(SUMPRODUCT(($D$4:$D$863=$D87)*($J$4:$J$863=$J87)*($T$4:$T$863&lt;&gt;$T87)*($F$4:$F$863&lt;$G87)*($G$4:$G$863&gt;$F87)*(1-($X$4:$X$863="Oui")*($X87="Oui")))&gt;0,"⚠ CONFLIT",""))</f>
        <v/>
      </c>
      <c r="AA87" s="64">
        <f>IF(COUNTIFS($D$4:$D$863,$D87,$J$4:$J$863,$J87,$F$4:$F$863,$F87,$K$4:$K$863,$K87)&gt;1,"⚠ DOUBLON","")</f>
        <v/>
      </c>
      <c r="AB87" s="64">
        <f>IF(COUNTIF($T$4:$T$863,$T87)&lt;&gt;COUNTIFS($T$4:$T$863,$T87,$D$4:$D$863,$D87,$F$4:$F$863,$F87,$G$4:$G$863,$G87,$K$4:$K$863,$K87,$M$4:$M$863,$M87),"⚠ INCOHÉRENT","")</f>
        <v/>
      </c>
      <c r="AC87" s="64">
        <f>COUNTIFS($A$4:$A87,$A87,$J$4:$J87,$J87,$E$4:$E87,$E87)</f>
        <v/>
      </c>
      <c r="AD87" s="65">
        <f>$A87&amp;"|"&amp;$J87&amp;"|"&amp;$E87&amp;"|"&amp;$AC87</f>
        <v/>
      </c>
      <c r="AE87" s="66">
        <f>IF($W87&lt;&gt;"","⚑ "&amp;$W87&amp;CHAR(10),"")&amp;TEXT($F87,"hh:mm")&amp;"-"&amp;TEXT($G87,"hh:mm")&amp;IF(OR($P87="Quinzaine A",AND($P87="Hebdo · groupes alternés",$C87="A"))," Q-A",IF(OR($P87="Quinzaine B",AND($P87="Hebdo · groupes alternés",$C87="B"))," Q-B",IF($P87="Exception"," PONCT.","")))&amp;IF($X87="Oui"," OPT","")&amp;CHAR(10)&amp;$K87&amp;CHAR(10)&amp;$M87&amp;IF($N87&lt;&gt;"",CHAR(10)&amp;"Salle "&amp;$N87,"")&amp;IF($O87="En ligne",CHAR(10)&amp;"EN LIGNE","")&amp;IF($V87&lt;&gt;"",CHAR(10)&amp;$V87,"")</f>
        <v/>
      </c>
      <c r="AF87" s="65" t="inlineStr">
        <is>
          <t>18h-19h30 Arabe (Awatef)</t>
        </is>
      </c>
      <c r="AG87" s="65" t="inlineStr">
        <is>
          <t>du 14-09 jusquà le 20-09!L20</t>
        </is>
      </c>
    </row>
    <row r="88" ht="15" customHeight="1">
      <c r="A88" s="68" t="inlineStr">
        <is>
          <t>S1</t>
        </is>
      </c>
      <c r="B88" s="69" t="inlineStr">
        <is>
          <t>du 14 au 20 septembre 2026</t>
        </is>
      </c>
      <c r="C88" s="68" t="inlineStr">
        <is>
          <t>A</t>
        </is>
      </c>
      <c r="D88" s="70" t="n">
        <v>46284</v>
      </c>
      <c r="E88" s="68" t="inlineStr">
        <is>
          <t>Samedi</t>
        </is>
      </c>
      <c r="F88" s="71" t="n">
        <v>0.7291666666666666</v>
      </c>
      <c r="G88" s="71" t="n">
        <v>0.7916666666666666</v>
      </c>
      <c r="H88" s="72">
        <f>IF(OR($F88="",$G88=""),"",($G88-$F88)*24)</f>
        <v/>
      </c>
      <c r="I88" s="68" t="inlineStr">
        <is>
          <t>Collège</t>
        </is>
      </c>
      <c r="J88" s="69" t="inlineStr">
        <is>
          <t>8éme (A)</t>
        </is>
      </c>
      <c r="K88" s="88" t="inlineStr">
        <is>
          <t>SVT</t>
        </is>
      </c>
      <c r="L88" s="88" t="inlineStr">
        <is>
          <t>SVT</t>
        </is>
      </c>
      <c r="M88" s="69" t="inlineStr">
        <is>
          <t>Sabrine</t>
        </is>
      </c>
      <c r="N88" s="68" t="n"/>
      <c r="O88" s="68" t="n"/>
      <c r="P88" s="68" t="inlineStr">
        <is>
          <t>Hebdo · groupes alternés</t>
        </is>
      </c>
      <c r="Q88" s="69" t="inlineStr"/>
      <c r="R88" s="68" t="n">
        <v>1</v>
      </c>
      <c r="S88" s="68" t="inlineStr">
        <is>
          <t>Oui</t>
        </is>
      </c>
      <c r="T88" s="68" t="inlineStr">
        <is>
          <t>S1-064</t>
        </is>
      </c>
      <c r="U88" s="69" t="inlineStr">
        <is>
          <t>Original (septembre)</t>
        </is>
      </c>
      <c r="V88" s="69" t="inlineStr"/>
      <c r="W88" s="10" t="n"/>
      <c r="X88" s="10" t="inlineStr"/>
      <c r="Y88" s="64">
        <f>IF($M88="","",IF(SUMPRODUCT(($D$4:$D$863=$D88)*($M$4:$M$863=$M88)*($T$4:$T$863&lt;&gt;$T88)*($F$4:$F$863&lt;$G88)*($G$4:$G$863&gt;$F88))&gt;0,"⚠ CONFLIT",""))</f>
        <v/>
      </c>
      <c r="Z88" s="64">
        <f>IF($J88="","",IF(SUMPRODUCT(($D$4:$D$863=$D88)*($J$4:$J$863=$J88)*($T$4:$T$863&lt;&gt;$T88)*($F$4:$F$863&lt;$G88)*($G$4:$G$863&gt;$F88)*(1-($X$4:$X$863="Oui")*($X88="Oui")))&gt;0,"⚠ CONFLIT",""))</f>
        <v/>
      </c>
      <c r="AA88" s="64">
        <f>IF(COUNTIFS($D$4:$D$863,$D88,$J$4:$J$863,$J88,$F$4:$F$863,$F88,$K$4:$K$863,$K88)&gt;1,"⚠ DOUBLON","")</f>
        <v/>
      </c>
      <c r="AB88" s="64">
        <f>IF(COUNTIF($T$4:$T$863,$T88)&lt;&gt;COUNTIFS($T$4:$T$863,$T88,$D$4:$D$863,$D88,$F$4:$F$863,$F88,$G$4:$G$863,$G88,$K$4:$K$863,$K88,$M$4:$M$863,$M88),"⚠ INCOHÉRENT","")</f>
        <v/>
      </c>
      <c r="AC88" s="64">
        <f>COUNTIFS($A$4:$A88,$A88,$J$4:$J88,$J88,$E$4:$E88,$E88)</f>
        <v/>
      </c>
      <c r="AD88" s="65">
        <f>$A88&amp;"|"&amp;$J88&amp;"|"&amp;$E88&amp;"|"&amp;$AC88</f>
        <v/>
      </c>
      <c r="AE88" s="66">
        <f>IF($W88&lt;&gt;"","⚑ "&amp;$W88&amp;CHAR(10),"")&amp;TEXT($F88,"hh:mm")&amp;"-"&amp;TEXT($G88,"hh:mm")&amp;IF(OR($P88="Quinzaine A",AND($P88="Hebdo · groupes alternés",$C88="A"))," Q-A",IF(OR($P88="Quinzaine B",AND($P88="Hebdo · groupes alternés",$C88="B"))," Q-B",IF($P88="Exception"," PONCT.","")))&amp;IF($X88="Oui"," OPT","")&amp;CHAR(10)&amp;$K88&amp;CHAR(10)&amp;$M88&amp;IF($N88&lt;&gt;"",CHAR(10)&amp;"Salle "&amp;$N88,"")&amp;IF($O88="En ligne",CHAR(10)&amp;"EN LIGNE","")&amp;IF($V88&lt;&gt;"",CHAR(10)&amp;$V88,"")</f>
        <v/>
      </c>
      <c r="AF88" s="65" t="inlineStr">
        <is>
          <t>17h30-19h SVT /par quinzaine (Sabrine)</t>
        </is>
      </c>
      <c r="AG88" s="65" t="inlineStr">
        <is>
          <t>du 14-09 jusquà le 20-09!L27</t>
        </is>
      </c>
    </row>
    <row r="89" ht="15" customHeight="1">
      <c r="A89" s="68" t="inlineStr">
        <is>
          <t>S1</t>
        </is>
      </c>
      <c r="B89" s="69" t="inlineStr">
        <is>
          <t>du 14 au 20 septembre 2026</t>
        </is>
      </c>
      <c r="C89" s="68" t="inlineStr">
        <is>
          <t>A</t>
        </is>
      </c>
      <c r="D89" s="70" t="n">
        <v>46284</v>
      </c>
      <c r="E89" s="68" t="inlineStr">
        <is>
          <t>Samedi</t>
        </is>
      </c>
      <c r="F89" s="71" t="n">
        <v>0.7291666666666666</v>
      </c>
      <c r="G89" s="71" t="n">
        <v>0.7916666666666666</v>
      </c>
      <c r="H89" s="72">
        <f>IF(OR($F89="",$G89=""),"",($G89-$F89)*24)</f>
        <v/>
      </c>
      <c r="I89" s="68" t="inlineStr">
        <is>
          <t>Collège</t>
        </is>
      </c>
      <c r="J89" s="69" t="inlineStr">
        <is>
          <t>8éme (B)</t>
        </is>
      </c>
      <c r="K89" s="87" t="inlineStr">
        <is>
          <t>Anglais</t>
        </is>
      </c>
      <c r="L89" s="87" t="inlineStr">
        <is>
          <t>Anglais</t>
        </is>
      </c>
      <c r="M89" s="69" t="inlineStr">
        <is>
          <t>Imen Ben Lazrak</t>
        </is>
      </c>
      <c r="N89" s="68" t="n"/>
      <c r="O89" s="68" t="n"/>
      <c r="P89" s="68" t="inlineStr">
        <is>
          <t>Hebdo · groupes alternés</t>
        </is>
      </c>
      <c r="Q89" s="69" t="inlineStr">
        <is>
          <t>8éme (B) + 8éme (C)</t>
        </is>
      </c>
      <c r="R89" s="68" t="n">
        <v>2</v>
      </c>
      <c r="S89" s="68" t="inlineStr">
        <is>
          <t>Oui</t>
        </is>
      </c>
      <c r="T89" s="68" t="inlineStr">
        <is>
          <t>S1-065</t>
        </is>
      </c>
      <c r="U89" s="69" t="inlineStr">
        <is>
          <t>Original (septembre)</t>
        </is>
      </c>
      <c r="V89" s="69" t="inlineStr"/>
      <c r="W89" s="10" t="n"/>
      <c r="X89" s="10" t="inlineStr"/>
      <c r="Y89" s="64">
        <f>IF($M89="","",IF(SUMPRODUCT(($D$4:$D$863=$D89)*($M$4:$M$863=$M89)*($T$4:$T$863&lt;&gt;$T89)*($F$4:$F$863&lt;$G89)*($G$4:$G$863&gt;$F89))&gt;0,"⚠ CONFLIT",""))</f>
        <v/>
      </c>
      <c r="Z89" s="64">
        <f>IF($J89="","",IF(SUMPRODUCT(($D$4:$D$863=$D89)*($J$4:$J$863=$J89)*($T$4:$T$863&lt;&gt;$T89)*($F$4:$F$863&lt;$G89)*($G$4:$G$863&gt;$F89)*(1-($X$4:$X$863="Oui")*($X89="Oui")))&gt;0,"⚠ CONFLIT",""))</f>
        <v/>
      </c>
      <c r="AA89" s="64">
        <f>IF(COUNTIFS($D$4:$D$863,$D89,$J$4:$J$863,$J89,$F$4:$F$863,$F89,$K$4:$K$863,$K89)&gt;1,"⚠ DOUBLON","")</f>
        <v/>
      </c>
      <c r="AB89" s="64">
        <f>IF(COUNTIF($T$4:$T$863,$T89)&lt;&gt;COUNTIFS($T$4:$T$863,$T89,$D$4:$D$863,$D89,$F$4:$F$863,$F89,$G$4:$G$863,$G89,$K$4:$K$863,$K89,$M$4:$M$863,$M89),"⚠ INCOHÉRENT","")</f>
        <v/>
      </c>
      <c r="AC89" s="64">
        <f>COUNTIFS($A$4:$A89,$A89,$J$4:$J89,$J89,$E$4:$E89,$E89)</f>
        <v/>
      </c>
      <c r="AD89" s="65">
        <f>$A89&amp;"|"&amp;$J89&amp;"|"&amp;$E89&amp;"|"&amp;$AC89</f>
        <v/>
      </c>
      <c r="AE89" s="66">
        <f>IF($W89&lt;&gt;"","⚑ "&amp;$W89&amp;CHAR(10),"")&amp;TEXT($F89,"hh:mm")&amp;"-"&amp;TEXT($G89,"hh:mm")&amp;IF(OR($P89="Quinzaine A",AND($P89="Hebdo · groupes alternés",$C89="A"))," Q-A",IF(OR($P89="Quinzaine B",AND($P89="Hebdo · groupes alternés",$C89="B"))," Q-B",IF($P89="Exception"," PONCT.","")))&amp;IF($X89="Oui"," OPT","")&amp;CHAR(10)&amp;$K89&amp;CHAR(10)&amp;$M89&amp;IF($N89&lt;&gt;"",CHAR(10)&amp;"Salle "&amp;$N89,"")&amp;IF($O89="En ligne",CHAR(10)&amp;"EN LIGNE","")&amp;IF($V89&lt;&gt;"",CHAR(10)&amp;$V89,"")</f>
        <v/>
      </c>
      <c r="AF89" s="65" t="inlineStr">
        <is>
          <t>17h30-19h Anglais /par quinzaine (Imen Ben Lazrak)</t>
        </is>
      </c>
      <c r="AG89" s="65" t="inlineStr">
        <is>
          <t>du 14-09 jusquà le 20-09!L31</t>
        </is>
      </c>
    </row>
    <row r="90" ht="15" customHeight="1">
      <c r="A90" s="68" t="inlineStr">
        <is>
          <t>S1</t>
        </is>
      </c>
      <c r="B90" s="69" t="inlineStr">
        <is>
          <t>du 14 au 20 septembre 2026</t>
        </is>
      </c>
      <c r="C90" s="68" t="inlineStr">
        <is>
          <t>A</t>
        </is>
      </c>
      <c r="D90" s="70" t="n">
        <v>46284</v>
      </c>
      <c r="E90" s="68" t="inlineStr">
        <is>
          <t>Samedi</t>
        </is>
      </c>
      <c r="F90" s="71" t="n">
        <v>0.7291666666666666</v>
      </c>
      <c r="G90" s="71" t="n">
        <v>0.7916666666666666</v>
      </c>
      <c r="H90" s="72">
        <f>IF(OR($F90="",$G90=""),"",($G90-$F90)*24)</f>
        <v/>
      </c>
      <c r="I90" s="68" t="inlineStr">
        <is>
          <t>Collège</t>
        </is>
      </c>
      <c r="J90" s="69" t="inlineStr">
        <is>
          <t>8éme (C)</t>
        </is>
      </c>
      <c r="K90" s="87" t="inlineStr">
        <is>
          <t>Anglais</t>
        </is>
      </c>
      <c r="L90" s="87" t="inlineStr">
        <is>
          <t>Anglais</t>
        </is>
      </c>
      <c r="M90" s="69" t="inlineStr">
        <is>
          <t>Imen Ben Lazrak</t>
        </is>
      </c>
      <c r="N90" s="68" t="n"/>
      <c r="O90" s="68" t="n"/>
      <c r="P90" s="68" t="inlineStr">
        <is>
          <t>Hebdo · groupes alternés</t>
        </is>
      </c>
      <c r="Q90" s="69" t="inlineStr">
        <is>
          <t>8éme (B) + 8éme (C)</t>
        </is>
      </c>
      <c r="R90" s="68" t="n">
        <v>2</v>
      </c>
      <c r="S90" s="68" t="inlineStr"/>
      <c r="T90" s="68" t="inlineStr">
        <is>
          <t>S1-065</t>
        </is>
      </c>
      <c r="U90" s="69" t="inlineStr">
        <is>
          <t>Original (septembre)</t>
        </is>
      </c>
      <c r="V90" s="69" t="inlineStr"/>
      <c r="W90" s="10" t="n"/>
      <c r="X90" s="10" t="inlineStr"/>
      <c r="Y90" s="64">
        <f>IF($M90="","",IF(SUMPRODUCT(($D$4:$D$863=$D90)*($M$4:$M$863=$M90)*($T$4:$T$863&lt;&gt;$T90)*($F$4:$F$863&lt;$G90)*($G$4:$G$863&gt;$F90))&gt;0,"⚠ CONFLIT",""))</f>
        <v/>
      </c>
      <c r="Z90" s="64">
        <f>IF($J90="","",IF(SUMPRODUCT(($D$4:$D$863=$D90)*($J$4:$J$863=$J90)*($T$4:$T$863&lt;&gt;$T90)*($F$4:$F$863&lt;$G90)*($G$4:$G$863&gt;$F90)*(1-($X$4:$X$863="Oui")*($X90="Oui")))&gt;0,"⚠ CONFLIT",""))</f>
        <v/>
      </c>
      <c r="AA90" s="64">
        <f>IF(COUNTIFS($D$4:$D$863,$D90,$J$4:$J$863,$J90,$F$4:$F$863,$F90,$K$4:$K$863,$K90)&gt;1,"⚠ DOUBLON","")</f>
        <v/>
      </c>
      <c r="AB90" s="64">
        <f>IF(COUNTIF($T$4:$T$863,$T90)&lt;&gt;COUNTIFS($T$4:$T$863,$T90,$D$4:$D$863,$D90,$F$4:$F$863,$F90,$G$4:$G$863,$G90,$K$4:$K$863,$K90,$M$4:$M$863,$M90),"⚠ INCOHÉRENT","")</f>
        <v/>
      </c>
      <c r="AC90" s="64">
        <f>COUNTIFS($A$4:$A90,$A90,$J$4:$J90,$J90,$E$4:$E90,$E90)</f>
        <v/>
      </c>
      <c r="AD90" s="65">
        <f>$A90&amp;"|"&amp;$J90&amp;"|"&amp;$E90&amp;"|"&amp;$AC90</f>
        <v/>
      </c>
      <c r="AE90" s="66">
        <f>IF($W90&lt;&gt;"","⚑ "&amp;$W90&amp;CHAR(10),"")&amp;TEXT($F90,"hh:mm")&amp;"-"&amp;TEXT($G90,"hh:mm")&amp;IF(OR($P90="Quinzaine A",AND($P90="Hebdo · groupes alternés",$C90="A"))," Q-A",IF(OR($P90="Quinzaine B",AND($P90="Hebdo · groupes alternés",$C90="B"))," Q-B",IF($P90="Exception"," PONCT.","")))&amp;IF($X90="Oui"," OPT","")&amp;CHAR(10)&amp;$K90&amp;CHAR(10)&amp;$M90&amp;IF($N90&lt;&gt;"",CHAR(10)&amp;"Salle "&amp;$N90,"")&amp;IF($O90="En ligne",CHAR(10)&amp;"EN LIGNE","")&amp;IF($V90&lt;&gt;"",CHAR(10)&amp;$V90,"")</f>
        <v/>
      </c>
      <c r="AF90" s="65" t="inlineStr">
        <is>
          <t>17h30-19h Anglais /par quinzaine (Imen Ben Lazrak)</t>
        </is>
      </c>
      <c r="AG90" s="65" t="inlineStr">
        <is>
          <t>du 14-09 jusquà le 20-09!L31</t>
        </is>
      </c>
    </row>
    <row r="91" ht="15" customHeight="1">
      <c r="A91" s="68" t="inlineStr">
        <is>
          <t>S1</t>
        </is>
      </c>
      <c r="B91" s="69" t="inlineStr">
        <is>
          <t>du 14 au 20 septembre 2026</t>
        </is>
      </c>
      <c r="C91" s="68" t="inlineStr">
        <is>
          <t>A</t>
        </is>
      </c>
      <c r="D91" s="70" t="n">
        <v>46284</v>
      </c>
      <c r="E91" s="68" t="inlineStr">
        <is>
          <t>Samedi</t>
        </is>
      </c>
      <c r="F91" s="71" t="n">
        <v>0.6875</v>
      </c>
      <c r="G91" s="71" t="n">
        <v>0.75</v>
      </c>
      <c r="H91" s="72">
        <f>IF(OR($F91="",$G91=""),"",($G91-$F91)*24)</f>
        <v/>
      </c>
      <c r="I91" s="68" t="inlineStr">
        <is>
          <t>Collège</t>
        </is>
      </c>
      <c r="J91" s="69" t="inlineStr">
        <is>
          <t>9éme (A)</t>
        </is>
      </c>
      <c r="K91" s="63" t="inlineStr">
        <is>
          <t>Arabe</t>
        </is>
      </c>
      <c r="L91" s="63" t="inlineStr">
        <is>
          <t>Arabe</t>
        </is>
      </c>
      <c r="M91" s="69" t="inlineStr">
        <is>
          <t>Awatef</t>
        </is>
      </c>
      <c r="N91" s="68" t="n"/>
      <c r="O91" s="68" t="n"/>
      <c r="P91" s="68" t="inlineStr">
        <is>
          <t>Hebdomadaire</t>
        </is>
      </c>
      <c r="Q91" s="69" t="inlineStr"/>
      <c r="R91" s="68" t="n">
        <v>1</v>
      </c>
      <c r="S91" s="68" t="inlineStr">
        <is>
          <t>Oui</t>
        </is>
      </c>
      <c r="T91" s="68" t="inlineStr">
        <is>
          <t>S1-066</t>
        </is>
      </c>
      <c r="U91" s="69" t="inlineStr">
        <is>
          <t>Original (septembre)</t>
        </is>
      </c>
      <c r="V91" s="69" t="inlineStr"/>
      <c r="W91" s="10" t="n"/>
      <c r="X91" s="10" t="inlineStr"/>
      <c r="Y91" s="64">
        <f>IF($M91="","",IF(SUMPRODUCT(($D$4:$D$863=$D91)*($M$4:$M$863=$M91)*($T$4:$T$863&lt;&gt;$T91)*($F$4:$F$863&lt;$G91)*($G$4:$G$863&gt;$F91))&gt;0,"⚠ CONFLIT",""))</f>
        <v/>
      </c>
      <c r="Z91" s="64">
        <f>IF($J91="","",IF(SUMPRODUCT(($D$4:$D$863=$D91)*($J$4:$J$863=$J91)*($T$4:$T$863&lt;&gt;$T91)*($F$4:$F$863&lt;$G91)*($G$4:$G$863&gt;$F91)*(1-($X$4:$X$863="Oui")*($X91="Oui")))&gt;0,"⚠ CONFLIT",""))</f>
        <v/>
      </c>
      <c r="AA91" s="64">
        <f>IF(COUNTIFS($D$4:$D$863,$D91,$J$4:$J$863,$J91,$F$4:$F$863,$F91,$K$4:$K$863,$K91)&gt;1,"⚠ DOUBLON","")</f>
        <v/>
      </c>
      <c r="AB91" s="64">
        <f>IF(COUNTIF($T$4:$T$863,$T91)&lt;&gt;COUNTIFS($T$4:$T$863,$T91,$D$4:$D$863,$D91,$F$4:$F$863,$F91,$G$4:$G$863,$G91,$K$4:$K$863,$K91,$M$4:$M$863,$M91),"⚠ INCOHÉRENT","")</f>
        <v/>
      </c>
      <c r="AC91" s="64">
        <f>COUNTIFS($A$4:$A91,$A91,$J$4:$J91,$J91,$E$4:$E91,$E91)</f>
        <v/>
      </c>
      <c r="AD91" s="65">
        <f>$A91&amp;"|"&amp;$J91&amp;"|"&amp;$E91&amp;"|"&amp;$AC91</f>
        <v/>
      </c>
      <c r="AE91" s="66">
        <f>IF($W91&lt;&gt;"","⚑ "&amp;$W91&amp;CHAR(10),"")&amp;TEXT($F91,"hh:mm")&amp;"-"&amp;TEXT($G91,"hh:mm")&amp;IF(OR($P91="Quinzaine A",AND($P91="Hebdo · groupes alternés",$C91="A"))," Q-A",IF(OR($P91="Quinzaine B",AND($P91="Hebdo · groupes alternés",$C91="B"))," Q-B",IF($P91="Exception"," PONCT.","")))&amp;IF($X91="Oui"," OPT","")&amp;CHAR(10)&amp;$K91&amp;CHAR(10)&amp;$M91&amp;IF($N91&lt;&gt;"",CHAR(10)&amp;"Salle "&amp;$N91,"")&amp;IF($O91="En ligne",CHAR(10)&amp;"EN LIGNE","")&amp;IF($V91&lt;&gt;"",CHAR(10)&amp;$V91,"")</f>
        <v/>
      </c>
      <c r="AF91" s="65" t="inlineStr">
        <is>
          <t>16h30-18h Arabe (Awatef)</t>
        </is>
      </c>
      <c r="AG91" s="65" t="inlineStr">
        <is>
          <t>du 14-09 jusquà le 20-09!L36</t>
        </is>
      </c>
    </row>
    <row r="92" ht="15" customHeight="1">
      <c r="A92" s="68" t="inlineStr">
        <is>
          <t>S1</t>
        </is>
      </c>
      <c r="B92" s="69" t="inlineStr">
        <is>
          <t>du 14 au 20 septembre 2026</t>
        </is>
      </c>
      <c r="C92" s="68" t="inlineStr">
        <is>
          <t>A</t>
        </is>
      </c>
      <c r="D92" s="70" t="n">
        <v>46284</v>
      </c>
      <c r="E92" s="68" t="inlineStr">
        <is>
          <t>Samedi</t>
        </is>
      </c>
      <c r="F92" s="71" t="n">
        <v>0.75</v>
      </c>
      <c r="G92" s="71" t="n">
        <v>0.8125</v>
      </c>
      <c r="H92" s="72">
        <f>IF(OR($F92="",$G92=""),"",($G92-$F92)*24)</f>
        <v/>
      </c>
      <c r="I92" s="68" t="inlineStr">
        <is>
          <t>Collège</t>
        </is>
      </c>
      <c r="J92" s="69" t="inlineStr">
        <is>
          <t>9éme (B)</t>
        </is>
      </c>
      <c r="K92" s="79" t="inlineStr">
        <is>
          <t>Math</t>
        </is>
      </c>
      <c r="L92" s="79" t="inlineStr">
        <is>
          <t>Math</t>
        </is>
      </c>
      <c r="M92" s="69" t="inlineStr">
        <is>
          <t>Hajer</t>
        </is>
      </c>
      <c r="N92" s="68" t="n"/>
      <c r="O92" s="68" t="n"/>
      <c r="P92" s="68" t="inlineStr">
        <is>
          <t>Hebdomadaire</t>
        </is>
      </c>
      <c r="Q92" s="69" t="inlineStr"/>
      <c r="R92" s="68" t="n">
        <v>1</v>
      </c>
      <c r="S92" s="68" t="inlineStr">
        <is>
          <t>Oui</t>
        </is>
      </c>
      <c r="T92" s="68" t="inlineStr">
        <is>
          <t>S1-067</t>
        </is>
      </c>
      <c r="U92" s="69" t="inlineStr">
        <is>
          <t>Original (septembre)</t>
        </is>
      </c>
      <c r="V92" s="69" t="inlineStr"/>
      <c r="W92" s="10" t="n"/>
      <c r="X92" s="10" t="inlineStr"/>
      <c r="Y92" s="64">
        <f>IF($M92="","",IF(SUMPRODUCT(($D$4:$D$863=$D92)*($M$4:$M$863=$M92)*($T$4:$T$863&lt;&gt;$T92)*($F$4:$F$863&lt;$G92)*($G$4:$G$863&gt;$F92))&gt;0,"⚠ CONFLIT",""))</f>
        <v/>
      </c>
      <c r="Z92" s="64">
        <f>IF($J92="","",IF(SUMPRODUCT(($D$4:$D$863=$D92)*($J$4:$J$863=$J92)*($T$4:$T$863&lt;&gt;$T92)*($F$4:$F$863&lt;$G92)*($G$4:$G$863&gt;$F92)*(1-($X$4:$X$863="Oui")*($X92="Oui")))&gt;0,"⚠ CONFLIT",""))</f>
        <v/>
      </c>
      <c r="AA92" s="64">
        <f>IF(COUNTIFS($D$4:$D$863,$D92,$J$4:$J$863,$J92,$F$4:$F$863,$F92,$K$4:$K$863,$K92)&gt;1,"⚠ DOUBLON","")</f>
        <v/>
      </c>
      <c r="AB92" s="64">
        <f>IF(COUNTIF($T$4:$T$863,$T92)&lt;&gt;COUNTIFS($T$4:$T$863,$T92,$D$4:$D$863,$D92,$F$4:$F$863,$F92,$G$4:$G$863,$G92,$K$4:$K$863,$K92,$M$4:$M$863,$M92),"⚠ INCOHÉRENT","")</f>
        <v/>
      </c>
      <c r="AC92" s="64">
        <f>COUNTIFS($A$4:$A92,$A92,$J$4:$J92,$J92,$E$4:$E92,$E92)</f>
        <v/>
      </c>
      <c r="AD92" s="65">
        <f>$A92&amp;"|"&amp;$J92&amp;"|"&amp;$E92&amp;"|"&amp;$AC92</f>
        <v/>
      </c>
      <c r="AE92" s="66">
        <f>IF($W92&lt;&gt;"","⚑ "&amp;$W92&amp;CHAR(10),"")&amp;TEXT($F92,"hh:mm")&amp;"-"&amp;TEXT($G92,"hh:mm")&amp;IF(OR($P92="Quinzaine A",AND($P92="Hebdo · groupes alternés",$C92="A"))," Q-A",IF(OR($P92="Quinzaine B",AND($P92="Hebdo · groupes alternés",$C92="B"))," Q-B",IF($P92="Exception"," PONCT.","")))&amp;IF($X92="Oui"," OPT","")&amp;CHAR(10)&amp;$K92&amp;CHAR(10)&amp;$M92&amp;IF($N92&lt;&gt;"",CHAR(10)&amp;"Salle "&amp;$N92,"")&amp;IF($O92="En ligne",CHAR(10)&amp;"EN LIGNE","")&amp;IF($V92&lt;&gt;"",CHAR(10)&amp;$V92,"")</f>
        <v/>
      </c>
      <c r="AF92" s="65" t="inlineStr">
        <is>
          <t>18h-19h30 Math (Hajer)</t>
        </is>
      </c>
      <c r="AG92" s="65" t="inlineStr">
        <is>
          <t>du 14-09 jusquà le 20-09!L43</t>
        </is>
      </c>
    </row>
    <row r="93" ht="15" customHeight="1">
      <c r="A93" s="68" t="inlineStr">
        <is>
          <t>S1</t>
        </is>
      </c>
      <c r="B93" s="69" t="inlineStr">
        <is>
          <t>du 14 au 20 septembre 2026</t>
        </is>
      </c>
      <c r="C93" s="68" t="inlineStr">
        <is>
          <t>A</t>
        </is>
      </c>
      <c r="D93" s="70" t="n">
        <v>46284</v>
      </c>
      <c r="E93" s="68" t="inlineStr">
        <is>
          <t>Samedi</t>
        </is>
      </c>
      <c r="F93" s="71" t="n">
        <v>0.8125</v>
      </c>
      <c r="G93" s="71" t="n">
        <v>0.875</v>
      </c>
      <c r="H93" s="72">
        <f>IF(OR($F93="",$G93=""),"",($G93-$F93)*24)</f>
        <v/>
      </c>
      <c r="I93" s="68" t="inlineStr">
        <is>
          <t>Collège</t>
        </is>
      </c>
      <c r="J93" s="69" t="inlineStr">
        <is>
          <t>9éme (C)</t>
        </is>
      </c>
      <c r="K93" s="79" t="inlineStr">
        <is>
          <t>Math</t>
        </is>
      </c>
      <c r="L93" s="79" t="inlineStr">
        <is>
          <t>Math</t>
        </is>
      </c>
      <c r="M93" s="69" t="inlineStr">
        <is>
          <t>Hajer</t>
        </is>
      </c>
      <c r="N93" s="68" t="n"/>
      <c r="O93" s="68" t="n"/>
      <c r="P93" s="68" t="inlineStr">
        <is>
          <t>Hebdomadaire</t>
        </is>
      </c>
      <c r="Q93" s="69" t="inlineStr"/>
      <c r="R93" s="68" t="n">
        <v>1</v>
      </c>
      <c r="S93" s="68" t="inlineStr">
        <is>
          <t>Oui</t>
        </is>
      </c>
      <c r="T93" s="68" t="inlineStr">
        <is>
          <t>S1-068</t>
        </is>
      </c>
      <c r="U93" s="69" t="inlineStr">
        <is>
          <t>Original (septembre)</t>
        </is>
      </c>
      <c r="V93" s="69" t="inlineStr"/>
      <c r="W93" s="10" t="n"/>
      <c r="X93" s="10" t="inlineStr"/>
      <c r="Y93" s="64">
        <f>IF($M93="","",IF(SUMPRODUCT(($D$4:$D$863=$D93)*($M$4:$M$863=$M93)*($T$4:$T$863&lt;&gt;$T93)*($F$4:$F$863&lt;$G93)*($G$4:$G$863&gt;$F93))&gt;0,"⚠ CONFLIT",""))</f>
        <v/>
      </c>
      <c r="Z93" s="64">
        <f>IF($J93="","",IF(SUMPRODUCT(($D$4:$D$863=$D93)*($J$4:$J$863=$J93)*($T$4:$T$863&lt;&gt;$T93)*($F$4:$F$863&lt;$G93)*($G$4:$G$863&gt;$F93)*(1-($X$4:$X$863="Oui")*($X93="Oui")))&gt;0,"⚠ CONFLIT",""))</f>
        <v/>
      </c>
      <c r="AA93" s="64">
        <f>IF(COUNTIFS($D$4:$D$863,$D93,$J$4:$J$863,$J93,$F$4:$F$863,$F93,$K$4:$K$863,$K93)&gt;1,"⚠ DOUBLON","")</f>
        <v/>
      </c>
      <c r="AB93" s="64">
        <f>IF(COUNTIF($T$4:$T$863,$T93)&lt;&gt;COUNTIFS($T$4:$T$863,$T93,$D$4:$D$863,$D93,$F$4:$F$863,$F93,$G$4:$G$863,$G93,$K$4:$K$863,$K93,$M$4:$M$863,$M93),"⚠ INCOHÉRENT","")</f>
        <v/>
      </c>
      <c r="AC93" s="64">
        <f>COUNTIFS($A$4:$A93,$A93,$J$4:$J93,$J93,$E$4:$E93,$E93)</f>
        <v/>
      </c>
      <c r="AD93" s="65">
        <f>$A93&amp;"|"&amp;$J93&amp;"|"&amp;$E93&amp;"|"&amp;$AC93</f>
        <v/>
      </c>
      <c r="AE93" s="66">
        <f>IF($W93&lt;&gt;"","⚑ "&amp;$W93&amp;CHAR(10),"")&amp;TEXT($F93,"hh:mm")&amp;"-"&amp;TEXT($G93,"hh:mm")&amp;IF(OR($P93="Quinzaine A",AND($P93="Hebdo · groupes alternés",$C93="A"))," Q-A",IF(OR($P93="Quinzaine B",AND($P93="Hebdo · groupes alternés",$C93="B"))," Q-B",IF($P93="Exception"," PONCT.","")))&amp;IF($X93="Oui"," OPT","")&amp;CHAR(10)&amp;$K93&amp;CHAR(10)&amp;$M93&amp;IF($N93&lt;&gt;"",CHAR(10)&amp;"Salle "&amp;$N93,"")&amp;IF($O93="En ligne",CHAR(10)&amp;"EN LIGNE","")&amp;IF($V93&lt;&gt;"",CHAR(10)&amp;$V93,"")</f>
        <v/>
      </c>
      <c r="AF93" s="65" t="inlineStr">
        <is>
          <t>19h30-21h Math (Hajer)</t>
        </is>
      </c>
      <c r="AG93" s="65" t="inlineStr">
        <is>
          <t>du 14-09 jusquà le 20-09!L46</t>
        </is>
      </c>
    </row>
    <row r="94" ht="15" customHeight="1">
      <c r="A94" s="74" t="inlineStr">
        <is>
          <t>S1</t>
        </is>
      </c>
      <c r="B94" s="75" t="inlineStr">
        <is>
          <t>du 14 au 20 septembre 2026</t>
        </is>
      </c>
      <c r="C94" s="74" t="inlineStr">
        <is>
          <t>A</t>
        </is>
      </c>
      <c r="D94" s="76" t="n">
        <v>46284</v>
      </c>
      <c r="E94" s="74" t="inlineStr">
        <is>
          <t>Samedi</t>
        </is>
      </c>
      <c r="F94" s="77" t="n">
        <v>0.6458333333333334</v>
      </c>
      <c r="G94" s="77" t="n">
        <v>0.7083333333333334</v>
      </c>
      <c r="H94" s="78">
        <f>IF(OR($F94="",$G94=""),"",($G94-$F94)*24)</f>
        <v/>
      </c>
      <c r="I94" s="74" t="inlineStr">
        <is>
          <t>Secondaire</t>
        </is>
      </c>
      <c r="J94" s="75" t="inlineStr">
        <is>
          <t>2éme Eco</t>
        </is>
      </c>
      <c r="K94" s="93" t="inlineStr">
        <is>
          <t>Histoire</t>
        </is>
      </c>
      <c r="L94" s="93" t="inlineStr">
        <is>
          <t>Histoire</t>
        </is>
      </c>
      <c r="M94" s="75" t="inlineStr">
        <is>
          <t>Abdelwaheb</t>
        </is>
      </c>
      <c r="N94" s="74" t="n"/>
      <c r="O94" s="74" t="n"/>
      <c r="P94" s="74" t="inlineStr">
        <is>
          <t>Quinzaine A</t>
        </is>
      </c>
      <c r="Q94" s="75" t="inlineStr"/>
      <c r="R94" s="74" t="n">
        <v>1</v>
      </c>
      <c r="S94" s="74" t="inlineStr">
        <is>
          <t>Oui</t>
        </is>
      </c>
      <c r="T94" s="74" t="inlineStr">
        <is>
          <t>S1-069</t>
        </is>
      </c>
      <c r="U94" s="75" t="inlineStr">
        <is>
          <t>Original (septembre)</t>
        </is>
      </c>
      <c r="V94" s="75" t="inlineStr"/>
      <c r="W94" s="10" t="n"/>
      <c r="X94" s="10" t="inlineStr"/>
      <c r="Y94" s="64">
        <f>IF($M94="","",IF(SUMPRODUCT(($D$4:$D$863=$D94)*($M$4:$M$863=$M94)*($T$4:$T$863&lt;&gt;$T94)*($F$4:$F$863&lt;$G94)*($G$4:$G$863&gt;$F94))&gt;0,"⚠ CONFLIT",""))</f>
        <v/>
      </c>
      <c r="Z94" s="64">
        <f>IF($J94="","",IF(SUMPRODUCT(($D$4:$D$863=$D94)*($J$4:$J$863=$J94)*($T$4:$T$863&lt;&gt;$T94)*($F$4:$F$863&lt;$G94)*($G$4:$G$863&gt;$F94)*(1-($X$4:$X$863="Oui")*($X94="Oui")))&gt;0,"⚠ CONFLIT",""))</f>
        <v/>
      </c>
      <c r="AA94" s="64">
        <f>IF(COUNTIFS($D$4:$D$863,$D94,$J$4:$J$863,$J94,$F$4:$F$863,$F94,$K$4:$K$863,$K94)&gt;1,"⚠ DOUBLON","")</f>
        <v/>
      </c>
      <c r="AB94" s="64">
        <f>IF(COUNTIF($T$4:$T$863,$T94)&lt;&gt;COUNTIFS($T$4:$T$863,$T94,$D$4:$D$863,$D94,$F$4:$F$863,$F94,$G$4:$G$863,$G94,$K$4:$K$863,$K94,$M$4:$M$863,$M94),"⚠ INCOHÉRENT","")</f>
        <v/>
      </c>
      <c r="AC94" s="64">
        <f>COUNTIFS($A$4:$A94,$A94,$J$4:$J94,$J94,$E$4:$E94,$E94)</f>
        <v/>
      </c>
      <c r="AD94" s="65">
        <f>$A94&amp;"|"&amp;$J94&amp;"|"&amp;$E94&amp;"|"&amp;$AC94</f>
        <v/>
      </c>
      <c r="AE94" s="66">
        <f>IF($W94&lt;&gt;"","⚑ "&amp;$W94&amp;CHAR(10),"")&amp;TEXT($F94,"hh:mm")&amp;"-"&amp;TEXT($G94,"hh:mm")&amp;IF(OR($P94="Quinzaine A",AND($P94="Hebdo · groupes alternés",$C94="A"))," Q-A",IF(OR($P94="Quinzaine B",AND($P94="Hebdo · groupes alternés",$C94="B"))," Q-B",IF($P94="Exception"," PONCT.","")))&amp;IF($X94="Oui"," OPT","")&amp;CHAR(10)&amp;$K94&amp;CHAR(10)&amp;$M94&amp;IF($N94&lt;&gt;"",CHAR(10)&amp;"Salle "&amp;$N94,"")&amp;IF($O94="En ligne",CHAR(10)&amp;"EN LIGNE","")&amp;IF($V94&lt;&gt;"",CHAR(10)&amp;$V94,"")</f>
        <v/>
      </c>
      <c r="AF94" s="65" t="inlineStr">
        <is>
          <t>15h30-17h Histoire (Abdelwaheb)</t>
        </is>
      </c>
      <c r="AG94" s="65" t="inlineStr">
        <is>
          <t>du 14-09 jusquà le 20-09!L56</t>
        </is>
      </c>
    </row>
    <row r="95" ht="15" customHeight="1">
      <c r="A95" s="74" t="inlineStr">
        <is>
          <t>S1</t>
        </is>
      </c>
      <c r="B95" s="75" t="inlineStr">
        <is>
          <t>du 14 au 20 septembre 2026</t>
        </is>
      </c>
      <c r="C95" s="74" t="inlineStr">
        <is>
          <t>A</t>
        </is>
      </c>
      <c r="D95" s="76" t="n">
        <v>46284</v>
      </c>
      <c r="E95" s="74" t="inlineStr">
        <is>
          <t>Samedi</t>
        </is>
      </c>
      <c r="F95" s="77" t="n">
        <v>0.6666666666666666</v>
      </c>
      <c r="G95" s="77" t="n">
        <v>0.7291666666666666</v>
      </c>
      <c r="H95" s="78">
        <f>IF(OR($F95="",$G95=""),"",($G95-$F95)*24)</f>
        <v/>
      </c>
      <c r="I95" s="74" t="inlineStr">
        <is>
          <t>Secondaire</t>
        </is>
      </c>
      <c r="J95" s="75" t="inlineStr">
        <is>
          <t>2éme SCE</t>
        </is>
      </c>
      <c r="K95" s="88" t="inlineStr">
        <is>
          <t>SVT</t>
        </is>
      </c>
      <c r="L95" s="88" t="inlineStr">
        <is>
          <t>SVT</t>
        </is>
      </c>
      <c r="M95" s="75" t="inlineStr">
        <is>
          <t>Rym</t>
        </is>
      </c>
      <c r="N95" s="74" t="n"/>
      <c r="O95" s="74" t="n"/>
      <c r="P95" s="74" t="inlineStr">
        <is>
          <t>Hebdomadaire</t>
        </is>
      </c>
      <c r="Q95" s="75" t="inlineStr"/>
      <c r="R95" s="74" t="n">
        <v>1</v>
      </c>
      <c r="S95" s="74" t="inlineStr">
        <is>
          <t>Oui</t>
        </is>
      </c>
      <c r="T95" s="74" t="inlineStr">
        <is>
          <t>S1-070</t>
        </is>
      </c>
      <c r="U95" s="75" t="inlineStr">
        <is>
          <t>Original (septembre)</t>
        </is>
      </c>
      <c r="V95" s="75" t="inlineStr"/>
      <c r="W95" s="10" t="n"/>
      <c r="X95" s="10" t="inlineStr"/>
      <c r="Y95" s="64">
        <f>IF($M95="","",IF(SUMPRODUCT(($D$4:$D$863=$D95)*($M$4:$M$863=$M95)*($T$4:$T$863&lt;&gt;$T95)*($F$4:$F$863&lt;$G95)*($G$4:$G$863&gt;$F95))&gt;0,"⚠ CONFLIT",""))</f>
        <v/>
      </c>
      <c r="Z95" s="64">
        <f>IF($J95="","",IF(SUMPRODUCT(($D$4:$D$863=$D95)*($J$4:$J$863=$J95)*($T$4:$T$863&lt;&gt;$T95)*($F$4:$F$863&lt;$G95)*($G$4:$G$863&gt;$F95)*(1-($X$4:$X$863="Oui")*($X95="Oui")))&gt;0,"⚠ CONFLIT",""))</f>
        <v/>
      </c>
      <c r="AA95" s="64">
        <f>IF(COUNTIFS($D$4:$D$863,$D95,$J$4:$J$863,$J95,$F$4:$F$863,$F95,$K$4:$K$863,$K95)&gt;1,"⚠ DOUBLON","")</f>
        <v/>
      </c>
      <c r="AB95" s="64">
        <f>IF(COUNTIF($T$4:$T$863,$T95)&lt;&gt;COUNTIFS($T$4:$T$863,$T95,$D$4:$D$863,$D95,$F$4:$F$863,$F95,$G$4:$G$863,$G95,$K$4:$K$863,$K95,$M$4:$M$863,$M95),"⚠ INCOHÉRENT","")</f>
        <v/>
      </c>
      <c r="AC95" s="64">
        <f>COUNTIFS($A$4:$A95,$A95,$J$4:$J95,$J95,$E$4:$E95,$E95)</f>
        <v/>
      </c>
      <c r="AD95" s="65">
        <f>$A95&amp;"|"&amp;$J95&amp;"|"&amp;$E95&amp;"|"&amp;$AC95</f>
        <v/>
      </c>
      <c r="AE95" s="66">
        <f>IF($W95&lt;&gt;"","⚑ "&amp;$W95&amp;CHAR(10),"")&amp;TEXT($F95,"hh:mm")&amp;"-"&amp;TEXT($G95,"hh:mm")&amp;IF(OR($P95="Quinzaine A",AND($P95="Hebdo · groupes alternés",$C95="A"))," Q-A",IF(OR($P95="Quinzaine B",AND($P95="Hebdo · groupes alternés",$C95="B"))," Q-B",IF($P95="Exception"," PONCT.","")))&amp;IF($X95="Oui"," OPT","")&amp;CHAR(10)&amp;$K95&amp;CHAR(10)&amp;$M95&amp;IF($N95&lt;&gt;"",CHAR(10)&amp;"Salle "&amp;$N95,"")&amp;IF($O95="En ligne",CHAR(10)&amp;"EN LIGNE","")&amp;IF($V95&lt;&gt;"",CHAR(10)&amp;$V95,"")</f>
        <v/>
      </c>
      <c r="AF95" s="65" t="inlineStr">
        <is>
          <t>16h-17h30 SVT (Rym)</t>
        </is>
      </c>
      <c r="AG95" s="65" t="inlineStr">
        <is>
          <t>du 14-09 jusquà le 20-09!L58</t>
        </is>
      </c>
    </row>
    <row r="96" ht="15" customHeight="1">
      <c r="A96" s="74" t="inlineStr">
        <is>
          <t>S1</t>
        </is>
      </c>
      <c r="B96" s="75" t="inlineStr">
        <is>
          <t>du 14 au 20 septembre 2026</t>
        </is>
      </c>
      <c r="C96" s="74" t="inlineStr">
        <is>
          <t>A</t>
        </is>
      </c>
      <c r="D96" s="76" t="n">
        <v>46284</v>
      </c>
      <c r="E96" s="74" t="inlineStr">
        <is>
          <t>Samedi</t>
        </is>
      </c>
      <c r="F96" s="77" t="n">
        <v>0.7083333333333334</v>
      </c>
      <c r="G96" s="77" t="n">
        <v>0.7708333333333334</v>
      </c>
      <c r="H96" s="78">
        <f>IF(OR($F96="",$G96=""),"",($G96-$F96)*24)</f>
        <v/>
      </c>
      <c r="I96" s="74" t="inlineStr">
        <is>
          <t>Secondaire</t>
        </is>
      </c>
      <c r="J96" s="75" t="inlineStr">
        <is>
          <t>3éme Eco</t>
        </is>
      </c>
      <c r="K96" s="93" t="inlineStr">
        <is>
          <t>Histoire</t>
        </is>
      </c>
      <c r="L96" s="93" t="inlineStr">
        <is>
          <t>Histoire</t>
        </is>
      </c>
      <c r="M96" s="75" t="inlineStr">
        <is>
          <t>Abdelwaheb</t>
        </is>
      </c>
      <c r="N96" s="74" t="n"/>
      <c r="O96" s="74" t="n"/>
      <c r="P96" s="74" t="inlineStr">
        <is>
          <t>Quinzaine A</t>
        </is>
      </c>
      <c r="Q96" s="75" t="inlineStr"/>
      <c r="R96" s="74" t="n">
        <v>1</v>
      </c>
      <c r="S96" s="74" t="inlineStr">
        <is>
          <t>Oui</t>
        </is>
      </c>
      <c r="T96" s="74" t="inlineStr">
        <is>
          <t>S1-071</t>
        </is>
      </c>
      <c r="U96" s="75" t="inlineStr">
        <is>
          <t>Original (septembre)</t>
        </is>
      </c>
      <c r="V96" s="75" t="inlineStr"/>
      <c r="W96" s="10" t="n"/>
      <c r="X96" s="10" t="inlineStr"/>
      <c r="Y96" s="64">
        <f>IF($M96="","",IF(SUMPRODUCT(($D$4:$D$863=$D96)*($M$4:$M$863=$M96)*($T$4:$T$863&lt;&gt;$T96)*($F$4:$F$863&lt;$G96)*($G$4:$G$863&gt;$F96))&gt;0,"⚠ CONFLIT",""))</f>
        <v/>
      </c>
      <c r="Z96" s="64">
        <f>IF($J96="","",IF(SUMPRODUCT(($D$4:$D$863=$D96)*($J$4:$J$863=$J96)*($T$4:$T$863&lt;&gt;$T96)*($F$4:$F$863&lt;$G96)*($G$4:$G$863&gt;$F96)*(1-($X$4:$X$863="Oui")*($X96="Oui")))&gt;0,"⚠ CONFLIT",""))</f>
        <v/>
      </c>
      <c r="AA96" s="64">
        <f>IF(COUNTIFS($D$4:$D$863,$D96,$J$4:$J$863,$J96,$F$4:$F$863,$F96,$K$4:$K$863,$K96)&gt;1,"⚠ DOUBLON","")</f>
        <v/>
      </c>
      <c r="AB96" s="64">
        <f>IF(COUNTIF($T$4:$T$863,$T96)&lt;&gt;COUNTIFS($T$4:$T$863,$T96,$D$4:$D$863,$D96,$F$4:$F$863,$F96,$G$4:$G$863,$G96,$K$4:$K$863,$K96,$M$4:$M$863,$M96),"⚠ INCOHÉRENT","")</f>
        <v/>
      </c>
      <c r="AC96" s="64">
        <f>COUNTIFS($A$4:$A96,$A96,$J$4:$J96,$J96,$E$4:$E96,$E96)</f>
        <v/>
      </c>
      <c r="AD96" s="65">
        <f>$A96&amp;"|"&amp;$J96&amp;"|"&amp;$E96&amp;"|"&amp;$AC96</f>
        <v/>
      </c>
      <c r="AE96" s="66">
        <f>IF($W96&lt;&gt;"","⚑ "&amp;$W96&amp;CHAR(10),"")&amp;TEXT($F96,"hh:mm")&amp;"-"&amp;TEXT($G96,"hh:mm")&amp;IF(OR($P96="Quinzaine A",AND($P96="Hebdo · groupes alternés",$C96="A"))," Q-A",IF(OR($P96="Quinzaine B",AND($P96="Hebdo · groupes alternés",$C96="B"))," Q-B",IF($P96="Exception"," PONCT.","")))&amp;IF($X96="Oui"," OPT","")&amp;CHAR(10)&amp;$K96&amp;CHAR(10)&amp;$M96&amp;IF($N96&lt;&gt;"",CHAR(10)&amp;"Salle "&amp;$N96,"")&amp;IF($O96="En ligne",CHAR(10)&amp;"EN LIGNE","")&amp;IF($V96&lt;&gt;"",CHAR(10)&amp;$V96,"")</f>
        <v/>
      </c>
      <c r="AF96" s="65" t="inlineStr">
        <is>
          <t>17h-18h30 Histoire (Abdelwaheb)</t>
        </is>
      </c>
      <c r="AG96" s="65" t="inlineStr">
        <is>
          <t>du 14-09 jusquà le 20-09!L62</t>
        </is>
      </c>
    </row>
    <row r="97" ht="15" customHeight="1">
      <c r="A97" s="74" t="inlineStr">
        <is>
          <t>S1</t>
        </is>
      </c>
      <c r="B97" s="75" t="inlineStr">
        <is>
          <t>du 14 au 20 septembre 2026</t>
        </is>
      </c>
      <c r="C97" s="74" t="inlineStr">
        <is>
          <t>A</t>
        </is>
      </c>
      <c r="D97" s="76" t="n">
        <v>46284</v>
      </c>
      <c r="E97" s="74" t="inlineStr">
        <is>
          <t>Samedi</t>
        </is>
      </c>
      <c r="F97" s="77" t="n">
        <v>0.625</v>
      </c>
      <c r="G97" s="77" t="n">
        <v>0.7083333333333334</v>
      </c>
      <c r="H97" s="78">
        <f>IF(OR($F97="",$G97=""),"",($G97-$F97)*24)</f>
        <v/>
      </c>
      <c r="I97" s="74" t="inlineStr">
        <is>
          <t>Secondaire</t>
        </is>
      </c>
      <c r="J97" s="75" t="inlineStr">
        <is>
          <t>3éme INFO</t>
        </is>
      </c>
      <c r="K97" s="94" t="inlineStr">
        <is>
          <t>ALGO</t>
        </is>
      </c>
      <c r="L97" s="94" t="inlineStr">
        <is>
          <t>ALGO</t>
        </is>
      </c>
      <c r="M97" s="75" t="inlineStr">
        <is>
          <t>Aymen</t>
        </is>
      </c>
      <c r="N97" s="74" t="n"/>
      <c r="O97" s="74" t="n"/>
      <c r="P97" s="74" t="inlineStr">
        <is>
          <t>Hebdomadaire</t>
        </is>
      </c>
      <c r="Q97" s="75" t="inlineStr"/>
      <c r="R97" s="74" t="n">
        <v>1</v>
      </c>
      <c r="S97" s="74" t="inlineStr">
        <is>
          <t>Oui</t>
        </is>
      </c>
      <c r="T97" s="74" t="inlineStr">
        <is>
          <t>S1-072</t>
        </is>
      </c>
      <c r="U97" s="75" t="inlineStr">
        <is>
          <t>Original (septembre)</t>
        </is>
      </c>
      <c r="V97" s="75" t="inlineStr"/>
      <c r="W97" s="10" t="n"/>
      <c r="X97" s="10" t="inlineStr"/>
      <c r="Y97" s="64">
        <f>IF($M97="","",IF(SUMPRODUCT(($D$4:$D$863=$D97)*($M$4:$M$863=$M97)*($T$4:$T$863&lt;&gt;$T97)*($F$4:$F$863&lt;$G97)*($G$4:$G$863&gt;$F97))&gt;0,"⚠ CONFLIT",""))</f>
        <v/>
      </c>
      <c r="Z97" s="64">
        <f>IF($J97="","",IF(SUMPRODUCT(($D$4:$D$863=$D97)*($J$4:$J$863=$J97)*($T$4:$T$863&lt;&gt;$T97)*($F$4:$F$863&lt;$G97)*($G$4:$G$863&gt;$F97)*(1-($X$4:$X$863="Oui")*($X97="Oui")))&gt;0,"⚠ CONFLIT",""))</f>
        <v/>
      </c>
      <c r="AA97" s="64">
        <f>IF(COUNTIFS($D$4:$D$863,$D97,$J$4:$J$863,$J97,$F$4:$F$863,$F97,$K$4:$K$863,$K97)&gt;1,"⚠ DOUBLON","")</f>
        <v/>
      </c>
      <c r="AB97" s="64">
        <f>IF(COUNTIF($T$4:$T$863,$T97)&lt;&gt;COUNTIFS($T$4:$T$863,$T97,$D$4:$D$863,$D97,$F$4:$F$863,$F97,$G$4:$G$863,$G97,$K$4:$K$863,$K97,$M$4:$M$863,$M97),"⚠ INCOHÉRENT","")</f>
        <v/>
      </c>
      <c r="AC97" s="64">
        <f>COUNTIFS($A$4:$A97,$A97,$J$4:$J97,$J97,$E$4:$E97,$E97)</f>
        <v/>
      </c>
      <c r="AD97" s="65">
        <f>$A97&amp;"|"&amp;$J97&amp;"|"&amp;$E97&amp;"|"&amp;$AC97</f>
        <v/>
      </c>
      <c r="AE97" s="66">
        <f>IF($W97&lt;&gt;"","⚑ "&amp;$W97&amp;CHAR(10),"")&amp;TEXT($F97,"hh:mm")&amp;"-"&amp;TEXT($G97,"hh:mm")&amp;IF(OR($P97="Quinzaine A",AND($P97="Hebdo · groupes alternés",$C97="A"))," Q-A",IF(OR($P97="Quinzaine B",AND($P97="Hebdo · groupes alternés",$C97="B"))," Q-B",IF($P97="Exception"," PONCT.","")))&amp;IF($X97="Oui"," OPT","")&amp;CHAR(10)&amp;$K97&amp;CHAR(10)&amp;$M97&amp;IF($N97&lt;&gt;"",CHAR(10)&amp;"Salle "&amp;$N97,"")&amp;IF($O97="En ligne",CHAR(10)&amp;"EN LIGNE","")&amp;IF($V97&lt;&gt;"",CHAR(10)&amp;$V97,"")</f>
        <v/>
      </c>
      <c r="AF97" s="65" t="inlineStr">
        <is>
          <t>15h-17h ALGO (Aymen)</t>
        </is>
      </c>
      <c r="AG97" s="65" t="inlineStr">
        <is>
          <t>du 14-09 jusquà le 20-09!L64</t>
        </is>
      </c>
    </row>
    <row r="98" ht="15" customHeight="1">
      <c r="A98" s="74" t="inlineStr">
        <is>
          <t>S1</t>
        </is>
      </c>
      <c r="B98" s="75" t="inlineStr">
        <is>
          <t>du 14 au 20 septembre 2026</t>
        </is>
      </c>
      <c r="C98" s="74" t="inlineStr">
        <is>
          <t>A</t>
        </is>
      </c>
      <c r="D98" s="76" t="n">
        <v>46284</v>
      </c>
      <c r="E98" s="74" t="inlineStr">
        <is>
          <t>Samedi</t>
        </is>
      </c>
      <c r="F98" s="77" t="n">
        <v>0.7291666666666666</v>
      </c>
      <c r="G98" s="77" t="n">
        <v>0.7916666666666666</v>
      </c>
      <c r="H98" s="78">
        <f>IF(OR($F98="",$G98=""),"",($G98-$F98)*24)</f>
        <v/>
      </c>
      <c r="I98" s="74" t="inlineStr">
        <is>
          <t>Secondaire</t>
        </is>
      </c>
      <c r="J98" s="75" t="inlineStr">
        <is>
          <t>3éme SCE</t>
        </is>
      </c>
      <c r="K98" s="88" t="inlineStr">
        <is>
          <t>SVT</t>
        </is>
      </c>
      <c r="L98" s="88" t="inlineStr">
        <is>
          <t>SVT</t>
        </is>
      </c>
      <c r="M98" s="75" t="inlineStr">
        <is>
          <t>Rym</t>
        </is>
      </c>
      <c r="N98" s="74" t="n"/>
      <c r="O98" s="74" t="n"/>
      <c r="P98" s="74" t="inlineStr">
        <is>
          <t>Hebdomadaire</t>
        </is>
      </c>
      <c r="Q98" s="75" t="inlineStr"/>
      <c r="R98" s="74" t="n">
        <v>1</v>
      </c>
      <c r="S98" s="74" t="inlineStr">
        <is>
          <t>Oui</t>
        </is>
      </c>
      <c r="T98" s="74" t="inlineStr">
        <is>
          <t>S1-073</t>
        </is>
      </c>
      <c r="U98" s="75" t="inlineStr">
        <is>
          <t>Original (septembre)</t>
        </is>
      </c>
      <c r="V98" s="75" t="inlineStr"/>
      <c r="W98" s="10" t="n"/>
      <c r="X98" s="10" t="inlineStr"/>
      <c r="Y98" s="64">
        <f>IF($M98="","",IF(SUMPRODUCT(($D$4:$D$863=$D98)*($M$4:$M$863=$M98)*($T$4:$T$863&lt;&gt;$T98)*($F$4:$F$863&lt;$G98)*($G$4:$G$863&gt;$F98))&gt;0,"⚠ CONFLIT",""))</f>
        <v/>
      </c>
      <c r="Z98" s="64">
        <f>IF($J98="","",IF(SUMPRODUCT(($D$4:$D$863=$D98)*($J$4:$J$863=$J98)*($T$4:$T$863&lt;&gt;$T98)*($F$4:$F$863&lt;$G98)*($G$4:$G$863&gt;$F98)*(1-($X$4:$X$863="Oui")*($X98="Oui")))&gt;0,"⚠ CONFLIT",""))</f>
        <v/>
      </c>
      <c r="AA98" s="64">
        <f>IF(COUNTIFS($D$4:$D$863,$D98,$J$4:$J$863,$J98,$F$4:$F$863,$F98,$K$4:$K$863,$K98)&gt;1,"⚠ DOUBLON","")</f>
        <v/>
      </c>
      <c r="AB98" s="64">
        <f>IF(COUNTIF($T$4:$T$863,$T98)&lt;&gt;COUNTIFS($T$4:$T$863,$T98,$D$4:$D$863,$D98,$F$4:$F$863,$F98,$G$4:$G$863,$G98,$K$4:$K$863,$K98,$M$4:$M$863,$M98),"⚠ INCOHÉRENT","")</f>
        <v/>
      </c>
      <c r="AC98" s="64">
        <f>COUNTIFS($A$4:$A98,$A98,$J$4:$J98,$J98,$E$4:$E98,$E98)</f>
        <v/>
      </c>
      <c r="AD98" s="65">
        <f>$A98&amp;"|"&amp;$J98&amp;"|"&amp;$E98&amp;"|"&amp;$AC98</f>
        <v/>
      </c>
      <c r="AE98" s="66">
        <f>IF($W98&lt;&gt;"","⚑ "&amp;$W98&amp;CHAR(10),"")&amp;TEXT($F98,"hh:mm")&amp;"-"&amp;TEXT($G98,"hh:mm")&amp;IF(OR($P98="Quinzaine A",AND($P98="Hebdo · groupes alternés",$C98="A"))," Q-A",IF(OR($P98="Quinzaine B",AND($P98="Hebdo · groupes alternés",$C98="B"))," Q-B",IF($P98="Exception"," PONCT.","")))&amp;IF($X98="Oui"," OPT","")&amp;CHAR(10)&amp;$K98&amp;CHAR(10)&amp;$M98&amp;IF($N98&lt;&gt;"",CHAR(10)&amp;"Salle "&amp;$N98,"")&amp;IF($O98="En ligne",CHAR(10)&amp;"EN LIGNE","")&amp;IF($V98&lt;&gt;"",CHAR(10)&amp;$V98,"")</f>
        <v/>
      </c>
      <c r="AF98" s="65" t="inlineStr">
        <is>
          <t>17h30-19h SVT (Rym)</t>
        </is>
      </c>
      <c r="AG98" s="65" t="inlineStr">
        <is>
          <t>du 14-09 jusquà le 20-09!L66</t>
        </is>
      </c>
    </row>
    <row r="99" ht="15" customHeight="1">
      <c r="A99" s="81" t="inlineStr">
        <is>
          <t>S1</t>
        </is>
      </c>
      <c r="B99" s="82" t="inlineStr">
        <is>
          <t>du 14 au 20 septembre 2026</t>
        </is>
      </c>
      <c r="C99" s="81" t="inlineStr">
        <is>
          <t>A</t>
        </is>
      </c>
      <c r="D99" s="83" t="n">
        <v>46284</v>
      </c>
      <c r="E99" s="81" t="inlineStr">
        <is>
          <t>Samedi</t>
        </is>
      </c>
      <c r="F99" s="84" t="n">
        <v>0.7708333333333334</v>
      </c>
      <c r="G99" s="84" t="n">
        <v>0.8333333333333334</v>
      </c>
      <c r="H99" s="85">
        <f>IF(OR($F99="",$G99=""),"",($G99-$F99)*24)</f>
        <v/>
      </c>
      <c r="I99" s="81" t="inlineStr">
        <is>
          <t>Bac</t>
        </is>
      </c>
      <c r="J99" s="82" t="inlineStr">
        <is>
          <t>Bac Eco</t>
        </is>
      </c>
      <c r="K99" s="93" t="inlineStr">
        <is>
          <t>Histoire</t>
        </is>
      </c>
      <c r="L99" s="93" t="inlineStr">
        <is>
          <t>Histoire</t>
        </is>
      </c>
      <c r="M99" s="82" t="inlineStr">
        <is>
          <t>Abdelwaheb</t>
        </is>
      </c>
      <c r="N99" s="81" t="n"/>
      <c r="O99" s="81" t="n"/>
      <c r="P99" s="81" t="inlineStr">
        <is>
          <t>Quinzaine A</t>
        </is>
      </c>
      <c r="Q99" s="82" t="inlineStr"/>
      <c r="R99" s="81" t="n">
        <v>1</v>
      </c>
      <c r="S99" s="81" t="inlineStr">
        <is>
          <t>Oui</t>
        </is>
      </c>
      <c r="T99" s="81" t="inlineStr">
        <is>
          <t>S1-074</t>
        </is>
      </c>
      <c r="U99" s="82" t="inlineStr">
        <is>
          <t>Original (septembre)</t>
        </is>
      </c>
      <c r="V99" s="82" t="inlineStr"/>
      <c r="W99" s="10" t="n"/>
      <c r="X99" s="10" t="inlineStr"/>
      <c r="Y99" s="64">
        <f>IF($M99="","",IF(SUMPRODUCT(($D$4:$D$863=$D99)*($M$4:$M$863=$M99)*($T$4:$T$863&lt;&gt;$T99)*($F$4:$F$863&lt;$G99)*($G$4:$G$863&gt;$F99))&gt;0,"⚠ CONFLIT",""))</f>
        <v/>
      </c>
      <c r="Z99" s="64">
        <f>IF($J99="","",IF(SUMPRODUCT(($D$4:$D$863=$D99)*($J$4:$J$863=$J99)*($T$4:$T$863&lt;&gt;$T99)*($F$4:$F$863&lt;$G99)*($G$4:$G$863&gt;$F99)*(1-($X$4:$X$863="Oui")*($X99="Oui")))&gt;0,"⚠ CONFLIT",""))</f>
        <v/>
      </c>
      <c r="AA99" s="64">
        <f>IF(COUNTIFS($D$4:$D$863,$D99,$J$4:$J$863,$J99,$F$4:$F$863,$F99,$K$4:$K$863,$K99)&gt;1,"⚠ DOUBLON","")</f>
        <v/>
      </c>
      <c r="AB99" s="64">
        <f>IF(COUNTIF($T$4:$T$863,$T99)&lt;&gt;COUNTIFS($T$4:$T$863,$T99,$D$4:$D$863,$D99,$F$4:$F$863,$F99,$G$4:$G$863,$G99,$K$4:$K$863,$K99,$M$4:$M$863,$M99),"⚠ INCOHÉRENT","")</f>
        <v/>
      </c>
      <c r="AC99" s="64">
        <f>COUNTIFS($A$4:$A99,$A99,$J$4:$J99,$J99,$E$4:$E99,$E99)</f>
        <v/>
      </c>
      <c r="AD99" s="65">
        <f>$A99&amp;"|"&amp;$J99&amp;"|"&amp;$E99&amp;"|"&amp;$AC99</f>
        <v/>
      </c>
      <c r="AE99" s="66">
        <f>IF($W99&lt;&gt;"","⚑ "&amp;$W99&amp;CHAR(10),"")&amp;TEXT($F99,"hh:mm")&amp;"-"&amp;TEXT($G99,"hh:mm")&amp;IF(OR($P99="Quinzaine A",AND($P99="Hebdo · groupes alternés",$C99="A"))," Q-A",IF(OR($P99="Quinzaine B",AND($P99="Hebdo · groupes alternés",$C99="B"))," Q-B",IF($P99="Exception"," PONCT.","")))&amp;IF($X99="Oui"," OPT","")&amp;CHAR(10)&amp;$K99&amp;CHAR(10)&amp;$M99&amp;IF($N99&lt;&gt;"",CHAR(10)&amp;"Salle "&amp;$N99,"")&amp;IF($O99="En ligne",CHAR(10)&amp;"EN LIGNE","")&amp;IF($V99&lt;&gt;"",CHAR(10)&amp;$V99,"")</f>
        <v/>
      </c>
      <c r="AF99" s="65" t="inlineStr">
        <is>
          <t>18h30-20h Histoire (Abdelwaheb)</t>
        </is>
      </c>
      <c r="AG99" s="65" t="inlineStr">
        <is>
          <t>du 14-09 jusquà le 20-09!L68</t>
        </is>
      </c>
    </row>
    <row r="100" ht="15" customHeight="1">
      <c r="A100" s="81" t="inlineStr">
        <is>
          <t>S1</t>
        </is>
      </c>
      <c r="B100" s="82" t="inlineStr">
        <is>
          <t>du 14 au 20 septembre 2026</t>
        </is>
      </c>
      <c r="C100" s="81" t="inlineStr">
        <is>
          <t>A</t>
        </is>
      </c>
      <c r="D100" s="83" t="n">
        <v>46284</v>
      </c>
      <c r="E100" s="81" t="inlineStr">
        <is>
          <t>Samedi</t>
        </is>
      </c>
      <c r="F100" s="84" t="n">
        <v>0.7916666666666666</v>
      </c>
      <c r="G100" s="84" t="n">
        <v>0.8541666666666666</v>
      </c>
      <c r="H100" s="85">
        <f>IF(OR($F100="",$G100=""),"",($G100-$F100)*24)</f>
        <v/>
      </c>
      <c r="I100" s="81" t="inlineStr">
        <is>
          <t>Bac</t>
        </is>
      </c>
      <c r="J100" s="82" t="inlineStr">
        <is>
          <t>Bac SCE</t>
        </is>
      </c>
      <c r="K100" s="88" t="inlineStr">
        <is>
          <t>SVT</t>
        </is>
      </c>
      <c r="L100" s="88" t="inlineStr">
        <is>
          <t>SVT</t>
        </is>
      </c>
      <c r="M100" s="82" t="inlineStr">
        <is>
          <t>Rym</t>
        </is>
      </c>
      <c r="N100" s="81" t="n"/>
      <c r="O100" s="81" t="n"/>
      <c r="P100" s="81" t="inlineStr">
        <is>
          <t>Hebdomadaire</t>
        </is>
      </c>
      <c r="Q100" s="82" t="inlineStr"/>
      <c r="R100" s="81" t="n">
        <v>1</v>
      </c>
      <c r="S100" s="81" t="inlineStr">
        <is>
          <t>Oui</t>
        </is>
      </c>
      <c r="T100" s="81" t="inlineStr">
        <is>
          <t>S1-075</t>
        </is>
      </c>
      <c r="U100" s="82" t="inlineStr">
        <is>
          <t>Original (septembre)</t>
        </is>
      </c>
      <c r="V100" s="82" t="inlineStr"/>
      <c r="W100" s="10" t="n"/>
      <c r="X100" s="10" t="inlineStr"/>
      <c r="Y100" s="64">
        <f>IF($M100="","",IF(SUMPRODUCT(($D$4:$D$863=$D100)*($M$4:$M$863=$M100)*($T$4:$T$863&lt;&gt;$T100)*($F$4:$F$863&lt;$G100)*($G$4:$G$863&gt;$F100))&gt;0,"⚠ CONFLIT",""))</f>
        <v/>
      </c>
      <c r="Z100" s="64">
        <f>IF($J100="","",IF(SUMPRODUCT(($D$4:$D$863=$D100)*($J$4:$J$863=$J100)*($T$4:$T$863&lt;&gt;$T100)*($F$4:$F$863&lt;$G100)*($G$4:$G$863&gt;$F100)*(1-($X$4:$X$863="Oui")*($X100="Oui")))&gt;0,"⚠ CONFLIT",""))</f>
        <v/>
      </c>
      <c r="AA100" s="64">
        <f>IF(COUNTIFS($D$4:$D$863,$D100,$J$4:$J$863,$J100,$F$4:$F$863,$F100,$K$4:$K$863,$K100)&gt;1,"⚠ DOUBLON","")</f>
        <v/>
      </c>
      <c r="AB100" s="64">
        <f>IF(COUNTIF($T$4:$T$863,$T100)&lt;&gt;COUNTIFS($T$4:$T$863,$T100,$D$4:$D$863,$D100,$F$4:$F$863,$F100,$G$4:$G$863,$G100,$K$4:$K$863,$K100,$M$4:$M$863,$M100),"⚠ INCOHÉRENT","")</f>
        <v/>
      </c>
      <c r="AC100" s="64">
        <f>COUNTIFS($A$4:$A100,$A100,$J$4:$J100,$J100,$E$4:$E100,$E100)</f>
        <v/>
      </c>
      <c r="AD100" s="65">
        <f>$A100&amp;"|"&amp;$J100&amp;"|"&amp;$E100&amp;"|"&amp;$AC100</f>
        <v/>
      </c>
      <c r="AE100" s="66">
        <f>IF($W100&lt;&gt;"","⚑ "&amp;$W100&amp;CHAR(10),"")&amp;TEXT($F100,"hh:mm")&amp;"-"&amp;TEXT($G100,"hh:mm")&amp;IF(OR($P100="Quinzaine A",AND($P100="Hebdo · groupes alternés",$C100="A"))," Q-A",IF(OR($P100="Quinzaine B",AND($P100="Hebdo · groupes alternés",$C100="B"))," Q-B",IF($P100="Exception"," PONCT.","")))&amp;IF($X100="Oui"," OPT","")&amp;CHAR(10)&amp;$K100&amp;CHAR(10)&amp;$M100&amp;IF($N100&lt;&gt;"",CHAR(10)&amp;"Salle "&amp;$N100,"")&amp;IF($O100="En ligne",CHAR(10)&amp;"EN LIGNE","")&amp;IF($V100&lt;&gt;"",CHAR(10)&amp;$V100,"")</f>
        <v/>
      </c>
      <c r="AF100" s="65" t="inlineStr">
        <is>
          <t>19h-20h30 SVT (Rym)</t>
        </is>
      </c>
      <c r="AG100" s="65" t="inlineStr">
        <is>
          <t>du 14-09 jusquà le 20-09!L74</t>
        </is>
      </c>
    </row>
    <row r="101" ht="15" customHeight="1">
      <c r="A101" s="81" t="inlineStr">
        <is>
          <t>S1</t>
        </is>
      </c>
      <c r="B101" s="82" t="inlineStr">
        <is>
          <t>du 14 au 20 septembre 2026</t>
        </is>
      </c>
      <c r="C101" s="81" t="inlineStr">
        <is>
          <t>A</t>
        </is>
      </c>
      <c r="D101" s="83" t="n">
        <v>46284</v>
      </c>
      <c r="E101" s="81" t="inlineStr">
        <is>
          <t>Samedi</t>
        </is>
      </c>
      <c r="F101" s="84" t="n">
        <v>0.7916666666666666</v>
      </c>
      <c r="G101" s="84" t="n">
        <v>0.875</v>
      </c>
      <c r="H101" s="85">
        <f>IF(OR($F101="",$G101=""),"",($G101-$F101)*24)</f>
        <v/>
      </c>
      <c r="I101" s="81" t="inlineStr">
        <is>
          <t>Bac</t>
        </is>
      </c>
      <c r="J101" s="82" t="inlineStr">
        <is>
          <t>Bac INFO</t>
        </is>
      </c>
      <c r="K101" s="94" t="inlineStr">
        <is>
          <t>ALGO</t>
        </is>
      </c>
      <c r="L101" s="94" t="inlineStr">
        <is>
          <t>ALGO</t>
        </is>
      </c>
      <c r="M101" s="82" t="inlineStr">
        <is>
          <t>Heni</t>
        </is>
      </c>
      <c r="N101" s="81" t="n"/>
      <c r="O101" s="81" t="n"/>
      <c r="P101" s="81" t="inlineStr">
        <is>
          <t>Hebdomadaire</t>
        </is>
      </c>
      <c r="Q101" s="82" t="inlineStr"/>
      <c r="R101" s="81" t="n">
        <v>1</v>
      </c>
      <c r="S101" s="81" t="inlineStr">
        <is>
          <t>Oui</t>
        </is>
      </c>
      <c r="T101" s="81" t="inlineStr">
        <is>
          <t>S1-076</t>
        </is>
      </c>
      <c r="U101" s="82" t="inlineStr">
        <is>
          <t>Original (septembre)</t>
        </is>
      </c>
      <c r="V101" s="82" t="inlineStr"/>
      <c r="W101" s="10" t="n"/>
      <c r="X101" s="10" t="inlineStr"/>
      <c r="Y101" s="64">
        <f>IF($M101="","",IF(SUMPRODUCT(($D$4:$D$863=$D101)*($M$4:$M$863=$M101)*($T$4:$T$863&lt;&gt;$T101)*($F$4:$F$863&lt;$G101)*($G$4:$G$863&gt;$F101))&gt;0,"⚠ CONFLIT",""))</f>
        <v/>
      </c>
      <c r="Z101" s="64">
        <f>IF($J101="","",IF(SUMPRODUCT(($D$4:$D$863=$D101)*($J$4:$J$863=$J101)*($T$4:$T$863&lt;&gt;$T101)*($F$4:$F$863&lt;$G101)*($G$4:$G$863&gt;$F101)*(1-($X$4:$X$863="Oui")*($X101="Oui")))&gt;0,"⚠ CONFLIT",""))</f>
        <v/>
      </c>
      <c r="AA101" s="64">
        <f>IF(COUNTIFS($D$4:$D$863,$D101,$J$4:$J$863,$J101,$F$4:$F$863,$F101,$K$4:$K$863,$K101)&gt;1,"⚠ DOUBLON","")</f>
        <v/>
      </c>
      <c r="AB101" s="64">
        <f>IF(COUNTIF($T$4:$T$863,$T101)&lt;&gt;COUNTIFS($T$4:$T$863,$T101,$D$4:$D$863,$D101,$F$4:$F$863,$F101,$G$4:$G$863,$G101,$K$4:$K$863,$K101,$M$4:$M$863,$M101),"⚠ INCOHÉRENT","")</f>
        <v/>
      </c>
      <c r="AC101" s="64">
        <f>COUNTIFS($A$4:$A101,$A101,$J$4:$J101,$J101,$E$4:$E101,$E101)</f>
        <v/>
      </c>
      <c r="AD101" s="65">
        <f>$A101&amp;"|"&amp;$J101&amp;"|"&amp;$E101&amp;"|"&amp;$AC101</f>
        <v/>
      </c>
      <c r="AE101" s="66">
        <f>IF($W101&lt;&gt;"","⚑ "&amp;$W101&amp;CHAR(10),"")&amp;TEXT($F101,"hh:mm")&amp;"-"&amp;TEXT($G101,"hh:mm")&amp;IF(OR($P101="Quinzaine A",AND($P101="Hebdo · groupes alternés",$C101="A"))," Q-A",IF(OR($P101="Quinzaine B",AND($P101="Hebdo · groupes alternés",$C101="B"))," Q-B",IF($P101="Exception"," PONCT.","")))&amp;IF($X101="Oui"," OPT","")&amp;CHAR(10)&amp;$K101&amp;CHAR(10)&amp;$M101&amp;IF($N101&lt;&gt;"",CHAR(10)&amp;"Salle "&amp;$N101,"")&amp;IF($O101="En ligne",CHAR(10)&amp;"EN LIGNE","")&amp;IF($V101&lt;&gt;"",CHAR(10)&amp;$V101,"")</f>
        <v/>
      </c>
      <c r="AF101" s="65" t="inlineStr">
        <is>
          <t>19h-21h ALGO (Heni)</t>
        </is>
      </c>
      <c r="AG101" s="65" t="inlineStr">
        <is>
          <t>du 14-09 jusquà le 20-09!L78</t>
        </is>
      </c>
    </row>
    <row r="102" ht="15" customHeight="1">
      <c r="A102" s="58" t="inlineStr">
        <is>
          <t>S1</t>
        </is>
      </c>
      <c r="B102" s="59" t="inlineStr">
        <is>
          <t>du 14 au 20 septembre 2026</t>
        </is>
      </c>
      <c r="C102" s="58" t="inlineStr">
        <is>
          <t>A</t>
        </is>
      </c>
      <c r="D102" s="60" t="n">
        <v>46285</v>
      </c>
      <c r="E102" s="58" t="inlineStr">
        <is>
          <t>Dimanche</t>
        </is>
      </c>
      <c r="F102" s="61" t="n">
        <v>0.4375</v>
      </c>
      <c r="G102" s="61" t="n">
        <v>0.5</v>
      </c>
      <c r="H102" s="62">
        <f>IF(OR($F102="",$G102=""),"",($G102-$F102)*24)</f>
        <v/>
      </c>
      <c r="I102" s="58" t="inlineStr">
        <is>
          <t>Primaire</t>
        </is>
      </c>
      <c r="J102" s="59" t="inlineStr">
        <is>
          <t>4éme</t>
        </is>
      </c>
      <c r="K102" s="87" t="inlineStr">
        <is>
          <t>Anglais</t>
        </is>
      </c>
      <c r="L102" s="87" t="inlineStr">
        <is>
          <t>Anglais</t>
        </is>
      </c>
      <c r="M102" s="59" t="inlineStr">
        <is>
          <t>Samar</t>
        </is>
      </c>
      <c r="N102" s="58" t="n"/>
      <c r="O102" s="58" t="n"/>
      <c r="P102" s="58" t="inlineStr">
        <is>
          <t>Hebdo · groupes alternés</t>
        </is>
      </c>
      <c r="Q102" s="59" t="inlineStr"/>
      <c r="R102" s="58" t="n">
        <v>1</v>
      </c>
      <c r="S102" s="58" t="inlineStr">
        <is>
          <t>Oui</t>
        </is>
      </c>
      <c r="T102" s="58" t="inlineStr">
        <is>
          <t>S1-077</t>
        </is>
      </c>
      <c r="U102" s="59" t="inlineStr">
        <is>
          <t>Original (septembre)</t>
        </is>
      </c>
      <c r="V102" s="59" t="inlineStr"/>
      <c r="W102" s="10" t="n"/>
      <c r="X102" s="10" t="inlineStr"/>
      <c r="Y102" s="64">
        <f>IF($M102="","",IF(SUMPRODUCT(($D$4:$D$863=$D102)*($M$4:$M$863=$M102)*($T$4:$T$863&lt;&gt;$T102)*($F$4:$F$863&lt;$G102)*($G$4:$G$863&gt;$F102))&gt;0,"⚠ CONFLIT",""))</f>
        <v/>
      </c>
      <c r="Z102" s="64">
        <f>IF($J102="","",IF(SUMPRODUCT(($D$4:$D$863=$D102)*($J$4:$J$863=$J102)*($T$4:$T$863&lt;&gt;$T102)*($F$4:$F$863&lt;$G102)*($G$4:$G$863&gt;$F102)*(1-($X$4:$X$863="Oui")*($X102="Oui")))&gt;0,"⚠ CONFLIT",""))</f>
        <v/>
      </c>
      <c r="AA102" s="64">
        <f>IF(COUNTIFS($D$4:$D$863,$D102,$J$4:$J$863,$J102,$F$4:$F$863,$F102,$K$4:$K$863,$K102)&gt;1,"⚠ DOUBLON","")</f>
        <v/>
      </c>
      <c r="AB102" s="64">
        <f>IF(COUNTIF($T$4:$T$863,$T102)&lt;&gt;COUNTIFS($T$4:$T$863,$T102,$D$4:$D$863,$D102,$F$4:$F$863,$F102,$G$4:$G$863,$G102,$K$4:$K$863,$K102,$M$4:$M$863,$M102),"⚠ INCOHÉRENT","")</f>
        <v/>
      </c>
      <c r="AC102" s="64">
        <f>COUNTIFS($A$4:$A102,$A102,$J$4:$J102,$J102,$E$4:$E102,$E102)</f>
        <v/>
      </c>
      <c r="AD102" s="65">
        <f>$A102&amp;"|"&amp;$J102&amp;"|"&amp;$E102&amp;"|"&amp;$AC102</f>
        <v/>
      </c>
      <c r="AE102" s="66">
        <f>IF($W102&lt;&gt;"","⚑ "&amp;$W102&amp;CHAR(10),"")&amp;TEXT($F102,"hh:mm")&amp;"-"&amp;TEXT($G102,"hh:mm")&amp;IF(OR($P102="Quinzaine A",AND($P102="Hebdo · groupes alternés",$C102="A"))," Q-A",IF(OR($P102="Quinzaine B",AND($P102="Hebdo · groupes alternés",$C102="B"))," Q-B",IF($P102="Exception"," PONCT.","")))&amp;IF($X102="Oui"," OPT","")&amp;CHAR(10)&amp;$K102&amp;CHAR(10)&amp;$M102&amp;IF($N102&lt;&gt;"",CHAR(10)&amp;"Salle "&amp;$N102,"")&amp;IF($O102="En ligne",CHAR(10)&amp;"EN LIGNE","")&amp;IF($V102&lt;&gt;"",CHAR(10)&amp;$V102,"")</f>
        <v/>
      </c>
      <c r="AF102" s="65" t="inlineStr">
        <is>
          <t>10h30-12h Anglais /par quinzaine (Samar)</t>
        </is>
      </c>
      <c r="AG102" s="65" t="inlineStr">
        <is>
          <t>du 14-09 jusquà le 20-09!M3</t>
        </is>
      </c>
    </row>
    <row r="103" ht="15" customHeight="1">
      <c r="A103" s="58" t="inlineStr">
        <is>
          <t>S1</t>
        </is>
      </c>
      <c r="B103" s="59" t="inlineStr">
        <is>
          <t>du 14 au 20 septembre 2026</t>
        </is>
      </c>
      <c r="C103" s="58" t="inlineStr">
        <is>
          <t>A</t>
        </is>
      </c>
      <c r="D103" s="60" t="n">
        <v>46285</v>
      </c>
      <c r="E103" s="58" t="inlineStr">
        <is>
          <t>Dimanche</t>
        </is>
      </c>
      <c r="F103" s="61" t="n">
        <v>0.5</v>
      </c>
      <c r="G103" s="61" t="n">
        <v>0.5625</v>
      </c>
      <c r="H103" s="62">
        <f>IF(OR($F103="",$G103=""),"",($G103-$F103)*24)</f>
        <v/>
      </c>
      <c r="I103" s="58" t="inlineStr">
        <is>
          <t>Primaire</t>
        </is>
      </c>
      <c r="J103" s="59" t="inlineStr">
        <is>
          <t>6éme Pilote (A)</t>
        </is>
      </c>
      <c r="K103" s="87" t="inlineStr">
        <is>
          <t>Anglais</t>
        </is>
      </c>
      <c r="L103" s="87" t="inlineStr">
        <is>
          <t>Anglais</t>
        </is>
      </c>
      <c r="M103" s="59" t="inlineStr">
        <is>
          <t>Samar</t>
        </is>
      </c>
      <c r="N103" s="58" t="n"/>
      <c r="O103" s="58" t="n"/>
      <c r="P103" s="58" t="inlineStr">
        <is>
          <t>Quinzaine A</t>
        </is>
      </c>
      <c r="Q103" s="59" t="inlineStr">
        <is>
          <t>6éme Pilote (A) + 6éme (B)</t>
        </is>
      </c>
      <c r="R103" s="58" t="n">
        <v>2</v>
      </c>
      <c r="S103" s="58" t="inlineStr">
        <is>
          <t>Oui</t>
        </is>
      </c>
      <c r="T103" s="58" t="inlineStr">
        <is>
          <t>S1-078</t>
        </is>
      </c>
      <c r="U103" s="59" t="inlineStr">
        <is>
          <t>Original (septembre)</t>
        </is>
      </c>
      <c r="V103" s="59" t="inlineStr"/>
      <c r="W103" s="10" t="n"/>
      <c r="X103" s="10" t="inlineStr"/>
      <c r="Y103" s="64">
        <f>IF($M103="","",IF(SUMPRODUCT(($D$4:$D$863=$D103)*($M$4:$M$863=$M103)*($T$4:$T$863&lt;&gt;$T103)*($F$4:$F$863&lt;$G103)*($G$4:$G$863&gt;$F103))&gt;0,"⚠ CONFLIT",""))</f>
        <v/>
      </c>
      <c r="Z103" s="64">
        <f>IF($J103="","",IF(SUMPRODUCT(($D$4:$D$863=$D103)*($J$4:$J$863=$J103)*($T$4:$T$863&lt;&gt;$T103)*($F$4:$F$863&lt;$G103)*($G$4:$G$863&gt;$F103)*(1-($X$4:$X$863="Oui")*($X103="Oui")))&gt;0,"⚠ CONFLIT",""))</f>
        <v/>
      </c>
      <c r="AA103" s="64">
        <f>IF(COUNTIFS($D$4:$D$863,$D103,$J$4:$J$863,$J103,$F$4:$F$863,$F103,$K$4:$K$863,$K103)&gt;1,"⚠ DOUBLON","")</f>
        <v/>
      </c>
      <c r="AB103" s="64">
        <f>IF(COUNTIF($T$4:$T$863,$T103)&lt;&gt;COUNTIFS($T$4:$T$863,$T103,$D$4:$D$863,$D103,$F$4:$F$863,$F103,$G$4:$G$863,$G103,$K$4:$K$863,$K103,$M$4:$M$863,$M103),"⚠ INCOHÉRENT","")</f>
        <v/>
      </c>
      <c r="AC103" s="64">
        <f>COUNTIFS($A$4:$A103,$A103,$J$4:$J103,$J103,$E$4:$E103,$E103)</f>
        <v/>
      </c>
      <c r="AD103" s="65">
        <f>$A103&amp;"|"&amp;$J103&amp;"|"&amp;$E103&amp;"|"&amp;$AC103</f>
        <v/>
      </c>
      <c r="AE103" s="66">
        <f>IF($W103&lt;&gt;"","⚑ "&amp;$W103&amp;CHAR(10),"")&amp;TEXT($F103,"hh:mm")&amp;"-"&amp;TEXT($G103,"hh:mm")&amp;IF(OR($P103="Quinzaine A",AND($P103="Hebdo · groupes alternés",$C103="A"))," Q-A",IF(OR($P103="Quinzaine B",AND($P103="Hebdo · groupes alternés",$C103="B"))," Q-B",IF($P103="Exception"," PONCT.","")))&amp;IF($X103="Oui"," OPT","")&amp;CHAR(10)&amp;$K103&amp;CHAR(10)&amp;$M103&amp;IF($N103&lt;&gt;"",CHAR(10)&amp;"Salle "&amp;$N103,"")&amp;IF($O103="En ligne",CHAR(10)&amp;"EN LIGNE","")&amp;IF($V103&lt;&gt;"",CHAR(10)&amp;$V103,"")</f>
        <v/>
      </c>
      <c r="AF103" s="65" t="inlineStr">
        <is>
          <t>12h-13h30 Anglais /par quinzaine (Samar)</t>
        </is>
      </c>
      <c r="AG103" s="65" t="inlineStr">
        <is>
          <t>du 14-09 jusquà le 20-09!M12</t>
        </is>
      </c>
    </row>
    <row r="104" ht="15" customHeight="1">
      <c r="A104" s="58" t="inlineStr">
        <is>
          <t>S1</t>
        </is>
      </c>
      <c r="B104" s="59" t="inlineStr">
        <is>
          <t>du 14 au 20 septembre 2026</t>
        </is>
      </c>
      <c r="C104" s="58" t="inlineStr">
        <is>
          <t>A</t>
        </is>
      </c>
      <c r="D104" s="60" t="n">
        <v>46285</v>
      </c>
      <c r="E104" s="58" t="inlineStr">
        <is>
          <t>Dimanche</t>
        </is>
      </c>
      <c r="F104" s="61" t="n">
        <v>0.5</v>
      </c>
      <c r="G104" s="61" t="n">
        <v>0.5625</v>
      </c>
      <c r="H104" s="62">
        <f>IF(OR($F104="",$G104=""),"",($G104-$F104)*24)</f>
        <v/>
      </c>
      <c r="I104" s="58" t="inlineStr">
        <is>
          <t>Primaire</t>
        </is>
      </c>
      <c r="J104" s="59" t="inlineStr">
        <is>
          <t>6éme (B)</t>
        </is>
      </c>
      <c r="K104" s="87" t="inlineStr">
        <is>
          <t>Anglais</t>
        </is>
      </c>
      <c r="L104" s="87" t="inlineStr">
        <is>
          <t>Anglais</t>
        </is>
      </c>
      <c r="M104" s="59" t="inlineStr">
        <is>
          <t>Samar</t>
        </is>
      </c>
      <c r="N104" s="58" t="n"/>
      <c r="O104" s="58" t="n"/>
      <c r="P104" s="58" t="inlineStr">
        <is>
          <t>Quinzaine A</t>
        </is>
      </c>
      <c r="Q104" s="59" t="inlineStr">
        <is>
          <t>6éme Pilote (A) + 6éme (B)</t>
        </is>
      </c>
      <c r="R104" s="58" t="n">
        <v>2</v>
      </c>
      <c r="S104" s="58" t="inlineStr"/>
      <c r="T104" s="58" t="inlineStr">
        <is>
          <t>S1-078</t>
        </is>
      </c>
      <c r="U104" s="59" t="inlineStr">
        <is>
          <t>Original (septembre)</t>
        </is>
      </c>
      <c r="V104" s="59" t="inlineStr"/>
      <c r="W104" s="10" t="n"/>
      <c r="X104" s="10" t="inlineStr"/>
      <c r="Y104" s="64">
        <f>IF($M104="","",IF(SUMPRODUCT(($D$4:$D$863=$D104)*($M$4:$M$863=$M104)*($T$4:$T$863&lt;&gt;$T104)*($F$4:$F$863&lt;$G104)*($G$4:$G$863&gt;$F104))&gt;0,"⚠ CONFLIT",""))</f>
        <v/>
      </c>
      <c r="Z104" s="64">
        <f>IF($J104="","",IF(SUMPRODUCT(($D$4:$D$863=$D104)*($J$4:$J$863=$J104)*($T$4:$T$863&lt;&gt;$T104)*($F$4:$F$863&lt;$G104)*($G$4:$G$863&gt;$F104)*(1-($X$4:$X$863="Oui")*($X104="Oui")))&gt;0,"⚠ CONFLIT",""))</f>
        <v/>
      </c>
      <c r="AA104" s="64">
        <f>IF(COUNTIFS($D$4:$D$863,$D104,$J$4:$J$863,$J104,$F$4:$F$863,$F104,$K$4:$K$863,$K104)&gt;1,"⚠ DOUBLON","")</f>
        <v/>
      </c>
      <c r="AB104" s="64">
        <f>IF(COUNTIF($T$4:$T$863,$T104)&lt;&gt;COUNTIFS($T$4:$T$863,$T104,$D$4:$D$863,$D104,$F$4:$F$863,$F104,$G$4:$G$863,$G104,$K$4:$K$863,$K104,$M$4:$M$863,$M104),"⚠ INCOHÉRENT","")</f>
        <v/>
      </c>
      <c r="AC104" s="64">
        <f>COUNTIFS($A$4:$A104,$A104,$J$4:$J104,$J104,$E$4:$E104,$E104)</f>
        <v/>
      </c>
      <c r="AD104" s="65">
        <f>$A104&amp;"|"&amp;$J104&amp;"|"&amp;$E104&amp;"|"&amp;$AC104</f>
        <v/>
      </c>
      <c r="AE104" s="66">
        <f>IF($W104&lt;&gt;"","⚑ "&amp;$W104&amp;CHAR(10),"")&amp;TEXT($F104,"hh:mm")&amp;"-"&amp;TEXT($G104,"hh:mm")&amp;IF(OR($P104="Quinzaine A",AND($P104="Hebdo · groupes alternés",$C104="A"))," Q-A",IF(OR($P104="Quinzaine B",AND($P104="Hebdo · groupes alternés",$C104="B"))," Q-B",IF($P104="Exception"," PONCT.","")))&amp;IF($X104="Oui"," OPT","")&amp;CHAR(10)&amp;$K104&amp;CHAR(10)&amp;$M104&amp;IF($N104&lt;&gt;"",CHAR(10)&amp;"Salle "&amp;$N104,"")&amp;IF($O104="En ligne",CHAR(10)&amp;"EN LIGNE","")&amp;IF($V104&lt;&gt;"",CHAR(10)&amp;$V104,"")</f>
        <v/>
      </c>
      <c r="AF104" s="65" t="inlineStr">
        <is>
          <t>12h-13h30 Anglais /par quinzaine (Samar)</t>
        </is>
      </c>
      <c r="AG104" s="65" t="inlineStr">
        <is>
          <t>du 14-09 jusquà le 20-09!M12</t>
        </is>
      </c>
    </row>
    <row r="105" ht="15" customHeight="1">
      <c r="A105" s="68" t="inlineStr">
        <is>
          <t>S1</t>
        </is>
      </c>
      <c r="B105" s="69" t="inlineStr">
        <is>
          <t>du 14 au 20 septembre 2026</t>
        </is>
      </c>
      <c r="C105" s="68" t="inlineStr">
        <is>
          <t>A</t>
        </is>
      </c>
      <c r="D105" s="70" t="n">
        <v>46285</v>
      </c>
      <c r="E105" s="68" t="inlineStr">
        <is>
          <t>Dimanche</t>
        </is>
      </c>
      <c r="F105" s="71" t="n">
        <v>0.5833333333333334</v>
      </c>
      <c r="G105" s="71" t="n">
        <v>0.6458333333333334</v>
      </c>
      <c r="H105" s="72">
        <f>IF(OR($F105="",$G105=""),"",($G105-$F105)*24)</f>
        <v/>
      </c>
      <c r="I105" s="68" t="inlineStr">
        <is>
          <t>Collège</t>
        </is>
      </c>
      <c r="J105" s="69" t="inlineStr">
        <is>
          <t>7éme (A)</t>
        </is>
      </c>
      <c r="K105" s="67" t="inlineStr">
        <is>
          <t>Français</t>
        </is>
      </c>
      <c r="L105" s="67" t="inlineStr">
        <is>
          <t>Français</t>
        </is>
      </c>
      <c r="M105" s="69" t="inlineStr">
        <is>
          <t>Marwa</t>
        </is>
      </c>
      <c r="N105" s="68" t="n"/>
      <c r="O105" s="68" t="n"/>
      <c r="P105" s="68" t="inlineStr">
        <is>
          <t>Hebdomadaire</t>
        </is>
      </c>
      <c r="Q105" s="69" t="inlineStr"/>
      <c r="R105" s="68" t="n">
        <v>1</v>
      </c>
      <c r="S105" s="68" t="inlineStr">
        <is>
          <t>Oui</t>
        </is>
      </c>
      <c r="T105" s="68" t="inlineStr">
        <is>
          <t>S1-079</t>
        </is>
      </c>
      <c r="U105" s="69" t="inlineStr">
        <is>
          <t>Original (septembre)</t>
        </is>
      </c>
      <c r="V105" s="69" t="inlineStr"/>
      <c r="W105" s="10" t="n"/>
      <c r="X105" s="10" t="inlineStr"/>
      <c r="Y105" s="64">
        <f>IF($M105="","",IF(SUMPRODUCT(($D$4:$D$863=$D105)*($M$4:$M$863=$M105)*($T$4:$T$863&lt;&gt;$T105)*($F$4:$F$863&lt;$G105)*($G$4:$G$863&gt;$F105))&gt;0,"⚠ CONFLIT",""))</f>
        <v/>
      </c>
      <c r="Z105" s="64">
        <f>IF($J105="","",IF(SUMPRODUCT(($D$4:$D$863=$D105)*($J$4:$J$863=$J105)*($T$4:$T$863&lt;&gt;$T105)*($F$4:$F$863&lt;$G105)*($G$4:$G$863&gt;$F105)*(1-($X$4:$X$863="Oui")*($X105="Oui")))&gt;0,"⚠ CONFLIT",""))</f>
        <v/>
      </c>
      <c r="AA105" s="64">
        <f>IF(COUNTIFS($D$4:$D$863,$D105,$J$4:$J$863,$J105,$F$4:$F$863,$F105,$K$4:$K$863,$K105)&gt;1,"⚠ DOUBLON","")</f>
        <v/>
      </c>
      <c r="AB105" s="64">
        <f>IF(COUNTIF($T$4:$T$863,$T105)&lt;&gt;COUNTIFS($T$4:$T$863,$T105,$D$4:$D$863,$D105,$F$4:$F$863,$F105,$G$4:$G$863,$G105,$K$4:$K$863,$K105,$M$4:$M$863,$M105),"⚠ INCOHÉRENT","")</f>
        <v/>
      </c>
      <c r="AC105" s="64">
        <f>COUNTIFS($A$4:$A105,$A105,$J$4:$J105,$J105,$E$4:$E105,$E105)</f>
        <v/>
      </c>
      <c r="AD105" s="65">
        <f>$A105&amp;"|"&amp;$J105&amp;"|"&amp;$E105&amp;"|"&amp;$AC105</f>
        <v/>
      </c>
      <c r="AE105" s="66">
        <f>IF($W105&lt;&gt;"","⚑ "&amp;$W105&amp;CHAR(10),"")&amp;TEXT($F105,"hh:mm")&amp;"-"&amp;TEXT($G105,"hh:mm")&amp;IF(OR($P105="Quinzaine A",AND($P105="Hebdo · groupes alternés",$C105="A"))," Q-A",IF(OR($P105="Quinzaine B",AND($P105="Hebdo · groupes alternés",$C105="B"))," Q-B",IF($P105="Exception"," PONCT.","")))&amp;IF($X105="Oui"," OPT","")&amp;CHAR(10)&amp;$K105&amp;CHAR(10)&amp;$M105&amp;IF($N105&lt;&gt;"",CHAR(10)&amp;"Salle "&amp;$N105,"")&amp;IF($O105="En ligne",CHAR(10)&amp;"EN LIGNE","")&amp;IF($V105&lt;&gt;"",CHAR(10)&amp;$V105,"")</f>
        <v/>
      </c>
      <c r="AF105" s="65" t="inlineStr">
        <is>
          <t>14h-15h30 Français (Marwa)</t>
        </is>
      </c>
      <c r="AG105" s="65" t="inlineStr">
        <is>
          <t>du 14-09 jusquà le 20-09!M19</t>
        </is>
      </c>
    </row>
    <row r="106" ht="15" customHeight="1">
      <c r="A106" s="68" t="inlineStr">
        <is>
          <t>S1</t>
        </is>
      </c>
      <c r="B106" s="69" t="inlineStr">
        <is>
          <t>du 14 au 20 septembre 2026</t>
        </is>
      </c>
      <c r="C106" s="68" t="inlineStr">
        <is>
          <t>A</t>
        </is>
      </c>
      <c r="D106" s="70" t="n">
        <v>46285</v>
      </c>
      <c r="E106" s="68" t="inlineStr">
        <is>
          <t>Dimanche</t>
        </is>
      </c>
      <c r="F106" s="71" t="n">
        <v>0.6458333333333334</v>
      </c>
      <c r="G106" s="71" t="n">
        <v>0.7083333333333334</v>
      </c>
      <c r="H106" s="72">
        <f>IF(OR($F106="",$G106=""),"",($G106-$F106)*24)</f>
        <v/>
      </c>
      <c r="I106" s="68" t="inlineStr">
        <is>
          <t>Collège</t>
        </is>
      </c>
      <c r="J106" s="69" t="inlineStr">
        <is>
          <t>7éme (B)</t>
        </is>
      </c>
      <c r="K106" s="67" t="inlineStr">
        <is>
          <t>Français</t>
        </is>
      </c>
      <c r="L106" s="67" t="inlineStr">
        <is>
          <t>Français</t>
        </is>
      </c>
      <c r="M106" s="69" t="inlineStr">
        <is>
          <t>Marwa</t>
        </is>
      </c>
      <c r="N106" s="68" t="n"/>
      <c r="O106" s="68" t="n"/>
      <c r="P106" s="68" t="inlineStr">
        <is>
          <t>Hebdomadaire</t>
        </is>
      </c>
      <c r="Q106" s="69" t="inlineStr"/>
      <c r="R106" s="68" t="n">
        <v>1</v>
      </c>
      <c r="S106" s="68" t="inlineStr">
        <is>
          <t>Oui</t>
        </is>
      </c>
      <c r="T106" s="68" t="inlineStr">
        <is>
          <t>S1-080</t>
        </is>
      </c>
      <c r="U106" s="69" t="inlineStr">
        <is>
          <t>Original (septembre)</t>
        </is>
      </c>
      <c r="V106" s="69" t="inlineStr"/>
      <c r="W106" s="10" t="n"/>
      <c r="X106" s="10" t="inlineStr"/>
      <c r="Y106" s="64">
        <f>IF($M106="","",IF(SUMPRODUCT(($D$4:$D$863=$D106)*($M$4:$M$863=$M106)*($T$4:$T$863&lt;&gt;$T106)*($F$4:$F$863&lt;$G106)*($G$4:$G$863&gt;$F106))&gt;0,"⚠ CONFLIT",""))</f>
        <v/>
      </c>
      <c r="Z106" s="64">
        <f>IF($J106="","",IF(SUMPRODUCT(($D$4:$D$863=$D106)*($J$4:$J$863=$J106)*($T$4:$T$863&lt;&gt;$T106)*($F$4:$F$863&lt;$G106)*($G$4:$G$863&gt;$F106)*(1-($X$4:$X$863="Oui")*($X106="Oui")))&gt;0,"⚠ CONFLIT",""))</f>
        <v/>
      </c>
      <c r="AA106" s="64">
        <f>IF(COUNTIFS($D$4:$D$863,$D106,$J$4:$J$863,$J106,$F$4:$F$863,$F106,$K$4:$K$863,$K106)&gt;1,"⚠ DOUBLON","")</f>
        <v/>
      </c>
      <c r="AB106" s="64">
        <f>IF(COUNTIF($T$4:$T$863,$T106)&lt;&gt;COUNTIFS($T$4:$T$863,$T106,$D$4:$D$863,$D106,$F$4:$F$863,$F106,$G$4:$G$863,$G106,$K$4:$K$863,$K106,$M$4:$M$863,$M106),"⚠ INCOHÉRENT","")</f>
        <v/>
      </c>
      <c r="AC106" s="64">
        <f>COUNTIFS($A$4:$A106,$A106,$J$4:$J106,$J106,$E$4:$E106,$E106)</f>
        <v/>
      </c>
      <c r="AD106" s="65">
        <f>$A106&amp;"|"&amp;$J106&amp;"|"&amp;$E106&amp;"|"&amp;$AC106</f>
        <v/>
      </c>
      <c r="AE106" s="66">
        <f>IF($W106&lt;&gt;"","⚑ "&amp;$W106&amp;CHAR(10),"")&amp;TEXT($F106,"hh:mm")&amp;"-"&amp;TEXT($G106,"hh:mm")&amp;IF(OR($P106="Quinzaine A",AND($P106="Hebdo · groupes alternés",$C106="A"))," Q-A",IF(OR($P106="Quinzaine B",AND($P106="Hebdo · groupes alternés",$C106="B"))," Q-B",IF($P106="Exception"," PONCT.","")))&amp;IF($X106="Oui"," OPT","")&amp;CHAR(10)&amp;$K106&amp;CHAR(10)&amp;$M106&amp;IF($N106&lt;&gt;"",CHAR(10)&amp;"Salle "&amp;$N106,"")&amp;IF($O106="En ligne",CHAR(10)&amp;"EN LIGNE","")&amp;IF($V106&lt;&gt;"",CHAR(10)&amp;$V106,"")</f>
        <v/>
      </c>
      <c r="AF106" s="65" t="inlineStr">
        <is>
          <t>15h30-17h Français (Marwa)</t>
        </is>
      </c>
      <c r="AG106" s="65" t="inlineStr">
        <is>
          <t>du 14-09 jusquà le 20-09!M23</t>
        </is>
      </c>
    </row>
    <row r="107" ht="15" customHeight="1">
      <c r="A107" s="68" t="inlineStr">
        <is>
          <t>S1</t>
        </is>
      </c>
      <c r="B107" s="69" t="inlineStr">
        <is>
          <t>du 14 au 20 septembre 2026</t>
        </is>
      </c>
      <c r="C107" s="68" t="inlineStr">
        <is>
          <t>A</t>
        </is>
      </c>
      <c r="D107" s="70" t="n">
        <v>46285</v>
      </c>
      <c r="E107" s="68" t="inlineStr">
        <is>
          <t>Dimanche</t>
        </is>
      </c>
      <c r="F107" s="71" t="n">
        <v>0.5625</v>
      </c>
      <c r="G107" s="71" t="n">
        <v>0.625</v>
      </c>
      <c r="H107" s="72">
        <f>IF(OR($F107="",$G107=""),"",($G107-$F107)*24)</f>
        <v/>
      </c>
      <c r="I107" s="68" t="inlineStr">
        <is>
          <t>Collège</t>
        </is>
      </c>
      <c r="J107" s="69" t="inlineStr">
        <is>
          <t>8éme (A)</t>
        </is>
      </c>
      <c r="K107" s="79" t="inlineStr">
        <is>
          <t>Math</t>
        </is>
      </c>
      <c r="L107" s="79" t="inlineStr">
        <is>
          <t>Math</t>
        </is>
      </c>
      <c r="M107" s="69" t="inlineStr">
        <is>
          <t>Hajer</t>
        </is>
      </c>
      <c r="N107" s="68" t="n"/>
      <c r="O107" s="68" t="n"/>
      <c r="P107" s="68" t="inlineStr">
        <is>
          <t>Hebdomadaire</t>
        </is>
      </c>
      <c r="Q107" s="69" t="inlineStr"/>
      <c r="R107" s="68" t="n">
        <v>1</v>
      </c>
      <c r="S107" s="68" t="inlineStr">
        <is>
          <t>Oui</t>
        </is>
      </c>
      <c r="T107" s="68" t="inlineStr">
        <is>
          <t>S1-081</t>
        </is>
      </c>
      <c r="U107" s="69" t="inlineStr">
        <is>
          <t>Original (septembre)</t>
        </is>
      </c>
      <c r="V107" s="69" t="inlineStr"/>
      <c r="W107" s="10" t="n"/>
      <c r="X107" s="10" t="inlineStr"/>
      <c r="Y107" s="64">
        <f>IF($M107="","",IF(SUMPRODUCT(($D$4:$D$863=$D107)*($M$4:$M$863=$M107)*($T$4:$T$863&lt;&gt;$T107)*($F$4:$F$863&lt;$G107)*($G$4:$G$863&gt;$F107))&gt;0,"⚠ CONFLIT",""))</f>
        <v/>
      </c>
      <c r="Z107" s="64">
        <f>IF($J107="","",IF(SUMPRODUCT(($D$4:$D$863=$D107)*($J$4:$J$863=$J107)*($T$4:$T$863&lt;&gt;$T107)*($F$4:$F$863&lt;$G107)*($G$4:$G$863&gt;$F107)*(1-($X$4:$X$863="Oui")*($X107="Oui")))&gt;0,"⚠ CONFLIT",""))</f>
        <v/>
      </c>
      <c r="AA107" s="64">
        <f>IF(COUNTIFS($D$4:$D$863,$D107,$J$4:$J$863,$J107,$F$4:$F$863,$F107,$K$4:$K$863,$K107)&gt;1,"⚠ DOUBLON","")</f>
        <v/>
      </c>
      <c r="AB107" s="64">
        <f>IF(COUNTIF($T$4:$T$863,$T107)&lt;&gt;COUNTIFS($T$4:$T$863,$T107,$D$4:$D$863,$D107,$F$4:$F$863,$F107,$G$4:$G$863,$G107,$K$4:$K$863,$K107,$M$4:$M$863,$M107),"⚠ INCOHÉRENT","")</f>
        <v/>
      </c>
      <c r="AC107" s="64">
        <f>COUNTIFS($A$4:$A107,$A107,$J$4:$J107,$J107,$E$4:$E107,$E107)</f>
        <v/>
      </c>
      <c r="AD107" s="65">
        <f>$A107&amp;"|"&amp;$J107&amp;"|"&amp;$E107&amp;"|"&amp;$AC107</f>
        <v/>
      </c>
      <c r="AE107" s="66">
        <f>IF($W107&lt;&gt;"","⚑ "&amp;$W107&amp;CHAR(10),"")&amp;TEXT($F107,"hh:mm")&amp;"-"&amp;TEXT($G107,"hh:mm")&amp;IF(OR($P107="Quinzaine A",AND($P107="Hebdo · groupes alternés",$C107="A"))," Q-A",IF(OR($P107="Quinzaine B",AND($P107="Hebdo · groupes alternés",$C107="B"))," Q-B",IF($P107="Exception"," PONCT.","")))&amp;IF($X107="Oui"," OPT","")&amp;CHAR(10)&amp;$K107&amp;CHAR(10)&amp;$M107&amp;IF($N107&lt;&gt;"",CHAR(10)&amp;"Salle "&amp;$N107,"")&amp;IF($O107="En ligne",CHAR(10)&amp;"EN LIGNE","")&amp;IF($V107&lt;&gt;"",CHAR(10)&amp;$V107,"")</f>
        <v/>
      </c>
      <c r="AF107" s="65" t="inlineStr">
        <is>
          <t>13h30-15h Math (Hajer)</t>
        </is>
      </c>
      <c r="AG107" s="65" t="inlineStr">
        <is>
          <t>du 14-09 jusquà le 20-09!M27</t>
        </is>
      </c>
    </row>
    <row r="108" ht="15" customHeight="1">
      <c r="A108" s="68" t="inlineStr">
        <is>
          <t>S1</t>
        </is>
      </c>
      <c r="B108" s="69" t="inlineStr">
        <is>
          <t>du 14 au 20 septembre 2026</t>
        </is>
      </c>
      <c r="C108" s="68" t="inlineStr">
        <is>
          <t>A</t>
        </is>
      </c>
      <c r="D108" s="70" t="n">
        <v>46285</v>
      </c>
      <c r="E108" s="68" t="inlineStr">
        <is>
          <t>Dimanche</t>
        </is>
      </c>
      <c r="F108" s="71" t="n">
        <v>0.7083333333333334</v>
      </c>
      <c r="G108" s="71" t="n">
        <v>0.7708333333333334</v>
      </c>
      <c r="H108" s="72">
        <f>IF(OR($F108="",$G108=""),"",($G108-$F108)*24)</f>
        <v/>
      </c>
      <c r="I108" s="68" t="inlineStr">
        <is>
          <t>Collège</t>
        </is>
      </c>
      <c r="J108" s="69" t="inlineStr">
        <is>
          <t>8éme (B)</t>
        </is>
      </c>
      <c r="K108" s="67" t="inlineStr">
        <is>
          <t>Français</t>
        </is>
      </c>
      <c r="L108" s="67" t="inlineStr">
        <is>
          <t>Français</t>
        </is>
      </c>
      <c r="M108" s="69" t="inlineStr">
        <is>
          <t>Marwa</t>
        </is>
      </c>
      <c r="N108" s="68" t="n"/>
      <c r="O108" s="68" t="n"/>
      <c r="P108" s="68" t="inlineStr">
        <is>
          <t>Hebdomadaire</t>
        </is>
      </c>
      <c r="Q108" s="69" t="inlineStr"/>
      <c r="R108" s="68" t="n">
        <v>1</v>
      </c>
      <c r="S108" s="68" t="inlineStr">
        <is>
          <t>Oui</t>
        </is>
      </c>
      <c r="T108" s="68" t="inlineStr">
        <is>
          <t>S1-082</t>
        </is>
      </c>
      <c r="U108" s="69" t="inlineStr">
        <is>
          <t>Original (septembre)</t>
        </is>
      </c>
      <c r="V108" s="69" t="inlineStr"/>
      <c r="W108" s="10" t="n"/>
      <c r="X108" s="10" t="inlineStr"/>
      <c r="Y108" s="64">
        <f>IF($M108="","",IF(SUMPRODUCT(($D$4:$D$863=$D108)*($M$4:$M$863=$M108)*($T$4:$T$863&lt;&gt;$T108)*($F$4:$F$863&lt;$G108)*($G$4:$G$863&gt;$F108))&gt;0,"⚠ CONFLIT",""))</f>
        <v/>
      </c>
      <c r="Z108" s="64">
        <f>IF($J108="","",IF(SUMPRODUCT(($D$4:$D$863=$D108)*($J$4:$J$863=$J108)*($T$4:$T$863&lt;&gt;$T108)*($F$4:$F$863&lt;$G108)*($G$4:$G$863&gt;$F108)*(1-($X$4:$X$863="Oui")*($X108="Oui")))&gt;0,"⚠ CONFLIT",""))</f>
        <v/>
      </c>
      <c r="AA108" s="64">
        <f>IF(COUNTIFS($D$4:$D$863,$D108,$J$4:$J$863,$J108,$F$4:$F$863,$F108,$K$4:$K$863,$K108)&gt;1,"⚠ DOUBLON","")</f>
        <v/>
      </c>
      <c r="AB108" s="64">
        <f>IF(COUNTIF($T$4:$T$863,$T108)&lt;&gt;COUNTIFS($T$4:$T$863,$T108,$D$4:$D$863,$D108,$F$4:$F$863,$F108,$G$4:$G$863,$G108,$K$4:$K$863,$K108,$M$4:$M$863,$M108),"⚠ INCOHÉRENT","")</f>
        <v/>
      </c>
      <c r="AC108" s="64">
        <f>COUNTIFS($A$4:$A108,$A108,$J$4:$J108,$J108,$E$4:$E108,$E108)</f>
        <v/>
      </c>
      <c r="AD108" s="65">
        <f>$A108&amp;"|"&amp;$J108&amp;"|"&amp;$E108&amp;"|"&amp;$AC108</f>
        <v/>
      </c>
      <c r="AE108" s="66">
        <f>IF($W108&lt;&gt;"","⚑ "&amp;$W108&amp;CHAR(10),"")&amp;TEXT($F108,"hh:mm")&amp;"-"&amp;TEXT($G108,"hh:mm")&amp;IF(OR($P108="Quinzaine A",AND($P108="Hebdo · groupes alternés",$C108="A"))," Q-A",IF(OR($P108="Quinzaine B",AND($P108="Hebdo · groupes alternés",$C108="B"))," Q-B",IF($P108="Exception"," PONCT.","")))&amp;IF($X108="Oui"," OPT","")&amp;CHAR(10)&amp;$K108&amp;CHAR(10)&amp;$M108&amp;IF($N108&lt;&gt;"",CHAR(10)&amp;"Salle "&amp;$N108,"")&amp;IF($O108="En ligne",CHAR(10)&amp;"EN LIGNE","")&amp;IF($V108&lt;&gt;"",CHAR(10)&amp;$V108,"")</f>
        <v/>
      </c>
      <c r="AF108" s="65" t="inlineStr">
        <is>
          <t>17h-18h30 Français (Marwa)</t>
        </is>
      </c>
      <c r="AG108" s="65" t="inlineStr">
        <is>
          <t>du 14-09 jusquà le 20-09!M31</t>
        </is>
      </c>
    </row>
    <row r="109" ht="15" customHeight="1">
      <c r="A109" s="68" t="inlineStr">
        <is>
          <t>S1</t>
        </is>
      </c>
      <c r="B109" s="69" t="inlineStr">
        <is>
          <t>du 14 au 20 septembre 2026</t>
        </is>
      </c>
      <c r="C109" s="68" t="inlineStr">
        <is>
          <t>A</t>
        </is>
      </c>
      <c r="D109" s="70" t="n">
        <v>46285</v>
      </c>
      <c r="E109" s="68" t="inlineStr">
        <is>
          <t>Dimanche</t>
        </is>
      </c>
      <c r="F109" s="71" t="n">
        <v>0.4375</v>
      </c>
      <c r="G109" s="71" t="n">
        <v>0.5</v>
      </c>
      <c r="H109" s="72">
        <f>IF(OR($F109="",$G109=""),"",($G109-$F109)*24)</f>
        <v/>
      </c>
      <c r="I109" s="68" t="inlineStr">
        <is>
          <t>Collège</t>
        </is>
      </c>
      <c r="J109" s="69" t="inlineStr">
        <is>
          <t>9éme (A)</t>
        </is>
      </c>
      <c r="K109" s="87" t="inlineStr">
        <is>
          <t>Anglais</t>
        </is>
      </c>
      <c r="L109" s="87" t="inlineStr">
        <is>
          <t>Anglais</t>
        </is>
      </c>
      <c r="M109" s="69" t="inlineStr">
        <is>
          <t>Bassma</t>
        </is>
      </c>
      <c r="N109" s="68" t="n"/>
      <c r="O109" s="68" t="n"/>
      <c r="P109" s="68" t="inlineStr">
        <is>
          <t>Hebdomadaire</t>
        </is>
      </c>
      <c r="Q109" s="69" t="inlineStr"/>
      <c r="R109" s="68" t="n">
        <v>1</v>
      </c>
      <c r="S109" s="68" t="inlineStr">
        <is>
          <t>Oui</t>
        </is>
      </c>
      <c r="T109" s="68" t="inlineStr">
        <is>
          <t>S1-083</t>
        </is>
      </c>
      <c r="U109" s="69" t="inlineStr">
        <is>
          <t>Original (septembre)</t>
        </is>
      </c>
      <c r="V109" s="69" t="inlineStr"/>
      <c r="W109" s="10" t="n"/>
      <c r="X109" s="10" t="inlineStr"/>
      <c r="Y109" s="64">
        <f>IF($M109="","",IF(SUMPRODUCT(($D$4:$D$863=$D109)*($M$4:$M$863=$M109)*($T$4:$T$863&lt;&gt;$T109)*($F$4:$F$863&lt;$G109)*($G$4:$G$863&gt;$F109))&gt;0,"⚠ CONFLIT",""))</f>
        <v/>
      </c>
      <c r="Z109" s="64">
        <f>IF($J109="","",IF(SUMPRODUCT(($D$4:$D$863=$D109)*($J$4:$J$863=$J109)*($T$4:$T$863&lt;&gt;$T109)*($F$4:$F$863&lt;$G109)*($G$4:$G$863&gt;$F109)*(1-($X$4:$X$863="Oui")*($X109="Oui")))&gt;0,"⚠ CONFLIT",""))</f>
        <v/>
      </c>
      <c r="AA109" s="64">
        <f>IF(COUNTIFS($D$4:$D$863,$D109,$J$4:$J$863,$J109,$F$4:$F$863,$F109,$K$4:$K$863,$K109)&gt;1,"⚠ DOUBLON","")</f>
        <v/>
      </c>
      <c r="AB109" s="64">
        <f>IF(COUNTIF($T$4:$T$863,$T109)&lt;&gt;COUNTIFS($T$4:$T$863,$T109,$D$4:$D$863,$D109,$F$4:$F$863,$F109,$G$4:$G$863,$G109,$K$4:$K$863,$K109,$M$4:$M$863,$M109),"⚠ INCOHÉRENT","")</f>
        <v/>
      </c>
      <c r="AC109" s="64">
        <f>COUNTIFS($A$4:$A109,$A109,$J$4:$J109,$J109,$E$4:$E109,$E109)</f>
        <v/>
      </c>
      <c r="AD109" s="65">
        <f>$A109&amp;"|"&amp;$J109&amp;"|"&amp;$E109&amp;"|"&amp;$AC109</f>
        <v/>
      </c>
      <c r="AE109" s="66">
        <f>IF($W109&lt;&gt;"","⚑ "&amp;$W109&amp;CHAR(10),"")&amp;TEXT($F109,"hh:mm")&amp;"-"&amp;TEXT($G109,"hh:mm")&amp;IF(OR($P109="Quinzaine A",AND($P109="Hebdo · groupes alternés",$C109="A"))," Q-A",IF(OR($P109="Quinzaine B",AND($P109="Hebdo · groupes alternés",$C109="B"))," Q-B",IF($P109="Exception"," PONCT.","")))&amp;IF($X109="Oui"," OPT","")&amp;CHAR(10)&amp;$K109&amp;CHAR(10)&amp;$M109&amp;IF($N109&lt;&gt;"",CHAR(10)&amp;"Salle "&amp;$N109,"")&amp;IF($O109="En ligne",CHAR(10)&amp;"EN LIGNE","")&amp;IF($V109&lt;&gt;"",CHAR(10)&amp;$V109,"")</f>
        <v/>
      </c>
      <c r="AF109" s="65" t="inlineStr">
        <is>
          <t>10h30-12h Anglais (Bassma)</t>
        </is>
      </c>
      <c r="AG109" s="65" t="inlineStr">
        <is>
          <t>du 14-09 jusquà le 20-09!M36</t>
        </is>
      </c>
    </row>
    <row r="110" ht="15" customHeight="1">
      <c r="A110" s="68" t="inlineStr">
        <is>
          <t>S1</t>
        </is>
      </c>
      <c r="B110" s="69" t="inlineStr">
        <is>
          <t>du 14 au 20 septembre 2026</t>
        </is>
      </c>
      <c r="C110" s="68" t="inlineStr">
        <is>
          <t>A</t>
        </is>
      </c>
      <c r="D110" s="70" t="n">
        <v>46285</v>
      </c>
      <c r="E110" s="68" t="inlineStr">
        <is>
          <t>Dimanche</t>
        </is>
      </c>
      <c r="F110" s="71" t="n">
        <v>0.6458333333333334</v>
      </c>
      <c r="G110" s="71" t="n">
        <v>0.7083333333333334</v>
      </c>
      <c r="H110" s="72">
        <f>IF(OR($F110="",$G110=""),"",($G110-$F110)*24)</f>
        <v/>
      </c>
      <c r="I110" s="68" t="inlineStr">
        <is>
          <t>Collège</t>
        </is>
      </c>
      <c r="J110" s="69" t="inlineStr">
        <is>
          <t>9éme (A)</t>
        </is>
      </c>
      <c r="K110" s="67" t="inlineStr">
        <is>
          <t>Français</t>
        </is>
      </c>
      <c r="L110" s="67" t="inlineStr">
        <is>
          <t>Français</t>
        </is>
      </c>
      <c r="M110" s="69" t="inlineStr">
        <is>
          <t>Nassima</t>
        </is>
      </c>
      <c r="N110" s="68" t="n"/>
      <c r="O110" s="68" t="n"/>
      <c r="P110" s="68" t="inlineStr">
        <is>
          <t>Hebdomadaire</t>
        </is>
      </c>
      <c r="Q110" s="69" t="inlineStr"/>
      <c r="R110" s="68" t="n">
        <v>1</v>
      </c>
      <c r="S110" s="68" t="inlineStr">
        <is>
          <t>Oui</t>
        </is>
      </c>
      <c r="T110" s="68" t="inlineStr">
        <is>
          <t>S1-084</t>
        </is>
      </c>
      <c r="U110" s="69" t="inlineStr">
        <is>
          <t>Original (septembre)</t>
        </is>
      </c>
      <c r="V110" s="69" t="inlineStr"/>
      <c r="W110" s="10" t="n"/>
      <c r="X110" s="10" t="inlineStr"/>
      <c r="Y110" s="64">
        <f>IF($M110="","",IF(SUMPRODUCT(($D$4:$D$863=$D110)*($M$4:$M$863=$M110)*($T$4:$T$863&lt;&gt;$T110)*($F$4:$F$863&lt;$G110)*($G$4:$G$863&gt;$F110))&gt;0,"⚠ CONFLIT",""))</f>
        <v/>
      </c>
      <c r="Z110" s="64">
        <f>IF($J110="","",IF(SUMPRODUCT(($D$4:$D$863=$D110)*($J$4:$J$863=$J110)*($T$4:$T$863&lt;&gt;$T110)*($F$4:$F$863&lt;$G110)*($G$4:$G$863&gt;$F110)*(1-($X$4:$X$863="Oui")*($X110="Oui")))&gt;0,"⚠ CONFLIT",""))</f>
        <v/>
      </c>
      <c r="AA110" s="64">
        <f>IF(COUNTIFS($D$4:$D$863,$D110,$J$4:$J$863,$J110,$F$4:$F$863,$F110,$K$4:$K$863,$K110)&gt;1,"⚠ DOUBLON","")</f>
        <v/>
      </c>
      <c r="AB110" s="64">
        <f>IF(COUNTIF($T$4:$T$863,$T110)&lt;&gt;COUNTIFS($T$4:$T$863,$T110,$D$4:$D$863,$D110,$F$4:$F$863,$F110,$G$4:$G$863,$G110,$K$4:$K$863,$K110,$M$4:$M$863,$M110),"⚠ INCOHÉRENT","")</f>
        <v/>
      </c>
      <c r="AC110" s="64">
        <f>COUNTIFS($A$4:$A110,$A110,$J$4:$J110,$J110,$E$4:$E110,$E110)</f>
        <v/>
      </c>
      <c r="AD110" s="65">
        <f>$A110&amp;"|"&amp;$J110&amp;"|"&amp;$E110&amp;"|"&amp;$AC110</f>
        <v/>
      </c>
      <c r="AE110" s="66">
        <f>IF($W110&lt;&gt;"","⚑ "&amp;$W110&amp;CHAR(10),"")&amp;TEXT($F110,"hh:mm")&amp;"-"&amp;TEXT($G110,"hh:mm")&amp;IF(OR($P110="Quinzaine A",AND($P110="Hebdo · groupes alternés",$C110="A"))," Q-A",IF(OR($P110="Quinzaine B",AND($P110="Hebdo · groupes alternés",$C110="B"))," Q-B",IF($P110="Exception"," PONCT.","")))&amp;IF($X110="Oui"," OPT","")&amp;CHAR(10)&amp;$K110&amp;CHAR(10)&amp;$M110&amp;IF($N110&lt;&gt;"",CHAR(10)&amp;"Salle "&amp;$N110,"")&amp;IF($O110="En ligne",CHAR(10)&amp;"EN LIGNE","")&amp;IF($V110&lt;&gt;"",CHAR(10)&amp;$V110,"")</f>
        <v/>
      </c>
      <c r="AF110" s="65" t="inlineStr">
        <is>
          <t>15h30-17h Français (Nassima)</t>
        </is>
      </c>
      <c r="AG110" s="65" t="inlineStr">
        <is>
          <t>du 14-09 jusquà le 20-09!M39</t>
        </is>
      </c>
    </row>
    <row r="111" ht="15" customHeight="1">
      <c r="A111" s="68" t="inlineStr">
        <is>
          <t>S1</t>
        </is>
      </c>
      <c r="B111" s="69" t="inlineStr">
        <is>
          <t>du 14 au 20 septembre 2026</t>
        </is>
      </c>
      <c r="C111" s="68" t="inlineStr">
        <is>
          <t>A</t>
        </is>
      </c>
      <c r="D111" s="70" t="n">
        <v>46285</v>
      </c>
      <c r="E111" s="68" t="inlineStr">
        <is>
          <t>Dimanche</t>
        </is>
      </c>
      <c r="F111" s="71" t="n">
        <v>0.375</v>
      </c>
      <c r="G111" s="71" t="n">
        <v>0.4375</v>
      </c>
      <c r="H111" s="72">
        <f>IF(OR($F111="",$G111=""),"",($G111-$F111)*24)</f>
        <v/>
      </c>
      <c r="I111" s="68" t="inlineStr">
        <is>
          <t>Collège</t>
        </is>
      </c>
      <c r="J111" s="69" t="inlineStr">
        <is>
          <t>9éme (B)</t>
        </is>
      </c>
      <c r="K111" s="87" t="inlineStr">
        <is>
          <t>Anglais</t>
        </is>
      </c>
      <c r="L111" s="87" t="inlineStr">
        <is>
          <t>Anglais</t>
        </is>
      </c>
      <c r="M111" s="69" t="inlineStr">
        <is>
          <t>Bassma</t>
        </is>
      </c>
      <c r="N111" s="68" t="n"/>
      <c r="O111" s="68" t="n"/>
      <c r="P111" s="68" t="inlineStr">
        <is>
          <t>Hebdomadaire</t>
        </is>
      </c>
      <c r="Q111" s="69" t="inlineStr"/>
      <c r="R111" s="68" t="n">
        <v>1</v>
      </c>
      <c r="S111" s="68" t="inlineStr">
        <is>
          <t>Oui</t>
        </is>
      </c>
      <c r="T111" s="68" t="inlineStr">
        <is>
          <t>S1-085</t>
        </is>
      </c>
      <c r="U111" s="69" t="inlineStr">
        <is>
          <t>Original (septembre)</t>
        </is>
      </c>
      <c r="V111" s="69" t="inlineStr"/>
      <c r="W111" s="10" t="n"/>
      <c r="X111" s="10" t="inlineStr"/>
      <c r="Y111" s="64">
        <f>IF($M111="","",IF(SUMPRODUCT(($D$4:$D$863=$D111)*($M$4:$M$863=$M111)*($T$4:$T$863&lt;&gt;$T111)*($F$4:$F$863&lt;$G111)*($G$4:$G$863&gt;$F111))&gt;0,"⚠ CONFLIT",""))</f>
        <v/>
      </c>
      <c r="Z111" s="64">
        <f>IF($J111="","",IF(SUMPRODUCT(($D$4:$D$863=$D111)*($J$4:$J$863=$J111)*($T$4:$T$863&lt;&gt;$T111)*($F$4:$F$863&lt;$G111)*($G$4:$G$863&gt;$F111)*(1-($X$4:$X$863="Oui")*($X111="Oui")))&gt;0,"⚠ CONFLIT",""))</f>
        <v/>
      </c>
      <c r="AA111" s="64">
        <f>IF(COUNTIFS($D$4:$D$863,$D111,$J$4:$J$863,$J111,$F$4:$F$863,$F111,$K$4:$K$863,$K111)&gt;1,"⚠ DOUBLON","")</f>
        <v/>
      </c>
      <c r="AB111" s="64">
        <f>IF(COUNTIF($T$4:$T$863,$T111)&lt;&gt;COUNTIFS($T$4:$T$863,$T111,$D$4:$D$863,$D111,$F$4:$F$863,$F111,$G$4:$G$863,$G111,$K$4:$K$863,$K111,$M$4:$M$863,$M111),"⚠ INCOHÉRENT","")</f>
        <v/>
      </c>
      <c r="AC111" s="64">
        <f>COUNTIFS($A$4:$A111,$A111,$J$4:$J111,$J111,$E$4:$E111,$E111)</f>
        <v/>
      </c>
      <c r="AD111" s="65">
        <f>$A111&amp;"|"&amp;$J111&amp;"|"&amp;$E111&amp;"|"&amp;$AC111</f>
        <v/>
      </c>
      <c r="AE111" s="66">
        <f>IF($W111&lt;&gt;"","⚑ "&amp;$W111&amp;CHAR(10),"")&amp;TEXT($F111,"hh:mm")&amp;"-"&amp;TEXT($G111,"hh:mm")&amp;IF(OR($P111="Quinzaine A",AND($P111="Hebdo · groupes alternés",$C111="A"))," Q-A",IF(OR($P111="Quinzaine B",AND($P111="Hebdo · groupes alternés",$C111="B"))," Q-B",IF($P111="Exception"," PONCT.","")))&amp;IF($X111="Oui"," OPT","")&amp;CHAR(10)&amp;$K111&amp;CHAR(10)&amp;$M111&amp;IF($N111&lt;&gt;"",CHAR(10)&amp;"Salle "&amp;$N111,"")&amp;IF($O111="En ligne",CHAR(10)&amp;"EN LIGNE","")&amp;IF($V111&lt;&gt;"",CHAR(10)&amp;$V111,"")</f>
        <v/>
      </c>
      <c r="AF111" s="65" t="inlineStr">
        <is>
          <t>9h-10h30 Anglais (Bassma)</t>
        </is>
      </c>
      <c r="AG111" s="65" t="inlineStr">
        <is>
          <t>du 14-09 jusquà le 20-09!M43</t>
        </is>
      </c>
    </row>
    <row r="112" ht="15" customHeight="1">
      <c r="A112" s="68" t="inlineStr">
        <is>
          <t>S1</t>
        </is>
      </c>
      <c r="B112" s="69" t="inlineStr">
        <is>
          <t>du 14 au 20 septembre 2026</t>
        </is>
      </c>
      <c r="C112" s="68" t="inlineStr">
        <is>
          <t>A</t>
        </is>
      </c>
      <c r="D112" s="70" t="n">
        <v>46285</v>
      </c>
      <c r="E112" s="68" t="inlineStr">
        <is>
          <t>Dimanche</t>
        </is>
      </c>
      <c r="F112" s="71" t="n">
        <v>0.7083333333333334</v>
      </c>
      <c r="G112" s="71" t="n">
        <v>0.7708333333333334</v>
      </c>
      <c r="H112" s="72">
        <f>IF(OR($F112="",$G112=""),"",($G112-$F112)*24)</f>
        <v/>
      </c>
      <c r="I112" s="68" t="inlineStr">
        <is>
          <t>Collège</t>
        </is>
      </c>
      <c r="J112" s="69" t="inlineStr">
        <is>
          <t>9éme (B)</t>
        </is>
      </c>
      <c r="K112" s="67" t="inlineStr">
        <is>
          <t>Français</t>
        </is>
      </c>
      <c r="L112" s="67" t="inlineStr">
        <is>
          <t>Français</t>
        </is>
      </c>
      <c r="M112" s="69" t="inlineStr">
        <is>
          <t>Nassima</t>
        </is>
      </c>
      <c r="N112" s="68" t="n"/>
      <c r="O112" s="68" t="n"/>
      <c r="P112" s="68" t="inlineStr">
        <is>
          <t>Hebdomadaire</t>
        </is>
      </c>
      <c r="Q112" s="69" t="inlineStr">
        <is>
          <t>9éme (B) + 9éme (C)</t>
        </is>
      </c>
      <c r="R112" s="68" t="n">
        <v>2</v>
      </c>
      <c r="S112" s="68" t="inlineStr">
        <is>
          <t>Oui</t>
        </is>
      </c>
      <c r="T112" s="68" t="inlineStr">
        <is>
          <t>S1-086</t>
        </is>
      </c>
      <c r="U112" s="69" t="inlineStr">
        <is>
          <t>Original (septembre)</t>
        </is>
      </c>
      <c r="V112" s="69" t="inlineStr"/>
      <c r="W112" s="10" t="n"/>
      <c r="X112" s="10" t="inlineStr"/>
      <c r="Y112" s="64">
        <f>IF($M112="","",IF(SUMPRODUCT(($D$4:$D$863=$D112)*($M$4:$M$863=$M112)*($T$4:$T$863&lt;&gt;$T112)*($F$4:$F$863&lt;$G112)*($G$4:$G$863&gt;$F112))&gt;0,"⚠ CONFLIT",""))</f>
        <v/>
      </c>
      <c r="Z112" s="64">
        <f>IF($J112="","",IF(SUMPRODUCT(($D$4:$D$863=$D112)*($J$4:$J$863=$J112)*($T$4:$T$863&lt;&gt;$T112)*($F$4:$F$863&lt;$G112)*($G$4:$G$863&gt;$F112)*(1-($X$4:$X$863="Oui")*($X112="Oui")))&gt;0,"⚠ CONFLIT",""))</f>
        <v/>
      </c>
      <c r="AA112" s="64">
        <f>IF(COUNTIFS($D$4:$D$863,$D112,$J$4:$J$863,$J112,$F$4:$F$863,$F112,$K$4:$K$863,$K112)&gt;1,"⚠ DOUBLON","")</f>
        <v/>
      </c>
      <c r="AB112" s="64">
        <f>IF(COUNTIF($T$4:$T$863,$T112)&lt;&gt;COUNTIFS($T$4:$T$863,$T112,$D$4:$D$863,$D112,$F$4:$F$863,$F112,$G$4:$G$863,$G112,$K$4:$K$863,$K112,$M$4:$M$863,$M112),"⚠ INCOHÉRENT","")</f>
        <v/>
      </c>
      <c r="AC112" s="64">
        <f>COUNTIFS($A$4:$A112,$A112,$J$4:$J112,$J112,$E$4:$E112,$E112)</f>
        <v/>
      </c>
      <c r="AD112" s="65">
        <f>$A112&amp;"|"&amp;$J112&amp;"|"&amp;$E112&amp;"|"&amp;$AC112</f>
        <v/>
      </c>
      <c r="AE112" s="66">
        <f>IF($W112&lt;&gt;"","⚑ "&amp;$W112&amp;CHAR(10),"")&amp;TEXT($F112,"hh:mm")&amp;"-"&amp;TEXT($G112,"hh:mm")&amp;IF(OR($P112="Quinzaine A",AND($P112="Hebdo · groupes alternés",$C112="A"))," Q-A",IF(OR($P112="Quinzaine B",AND($P112="Hebdo · groupes alternés",$C112="B"))," Q-B",IF($P112="Exception"," PONCT.","")))&amp;IF($X112="Oui"," OPT","")&amp;CHAR(10)&amp;$K112&amp;CHAR(10)&amp;$M112&amp;IF($N112&lt;&gt;"",CHAR(10)&amp;"Salle "&amp;$N112,"")&amp;IF($O112="En ligne",CHAR(10)&amp;"EN LIGNE","")&amp;IF($V112&lt;&gt;"",CHAR(10)&amp;$V112,"")</f>
        <v/>
      </c>
      <c r="AF112" s="65" t="inlineStr">
        <is>
          <t>17h-18h30 Français (Nassima)</t>
        </is>
      </c>
      <c r="AG112" s="65" t="inlineStr">
        <is>
          <t>du 14-09 jusquà le 20-09!M45</t>
        </is>
      </c>
    </row>
    <row r="113" ht="15" customHeight="1">
      <c r="A113" s="68" t="inlineStr">
        <is>
          <t>S1</t>
        </is>
      </c>
      <c r="B113" s="69" t="inlineStr">
        <is>
          <t>du 14 au 20 septembre 2026</t>
        </is>
      </c>
      <c r="C113" s="68" t="inlineStr">
        <is>
          <t>A</t>
        </is>
      </c>
      <c r="D113" s="70" t="n">
        <v>46285</v>
      </c>
      <c r="E113" s="68" t="inlineStr">
        <is>
          <t>Dimanche</t>
        </is>
      </c>
      <c r="F113" s="71" t="n">
        <v>0.7083333333333334</v>
      </c>
      <c r="G113" s="71" t="n">
        <v>0.7708333333333334</v>
      </c>
      <c r="H113" s="72">
        <f>IF(OR($F113="",$G113=""),"",($G113-$F113)*24)</f>
        <v/>
      </c>
      <c r="I113" s="68" t="inlineStr">
        <is>
          <t>Collège</t>
        </is>
      </c>
      <c r="J113" s="69" t="inlineStr">
        <is>
          <t>9éme (C)</t>
        </is>
      </c>
      <c r="K113" s="67" t="inlineStr">
        <is>
          <t>Français</t>
        </is>
      </c>
      <c r="L113" s="67" t="inlineStr">
        <is>
          <t>Français</t>
        </is>
      </c>
      <c r="M113" s="69" t="inlineStr">
        <is>
          <t>Nassima</t>
        </is>
      </c>
      <c r="N113" s="68" t="n"/>
      <c r="O113" s="68" t="n"/>
      <c r="P113" s="68" t="inlineStr">
        <is>
          <t>Hebdomadaire</t>
        </is>
      </c>
      <c r="Q113" s="69" t="inlineStr">
        <is>
          <t>9éme (B) + 9éme (C)</t>
        </is>
      </c>
      <c r="R113" s="68" t="n">
        <v>2</v>
      </c>
      <c r="S113" s="68" t="inlineStr"/>
      <c r="T113" s="68" t="inlineStr">
        <is>
          <t>S1-086</t>
        </is>
      </c>
      <c r="U113" s="69" t="inlineStr">
        <is>
          <t>Original (septembre)</t>
        </is>
      </c>
      <c r="V113" s="69" t="inlineStr"/>
      <c r="W113" s="10" t="n"/>
      <c r="X113" s="10" t="inlineStr"/>
      <c r="Y113" s="64">
        <f>IF($M113="","",IF(SUMPRODUCT(($D$4:$D$863=$D113)*($M$4:$M$863=$M113)*($T$4:$T$863&lt;&gt;$T113)*($F$4:$F$863&lt;$G113)*($G$4:$G$863&gt;$F113))&gt;0,"⚠ CONFLIT",""))</f>
        <v/>
      </c>
      <c r="Z113" s="64">
        <f>IF($J113="","",IF(SUMPRODUCT(($D$4:$D$863=$D113)*($J$4:$J$863=$J113)*($T$4:$T$863&lt;&gt;$T113)*($F$4:$F$863&lt;$G113)*($G$4:$G$863&gt;$F113)*(1-($X$4:$X$863="Oui")*($X113="Oui")))&gt;0,"⚠ CONFLIT",""))</f>
        <v/>
      </c>
      <c r="AA113" s="64">
        <f>IF(COUNTIFS($D$4:$D$863,$D113,$J$4:$J$863,$J113,$F$4:$F$863,$F113,$K$4:$K$863,$K113)&gt;1,"⚠ DOUBLON","")</f>
        <v/>
      </c>
      <c r="AB113" s="64">
        <f>IF(COUNTIF($T$4:$T$863,$T113)&lt;&gt;COUNTIFS($T$4:$T$863,$T113,$D$4:$D$863,$D113,$F$4:$F$863,$F113,$G$4:$G$863,$G113,$K$4:$K$863,$K113,$M$4:$M$863,$M113),"⚠ INCOHÉRENT","")</f>
        <v/>
      </c>
      <c r="AC113" s="64">
        <f>COUNTIFS($A$4:$A113,$A113,$J$4:$J113,$J113,$E$4:$E113,$E113)</f>
        <v/>
      </c>
      <c r="AD113" s="65">
        <f>$A113&amp;"|"&amp;$J113&amp;"|"&amp;$E113&amp;"|"&amp;$AC113</f>
        <v/>
      </c>
      <c r="AE113" s="66">
        <f>IF($W113&lt;&gt;"","⚑ "&amp;$W113&amp;CHAR(10),"")&amp;TEXT($F113,"hh:mm")&amp;"-"&amp;TEXT($G113,"hh:mm")&amp;IF(OR($P113="Quinzaine A",AND($P113="Hebdo · groupes alternés",$C113="A"))," Q-A",IF(OR($P113="Quinzaine B",AND($P113="Hebdo · groupes alternés",$C113="B"))," Q-B",IF($P113="Exception"," PONCT.","")))&amp;IF($X113="Oui"," OPT","")&amp;CHAR(10)&amp;$K113&amp;CHAR(10)&amp;$M113&amp;IF($N113&lt;&gt;"",CHAR(10)&amp;"Salle "&amp;$N113,"")&amp;IF($O113="En ligne",CHAR(10)&amp;"EN LIGNE","")&amp;IF($V113&lt;&gt;"",CHAR(10)&amp;$V113,"")</f>
        <v/>
      </c>
      <c r="AF113" s="65" t="inlineStr">
        <is>
          <t>17h-18h30 Français (Nassima)</t>
        </is>
      </c>
      <c r="AG113" s="65" t="inlineStr">
        <is>
          <t>du 14-09 jusquà le 20-09!M45</t>
        </is>
      </c>
    </row>
    <row r="114" ht="15" customHeight="1">
      <c r="A114" s="74" t="inlineStr">
        <is>
          <t>S1</t>
        </is>
      </c>
      <c r="B114" s="75" t="inlineStr">
        <is>
          <t>du 14 au 20 septembre 2026</t>
        </is>
      </c>
      <c r="C114" s="74" t="inlineStr">
        <is>
          <t>A</t>
        </is>
      </c>
      <c r="D114" s="76" t="n">
        <v>46285</v>
      </c>
      <c r="E114" s="74" t="inlineStr">
        <is>
          <t>Dimanche</t>
        </is>
      </c>
      <c r="F114" s="77" t="n">
        <v>0.375</v>
      </c>
      <c r="G114" s="77" t="n">
        <v>0.4375</v>
      </c>
      <c r="H114" s="78">
        <f>IF(OR($F114="",$G114=""),"",($G114-$F114)*24)</f>
        <v/>
      </c>
      <c r="I114" s="74" t="inlineStr">
        <is>
          <t>Secondaire</t>
        </is>
      </c>
      <c r="J114" s="75" t="inlineStr">
        <is>
          <t>1ére (A)</t>
        </is>
      </c>
      <c r="K114" s="73" t="inlineStr">
        <is>
          <t>Physique</t>
        </is>
      </c>
      <c r="L114" s="73" t="inlineStr">
        <is>
          <t>Physique</t>
        </is>
      </c>
      <c r="M114" s="75" t="inlineStr">
        <is>
          <t>Refka</t>
        </is>
      </c>
      <c r="N114" s="74" t="n"/>
      <c r="O114" s="74" t="n"/>
      <c r="P114" s="74" t="inlineStr">
        <is>
          <t>Hebdomadaire</t>
        </is>
      </c>
      <c r="Q114" s="75" t="inlineStr"/>
      <c r="R114" s="74" t="n">
        <v>1</v>
      </c>
      <c r="S114" s="74" t="inlineStr">
        <is>
          <t>Oui</t>
        </is>
      </c>
      <c r="T114" s="74" t="inlineStr">
        <is>
          <t>S1-087</t>
        </is>
      </c>
      <c r="U114" s="75" t="inlineStr">
        <is>
          <t>Original (septembre)</t>
        </is>
      </c>
      <c r="V114" s="75" t="inlineStr"/>
      <c r="W114" s="10" t="n"/>
      <c r="X114" s="10" t="inlineStr"/>
      <c r="Y114" s="64">
        <f>IF($M114="","",IF(SUMPRODUCT(($D$4:$D$863=$D114)*($M$4:$M$863=$M114)*($T$4:$T$863&lt;&gt;$T114)*($F$4:$F$863&lt;$G114)*($G$4:$G$863&gt;$F114))&gt;0,"⚠ CONFLIT",""))</f>
        <v/>
      </c>
      <c r="Z114" s="64">
        <f>IF($J114="","",IF(SUMPRODUCT(($D$4:$D$863=$D114)*($J$4:$J$863=$J114)*($T$4:$T$863&lt;&gt;$T114)*($F$4:$F$863&lt;$G114)*($G$4:$G$863&gt;$F114)*(1-($X$4:$X$863="Oui")*($X114="Oui")))&gt;0,"⚠ CONFLIT",""))</f>
        <v/>
      </c>
      <c r="AA114" s="64">
        <f>IF(COUNTIFS($D$4:$D$863,$D114,$J$4:$J$863,$J114,$F$4:$F$863,$F114,$K$4:$K$863,$K114)&gt;1,"⚠ DOUBLON","")</f>
        <v/>
      </c>
      <c r="AB114" s="64">
        <f>IF(COUNTIF($T$4:$T$863,$T114)&lt;&gt;COUNTIFS($T$4:$T$863,$T114,$D$4:$D$863,$D114,$F$4:$F$863,$F114,$G$4:$G$863,$G114,$K$4:$K$863,$K114,$M$4:$M$863,$M114),"⚠ INCOHÉRENT","")</f>
        <v/>
      </c>
      <c r="AC114" s="64">
        <f>COUNTIFS($A$4:$A114,$A114,$J$4:$J114,$J114,$E$4:$E114,$E114)</f>
        <v/>
      </c>
      <c r="AD114" s="65">
        <f>$A114&amp;"|"&amp;$J114&amp;"|"&amp;$E114&amp;"|"&amp;$AC114</f>
        <v/>
      </c>
      <c r="AE114" s="66">
        <f>IF($W114&lt;&gt;"","⚑ "&amp;$W114&amp;CHAR(10),"")&amp;TEXT($F114,"hh:mm")&amp;"-"&amp;TEXT($G114,"hh:mm")&amp;IF(OR($P114="Quinzaine A",AND($P114="Hebdo · groupes alternés",$C114="A"))," Q-A",IF(OR($P114="Quinzaine B",AND($P114="Hebdo · groupes alternés",$C114="B"))," Q-B",IF($P114="Exception"," PONCT.","")))&amp;IF($X114="Oui"," OPT","")&amp;CHAR(10)&amp;$K114&amp;CHAR(10)&amp;$M114&amp;IF($N114&lt;&gt;"",CHAR(10)&amp;"Salle "&amp;$N114,"")&amp;IF($O114="En ligne",CHAR(10)&amp;"EN LIGNE","")&amp;IF($V114&lt;&gt;"",CHAR(10)&amp;$V114,"")</f>
        <v/>
      </c>
      <c r="AF114" s="65" t="inlineStr">
        <is>
          <t>9h-10h30 Physique (Refka)</t>
        </is>
      </c>
      <c r="AG114" s="65" t="inlineStr">
        <is>
          <t>du 14-09 jusquà le 20-09!M48</t>
        </is>
      </c>
    </row>
    <row r="115" ht="15" customHeight="1">
      <c r="A115" s="74" t="inlineStr">
        <is>
          <t>S1</t>
        </is>
      </c>
      <c r="B115" s="75" t="inlineStr">
        <is>
          <t>du 14 au 20 septembre 2026</t>
        </is>
      </c>
      <c r="C115" s="74" t="inlineStr">
        <is>
          <t>A</t>
        </is>
      </c>
      <c r="D115" s="76" t="n">
        <v>46285</v>
      </c>
      <c r="E115" s="74" t="inlineStr">
        <is>
          <t>Dimanche</t>
        </is>
      </c>
      <c r="F115" s="77" t="n">
        <v>0.5416666666666666</v>
      </c>
      <c r="G115" s="77" t="n">
        <v>0.6041666666666666</v>
      </c>
      <c r="H115" s="78">
        <f>IF(OR($F115="",$G115=""),"",($G115-$F115)*24)</f>
        <v/>
      </c>
      <c r="I115" s="74" t="inlineStr">
        <is>
          <t>Secondaire</t>
        </is>
      </c>
      <c r="J115" s="75" t="inlineStr">
        <is>
          <t>1ére (A)</t>
        </is>
      </c>
      <c r="K115" s="88" t="inlineStr">
        <is>
          <t>SVT</t>
        </is>
      </c>
      <c r="L115" s="88" t="inlineStr">
        <is>
          <t>SVT</t>
        </is>
      </c>
      <c r="M115" s="75" t="inlineStr">
        <is>
          <t>Imen Ghoumeme</t>
        </is>
      </c>
      <c r="N115" s="74" t="n"/>
      <c r="O115" s="74" t="n"/>
      <c r="P115" s="74" t="inlineStr">
        <is>
          <t>Quinzaine A</t>
        </is>
      </c>
      <c r="Q115" s="75" t="inlineStr"/>
      <c r="R115" s="74" t="n">
        <v>1</v>
      </c>
      <c r="S115" s="74" t="inlineStr">
        <is>
          <t>Oui</t>
        </is>
      </c>
      <c r="T115" s="74" t="inlineStr">
        <is>
          <t>S1-088</t>
        </is>
      </c>
      <c r="U115" s="75" t="inlineStr">
        <is>
          <t>Original (septembre)</t>
        </is>
      </c>
      <c r="V115" s="75" t="inlineStr"/>
      <c r="W115" s="10" t="n"/>
      <c r="X115" s="10" t="inlineStr"/>
      <c r="Y115" s="64">
        <f>IF($M115="","",IF(SUMPRODUCT(($D$4:$D$863=$D115)*($M$4:$M$863=$M115)*($T$4:$T$863&lt;&gt;$T115)*($F$4:$F$863&lt;$G115)*($G$4:$G$863&gt;$F115))&gt;0,"⚠ CONFLIT",""))</f>
        <v/>
      </c>
      <c r="Z115" s="64">
        <f>IF($J115="","",IF(SUMPRODUCT(($D$4:$D$863=$D115)*($J$4:$J$863=$J115)*($T$4:$T$863&lt;&gt;$T115)*($F$4:$F$863&lt;$G115)*($G$4:$G$863&gt;$F115)*(1-($X$4:$X$863="Oui")*($X115="Oui")))&gt;0,"⚠ CONFLIT",""))</f>
        <v/>
      </c>
      <c r="AA115" s="64">
        <f>IF(COUNTIFS($D$4:$D$863,$D115,$J$4:$J$863,$J115,$F$4:$F$863,$F115,$K$4:$K$863,$K115)&gt;1,"⚠ DOUBLON","")</f>
        <v/>
      </c>
      <c r="AB115" s="64">
        <f>IF(COUNTIF($T$4:$T$863,$T115)&lt;&gt;COUNTIFS($T$4:$T$863,$T115,$D$4:$D$863,$D115,$F$4:$F$863,$F115,$G$4:$G$863,$G115,$K$4:$K$863,$K115,$M$4:$M$863,$M115),"⚠ INCOHÉRENT","")</f>
        <v/>
      </c>
      <c r="AC115" s="64">
        <f>COUNTIFS($A$4:$A115,$A115,$J$4:$J115,$J115,$E$4:$E115,$E115)</f>
        <v/>
      </c>
      <c r="AD115" s="65">
        <f>$A115&amp;"|"&amp;$J115&amp;"|"&amp;$E115&amp;"|"&amp;$AC115</f>
        <v/>
      </c>
      <c r="AE115" s="66">
        <f>IF($W115&lt;&gt;"","⚑ "&amp;$W115&amp;CHAR(10),"")&amp;TEXT($F115,"hh:mm")&amp;"-"&amp;TEXT($G115,"hh:mm")&amp;IF(OR($P115="Quinzaine A",AND($P115="Hebdo · groupes alternés",$C115="A"))," Q-A",IF(OR($P115="Quinzaine B",AND($P115="Hebdo · groupes alternés",$C115="B"))," Q-B",IF($P115="Exception"," PONCT.","")))&amp;IF($X115="Oui"," OPT","")&amp;CHAR(10)&amp;$K115&amp;CHAR(10)&amp;$M115&amp;IF($N115&lt;&gt;"",CHAR(10)&amp;"Salle "&amp;$N115,"")&amp;IF($O115="En ligne",CHAR(10)&amp;"EN LIGNE","")&amp;IF($V115&lt;&gt;"",CHAR(10)&amp;$V115,"")</f>
        <v/>
      </c>
      <c r="AF115" s="65" t="inlineStr">
        <is>
          <t>13h-14h30 SVT (Imen Ghoumeme) /par quinzaine</t>
        </is>
      </c>
      <c r="AG115" s="65" t="inlineStr">
        <is>
          <t>du 14-09 jusquà le 20-09!M50</t>
        </is>
      </c>
    </row>
    <row r="116" ht="15" customHeight="1">
      <c r="A116" s="74" t="inlineStr">
        <is>
          <t>S1</t>
        </is>
      </c>
      <c r="B116" s="75" t="inlineStr">
        <is>
          <t>du 14 au 20 septembre 2026</t>
        </is>
      </c>
      <c r="C116" s="74" t="inlineStr">
        <is>
          <t>A</t>
        </is>
      </c>
      <c r="D116" s="76" t="n">
        <v>46285</v>
      </c>
      <c r="E116" s="74" t="inlineStr">
        <is>
          <t>Dimanche</t>
        </is>
      </c>
      <c r="F116" s="77" t="n">
        <v>0.4375</v>
      </c>
      <c r="G116" s="77" t="n">
        <v>0.5</v>
      </c>
      <c r="H116" s="78">
        <f>IF(OR($F116="",$G116=""),"",($G116-$F116)*24)</f>
        <v/>
      </c>
      <c r="I116" s="74" t="inlineStr">
        <is>
          <t>Secondaire</t>
        </is>
      </c>
      <c r="J116" s="75" t="inlineStr">
        <is>
          <t>1ére (B)</t>
        </is>
      </c>
      <c r="K116" s="73" t="inlineStr">
        <is>
          <t>Physique</t>
        </is>
      </c>
      <c r="L116" s="73" t="inlineStr">
        <is>
          <t>Physique</t>
        </is>
      </c>
      <c r="M116" s="75" t="inlineStr">
        <is>
          <t>Refka</t>
        </is>
      </c>
      <c r="N116" s="74" t="n"/>
      <c r="O116" s="74" t="n"/>
      <c r="P116" s="74" t="inlineStr">
        <is>
          <t>Hebdomadaire</t>
        </is>
      </c>
      <c r="Q116" s="75" t="inlineStr"/>
      <c r="R116" s="74" t="n">
        <v>1</v>
      </c>
      <c r="S116" s="74" t="inlineStr">
        <is>
          <t>Oui</t>
        </is>
      </c>
      <c r="T116" s="74" t="inlineStr">
        <is>
          <t>S1-089</t>
        </is>
      </c>
      <c r="U116" s="75" t="inlineStr">
        <is>
          <t>Original (septembre)</t>
        </is>
      </c>
      <c r="V116" s="75" t="inlineStr"/>
      <c r="W116" s="10" t="n"/>
      <c r="X116" s="10" t="inlineStr"/>
      <c r="Y116" s="64">
        <f>IF($M116="","",IF(SUMPRODUCT(($D$4:$D$863=$D116)*($M$4:$M$863=$M116)*($T$4:$T$863&lt;&gt;$T116)*($F$4:$F$863&lt;$G116)*($G$4:$G$863&gt;$F116))&gt;0,"⚠ CONFLIT",""))</f>
        <v/>
      </c>
      <c r="Z116" s="64">
        <f>IF($J116="","",IF(SUMPRODUCT(($D$4:$D$863=$D116)*($J$4:$J$863=$J116)*($T$4:$T$863&lt;&gt;$T116)*($F$4:$F$863&lt;$G116)*($G$4:$G$863&gt;$F116)*(1-($X$4:$X$863="Oui")*($X116="Oui")))&gt;0,"⚠ CONFLIT",""))</f>
        <v/>
      </c>
      <c r="AA116" s="64">
        <f>IF(COUNTIFS($D$4:$D$863,$D116,$J$4:$J$863,$J116,$F$4:$F$863,$F116,$K$4:$K$863,$K116)&gt;1,"⚠ DOUBLON","")</f>
        <v/>
      </c>
      <c r="AB116" s="64">
        <f>IF(COUNTIF($T$4:$T$863,$T116)&lt;&gt;COUNTIFS($T$4:$T$863,$T116,$D$4:$D$863,$D116,$F$4:$F$863,$F116,$G$4:$G$863,$G116,$K$4:$K$863,$K116,$M$4:$M$863,$M116),"⚠ INCOHÉRENT","")</f>
        <v/>
      </c>
      <c r="AC116" s="64">
        <f>COUNTIFS($A$4:$A116,$A116,$J$4:$J116,$J116,$E$4:$E116,$E116)</f>
        <v/>
      </c>
      <c r="AD116" s="65">
        <f>$A116&amp;"|"&amp;$J116&amp;"|"&amp;$E116&amp;"|"&amp;$AC116</f>
        <v/>
      </c>
      <c r="AE116" s="66">
        <f>IF($W116&lt;&gt;"","⚑ "&amp;$W116&amp;CHAR(10),"")&amp;TEXT($F116,"hh:mm")&amp;"-"&amp;TEXT($G116,"hh:mm")&amp;IF(OR($P116="Quinzaine A",AND($P116="Hebdo · groupes alternés",$C116="A"))," Q-A",IF(OR($P116="Quinzaine B",AND($P116="Hebdo · groupes alternés",$C116="B"))," Q-B",IF($P116="Exception"," PONCT.","")))&amp;IF($X116="Oui"," OPT","")&amp;CHAR(10)&amp;$K116&amp;CHAR(10)&amp;$M116&amp;IF($N116&lt;&gt;"",CHAR(10)&amp;"Salle "&amp;$N116,"")&amp;IF($O116="En ligne",CHAR(10)&amp;"EN LIGNE","")&amp;IF($V116&lt;&gt;"",CHAR(10)&amp;$V116,"")</f>
        <v/>
      </c>
      <c r="AF116" s="65" t="inlineStr">
        <is>
          <t>10h30-12h Physique (Refka)</t>
        </is>
      </c>
      <c r="AG116" s="65" t="inlineStr">
        <is>
          <t>du 14-09 jusquà le 20-09!M52</t>
        </is>
      </c>
    </row>
    <row r="117" ht="15" customHeight="1">
      <c r="A117" s="74" t="inlineStr">
        <is>
          <t>S1</t>
        </is>
      </c>
      <c r="B117" s="75" t="inlineStr">
        <is>
          <t>du 14 au 20 septembre 2026</t>
        </is>
      </c>
      <c r="C117" s="74" t="inlineStr">
        <is>
          <t>A</t>
        </is>
      </c>
      <c r="D117" s="76" t="n">
        <v>46285</v>
      </c>
      <c r="E117" s="74" t="inlineStr">
        <is>
          <t>Dimanche</t>
        </is>
      </c>
      <c r="F117" s="77" t="n">
        <v>0.375</v>
      </c>
      <c r="G117" s="77" t="n">
        <v>0.4375</v>
      </c>
      <c r="H117" s="78">
        <f>IF(OR($F117="",$G117=""),"",($G117-$F117)*24)</f>
        <v/>
      </c>
      <c r="I117" s="74" t="inlineStr">
        <is>
          <t>Secondaire</t>
        </is>
      </c>
      <c r="J117" s="75" t="inlineStr">
        <is>
          <t>2éme Eco</t>
        </is>
      </c>
      <c r="K117" s="95" t="inlineStr">
        <is>
          <t>Eco</t>
        </is>
      </c>
      <c r="L117" s="95" t="inlineStr">
        <is>
          <t>Eco</t>
        </is>
      </c>
      <c r="M117" s="75" t="inlineStr">
        <is>
          <t>Rym</t>
        </is>
      </c>
      <c r="N117" s="74" t="n"/>
      <c r="O117" s="74" t="n"/>
      <c r="P117" s="74" t="inlineStr">
        <is>
          <t>Hebdomadaire</t>
        </is>
      </c>
      <c r="Q117" s="75" t="inlineStr"/>
      <c r="R117" s="74" t="n">
        <v>1</v>
      </c>
      <c r="S117" s="74" t="inlineStr">
        <is>
          <t>Oui</t>
        </is>
      </c>
      <c r="T117" s="74" t="inlineStr">
        <is>
          <t>S1-090</t>
        </is>
      </c>
      <c r="U117" s="75" t="inlineStr">
        <is>
          <t>Original (septembre)</t>
        </is>
      </c>
      <c r="V117" s="75" t="inlineStr"/>
      <c r="W117" s="10" t="n"/>
      <c r="X117" s="10" t="inlineStr"/>
      <c r="Y117" s="64">
        <f>IF($M117="","",IF(SUMPRODUCT(($D$4:$D$863=$D117)*($M$4:$M$863=$M117)*($T$4:$T$863&lt;&gt;$T117)*($F$4:$F$863&lt;$G117)*($G$4:$G$863&gt;$F117))&gt;0,"⚠ CONFLIT",""))</f>
        <v/>
      </c>
      <c r="Z117" s="64">
        <f>IF($J117="","",IF(SUMPRODUCT(($D$4:$D$863=$D117)*($J$4:$J$863=$J117)*($T$4:$T$863&lt;&gt;$T117)*($F$4:$F$863&lt;$G117)*($G$4:$G$863&gt;$F117)*(1-($X$4:$X$863="Oui")*($X117="Oui")))&gt;0,"⚠ CONFLIT",""))</f>
        <v/>
      </c>
      <c r="AA117" s="64">
        <f>IF(COUNTIFS($D$4:$D$863,$D117,$J$4:$J$863,$J117,$F$4:$F$863,$F117,$K$4:$K$863,$K117)&gt;1,"⚠ DOUBLON","")</f>
        <v/>
      </c>
      <c r="AB117" s="64">
        <f>IF(COUNTIF($T$4:$T$863,$T117)&lt;&gt;COUNTIFS($T$4:$T$863,$T117,$D$4:$D$863,$D117,$F$4:$F$863,$F117,$G$4:$G$863,$G117,$K$4:$K$863,$K117,$M$4:$M$863,$M117),"⚠ INCOHÉRENT","")</f>
        <v/>
      </c>
      <c r="AC117" s="64">
        <f>COUNTIFS($A$4:$A117,$A117,$J$4:$J117,$J117,$E$4:$E117,$E117)</f>
        <v/>
      </c>
      <c r="AD117" s="65">
        <f>$A117&amp;"|"&amp;$J117&amp;"|"&amp;$E117&amp;"|"&amp;$AC117</f>
        <v/>
      </c>
      <c r="AE117" s="66">
        <f>IF($W117&lt;&gt;"","⚑ "&amp;$W117&amp;CHAR(10),"")&amp;TEXT($F117,"hh:mm")&amp;"-"&amp;TEXT($G117,"hh:mm")&amp;IF(OR($P117="Quinzaine A",AND($P117="Hebdo · groupes alternés",$C117="A"))," Q-A",IF(OR($P117="Quinzaine B",AND($P117="Hebdo · groupes alternés",$C117="B"))," Q-B",IF($P117="Exception"," PONCT.","")))&amp;IF($X117="Oui"," OPT","")&amp;CHAR(10)&amp;$K117&amp;CHAR(10)&amp;$M117&amp;IF($N117&lt;&gt;"",CHAR(10)&amp;"Salle "&amp;$N117,"")&amp;IF($O117="En ligne",CHAR(10)&amp;"EN LIGNE","")&amp;IF($V117&lt;&gt;"",CHAR(10)&amp;$V117,"")</f>
        <v/>
      </c>
      <c r="AF117" s="65" t="inlineStr">
        <is>
          <t>9h-10h30 Eco (Rym)</t>
        </is>
      </c>
      <c r="AG117" s="65" t="inlineStr">
        <is>
          <t>du 14-09 jusquà le 20-09!M56</t>
        </is>
      </c>
    </row>
    <row r="118" ht="15" customHeight="1">
      <c r="A118" s="74" t="inlineStr">
        <is>
          <t>S1</t>
        </is>
      </c>
      <c r="B118" s="75" t="inlineStr">
        <is>
          <t>du 14 au 20 septembre 2026</t>
        </is>
      </c>
      <c r="C118" s="74" t="inlineStr">
        <is>
          <t>A</t>
        </is>
      </c>
      <c r="D118" s="76" t="n">
        <v>46285</v>
      </c>
      <c r="E118" s="74" t="inlineStr">
        <is>
          <t>Dimanche</t>
        </is>
      </c>
      <c r="F118" s="77" t="n">
        <v>0.5</v>
      </c>
      <c r="G118" s="77" t="n">
        <v>0.5625</v>
      </c>
      <c r="H118" s="78">
        <f>IF(OR($F118="",$G118=""),"",($G118-$F118)*24)</f>
        <v/>
      </c>
      <c r="I118" s="74" t="inlineStr">
        <is>
          <t>Secondaire</t>
        </is>
      </c>
      <c r="J118" s="75" t="inlineStr">
        <is>
          <t>2éme SCE</t>
        </is>
      </c>
      <c r="K118" s="73" t="inlineStr">
        <is>
          <t>Physique</t>
        </is>
      </c>
      <c r="L118" s="73" t="inlineStr">
        <is>
          <t>Physique</t>
        </is>
      </c>
      <c r="M118" s="75" t="inlineStr">
        <is>
          <t>Refka</t>
        </is>
      </c>
      <c r="N118" s="74" t="n"/>
      <c r="O118" s="74" t="n"/>
      <c r="P118" s="74" t="inlineStr">
        <is>
          <t>Hebdomadaire</t>
        </is>
      </c>
      <c r="Q118" s="75" t="inlineStr"/>
      <c r="R118" s="74" t="n">
        <v>1</v>
      </c>
      <c r="S118" s="74" t="inlineStr">
        <is>
          <t>Oui</t>
        </is>
      </c>
      <c r="T118" s="74" t="inlineStr">
        <is>
          <t>S1-091</t>
        </is>
      </c>
      <c r="U118" s="75" t="inlineStr">
        <is>
          <t>Original (septembre)</t>
        </is>
      </c>
      <c r="V118" s="75" t="inlineStr"/>
      <c r="W118" s="10" t="n"/>
      <c r="X118" s="10" t="inlineStr"/>
      <c r="Y118" s="64">
        <f>IF($M118="","",IF(SUMPRODUCT(($D$4:$D$863=$D118)*($M$4:$M$863=$M118)*($T$4:$T$863&lt;&gt;$T118)*($F$4:$F$863&lt;$G118)*($G$4:$G$863&gt;$F118))&gt;0,"⚠ CONFLIT",""))</f>
        <v/>
      </c>
      <c r="Z118" s="64">
        <f>IF($J118="","",IF(SUMPRODUCT(($D$4:$D$863=$D118)*($J$4:$J$863=$J118)*($T$4:$T$863&lt;&gt;$T118)*($F$4:$F$863&lt;$G118)*($G$4:$G$863&gt;$F118)*(1-($X$4:$X$863="Oui")*($X118="Oui")))&gt;0,"⚠ CONFLIT",""))</f>
        <v/>
      </c>
      <c r="AA118" s="64">
        <f>IF(COUNTIFS($D$4:$D$863,$D118,$J$4:$J$863,$J118,$F$4:$F$863,$F118,$K$4:$K$863,$K118)&gt;1,"⚠ DOUBLON","")</f>
        <v/>
      </c>
      <c r="AB118" s="64">
        <f>IF(COUNTIF($T$4:$T$863,$T118)&lt;&gt;COUNTIFS($T$4:$T$863,$T118,$D$4:$D$863,$D118,$F$4:$F$863,$F118,$G$4:$G$863,$G118,$K$4:$K$863,$K118,$M$4:$M$863,$M118),"⚠ INCOHÉRENT","")</f>
        <v/>
      </c>
      <c r="AC118" s="64">
        <f>COUNTIFS($A$4:$A118,$A118,$J$4:$J118,$J118,$E$4:$E118,$E118)</f>
        <v/>
      </c>
      <c r="AD118" s="65">
        <f>$A118&amp;"|"&amp;$J118&amp;"|"&amp;$E118&amp;"|"&amp;$AC118</f>
        <v/>
      </c>
      <c r="AE118" s="66">
        <f>IF($W118&lt;&gt;"","⚑ "&amp;$W118&amp;CHAR(10),"")&amp;TEXT($F118,"hh:mm")&amp;"-"&amp;TEXT($G118,"hh:mm")&amp;IF(OR($P118="Quinzaine A",AND($P118="Hebdo · groupes alternés",$C118="A"))," Q-A",IF(OR($P118="Quinzaine B",AND($P118="Hebdo · groupes alternés",$C118="B"))," Q-B",IF($P118="Exception"," PONCT.","")))&amp;IF($X118="Oui"," OPT","")&amp;CHAR(10)&amp;$K118&amp;CHAR(10)&amp;$M118&amp;IF($N118&lt;&gt;"",CHAR(10)&amp;"Salle "&amp;$N118,"")&amp;IF($O118="En ligne",CHAR(10)&amp;"EN LIGNE","")&amp;IF($V118&lt;&gt;"",CHAR(10)&amp;$V118,"")</f>
        <v/>
      </c>
      <c r="AF118" s="65" t="inlineStr">
        <is>
          <t>12h-13h30 Physique (Refka)</t>
        </is>
      </c>
      <c r="AG118" s="65" t="inlineStr">
        <is>
          <t>du 14-09 jusquà le 20-09!M58</t>
        </is>
      </c>
    </row>
    <row r="119" ht="15" customHeight="1">
      <c r="A119" s="74" t="inlineStr">
        <is>
          <t>S1</t>
        </is>
      </c>
      <c r="B119" s="75" t="inlineStr">
        <is>
          <t>du 14 au 20 septembre 2026</t>
        </is>
      </c>
      <c r="C119" s="74" t="inlineStr">
        <is>
          <t>A</t>
        </is>
      </c>
      <c r="D119" s="76" t="n">
        <v>46285</v>
      </c>
      <c r="E119" s="74" t="inlineStr">
        <is>
          <t>Dimanche</t>
        </is>
      </c>
      <c r="F119" s="77" t="n">
        <v>0.4375</v>
      </c>
      <c r="G119" s="77" t="n">
        <v>0.5</v>
      </c>
      <c r="H119" s="78">
        <f>IF(OR($F119="",$G119=""),"",($G119-$F119)*24)</f>
        <v/>
      </c>
      <c r="I119" s="74" t="inlineStr">
        <is>
          <t>Secondaire</t>
        </is>
      </c>
      <c r="J119" s="75" t="inlineStr">
        <is>
          <t>3éme Eco</t>
        </is>
      </c>
      <c r="K119" s="95" t="inlineStr">
        <is>
          <t>Eco</t>
        </is>
      </c>
      <c r="L119" s="95" t="inlineStr">
        <is>
          <t>Eco</t>
        </is>
      </c>
      <c r="M119" s="75" t="inlineStr">
        <is>
          <t>Rym</t>
        </is>
      </c>
      <c r="N119" s="74" t="n"/>
      <c r="O119" s="74" t="n"/>
      <c r="P119" s="74" t="inlineStr">
        <is>
          <t>Hebdomadaire</t>
        </is>
      </c>
      <c r="Q119" s="75" t="inlineStr"/>
      <c r="R119" s="74" t="n">
        <v>1</v>
      </c>
      <c r="S119" s="74" t="inlineStr">
        <is>
          <t>Oui</t>
        </is>
      </c>
      <c r="T119" s="74" t="inlineStr">
        <is>
          <t>S1-092</t>
        </is>
      </c>
      <c r="U119" s="75" t="inlineStr">
        <is>
          <t>Original (septembre)</t>
        </is>
      </c>
      <c r="V119" s="75" t="inlineStr"/>
      <c r="W119" s="10" t="n"/>
      <c r="X119" s="10" t="inlineStr"/>
      <c r="Y119" s="64">
        <f>IF($M119="","",IF(SUMPRODUCT(($D$4:$D$863=$D119)*($M$4:$M$863=$M119)*($T$4:$T$863&lt;&gt;$T119)*($F$4:$F$863&lt;$G119)*($G$4:$G$863&gt;$F119))&gt;0,"⚠ CONFLIT",""))</f>
        <v/>
      </c>
      <c r="Z119" s="64">
        <f>IF($J119="","",IF(SUMPRODUCT(($D$4:$D$863=$D119)*($J$4:$J$863=$J119)*($T$4:$T$863&lt;&gt;$T119)*($F$4:$F$863&lt;$G119)*($G$4:$G$863&gt;$F119)*(1-($X$4:$X$863="Oui")*($X119="Oui")))&gt;0,"⚠ CONFLIT",""))</f>
        <v/>
      </c>
      <c r="AA119" s="64">
        <f>IF(COUNTIFS($D$4:$D$863,$D119,$J$4:$J$863,$J119,$F$4:$F$863,$F119,$K$4:$K$863,$K119)&gt;1,"⚠ DOUBLON","")</f>
        <v/>
      </c>
      <c r="AB119" s="64">
        <f>IF(COUNTIF($T$4:$T$863,$T119)&lt;&gt;COUNTIFS($T$4:$T$863,$T119,$D$4:$D$863,$D119,$F$4:$F$863,$F119,$G$4:$G$863,$G119,$K$4:$K$863,$K119,$M$4:$M$863,$M119),"⚠ INCOHÉRENT","")</f>
        <v/>
      </c>
      <c r="AC119" s="64">
        <f>COUNTIFS($A$4:$A119,$A119,$J$4:$J119,$J119,$E$4:$E119,$E119)</f>
        <v/>
      </c>
      <c r="AD119" s="65">
        <f>$A119&amp;"|"&amp;$J119&amp;"|"&amp;$E119&amp;"|"&amp;$AC119</f>
        <v/>
      </c>
      <c r="AE119" s="66">
        <f>IF($W119&lt;&gt;"","⚑ "&amp;$W119&amp;CHAR(10),"")&amp;TEXT($F119,"hh:mm")&amp;"-"&amp;TEXT($G119,"hh:mm")&amp;IF(OR($P119="Quinzaine A",AND($P119="Hebdo · groupes alternés",$C119="A"))," Q-A",IF(OR($P119="Quinzaine B",AND($P119="Hebdo · groupes alternés",$C119="B"))," Q-B",IF($P119="Exception"," PONCT.","")))&amp;IF($X119="Oui"," OPT","")&amp;CHAR(10)&amp;$K119&amp;CHAR(10)&amp;$M119&amp;IF($N119&lt;&gt;"",CHAR(10)&amp;"Salle "&amp;$N119,"")&amp;IF($O119="En ligne",CHAR(10)&amp;"EN LIGNE","")&amp;IF($V119&lt;&gt;"",CHAR(10)&amp;$V119,"")</f>
        <v/>
      </c>
      <c r="AF119" s="65" t="inlineStr">
        <is>
          <t>10h30-12h Eco (Rym)</t>
        </is>
      </c>
      <c r="AG119" s="65" t="inlineStr">
        <is>
          <t>du 14-09 jusquà le 20-09!M62</t>
        </is>
      </c>
    </row>
    <row r="120" ht="15" customHeight="1">
      <c r="A120" s="74" t="inlineStr">
        <is>
          <t>S1</t>
        </is>
      </c>
      <c r="B120" s="75" t="inlineStr">
        <is>
          <t>du 14 au 20 septembre 2026</t>
        </is>
      </c>
      <c r="C120" s="74" t="inlineStr">
        <is>
          <t>A</t>
        </is>
      </c>
      <c r="D120" s="76" t="n">
        <v>46285</v>
      </c>
      <c r="E120" s="74" t="inlineStr">
        <is>
          <t>Dimanche</t>
        </is>
      </c>
      <c r="F120" s="77" t="n">
        <v>0.6666666666666666</v>
      </c>
      <c r="G120" s="77" t="n">
        <v>0.7291666666666666</v>
      </c>
      <c r="H120" s="78">
        <f>IF(OR($F120="",$G120=""),"",($G120-$F120)*24)</f>
        <v/>
      </c>
      <c r="I120" s="74" t="inlineStr">
        <is>
          <t>Secondaire</t>
        </is>
      </c>
      <c r="J120" s="75" t="inlineStr">
        <is>
          <t>3éme Eco</t>
        </is>
      </c>
      <c r="K120" s="79" t="inlineStr">
        <is>
          <t>Math</t>
        </is>
      </c>
      <c r="L120" s="79" t="inlineStr">
        <is>
          <t>Math</t>
        </is>
      </c>
      <c r="M120" s="75" t="inlineStr">
        <is>
          <t>Lotfi</t>
        </is>
      </c>
      <c r="N120" s="74" t="n"/>
      <c r="O120" s="74" t="n"/>
      <c r="P120" s="74" t="inlineStr">
        <is>
          <t>Hebdomadaire</t>
        </is>
      </c>
      <c r="Q120" s="75" t="inlineStr"/>
      <c r="R120" s="74" t="n">
        <v>1</v>
      </c>
      <c r="S120" s="74" t="inlineStr">
        <is>
          <t>Oui</t>
        </is>
      </c>
      <c r="T120" s="74" t="inlineStr">
        <is>
          <t>S1-093</t>
        </is>
      </c>
      <c r="U120" s="75" t="inlineStr">
        <is>
          <t>Original (septembre)</t>
        </is>
      </c>
      <c r="V120" s="75" t="inlineStr"/>
      <c r="W120" s="10" t="n"/>
      <c r="X120" s="10" t="inlineStr"/>
      <c r="Y120" s="64">
        <f>IF($M120="","",IF(SUMPRODUCT(($D$4:$D$863=$D120)*($M$4:$M$863=$M120)*($T$4:$T$863&lt;&gt;$T120)*($F$4:$F$863&lt;$G120)*($G$4:$G$863&gt;$F120))&gt;0,"⚠ CONFLIT",""))</f>
        <v/>
      </c>
      <c r="Z120" s="64">
        <f>IF($J120="","",IF(SUMPRODUCT(($D$4:$D$863=$D120)*($J$4:$J$863=$J120)*($T$4:$T$863&lt;&gt;$T120)*($F$4:$F$863&lt;$G120)*($G$4:$G$863&gt;$F120)*(1-($X$4:$X$863="Oui")*($X120="Oui")))&gt;0,"⚠ CONFLIT",""))</f>
        <v/>
      </c>
      <c r="AA120" s="64">
        <f>IF(COUNTIFS($D$4:$D$863,$D120,$J$4:$J$863,$J120,$F$4:$F$863,$F120,$K$4:$K$863,$K120)&gt;1,"⚠ DOUBLON","")</f>
        <v/>
      </c>
      <c r="AB120" s="64">
        <f>IF(COUNTIF($T$4:$T$863,$T120)&lt;&gt;COUNTIFS($T$4:$T$863,$T120,$D$4:$D$863,$D120,$F$4:$F$863,$F120,$G$4:$G$863,$G120,$K$4:$K$863,$K120,$M$4:$M$863,$M120),"⚠ INCOHÉRENT","")</f>
        <v/>
      </c>
      <c r="AC120" s="64">
        <f>COUNTIFS($A$4:$A120,$A120,$J$4:$J120,$J120,$E$4:$E120,$E120)</f>
        <v/>
      </c>
      <c r="AD120" s="65">
        <f>$A120&amp;"|"&amp;$J120&amp;"|"&amp;$E120&amp;"|"&amp;$AC120</f>
        <v/>
      </c>
      <c r="AE120" s="66">
        <f>IF($W120&lt;&gt;"","⚑ "&amp;$W120&amp;CHAR(10),"")&amp;TEXT($F120,"hh:mm")&amp;"-"&amp;TEXT($G120,"hh:mm")&amp;IF(OR($P120="Quinzaine A",AND($P120="Hebdo · groupes alternés",$C120="A"))," Q-A",IF(OR($P120="Quinzaine B",AND($P120="Hebdo · groupes alternés",$C120="B"))," Q-B",IF($P120="Exception"," PONCT.","")))&amp;IF($X120="Oui"," OPT","")&amp;CHAR(10)&amp;$K120&amp;CHAR(10)&amp;$M120&amp;IF($N120&lt;&gt;"",CHAR(10)&amp;"Salle "&amp;$N120,"")&amp;IF($O120="En ligne",CHAR(10)&amp;"EN LIGNE","")&amp;IF($V120&lt;&gt;"",CHAR(10)&amp;$V120,"")</f>
        <v/>
      </c>
      <c r="AF120" s="65" t="inlineStr">
        <is>
          <t>16h-17h30 Math (Lotfi)</t>
        </is>
      </c>
      <c r="AG120" s="65" t="inlineStr">
        <is>
          <t>du 14-09 jusquà le 20-09!M63</t>
        </is>
      </c>
    </row>
    <row r="121" ht="15" customHeight="1">
      <c r="A121" s="74" t="inlineStr">
        <is>
          <t>S1</t>
        </is>
      </c>
      <c r="B121" s="75" t="inlineStr">
        <is>
          <t>du 14 au 20 septembre 2026</t>
        </is>
      </c>
      <c r="C121" s="74" t="inlineStr">
        <is>
          <t>A</t>
        </is>
      </c>
      <c r="D121" s="76" t="n">
        <v>46285</v>
      </c>
      <c r="E121" s="74" t="inlineStr">
        <is>
          <t>Dimanche</t>
        </is>
      </c>
      <c r="F121" s="77" t="n">
        <v>0.7291666666666666</v>
      </c>
      <c r="G121" s="77" t="n">
        <v>0.7916666666666666</v>
      </c>
      <c r="H121" s="78">
        <f>IF(OR($F121="",$G121=""),"",($G121-$F121)*24)</f>
        <v/>
      </c>
      <c r="I121" s="74" t="inlineStr">
        <is>
          <t>Secondaire</t>
        </is>
      </c>
      <c r="J121" s="75" t="inlineStr">
        <is>
          <t>3éme INFO</t>
        </is>
      </c>
      <c r="K121" s="79" t="inlineStr">
        <is>
          <t>Math</t>
        </is>
      </c>
      <c r="L121" s="79" t="inlineStr">
        <is>
          <t>Math</t>
        </is>
      </c>
      <c r="M121" s="75" t="inlineStr">
        <is>
          <t>Lotfi</t>
        </is>
      </c>
      <c r="N121" s="74" t="n"/>
      <c r="O121" s="74" t="n"/>
      <c r="P121" s="74" t="inlineStr">
        <is>
          <t>Hebdomadaire</t>
        </is>
      </c>
      <c r="Q121" s="75" t="inlineStr"/>
      <c r="R121" s="74" t="n">
        <v>1</v>
      </c>
      <c r="S121" s="74" t="inlineStr">
        <is>
          <t>Oui</t>
        </is>
      </c>
      <c r="T121" s="74" t="inlineStr">
        <is>
          <t>S1-094</t>
        </is>
      </c>
      <c r="U121" s="75" t="inlineStr">
        <is>
          <t>Original (septembre)</t>
        </is>
      </c>
      <c r="V121" s="75" t="inlineStr"/>
      <c r="W121" s="10" t="n"/>
      <c r="X121" s="10" t="inlineStr"/>
      <c r="Y121" s="64">
        <f>IF($M121="","",IF(SUMPRODUCT(($D$4:$D$863=$D121)*($M$4:$M$863=$M121)*($T$4:$T$863&lt;&gt;$T121)*($F$4:$F$863&lt;$G121)*($G$4:$G$863&gt;$F121))&gt;0,"⚠ CONFLIT",""))</f>
        <v/>
      </c>
      <c r="Z121" s="64">
        <f>IF($J121="","",IF(SUMPRODUCT(($D$4:$D$863=$D121)*($J$4:$J$863=$J121)*($T$4:$T$863&lt;&gt;$T121)*($F$4:$F$863&lt;$G121)*($G$4:$G$863&gt;$F121)*(1-($X$4:$X$863="Oui")*($X121="Oui")))&gt;0,"⚠ CONFLIT",""))</f>
        <v/>
      </c>
      <c r="AA121" s="64">
        <f>IF(COUNTIFS($D$4:$D$863,$D121,$J$4:$J$863,$J121,$F$4:$F$863,$F121,$K$4:$K$863,$K121)&gt;1,"⚠ DOUBLON","")</f>
        <v/>
      </c>
      <c r="AB121" s="64">
        <f>IF(COUNTIF($T$4:$T$863,$T121)&lt;&gt;COUNTIFS($T$4:$T$863,$T121,$D$4:$D$863,$D121,$F$4:$F$863,$F121,$G$4:$G$863,$G121,$K$4:$K$863,$K121,$M$4:$M$863,$M121),"⚠ INCOHÉRENT","")</f>
        <v/>
      </c>
      <c r="AC121" s="64">
        <f>COUNTIFS($A$4:$A121,$A121,$J$4:$J121,$J121,$E$4:$E121,$E121)</f>
        <v/>
      </c>
      <c r="AD121" s="65">
        <f>$A121&amp;"|"&amp;$J121&amp;"|"&amp;$E121&amp;"|"&amp;$AC121</f>
        <v/>
      </c>
      <c r="AE121" s="66">
        <f>IF($W121&lt;&gt;"","⚑ "&amp;$W121&amp;CHAR(10),"")&amp;TEXT($F121,"hh:mm")&amp;"-"&amp;TEXT($G121,"hh:mm")&amp;IF(OR($P121="Quinzaine A",AND($P121="Hebdo · groupes alternés",$C121="A"))," Q-A",IF(OR($P121="Quinzaine B",AND($P121="Hebdo · groupes alternés",$C121="B"))," Q-B",IF($P121="Exception"," PONCT.","")))&amp;IF($X121="Oui"," OPT","")&amp;CHAR(10)&amp;$K121&amp;CHAR(10)&amp;$M121&amp;IF($N121&lt;&gt;"",CHAR(10)&amp;"Salle "&amp;$N121,"")&amp;IF($O121="En ligne",CHAR(10)&amp;"EN LIGNE","")&amp;IF($V121&lt;&gt;"",CHAR(10)&amp;$V121,"")</f>
        <v/>
      </c>
      <c r="AF121" s="65" t="inlineStr">
        <is>
          <t>17h30-19h Math (Lotfi)</t>
        </is>
      </c>
      <c r="AG121" s="65" t="inlineStr">
        <is>
          <t>du 14-09 jusquà le 20-09!M64</t>
        </is>
      </c>
    </row>
    <row r="122" ht="15" customHeight="1">
      <c r="A122" s="74" t="inlineStr">
        <is>
          <t>S1</t>
        </is>
      </c>
      <c r="B122" s="75" t="inlineStr">
        <is>
          <t>du 14 au 20 septembre 2026</t>
        </is>
      </c>
      <c r="C122" s="74" t="inlineStr">
        <is>
          <t>A</t>
        </is>
      </c>
      <c r="D122" s="76" t="n">
        <v>46285</v>
      </c>
      <c r="E122" s="74" t="inlineStr">
        <is>
          <t>Dimanche</t>
        </is>
      </c>
      <c r="F122" s="77" t="n">
        <v>0.4375</v>
      </c>
      <c r="G122" s="77" t="n">
        <v>0.5</v>
      </c>
      <c r="H122" s="78">
        <f>IF(OR($F122="",$G122=""),"",($G122-$F122)*24)</f>
        <v/>
      </c>
      <c r="I122" s="74" t="inlineStr">
        <is>
          <t>Secondaire</t>
        </is>
      </c>
      <c r="J122" s="75" t="inlineStr">
        <is>
          <t>3éme SCE</t>
        </is>
      </c>
      <c r="K122" s="73" t="inlineStr">
        <is>
          <t>Physique</t>
        </is>
      </c>
      <c r="L122" s="73" t="inlineStr">
        <is>
          <t>Physique</t>
        </is>
      </c>
      <c r="M122" s="75" t="inlineStr">
        <is>
          <t>Sondes</t>
        </is>
      </c>
      <c r="N122" s="74" t="n"/>
      <c r="O122" s="74" t="n"/>
      <c r="P122" s="74" t="inlineStr">
        <is>
          <t>Hebdomadaire</t>
        </is>
      </c>
      <c r="Q122" s="75" t="inlineStr"/>
      <c r="R122" s="74" t="n">
        <v>1</v>
      </c>
      <c r="S122" s="74" t="inlineStr">
        <is>
          <t>Oui</t>
        </is>
      </c>
      <c r="T122" s="74" t="inlineStr">
        <is>
          <t>S1-096</t>
        </is>
      </c>
      <c r="U122" s="75" t="inlineStr">
        <is>
          <t>Original (septembre)</t>
        </is>
      </c>
      <c r="V122" s="75" t="inlineStr"/>
      <c r="W122" s="10" t="n"/>
      <c r="X122" s="10" t="inlineStr"/>
      <c r="Y122" s="64">
        <f>IF($M122="","",IF(SUMPRODUCT(($D$4:$D$863=$D122)*($M$4:$M$863=$M122)*($T$4:$T$863&lt;&gt;$T122)*($F$4:$F$863&lt;$G122)*($G$4:$G$863&gt;$F122))&gt;0,"⚠ CONFLIT",""))</f>
        <v/>
      </c>
      <c r="Z122" s="64">
        <f>IF($J122="","",IF(SUMPRODUCT(($D$4:$D$863=$D122)*($J$4:$J$863=$J122)*($T$4:$T$863&lt;&gt;$T122)*($F$4:$F$863&lt;$G122)*($G$4:$G$863&gt;$F122)*(1-($X$4:$X$863="Oui")*($X122="Oui")))&gt;0,"⚠ CONFLIT",""))</f>
        <v/>
      </c>
      <c r="AA122" s="64">
        <f>IF(COUNTIFS($D$4:$D$863,$D122,$J$4:$J$863,$J122,$F$4:$F$863,$F122,$K$4:$K$863,$K122)&gt;1,"⚠ DOUBLON","")</f>
        <v/>
      </c>
      <c r="AB122" s="64">
        <f>IF(COUNTIF($T$4:$T$863,$T122)&lt;&gt;COUNTIFS($T$4:$T$863,$T122,$D$4:$D$863,$D122,$F$4:$F$863,$F122,$G$4:$G$863,$G122,$K$4:$K$863,$K122,$M$4:$M$863,$M122),"⚠ INCOHÉRENT","")</f>
        <v/>
      </c>
      <c r="AC122" s="64">
        <f>COUNTIFS($A$4:$A122,$A122,$J$4:$J122,$J122,$E$4:$E122,$E122)</f>
        <v/>
      </c>
      <c r="AD122" s="65">
        <f>$A122&amp;"|"&amp;$J122&amp;"|"&amp;$E122&amp;"|"&amp;$AC122</f>
        <v/>
      </c>
      <c r="AE122" s="66">
        <f>IF($W122&lt;&gt;"","⚑ "&amp;$W122&amp;CHAR(10),"")&amp;TEXT($F122,"hh:mm")&amp;"-"&amp;TEXT($G122,"hh:mm")&amp;IF(OR($P122="Quinzaine A",AND($P122="Hebdo · groupes alternés",$C122="A"))," Q-A",IF(OR($P122="Quinzaine B",AND($P122="Hebdo · groupes alternés",$C122="B"))," Q-B",IF($P122="Exception"," PONCT.","")))&amp;IF($X122="Oui"," OPT","")&amp;CHAR(10)&amp;$K122&amp;CHAR(10)&amp;$M122&amp;IF($N122&lt;&gt;"",CHAR(10)&amp;"Salle "&amp;$N122,"")&amp;IF($O122="En ligne",CHAR(10)&amp;"EN LIGNE","")&amp;IF($V122&lt;&gt;"",CHAR(10)&amp;$V122,"")</f>
        <v/>
      </c>
      <c r="AF122" s="65" t="inlineStr">
        <is>
          <t>10h30-12h Physique (Sondes)</t>
        </is>
      </c>
      <c r="AG122" s="65" t="inlineStr">
        <is>
          <t>du 14-09 jusquà le 20-09!M67</t>
        </is>
      </c>
    </row>
    <row r="123" ht="15" customHeight="1">
      <c r="A123" s="74" t="inlineStr">
        <is>
          <t>S1</t>
        </is>
      </c>
      <c r="B123" s="75" t="inlineStr">
        <is>
          <t>du 14 au 20 septembre 2026</t>
        </is>
      </c>
      <c r="C123" s="74" t="inlineStr">
        <is>
          <t>A</t>
        </is>
      </c>
      <c r="D123" s="76" t="n">
        <v>46285</v>
      </c>
      <c r="E123" s="74" t="inlineStr">
        <is>
          <t>Dimanche</t>
        </is>
      </c>
      <c r="F123" s="77" t="n">
        <v>0.5625</v>
      </c>
      <c r="G123" s="77" t="n">
        <v>0.625</v>
      </c>
      <c r="H123" s="78">
        <f>IF(OR($F123="",$G123=""),"",($G123-$F123)*24)</f>
        <v/>
      </c>
      <c r="I123" s="74" t="inlineStr">
        <is>
          <t>Secondaire</t>
        </is>
      </c>
      <c r="J123" s="75" t="inlineStr">
        <is>
          <t>3éme SCE</t>
        </is>
      </c>
      <c r="K123" s="79" t="inlineStr">
        <is>
          <t>Math</t>
        </is>
      </c>
      <c r="L123" s="79" t="inlineStr">
        <is>
          <t>Math</t>
        </is>
      </c>
      <c r="M123" s="75" t="inlineStr">
        <is>
          <t>Lotfi</t>
        </is>
      </c>
      <c r="N123" s="74" t="n"/>
      <c r="O123" s="74" t="n"/>
      <c r="P123" s="74" t="inlineStr">
        <is>
          <t>Ponctuelle / modifiée</t>
        </is>
      </c>
      <c r="Q123" s="75" t="inlineStr"/>
      <c r="R123" s="74" t="n">
        <v>1</v>
      </c>
      <c r="S123" s="74" t="inlineStr">
        <is>
          <t>Oui</t>
        </is>
      </c>
      <c r="T123" s="74" t="inlineStr">
        <is>
          <t>S1-095</t>
        </is>
      </c>
      <c r="U123" s="75" t="inlineStr">
        <is>
          <t>Original (septembre)</t>
        </is>
      </c>
      <c r="V123" s="75" t="inlineStr"/>
      <c r="W123" s="10" t="n"/>
      <c r="X123" s="10" t="inlineStr"/>
      <c r="Y123" s="64">
        <f>IF($M123="","",IF(SUMPRODUCT(($D$4:$D$863=$D123)*($M$4:$M$863=$M123)*($T$4:$T$863&lt;&gt;$T123)*($F$4:$F$863&lt;$G123)*($G$4:$G$863&gt;$F123))&gt;0,"⚠ CONFLIT",""))</f>
        <v/>
      </c>
      <c r="Z123" s="64">
        <f>IF($J123="","",IF(SUMPRODUCT(($D$4:$D$863=$D123)*($J$4:$J$863=$J123)*($T$4:$T$863&lt;&gt;$T123)*($F$4:$F$863&lt;$G123)*($G$4:$G$863&gt;$F123)*(1-($X$4:$X$863="Oui")*($X123="Oui")))&gt;0,"⚠ CONFLIT",""))</f>
        <v/>
      </c>
      <c r="AA123" s="64">
        <f>IF(COUNTIFS($D$4:$D$863,$D123,$J$4:$J$863,$J123,$F$4:$F$863,$F123,$K$4:$K$863,$K123)&gt;1,"⚠ DOUBLON","")</f>
        <v/>
      </c>
      <c r="AB123" s="64">
        <f>IF(COUNTIF($T$4:$T$863,$T123)&lt;&gt;COUNTIFS($T$4:$T$863,$T123,$D$4:$D$863,$D123,$F$4:$F$863,$F123,$G$4:$G$863,$G123,$K$4:$K$863,$K123,$M$4:$M$863,$M123),"⚠ INCOHÉRENT","")</f>
        <v/>
      </c>
      <c r="AC123" s="64">
        <f>COUNTIFS($A$4:$A123,$A123,$J$4:$J123,$J123,$E$4:$E123,$E123)</f>
        <v/>
      </c>
      <c r="AD123" s="65">
        <f>$A123&amp;"|"&amp;$J123&amp;"|"&amp;$E123&amp;"|"&amp;$AC123</f>
        <v/>
      </c>
      <c r="AE123" s="66">
        <f>IF($W123&lt;&gt;"","⚑ "&amp;$W123&amp;CHAR(10),"")&amp;TEXT($F123,"hh:mm")&amp;"-"&amp;TEXT($G123,"hh:mm")&amp;IF(OR($P123="Quinzaine A",AND($P123="Hebdo · groupes alternés",$C123="A"))," Q-A",IF(OR($P123="Quinzaine B",AND($P123="Hebdo · groupes alternés",$C123="B"))," Q-B",IF($P123="Exception"," PONCT.","")))&amp;IF($X123="Oui"," OPT","")&amp;CHAR(10)&amp;$K123&amp;CHAR(10)&amp;$M123&amp;IF($N123&lt;&gt;"",CHAR(10)&amp;"Salle "&amp;$N123,"")&amp;IF($O123="En ligne",CHAR(10)&amp;"EN LIGNE","")&amp;IF($V123&lt;&gt;"",CHAR(10)&amp;$V123,"")</f>
        <v/>
      </c>
      <c r="AF123" s="65" t="inlineStr">
        <is>
          <t>13h30-15h Math (Lotfi)</t>
        </is>
      </c>
      <c r="AG123" s="65" t="inlineStr">
        <is>
          <t>du 14-09 jusquà le 20-09!M66</t>
        </is>
      </c>
    </row>
    <row r="124" ht="15" customHeight="1">
      <c r="A124" s="81" t="inlineStr">
        <is>
          <t>S1</t>
        </is>
      </c>
      <c r="B124" s="82" t="inlineStr">
        <is>
          <t>du 14 au 20 septembre 2026</t>
        </is>
      </c>
      <c r="C124" s="81" t="inlineStr">
        <is>
          <t>A</t>
        </is>
      </c>
      <c r="D124" s="83" t="n">
        <v>46285</v>
      </c>
      <c r="E124" s="81" t="inlineStr">
        <is>
          <t>Dimanche</t>
        </is>
      </c>
      <c r="F124" s="84" t="n">
        <v>0.4375</v>
      </c>
      <c r="G124" s="84" t="n">
        <v>0.5</v>
      </c>
      <c r="H124" s="85">
        <f>IF(OR($F124="",$G124=""),"",($G124-$F124)*24)</f>
        <v/>
      </c>
      <c r="I124" s="81" t="inlineStr">
        <is>
          <t>Bac</t>
        </is>
      </c>
      <c r="J124" s="82" t="inlineStr">
        <is>
          <t>Bac Eco</t>
        </is>
      </c>
      <c r="K124" s="79" t="inlineStr">
        <is>
          <t>Math</t>
        </is>
      </c>
      <c r="L124" s="79" t="inlineStr">
        <is>
          <t>Math</t>
        </is>
      </c>
      <c r="M124" s="82" t="inlineStr">
        <is>
          <t>Lotfi</t>
        </is>
      </c>
      <c r="N124" s="81" t="n"/>
      <c r="O124" s="81" t="n"/>
      <c r="P124" s="81" t="inlineStr">
        <is>
          <t>Hebdomadaire</t>
        </is>
      </c>
      <c r="Q124" s="82" t="inlineStr"/>
      <c r="R124" s="81" t="n">
        <v>1</v>
      </c>
      <c r="S124" s="81" t="inlineStr">
        <is>
          <t>Oui</t>
        </is>
      </c>
      <c r="T124" s="81" t="inlineStr">
        <is>
          <t>S1-098</t>
        </is>
      </c>
      <c r="U124" s="82" t="inlineStr">
        <is>
          <t>Original (septembre)</t>
        </is>
      </c>
      <c r="V124" s="82" t="inlineStr"/>
      <c r="W124" s="10" t="n"/>
      <c r="X124" s="10" t="inlineStr"/>
      <c r="Y124" s="64">
        <f>IF($M124="","",IF(SUMPRODUCT(($D$4:$D$863=$D124)*($M$4:$M$863=$M124)*($T$4:$T$863&lt;&gt;$T124)*($F$4:$F$863&lt;$G124)*($G$4:$G$863&gt;$F124))&gt;0,"⚠ CONFLIT",""))</f>
        <v/>
      </c>
      <c r="Z124" s="64">
        <f>IF($J124="","",IF(SUMPRODUCT(($D$4:$D$863=$D124)*($J$4:$J$863=$J124)*($T$4:$T$863&lt;&gt;$T124)*($F$4:$F$863&lt;$G124)*($G$4:$G$863&gt;$F124)*(1-($X$4:$X$863="Oui")*($X124="Oui")))&gt;0,"⚠ CONFLIT",""))</f>
        <v/>
      </c>
      <c r="AA124" s="64">
        <f>IF(COUNTIFS($D$4:$D$863,$D124,$J$4:$J$863,$J124,$F$4:$F$863,$F124,$K$4:$K$863,$K124)&gt;1,"⚠ DOUBLON","")</f>
        <v/>
      </c>
      <c r="AB124" s="64">
        <f>IF(COUNTIF($T$4:$T$863,$T124)&lt;&gt;COUNTIFS($T$4:$T$863,$T124,$D$4:$D$863,$D124,$F$4:$F$863,$F124,$G$4:$G$863,$G124,$K$4:$K$863,$K124,$M$4:$M$863,$M124),"⚠ INCOHÉRENT","")</f>
        <v/>
      </c>
      <c r="AC124" s="64">
        <f>COUNTIFS($A$4:$A124,$A124,$J$4:$J124,$J124,$E$4:$E124,$E124)</f>
        <v/>
      </c>
      <c r="AD124" s="65">
        <f>$A124&amp;"|"&amp;$J124&amp;"|"&amp;$E124&amp;"|"&amp;$AC124</f>
        <v/>
      </c>
      <c r="AE124" s="66">
        <f>IF($W124&lt;&gt;"","⚑ "&amp;$W124&amp;CHAR(10),"")&amp;TEXT($F124,"hh:mm")&amp;"-"&amp;TEXT($G124,"hh:mm")&amp;IF(OR($P124="Quinzaine A",AND($P124="Hebdo · groupes alternés",$C124="A"))," Q-A",IF(OR($P124="Quinzaine B",AND($P124="Hebdo · groupes alternés",$C124="B"))," Q-B",IF($P124="Exception"," PONCT.","")))&amp;IF($X124="Oui"," OPT","")&amp;CHAR(10)&amp;$K124&amp;CHAR(10)&amp;$M124&amp;IF($N124&lt;&gt;"",CHAR(10)&amp;"Salle "&amp;$N124,"")&amp;IF($O124="En ligne",CHAR(10)&amp;"EN LIGNE","")&amp;IF($V124&lt;&gt;"",CHAR(10)&amp;$V124,"")</f>
        <v/>
      </c>
      <c r="AF124" s="65" t="inlineStr">
        <is>
          <t>10h30-12h Math (Lotfi)</t>
        </is>
      </c>
      <c r="AG124" s="65" t="inlineStr">
        <is>
          <t>du 14-09 jusquà le 20-09!M72</t>
        </is>
      </c>
    </row>
    <row r="125" ht="15" customHeight="1">
      <c r="A125" s="81" t="inlineStr">
        <is>
          <t>S1</t>
        </is>
      </c>
      <c r="B125" s="82" t="inlineStr">
        <is>
          <t>du 14 au 20 septembre 2026</t>
        </is>
      </c>
      <c r="C125" s="81" t="inlineStr">
        <is>
          <t>A</t>
        </is>
      </c>
      <c r="D125" s="83" t="n">
        <v>46285</v>
      </c>
      <c r="E125" s="81" t="inlineStr">
        <is>
          <t>Dimanche</t>
        </is>
      </c>
      <c r="F125" s="84" t="n">
        <v>0.5208333333333334</v>
      </c>
      <c r="G125" s="84" t="n">
        <v>0.6041666666666666</v>
      </c>
      <c r="H125" s="85">
        <f>IF(OR($F125="",$G125=""),"",($G125-$F125)*24)</f>
        <v/>
      </c>
      <c r="I125" s="81" t="inlineStr">
        <is>
          <t>Bac</t>
        </is>
      </c>
      <c r="J125" s="82" t="inlineStr">
        <is>
          <t>Bac Eco</t>
        </is>
      </c>
      <c r="K125" s="95" t="inlineStr">
        <is>
          <t>Eco</t>
        </is>
      </c>
      <c r="L125" s="95" t="inlineStr">
        <is>
          <t>Eco</t>
        </is>
      </c>
      <c r="M125" s="82" t="inlineStr">
        <is>
          <t>Rym</t>
        </is>
      </c>
      <c r="N125" s="81" t="n"/>
      <c r="O125" s="81" t="n"/>
      <c r="P125" s="81" t="inlineStr">
        <is>
          <t>Hebdomadaire</t>
        </is>
      </c>
      <c r="Q125" s="82" t="inlineStr"/>
      <c r="R125" s="81" t="n">
        <v>1</v>
      </c>
      <c r="S125" s="81" t="inlineStr">
        <is>
          <t>Oui</t>
        </is>
      </c>
      <c r="T125" s="81" t="inlineStr">
        <is>
          <t>S1-097</t>
        </is>
      </c>
      <c r="U125" s="82" t="inlineStr">
        <is>
          <t>Original (septembre)</t>
        </is>
      </c>
      <c r="V125" s="82" t="inlineStr"/>
      <c r="W125" s="10" t="n"/>
      <c r="X125" s="10" t="inlineStr"/>
      <c r="Y125" s="64">
        <f>IF($M125="","",IF(SUMPRODUCT(($D$4:$D$863=$D125)*($M$4:$M$863=$M125)*($T$4:$T$863&lt;&gt;$T125)*($F$4:$F$863&lt;$G125)*($G$4:$G$863&gt;$F125))&gt;0,"⚠ CONFLIT",""))</f>
        <v/>
      </c>
      <c r="Z125" s="64">
        <f>IF($J125="","",IF(SUMPRODUCT(($D$4:$D$863=$D125)*($J$4:$J$863=$J125)*($T$4:$T$863&lt;&gt;$T125)*($F$4:$F$863&lt;$G125)*($G$4:$G$863&gt;$F125)*(1-($X$4:$X$863="Oui")*($X125="Oui")))&gt;0,"⚠ CONFLIT",""))</f>
        <v/>
      </c>
      <c r="AA125" s="64">
        <f>IF(COUNTIFS($D$4:$D$863,$D125,$J$4:$J$863,$J125,$F$4:$F$863,$F125,$K$4:$K$863,$K125)&gt;1,"⚠ DOUBLON","")</f>
        <v/>
      </c>
      <c r="AB125" s="64">
        <f>IF(COUNTIF($T$4:$T$863,$T125)&lt;&gt;COUNTIFS($T$4:$T$863,$T125,$D$4:$D$863,$D125,$F$4:$F$863,$F125,$G$4:$G$863,$G125,$K$4:$K$863,$K125,$M$4:$M$863,$M125),"⚠ INCOHÉRENT","")</f>
        <v/>
      </c>
      <c r="AC125" s="64">
        <f>COUNTIFS($A$4:$A125,$A125,$J$4:$J125,$J125,$E$4:$E125,$E125)</f>
        <v/>
      </c>
      <c r="AD125" s="65">
        <f>$A125&amp;"|"&amp;$J125&amp;"|"&amp;$E125&amp;"|"&amp;$AC125</f>
        <v/>
      </c>
      <c r="AE125" s="66">
        <f>IF($W125&lt;&gt;"","⚑ "&amp;$W125&amp;CHAR(10),"")&amp;TEXT($F125,"hh:mm")&amp;"-"&amp;TEXT($G125,"hh:mm")&amp;IF(OR($P125="Quinzaine A",AND($P125="Hebdo · groupes alternés",$C125="A"))," Q-A",IF(OR($P125="Quinzaine B",AND($P125="Hebdo · groupes alternés",$C125="B"))," Q-B",IF($P125="Exception"," PONCT.","")))&amp;IF($X125="Oui"," OPT","")&amp;CHAR(10)&amp;$K125&amp;CHAR(10)&amp;$M125&amp;IF($N125&lt;&gt;"",CHAR(10)&amp;"Salle "&amp;$N125,"")&amp;IF($O125="En ligne",CHAR(10)&amp;"EN LIGNE","")&amp;IF($V125&lt;&gt;"",CHAR(10)&amp;$V125,"")</f>
        <v/>
      </c>
      <c r="AF125" s="65" t="inlineStr">
        <is>
          <t>12h30-14h30 Eco (Rym)</t>
        </is>
      </c>
      <c r="AG125" s="65" t="inlineStr">
        <is>
          <t>du 14-09 jusquà le 20-09!M68</t>
        </is>
      </c>
    </row>
    <row r="126" ht="15" customHeight="1">
      <c r="A126" s="81" t="inlineStr">
        <is>
          <t>S1</t>
        </is>
      </c>
      <c r="B126" s="82" t="inlineStr">
        <is>
          <t>du 14 au 20 septembre 2026</t>
        </is>
      </c>
      <c r="C126" s="81" t="inlineStr">
        <is>
          <t>A</t>
        </is>
      </c>
      <c r="D126" s="83" t="n">
        <v>46285</v>
      </c>
      <c r="E126" s="81" t="inlineStr">
        <is>
          <t>Dimanche</t>
        </is>
      </c>
      <c r="F126" s="84" t="n">
        <v>0.5</v>
      </c>
      <c r="G126" s="84" t="n">
        <v>0.5625</v>
      </c>
      <c r="H126" s="85">
        <f>IF(OR($F126="",$G126=""),"",($G126-$F126)*24)</f>
        <v/>
      </c>
      <c r="I126" s="81" t="inlineStr">
        <is>
          <t>Bac</t>
        </is>
      </c>
      <c r="J126" s="82" t="inlineStr">
        <is>
          <t>Bac INFO</t>
        </is>
      </c>
      <c r="K126" s="79" t="inlineStr">
        <is>
          <t>Math</t>
        </is>
      </c>
      <c r="L126" s="79" t="inlineStr">
        <is>
          <t>Math</t>
        </is>
      </c>
      <c r="M126" s="82" t="inlineStr">
        <is>
          <t>Lotfi</t>
        </is>
      </c>
      <c r="N126" s="81" t="n"/>
      <c r="O126" s="81" t="n"/>
      <c r="P126" s="81" t="inlineStr">
        <is>
          <t>Hebdomadaire</t>
        </is>
      </c>
      <c r="Q126" s="82" t="inlineStr"/>
      <c r="R126" s="81" t="n">
        <v>1</v>
      </c>
      <c r="S126" s="81" t="inlineStr">
        <is>
          <t>Oui</t>
        </is>
      </c>
      <c r="T126" s="81" t="inlineStr">
        <is>
          <t>S1-099</t>
        </is>
      </c>
      <c r="U126" s="82" t="inlineStr">
        <is>
          <t>Original (septembre)</t>
        </is>
      </c>
      <c r="V126" s="82" t="inlineStr"/>
      <c r="W126" s="10" t="n"/>
      <c r="X126" s="10" t="inlineStr"/>
      <c r="Y126" s="64">
        <f>IF($M126="","",IF(SUMPRODUCT(($D$4:$D$863=$D126)*($M$4:$M$863=$M126)*($T$4:$T$863&lt;&gt;$T126)*($F$4:$F$863&lt;$G126)*($G$4:$G$863&gt;$F126))&gt;0,"⚠ CONFLIT",""))</f>
        <v/>
      </c>
      <c r="Z126" s="64">
        <f>IF($J126="","",IF(SUMPRODUCT(($D$4:$D$863=$D126)*($J$4:$J$863=$J126)*($T$4:$T$863&lt;&gt;$T126)*($F$4:$F$863&lt;$G126)*($G$4:$G$863&gt;$F126)*(1-($X$4:$X$863="Oui")*($X126="Oui")))&gt;0,"⚠ CONFLIT",""))</f>
        <v/>
      </c>
      <c r="AA126" s="64">
        <f>IF(COUNTIFS($D$4:$D$863,$D126,$J$4:$J$863,$J126,$F$4:$F$863,$F126,$K$4:$K$863,$K126)&gt;1,"⚠ DOUBLON","")</f>
        <v/>
      </c>
      <c r="AB126" s="64">
        <f>IF(COUNTIF($T$4:$T$863,$T126)&lt;&gt;COUNTIFS($T$4:$T$863,$T126,$D$4:$D$863,$D126,$F$4:$F$863,$F126,$G$4:$G$863,$G126,$K$4:$K$863,$K126,$M$4:$M$863,$M126),"⚠ INCOHÉRENT","")</f>
        <v/>
      </c>
      <c r="AC126" s="64">
        <f>COUNTIFS($A$4:$A126,$A126,$J$4:$J126,$J126,$E$4:$E126,$E126)</f>
        <v/>
      </c>
      <c r="AD126" s="65">
        <f>$A126&amp;"|"&amp;$J126&amp;"|"&amp;$E126&amp;"|"&amp;$AC126</f>
        <v/>
      </c>
      <c r="AE126" s="66">
        <f>IF($W126&lt;&gt;"","⚑ "&amp;$W126&amp;CHAR(10),"")&amp;TEXT($F126,"hh:mm")&amp;"-"&amp;TEXT($G126,"hh:mm")&amp;IF(OR($P126="Quinzaine A",AND($P126="Hebdo · groupes alternés",$C126="A"))," Q-A",IF(OR($P126="Quinzaine B",AND($P126="Hebdo · groupes alternés",$C126="B"))," Q-B",IF($P126="Exception"," PONCT.","")))&amp;IF($X126="Oui"," OPT","")&amp;CHAR(10)&amp;$K126&amp;CHAR(10)&amp;$M126&amp;IF($N126&lt;&gt;"",CHAR(10)&amp;"Salle "&amp;$N126,"")&amp;IF($O126="En ligne",CHAR(10)&amp;"EN LIGNE","")&amp;IF($V126&lt;&gt;"",CHAR(10)&amp;$V126,"")</f>
        <v/>
      </c>
      <c r="AF126" s="65" t="inlineStr">
        <is>
          <t>12h-13h30 Math (Lotfi)</t>
        </is>
      </c>
      <c r="AG126" s="65" t="inlineStr">
        <is>
          <t>du 14-09 jusquà le 20-09!M78</t>
        </is>
      </c>
    </row>
    <row r="127" ht="15" customHeight="1">
      <c r="A127" s="81" t="inlineStr">
        <is>
          <t>S1</t>
        </is>
      </c>
      <c r="B127" s="82" t="inlineStr">
        <is>
          <t>du 14 au 20 septembre 2026</t>
        </is>
      </c>
      <c r="C127" s="81" t="inlineStr">
        <is>
          <t>A</t>
        </is>
      </c>
      <c r="D127" s="83" t="n">
        <v>46285</v>
      </c>
      <c r="E127" s="81" t="inlineStr">
        <is>
          <t>Dimanche</t>
        </is>
      </c>
      <c r="F127" s="84" t="n">
        <v>0.6458333333333334</v>
      </c>
      <c r="G127" s="84" t="n">
        <v>0.7083333333333334</v>
      </c>
      <c r="H127" s="85">
        <f>IF(OR($F127="",$G127=""),"",($G127-$F127)*24)</f>
        <v/>
      </c>
      <c r="I127" s="81" t="inlineStr">
        <is>
          <t>Bac</t>
        </is>
      </c>
      <c r="J127" s="82" t="inlineStr">
        <is>
          <t>Bac INFO</t>
        </is>
      </c>
      <c r="K127" s="96" t="inlineStr">
        <is>
          <t>STI</t>
        </is>
      </c>
      <c r="L127" s="96" t="inlineStr">
        <is>
          <t>STI</t>
        </is>
      </c>
      <c r="M127" s="82" t="inlineStr">
        <is>
          <t>Aymen</t>
        </is>
      </c>
      <c r="N127" s="81" t="n"/>
      <c r="O127" s="81" t="n"/>
      <c r="P127" s="81" t="inlineStr">
        <is>
          <t>Ponctuelle / modifiée</t>
        </is>
      </c>
      <c r="Q127" s="82" t="inlineStr"/>
      <c r="R127" s="81" t="n">
        <v>1</v>
      </c>
      <c r="S127" s="81" t="inlineStr">
        <is>
          <t>Oui</t>
        </is>
      </c>
      <c r="T127" s="81" t="inlineStr">
        <is>
          <t>S1-100</t>
        </is>
      </c>
      <c r="U127" s="82" t="inlineStr">
        <is>
          <t>Original (septembre)</t>
        </is>
      </c>
      <c r="V127" s="82" t="inlineStr"/>
      <c r="W127" s="10" t="n"/>
      <c r="X127" s="10" t="inlineStr"/>
      <c r="Y127" s="64">
        <f>IF($M127="","",IF(SUMPRODUCT(($D$4:$D$863=$D127)*($M$4:$M$863=$M127)*($T$4:$T$863&lt;&gt;$T127)*($F$4:$F$863&lt;$G127)*($G$4:$G$863&gt;$F127))&gt;0,"⚠ CONFLIT",""))</f>
        <v/>
      </c>
      <c r="Z127" s="64">
        <f>IF($J127="","",IF(SUMPRODUCT(($D$4:$D$863=$D127)*($J$4:$J$863=$J127)*($T$4:$T$863&lt;&gt;$T127)*($F$4:$F$863&lt;$G127)*($G$4:$G$863&gt;$F127)*(1-($X$4:$X$863="Oui")*($X127="Oui")))&gt;0,"⚠ CONFLIT",""))</f>
        <v/>
      </c>
      <c r="AA127" s="64">
        <f>IF(COUNTIFS($D$4:$D$863,$D127,$J$4:$J$863,$J127,$F$4:$F$863,$F127,$K$4:$K$863,$K127)&gt;1,"⚠ DOUBLON","")</f>
        <v/>
      </c>
      <c r="AB127" s="64">
        <f>IF(COUNTIF($T$4:$T$863,$T127)&lt;&gt;COUNTIFS($T$4:$T$863,$T127,$D$4:$D$863,$D127,$F$4:$F$863,$F127,$G$4:$G$863,$G127,$K$4:$K$863,$K127,$M$4:$M$863,$M127),"⚠ INCOHÉRENT","")</f>
        <v/>
      </c>
      <c r="AC127" s="64">
        <f>COUNTIFS($A$4:$A127,$A127,$J$4:$J127,$J127,$E$4:$E127,$E127)</f>
        <v/>
      </c>
      <c r="AD127" s="65">
        <f>$A127&amp;"|"&amp;$J127&amp;"|"&amp;$E127&amp;"|"&amp;$AC127</f>
        <v/>
      </c>
      <c r="AE127" s="66">
        <f>IF($W127&lt;&gt;"","⚑ "&amp;$W127&amp;CHAR(10),"")&amp;TEXT($F127,"hh:mm")&amp;"-"&amp;TEXT($G127,"hh:mm")&amp;IF(OR($P127="Quinzaine A",AND($P127="Hebdo · groupes alternés",$C127="A"))," Q-A",IF(OR($P127="Quinzaine B",AND($P127="Hebdo · groupes alternés",$C127="B"))," Q-B",IF($P127="Exception"," PONCT.","")))&amp;IF($X127="Oui"," OPT","")&amp;CHAR(10)&amp;$K127&amp;CHAR(10)&amp;$M127&amp;IF($N127&lt;&gt;"",CHAR(10)&amp;"Salle "&amp;$N127,"")&amp;IF($O127="En ligne",CHAR(10)&amp;"EN LIGNE","")&amp;IF($V127&lt;&gt;"",CHAR(10)&amp;$V127,"")</f>
        <v/>
      </c>
      <c r="AF127" s="65" t="inlineStr">
        <is>
          <t>15h30-17h STI (Aymen)</t>
        </is>
      </c>
      <c r="AG127" s="65" t="inlineStr">
        <is>
          <t>du 14-09 jusquà le 20-09!M79</t>
        </is>
      </c>
    </row>
    <row r="128" ht="15" customHeight="1">
      <c r="A128" s="58" t="inlineStr">
        <is>
          <t>S2</t>
        </is>
      </c>
      <c r="B128" s="59" t="inlineStr">
        <is>
          <t>du 21 au 27 septembre 2026</t>
        </is>
      </c>
      <c r="C128" s="58" t="inlineStr">
        <is>
          <t>B</t>
        </is>
      </c>
      <c r="D128" s="60" t="n">
        <v>46286</v>
      </c>
      <c r="E128" s="58" t="inlineStr">
        <is>
          <t>Lundi</t>
        </is>
      </c>
      <c r="F128" s="61" t="n">
        <v>0.7916666666666666</v>
      </c>
      <c r="G128" s="61" t="n">
        <v>0.875</v>
      </c>
      <c r="H128" s="62">
        <f>IF(OR($F128="",$G128=""),"",($G128-$F128)*24)</f>
        <v/>
      </c>
      <c r="I128" s="58" t="inlineStr">
        <is>
          <t>Primaire</t>
        </is>
      </c>
      <c r="J128" s="59" t="inlineStr">
        <is>
          <t>4éme</t>
        </is>
      </c>
      <c r="K128" s="63" t="inlineStr">
        <is>
          <t>عربية</t>
        </is>
      </c>
      <c r="L128" s="63" t="inlineStr">
        <is>
          <t>Arabe</t>
        </is>
      </c>
      <c r="M128" s="59" t="inlineStr">
        <is>
          <t>Lobna</t>
        </is>
      </c>
      <c r="N128" s="58" t="n"/>
      <c r="O128" s="58" t="n"/>
      <c r="P128" s="58" t="inlineStr">
        <is>
          <t>Hebdomadaire</t>
        </is>
      </c>
      <c r="Q128" s="59" t="inlineStr"/>
      <c r="R128" s="58" t="n">
        <v>1</v>
      </c>
      <c r="S128" s="58" t="inlineStr">
        <is>
          <t>Oui</t>
        </is>
      </c>
      <c r="T128" s="58" t="inlineStr">
        <is>
          <t>S2-001</t>
        </is>
      </c>
      <c r="U128" s="59" t="inlineStr">
        <is>
          <t>Original (septembre)</t>
        </is>
      </c>
      <c r="V128" s="59" t="inlineStr"/>
      <c r="W128" s="10" t="n"/>
      <c r="X128" s="10" t="inlineStr"/>
      <c r="Y128" s="64">
        <f>IF($M128="","",IF(SUMPRODUCT(($D$4:$D$863=$D128)*($M$4:$M$863=$M128)*($T$4:$T$863&lt;&gt;$T128)*($F$4:$F$863&lt;$G128)*($G$4:$G$863&gt;$F128))&gt;0,"⚠ CONFLIT",""))</f>
        <v/>
      </c>
      <c r="Z128" s="64">
        <f>IF($J128="","",IF(SUMPRODUCT(($D$4:$D$863=$D128)*($J$4:$J$863=$J128)*($T$4:$T$863&lt;&gt;$T128)*($F$4:$F$863&lt;$G128)*($G$4:$G$863&gt;$F128)*(1-($X$4:$X$863="Oui")*($X128="Oui")))&gt;0,"⚠ CONFLIT",""))</f>
        <v/>
      </c>
      <c r="AA128" s="64">
        <f>IF(COUNTIFS($D$4:$D$863,$D128,$J$4:$J$863,$J128,$F$4:$F$863,$F128,$K$4:$K$863,$K128)&gt;1,"⚠ DOUBLON","")</f>
        <v/>
      </c>
      <c r="AB128" s="64">
        <f>IF(COUNTIF($T$4:$T$863,$T128)&lt;&gt;COUNTIFS($T$4:$T$863,$T128,$D$4:$D$863,$D128,$F$4:$F$863,$F128,$G$4:$G$863,$G128,$K$4:$K$863,$K128,$M$4:$M$863,$M128),"⚠ INCOHÉRENT","")</f>
        <v/>
      </c>
      <c r="AC128" s="64">
        <f>COUNTIFS($A$4:$A128,$A128,$J$4:$J128,$J128,$E$4:$E128,$E128)</f>
        <v/>
      </c>
      <c r="AD128" s="65">
        <f>$A128&amp;"|"&amp;$J128&amp;"|"&amp;$E128&amp;"|"&amp;$AC128</f>
        <v/>
      </c>
      <c r="AE128" s="66">
        <f>IF($W128&lt;&gt;"","⚑ "&amp;$W128&amp;CHAR(10),"")&amp;TEXT($F128,"hh:mm")&amp;"-"&amp;TEXT($G128,"hh:mm")&amp;IF(OR($P128="Quinzaine A",AND($P128="Hebdo · groupes alternés",$C128="A"))," Q-A",IF(OR($P128="Quinzaine B",AND($P128="Hebdo · groupes alternés",$C128="B"))," Q-B",IF($P128="Exception"," PONCT.","")))&amp;IF($X128="Oui"," OPT","")&amp;CHAR(10)&amp;$K128&amp;CHAR(10)&amp;$M128&amp;IF($N128&lt;&gt;"",CHAR(10)&amp;"Salle "&amp;$N128,"")&amp;IF($O128="En ligne",CHAR(10)&amp;"EN LIGNE","")&amp;IF($V128&lt;&gt;"",CHAR(10)&amp;$V128,"")</f>
        <v/>
      </c>
      <c r="AF128" s="65" t="inlineStr">
        <is>
          <t>19h-21h عربية (Lobna)</t>
        </is>
      </c>
      <c r="AG128" s="65" t="inlineStr">
        <is>
          <t>du 21-09 jusquà le 27-09!G3</t>
        </is>
      </c>
    </row>
    <row r="129" ht="15" customHeight="1">
      <c r="A129" s="58" t="inlineStr">
        <is>
          <t>S2</t>
        </is>
      </c>
      <c r="B129" s="59" t="inlineStr">
        <is>
          <t>du 21 au 27 septembre 2026</t>
        </is>
      </c>
      <c r="C129" s="58" t="inlineStr">
        <is>
          <t>B</t>
        </is>
      </c>
      <c r="D129" s="60" t="n">
        <v>46286</v>
      </c>
      <c r="E129" s="58" t="inlineStr">
        <is>
          <t>Lundi</t>
        </is>
      </c>
      <c r="F129" s="61" t="n">
        <v>0.7916666666666666</v>
      </c>
      <c r="G129" s="61" t="n">
        <v>0.8541666666666666</v>
      </c>
      <c r="H129" s="62">
        <f>IF(OR($F129="",$G129=""),"",($G129-$F129)*24)</f>
        <v/>
      </c>
      <c r="I129" s="58" t="inlineStr">
        <is>
          <t>Primaire</t>
        </is>
      </c>
      <c r="J129" s="59" t="inlineStr">
        <is>
          <t>6éme Pilote (A)</t>
        </is>
      </c>
      <c r="K129" s="67" t="inlineStr">
        <is>
          <t>Français</t>
        </is>
      </c>
      <c r="L129" s="67" t="inlineStr">
        <is>
          <t>Français</t>
        </is>
      </c>
      <c r="M129" s="59" t="inlineStr">
        <is>
          <t>Hend</t>
        </is>
      </c>
      <c r="N129" s="58" t="n"/>
      <c r="O129" s="58" t="n"/>
      <c r="P129" s="58" t="inlineStr">
        <is>
          <t>Hebdomadaire</t>
        </is>
      </c>
      <c r="Q129" s="59" t="inlineStr"/>
      <c r="R129" s="58" t="n">
        <v>1</v>
      </c>
      <c r="S129" s="58" t="inlineStr">
        <is>
          <t>Oui</t>
        </is>
      </c>
      <c r="T129" s="58" t="inlineStr">
        <is>
          <t>S2-002</t>
        </is>
      </c>
      <c r="U129" s="59" t="inlineStr">
        <is>
          <t>Original (septembre)</t>
        </is>
      </c>
      <c r="V129" s="59" t="inlineStr"/>
      <c r="W129" s="10" t="n"/>
      <c r="X129" s="10" t="inlineStr"/>
      <c r="Y129" s="64">
        <f>IF($M129="","",IF(SUMPRODUCT(($D$4:$D$863=$D129)*($M$4:$M$863=$M129)*($T$4:$T$863&lt;&gt;$T129)*($F$4:$F$863&lt;$G129)*($G$4:$G$863&gt;$F129))&gt;0,"⚠ CONFLIT",""))</f>
        <v/>
      </c>
      <c r="Z129" s="64">
        <f>IF($J129="","",IF(SUMPRODUCT(($D$4:$D$863=$D129)*($J$4:$J$863=$J129)*($T$4:$T$863&lt;&gt;$T129)*($F$4:$F$863&lt;$G129)*($G$4:$G$863&gt;$F129)*(1-($X$4:$X$863="Oui")*($X129="Oui")))&gt;0,"⚠ CONFLIT",""))</f>
        <v/>
      </c>
      <c r="AA129" s="64">
        <f>IF(COUNTIFS($D$4:$D$863,$D129,$J$4:$J$863,$J129,$F$4:$F$863,$F129,$K$4:$K$863,$K129)&gt;1,"⚠ DOUBLON","")</f>
        <v/>
      </c>
      <c r="AB129" s="64">
        <f>IF(COUNTIF($T$4:$T$863,$T129)&lt;&gt;COUNTIFS($T$4:$T$863,$T129,$D$4:$D$863,$D129,$F$4:$F$863,$F129,$G$4:$G$863,$G129,$K$4:$K$863,$K129,$M$4:$M$863,$M129),"⚠ INCOHÉRENT","")</f>
        <v/>
      </c>
      <c r="AC129" s="64">
        <f>COUNTIFS($A$4:$A129,$A129,$J$4:$J129,$J129,$E$4:$E129,$E129)</f>
        <v/>
      </c>
      <c r="AD129" s="65">
        <f>$A129&amp;"|"&amp;$J129&amp;"|"&amp;$E129&amp;"|"&amp;$AC129</f>
        <v/>
      </c>
      <c r="AE129" s="66">
        <f>IF($W129&lt;&gt;"","⚑ "&amp;$W129&amp;CHAR(10),"")&amp;TEXT($F129,"hh:mm")&amp;"-"&amp;TEXT($G129,"hh:mm")&amp;IF(OR($P129="Quinzaine A",AND($P129="Hebdo · groupes alternés",$C129="A"))," Q-A",IF(OR($P129="Quinzaine B",AND($P129="Hebdo · groupes alternés",$C129="B"))," Q-B",IF($P129="Exception"," PONCT.","")))&amp;IF($X129="Oui"," OPT","")&amp;CHAR(10)&amp;$K129&amp;CHAR(10)&amp;$M129&amp;IF($N129&lt;&gt;"",CHAR(10)&amp;"Salle "&amp;$N129,"")&amp;IF($O129="En ligne",CHAR(10)&amp;"EN LIGNE","")&amp;IF($V129&lt;&gt;"",CHAR(10)&amp;$V129,"")</f>
        <v/>
      </c>
      <c r="AF129" s="65" t="inlineStr">
        <is>
          <t>19h-20h30 Français (Hend)</t>
        </is>
      </c>
      <c r="AG129" s="65" t="inlineStr">
        <is>
          <t>du 21-09 jusquà le 27-09!G13</t>
        </is>
      </c>
    </row>
    <row r="130" ht="15" customHeight="1">
      <c r="A130" s="68" t="inlineStr">
        <is>
          <t>S2</t>
        </is>
      </c>
      <c r="B130" s="69" t="inlineStr">
        <is>
          <t>du 21 au 27 septembre 2026</t>
        </is>
      </c>
      <c r="C130" s="68" t="inlineStr">
        <is>
          <t>B</t>
        </is>
      </c>
      <c r="D130" s="70" t="n">
        <v>46286</v>
      </c>
      <c r="E130" s="68" t="inlineStr">
        <is>
          <t>Lundi</t>
        </is>
      </c>
      <c r="F130" s="71" t="n">
        <v>0.8125</v>
      </c>
      <c r="G130" s="71" t="n">
        <v>0.875</v>
      </c>
      <c r="H130" s="72">
        <f>IF(OR($F130="",$G130=""),"",($G130-$F130)*24)</f>
        <v/>
      </c>
      <c r="I130" s="68" t="inlineStr">
        <is>
          <t>Collège</t>
        </is>
      </c>
      <c r="J130" s="69" t="inlineStr">
        <is>
          <t>7éme (B)</t>
        </is>
      </c>
      <c r="K130" s="63" t="inlineStr">
        <is>
          <t>Arabe</t>
        </is>
      </c>
      <c r="L130" s="63" t="inlineStr">
        <is>
          <t>Arabe</t>
        </is>
      </c>
      <c r="M130" s="69" t="inlineStr">
        <is>
          <t>Yahya</t>
        </is>
      </c>
      <c r="N130" s="68" t="n"/>
      <c r="O130" s="68" t="n"/>
      <c r="P130" s="68" t="inlineStr">
        <is>
          <t>Hebdomadaire</t>
        </is>
      </c>
      <c r="Q130" s="69" t="inlineStr"/>
      <c r="R130" s="68" t="n">
        <v>1</v>
      </c>
      <c r="S130" s="68" t="inlineStr">
        <is>
          <t>Oui</t>
        </is>
      </c>
      <c r="T130" s="68" t="inlineStr">
        <is>
          <t>S2-003</t>
        </is>
      </c>
      <c r="U130" s="69" t="inlineStr">
        <is>
          <t>Original (septembre)</t>
        </is>
      </c>
      <c r="V130" s="69" t="inlineStr"/>
      <c r="W130" s="10" t="n"/>
      <c r="X130" s="10" t="inlineStr"/>
      <c r="Y130" s="64">
        <f>IF($M130="","",IF(SUMPRODUCT(($D$4:$D$863=$D130)*($M$4:$M$863=$M130)*($T$4:$T$863&lt;&gt;$T130)*($F$4:$F$863&lt;$G130)*($G$4:$G$863&gt;$F130))&gt;0,"⚠ CONFLIT",""))</f>
        <v/>
      </c>
      <c r="Z130" s="64">
        <f>IF($J130="","",IF(SUMPRODUCT(($D$4:$D$863=$D130)*($J$4:$J$863=$J130)*($T$4:$T$863&lt;&gt;$T130)*($F$4:$F$863&lt;$G130)*($G$4:$G$863&gt;$F130)*(1-($X$4:$X$863="Oui")*($X130="Oui")))&gt;0,"⚠ CONFLIT",""))</f>
        <v/>
      </c>
      <c r="AA130" s="64">
        <f>IF(COUNTIFS($D$4:$D$863,$D130,$J$4:$J$863,$J130,$F$4:$F$863,$F130,$K$4:$K$863,$K130)&gt;1,"⚠ DOUBLON","")</f>
        <v/>
      </c>
      <c r="AB130" s="64">
        <f>IF(COUNTIF($T$4:$T$863,$T130)&lt;&gt;COUNTIFS($T$4:$T$863,$T130,$D$4:$D$863,$D130,$F$4:$F$863,$F130,$G$4:$G$863,$G130,$K$4:$K$863,$K130,$M$4:$M$863,$M130),"⚠ INCOHÉRENT","")</f>
        <v/>
      </c>
      <c r="AC130" s="64">
        <f>COUNTIFS($A$4:$A130,$A130,$J$4:$J130,$J130,$E$4:$E130,$E130)</f>
        <v/>
      </c>
      <c r="AD130" s="65">
        <f>$A130&amp;"|"&amp;$J130&amp;"|"&amp;$E130&amp;"|"&amp;$AC130</f>
        <v/>
      </c>
      <c r="AE130" s="66">
        <f>IF($W130&lt;&gt;"","⚑ "&amp;$W130&amp;CHAR(10),"")&amp;TEXT($F130,"hh:mm")&amp;"-"&amp;TEXT($G130,"hh:mm")&amp;IF(OR($P130="Quinzaine A",AND($P130="Hebdo · groupes alternés",$C130="A"))," Q-A",IF(OR($P130="Quinzaine B",AND($P130="Hebdo · groupes alternés",$C130="B"))," Q-B",IF($P130="Exception"," PONCT.","")))&amp;IF($X130="Oui"," OPT","")&amp;CHAR(10)&amp;$K130&amp;CHAR(10)&amp;$M130&amp;IF($N130&lt;&gt;"",CHAR(10)&amp;"Salle "&amp;$N130,"")&amp;IF($O130="En ligne",CHAR(10)&amp;"EN LIGNE","")&amp;IF($V130&lt;&gt;"",CHAR(10)&amp;$V130,"")</f>
        <v/>
      </c>
      <c r="AF130" s="65" t="inlineStr">
        <is>
          <t>19h30-21h Arabe (Yahya)</t>
        </is>
      </c>
      <c r="AG130" s="65" t="inlineStr">
        <is>
          <t>du 21-09 jusquà le 27-09!G24</t>
        </is>
      </c>
    </row>
    <row r="131" ht="15" customHeight="1">
      <c r="A131" s="68" t="inlineStr">
        <is>
          <t>S2</t>
        </is>
      </c>
      <c r="B131" s="69" t="inlineStr">
        <is>
          <t>du 21 au 27 septembre 2026</t>
        </is>
      </c>
      <c r="C131" s="68" t="inlineStr">
        <is>
          <t>B</t>
        </is>
      </c>
      <c r="D131" s="70" t="n">
        <v>46286</v>
      </c>
      <c r="E131" s="68" t="inlineStr">
        <is>
          <t>Lundi</t>
        </is>
      </c>
      <c r="F131" s="71" t="n">
        <v>0.8125</v>
      </c>
      <c r="G131" s="71" t="n">
        <v>0.875</v>
      </c>
      <c r="H131" s="72">
        <f>IF(OR($F131="",$G131=""),"",($G131-$F131)*24)</f>
        <v/>
      </c>
      <c r="I131" s="68" t="inlineStr">
        <is>
          <t>Collège</t>
        </is>
      </c>
      <c r="J131" s="69" t="inlineStr">
        <is>
          <t>9éme (A)</t>
        </is>
      </c>
      <c r="K131" s="73" t="inlineStr">
        <is>
          <t>Physique</t>
        </is>
      </c>
      <c r="L131" s="73" t="inlineStr">
        <is>
          <t>Physique</t>
        </is>
      </c>
      <c r="M131" s="69" t="inlineStr">
        <is>
          <t>Melek</t>
        </is>
      </c>
      <c r="N131" s="68" t="n"/>
      <c r="O131" s="68" t="n"/>
      <c r="P131" s="68" t="inlineStr">
        <is>
          <t>Hebdomadaire</t>
        </is>
      </c>
      <c r="Q131" s="69" t="inlineStr">
        <is>
          <t>9éme (A) + 9éme (B) + 9éme (C)</t>
        </is>
      </c>
      <c r="R131" s="68" t="n">
        <v>3</v>
      </c>
      <c r="S131" s="68" t="inlineStr">
        <is>
          <t>Oui</t>
        </is>
      </c>
      <c r="T131" s="68" t="inlineStr">
        <is>
          <t>S2-004</t>
        </is>
      </c>
      <c r="U131" s="69" t="inlineStr">
        <is>
          <t>Original (septembre)</t>
        </is>
      </c>
      <c r="V131" s="69" t="inlineStr"/>
      <c r="W131" s="10" t="n"/>
      <c r="X131" s="10" t="inlineStr"/>
      <c r="Y131" s="64">
        <f>IF($M131="","",IF(SUMPRODUCT(($D$4:$D$863=$D131)*($M$4:$M$863=$M131)*($T$4:$T$863&lt;&gt;$T131)*($F$4:$F$863&lt;$G131)*($G$4:$G$863&gt;$F131))&gt;0,"⚠ CONFLIT",""))</f>
        <v/>
      </c>
      <c r="Z131" s="64">
        <f>IF($J131="","",IF(SUMPRODUCT(($D$4:$D$863=$D131)*($J$4:$J$863=$J131)*($T$4:$T$863&lt;&gt;$T131)*($F$4:$F$863&lt;$G131)*($G$4:$G$863&gt;$F131)*(1-($X$4:$X$863="Oui")*($X131="Oui")))&gt;0,"⚠ CONFLIT",""))</f>
        <v/>
      </c>
      <c r="AA131" s="64">
        <f>IF(COUNTIFS($D$4:$D$863,$D131,$J$4:$J$863,$J131,$F$4:$F$863,$F131,$K$4:$K$863,$K131)&gt;1,"⚠ DOUBLON","")</f>
        <v/>
      </c>
      <c r="AB131" s="64">
        <f>IF(COUNTIF($T$4:$T$863,$T131)&lt;&gt;COUNTIFS($T$4:$T$863,$T131,$D$4:$D$863,$D131,$F$4:$F$863,$F131,$G$4:$G$863,$G131,$K$4:$K$863,$K131,$M$4:$M$863,$M131),"⚠ INCOHÉRENT","")</f>
        <v/>
      </c>
      <c r="AC131" s="64">
        <f>COUNTIFS($A$4:$A131,$A131,$J$4:$J131,$J131,$E$4:$E131,$E131)</f>
        <v/>
      </c>
      <c r="AD131" s="65">
        <f>$A131&amp;"|"&amp;$J131&amp;"|"&amp;$E131&amp;"|"&amp;$AC131</f>
        <v/>
      </c>
      <c r="AE131" s="66">
        <f>IF($W131&lt;&gt;"","⚑ "&amp;$W131&amp;CHAR(10),"")&amp;TEXT($F131,"hh:mm")&amp;"-"&amp;TEXT($G131,"hh:mm")&amp;IF(OR($P131="Quinzaine A",AND($P131="Hebdo · groupes alternés",$C131="A"))," Q-A",IF(OR($P131="Quinzaine B",AND($P131="Hebdo · groupes alternés",$C131="B"))," Q-B",IF($P131="Exception"," PONCT.","")))&amp;IF($X131="Oui"," OPT","")&amp;CHAR(10)&amp;$K131&amp;CHAR(10)&amp;$M131&amp;IF($N131&lt;&gt;"",CHAR(10)&amp;"Salle "&amp;$N131,"")&amp;IF($O131="En ligne",CHAR(10)&amp;"EN LIGNE","")&amp;IF($V131&lt;&gt;"",CHAR(10)&amp;$V131,"")</f>
        <v/>
      </c>
      <c r="AF131" s="65" t="inlineStr">
        <is>
          <t>19h30-21h Physique /par quinzaine (Melek)</t>
        </is>
      </c>
      <c r="AG131" s="65" t="inlineStr">
        <is>
          <t>du 21-09 jusquà le 27-09!G37</t>
        </is>
      </c>
    </row>
    <row r="132" ht="15" customHeight="1">
      <c r="A132" s="68" t="inlineStr">
        <is>
          <t>S2</t>
        </is>
      </c>
      <c r="B132" s="69" t="inlineStr">
        <is>
          <t>du 21 au 27 septembre 2026</t>
        </is>
      </c>
      <c r="C132" s="68" t="inlineStr">
        <is>
          <t>B</t>
        </is>
      </c>
      <c r="D132" s="70" t="n">
        <v>46286</v>
      </c>
      <c r="E132" s="68" t="inlineStr">
        <is>
          <t>Lundi</t>
        </is>
      </c>
      <c r="F132" s="71" t="n">
        <v>0.8125</v>
      </c>
      <c r="G132" s="71" t="n">
        <v>0.875</v>
      </c>
      <c r="H132" s="72">
        <f>IF(OR($F132="",$G132=""),"",($G132-$F132)*24)</f>
        <v/>
      </c>
      <c r="I132" s="68" t="inlineStr">
        <is>
          <t>Collège</t>
        </is>
      </c>
      <c r="J132" s="69" t="inlineStr">
        <is>
          <t>9éme (B)</t>
        </is>
      </c>
      <c r="K132" s="73" t="inlineStr">
        <is>
          <t>Physique</t>
        </is>
      </c>
      <c r="L132" s="73" t="inlineStr">
        <is>
          <t>Physique</t>
        </is>
      </c>
      <c r="M132" s="69" t="inlineStr">
        <is>
          <t>Melek</t>
        </is>
      </c>
      <c r="N132" s="68" t="n"/>
      <c r="O132" s="68" t="n"/>
      <c r="P132" s="68" t="inlineStr">
        <is>
          <t>Hebdomadaire</t>
        </is>
      </c>
      <c r="Q132" s="69" t="inlineStr">
        <is>
          <t>9éme (A) + 9éme (B) + 9éme (C)</t>
        </is>
      </c>
      <c r="R132" s="68" t="n">
        <v>3</v>
      </c>
      <c r="S132" s="68" t="inlineStr"/>
      <c r="T132" s="68" t="inlineStr">
        <is>
          <t>S2-004</t>
        </is>
      </c>
      <c r="U132" s="69" t="inlineStr">
        <is>
          <t>Original (septembre)</t>
        </is>
      </c>
      <c r="V132" s="69" t="inlineStr"/>
      <c r="W132" s="10" t="n"/>
      <c r="X132" s="10" t="inlineStr"/>
      <c r="Y132" s="64">
        <f>IF($M132="","",IF(SUMPRODUCT(($D$4:$D$863=$D132)*($M$4:$M$863=$M132)*($T$4:$T$863&lt;&gt;$T132)*($F$4:$F$863&lt;$G132)*($G$4:$G$863&gt;$F132))&gt;0,"⚠ CONFLIT",""))</f>
        <v/>
      </c>
      <c r="Z132" s="64">
        <f>IF($J132="","",IF(SUMPRODUCT(($D$4:$D$863=$D132)*($J$4:$J$863=$J132)*($T$4:$T$863&lt;&gt;$T132)*($F$4:$F$863&lt;$G132)*($G$4:$G$863&gt;$F132)*(1-($X$4:$X$863="Oui")*($X132="Oui")))&gt;0,"⚠ CONFLIT",""))</f>
        <v/>
      </c>
      <c r="AA132" s="64">
        <f>IF(COUNTIFS($D$4:$D$863,$D132,$J$4:$J$863,$J132,$F$4:$F$863,$F132,$K$4:$K$863,$K132)&gt;1,"⚠ DOUBLON","")</f>
        <v/>
      </c>
      <c r="AB132" s="64">
        <f>IF(COUNTIF($T$4:$T$863,$T132)&lt;&gt;COUNTIFS($T$4:$T$863,$T132,$D$4:$D$863,$D132,$F$4:$F$863,$F132,$G$4:$G$863,$G132,$K$4:$K$863,$K132,$M$4:$M$863,$M132),"⚠ INCOHÉRENT","")</f>
        <v/>
      </c>
      <c r="AC132" s="64">
        <f>COUNTIFS($A$4:$A132,$A132,$J$4:$J132,$J132,$E$4:$E132,$E132)</f>
        <v/>
      </c>
      <c r="AD132" s="65">
        <f>$A132&amp;"|"&amp;$J132&amp;"|"&amp;$E132&amp;"|"&amp;$AC132</f>
        <v/>
      </c>
      <c r="AE132" s="66">
        <f>IF($W132&lt;&gt;"","⚑ "&amp;$W132&amp;CHAR(10),"")&amp;TEXT($F132,"hh:mm")&amp;"-"&amp;TEXT($G132,"hh:mm")&amp;IF(OR($P132="Quinzaine A",AND($P132="Hebdo · groupes alternés",$C132="A"))," Q-A",IF(OR($P132="Quinzaine B",AND($P132="Hebdo · groupes alternés",$C132="B"))," Q-B",IF($P132="Exception"," PONCT.","")))&amp;IF($X132="Oui"," OPT","")&amp;CHAR(10)&amp;$K132&amp;CHAR(10)&amp;$M132&amp;IF($N132&lt;&gt;"",CHAR(10)&amp;"Salle "&amp;$N132,"")&amp;IF($O132="En ligne",CHAR(10)&amp;"EN LIGNE","")&amp;IF($V132&lt;&gt;"",CHAR(10)&amp;$V132,"")</f>
        <v/>
      </c>
      <c r="AF132" s="65" t="inlineStr">
        <is>
          <t>19h30-21h Physique /par quinzaine (Melek)</t>
        </is>
      </c>
      <c r="AG132" s="65" t="inlineStr">
        <is>
          <t>du 21-09 jusquà le 27-09!G37</t>
        </is>
      </c>
    </row>
    <row r="133" ht="15" customHeight="1">
      <c r="A133" s="68" t="inlineStr">
        <is>
          <t>S2</t>
        </is>
      </c>
      <c r="B133" s="69" t="inlineStr">
        <is>
          <t>du 21 au 27 septembre 2026</t>
        </is>
      </c>
      <c r="C133" s="68" t="inlineStr">
        <is>
          <t>B</t>
        </is>
      </c>
      <c r="D133" s="70" t="n">
        <v>46286</v>
      </c>
      <c r="E133" s="68" t="inlineStr">
        <is>
          <t>Lundi</t>
        </is>
      </c>
      <c r="F133" s="71" t="n">
        <v>0.8125</v>
      </c>
      <c r="G133" s="71" t="n">
        <v>0.875</v>
      </c>
      <c r="H133" s="72">
        <f>IF(OR($F133="",$G133=""),"",($G133-$F133)*24)</f>
        <v/>
      </c>
      <c r="I133" s="68" t="inlineStr">
        <is>
          <t>Collège</t>
        </is>
      </c>
      <c r="J133" s="69" t="inlineStr">
        <is>
          <t>9éme (C)</t>
        </is>
      </c>
      <c r="K133" s="73" t="inlineStr">
        <is>
          <t>Physique</t>
        </is>
      </c>
      <c r="L133" s="73" t="inlineStr">
        <is>
          <t>Physique</t>
        </is>
      </c>
      <c r="M133" s="69" t="inlineStr">
        <is>
          <t>Melek</t>
        </is>
      </c>
      <c r="N133" s="68" t="n"/>
      <c r="O133" s="68" t="n"/>
      <c r="P133" s="68" t="inlineStr">
        <is>
          <t>Hebdomadaire</t>
        </is>
      </c>
      <c r="Q133" s="69" t="inlineStr">
        <is>
          <t>9éme (A) + 9éme (B) + 9éme (C)</t>
        </is>
      </c>
      <c r="R133" s="68" t="n">
        <v>3</v>
      </c>
      <c r="S133" s="68" t="inlineStr"/>
      <c r="T133" s="68" t="inlineStr">
        <is>
          <t>S2-004</t>
        </is>
      </c>
      <c r="U133" s="69" t="inlineStr">
        <is>
          <t>Original (septembre)</t>
        </is>
      </c>
      <c r="V133" s="69" t="inlineStr"/>
      <c r="W133" s="10" t="n"/>
      <c r="X133" s="10" t="inlineStr"/>
      <c r="Y133" s="64">
        <f>IF($M133="","",IF(SUMPRODUCT(($D$4:$D$863=$D133)*($M$4:$M$863=$M133)*($T$4:$T$863&lt;&gt;$T133)*($F$4:$F$863&lt;$G133)*($G$4:$G$863&gt;$F133))&gt;0,"⚠ CONFLIT",""))</f>
        <v/>
      </c>
      <c r="Z133" s="64">
        <f>IF($J133="","",IF(SUMPRODUCT(($D$4:$D$863=$D133)*($J$4:$J$863=$J133)*($T$4:$T$863&lt;&gt;$T133)*($F$4:$F$863&lt;$G133)*($G$4:$G$863&gt;$F133)*(1-($X$4:$X$863="Oui")*($X133="Oui")))&gt;0,"⚠ CONFLIT",""))</f>
        <v/>
      </c>
      <c r="AA133" s="64">
        <f>IF(COUNTIFS($D$4:$D$863,$D133,$J$4:$J$863,$J133,$F$4:$F$863,$F133,$K$4:$K$863,$K133)&gt;1,"⚠ DOUBLON","")</f>
        <v/>
      </c>
      <c r="AB133" s="64">
        <f>IF(COUNTIF($T$4:$T$863,$T133)&lt;&gt;COUNTIFS($T$4:$T$863,$T133,$D$4:$D$863,$D133,$F$4:$F$863,$F133,$G$4:$G$863,$G133,$K$4:$K$863,$K133,$M$4:$M$863,$M133),"⚠ INCOHÉRENT","")</f>
        <v/>
      </c>
      <c r="AC133" s="64">
        <f>COUNTIFS($A$4:$A133,$A133,$J$4:$J133,$J133,$E$4:$E133,$E133)</f>
        <v/>
      </c>
      <c r="AD133" s="65">
        <f>$A133&amp;"|"&amp;$J133&amp;"|"&amp;$E133&amp;"|"&amp;$AC133</f>
        <v/>
      </c>
      <c r="AE133" s="66">
        <f>IF($W133&lt;&gt;"","⚑ "&amp;$W133&amp;CHAR(10),"")&amp;TEXT($F133,"hh:mm")&amp;"-"&amp;TEXT($G133,"hh:mm")&amp;IF(OR($P133="Quinzaine A",AND($P133="Hebdo · groupes alternés",$C133="A"))," Q-A",IF(OR($P133="Quinzaine B",AND($P133="Hebdo · groupes alternés",$C133="B"))," Q-B",IF($P133="Exception"," PONCT.","")))&amp;IF($X133="Oui"," OPT","")&amp;CHAR(10)&amp;$K133&amp;CHAR(10)&amp;$M133&amp;IF($N133&lt;&gt;"",CHAR(10)&amp;"Salle "&amp;$N133,"")&amp;IF($O133="En ligne",CHAR(10)&amp;"EN LIGNE","")&amp;IF($V133&lt;&gt;"",CHAR(10)&amp;$V133,"")</f>
        <v/>
      </c>
      <c r="AF133" s="65" t="inlineStr">
        <is>
          <t>19h30-21h Physique /par quinzaine (Melek)</t>
        </is>
      </c>
      <c r="AG133" s="65" t="inlineStr">
        <is>
          <t>du 21-09 jusquà le 27-09!G37</t>
        </is>
      </c>
    </row>
    <row r="134" ht="15" customHeight="1">
      <c r="A134" s="74" t="inlineStr">
        <is>
          <t>S2</t>
        </is>
      </c>
      <c r="B134" s="75" t="inlineStr">
        <is>
          <t>du 21 au 27 septembre 2026</t>
        </is>
      </c>
      <c r="C134" s="74" t="inlineStr">
        <is>
          <t>B</t>
        </is>
      </c>
      <c r="D134" s="76" t="n">
        <v>46286</v>
      </c>
      <c r="E134" s="74" t="inlineStr">
        <is>
          <t>Lundi</t>
        </is>
      </c>
      <c r="F134" s="77" t="n">
        <v>0.8125</v>
      </c>
      <c r="G134" s="77" t="n">
        <v>0.875</v>
      </c>
      <c r="H134" s="78">
        <f>IF(OR($F134="",$G134=""),"",($G134-$F134)*24)</f>
        <v/>
      </c>
      <c r="I134" s="74" t="inlineStr">
        <is>
          <t>Secondaire</t>
        </is>
      </c>
      <c r="J134" s="75" t="inlineStr">
        <is>
          <t>1ére (A)</t>
        </is>
      </c>
      <c r="K134" s="79" t="inlineStr">
        <is>
          <t>Math</t>
        </is>
      </c>
      <c r="L134" s="79" t="inlineStr">
        <is>
          <t>Math</t>
        </is>
      </c>
      <c r="M134" s="75" t="inlineStr">
        <is>
          <t>Haythem</t>
        </is>
      </c>
      <c r="N134" s="74" t="n"/>
      <c r="O134" s="74" t="n"/>
      <c r="P134" s="74" t="inlineStr">
        <is>
          <t>Hebdomadaire</t>
        </is>
      </c>
      <c r="Q134" s="75" t="inlineStr"/>
      <c r="R134" s="74" t="n">
        <v>1</v>
      </c>
      <c r="S134" s="74" t="inlineStr">
        <is>
          <t>Oui</t>
        </is>
      </c>
      <c r="T134" s="74" t="inlineStr">
        <is>
          <t>S2-005</t>
        </is>
      </c>
      <c r="U134" s="75" t="inlineStr">
        <is>
          <t>Original (septembre)</t>
        </is>
      </c>
      <c r="V134" s="75" t="inlineStr"/>
      <c r="W134" s="10" t="n"/>
      <c r="X134" s="10" t="inlineStr"/>
      <c r="Y134" s="64">
        <f>IF($M134="","",IF(SUMPRODUCT(($D$4:$D$863=$D134)*($M$4:$M$863=$M134)*($T$4:$T$863&lt;&gt;$T134)*($F$4:$F$863&lt;$G134)*($G$4:$G$863&gt;$F134))&gt;0,"⚠ CONFLIT",""))</f>
        <v/>
      </c>
      <c r="Z134" s="64">
        <f>IF($J134="","",IF(SUMPRODUCT(($D$4:$D$863=$D134)*($J$4:$J$863=$J134)*($T$4:$T$863&lt;&gt;$T134)*($F$4:$F$863&lt;$G134)*($G$4:$G$863&gt;$F134)*(1-($X$4:$X$863="Oui")*($X134="Oui")))&gt;0,"⚠ CONFLIT",""))</f>
        <v/>
      </c>
      <c r="AA134" s="64">
        <f>IF(COUNTIFS($D$4:$D$863,$D134,$J$4:$J$863,$J134,$F$4:$F$863,$F134,$K$4:$K$863,$K134)&gt;1,"⚠ DOUBLON","")</f>
        <v/>
      </c>
      <c r="AB134" s="64">
        <f>IF(COUNTIF($T$4:$T$863,$T134)&lt;&gt;COUNTIFS($T$4:$T$863,$T134,$D$4:$D$863,$D134,$F$4:$F$863,$F134,$G$4:$G$863,$G134,$K$4:$K$863,$K134,$M$4:$M$863,$M134),"⚠ INCOHÉRENT","")</f>
        <v/>
      </c>
      <c r="AC134" s="64">
        <f>COUNTIFS($A$4:$A134,$A134,$J$4:$J134,$J134,$E$4:$E134,$E134)</f>
        <v/>
      </c>
      <c r="AD134" s="65">
        <f>$A134&amp;"|"&amp;$J134&amp;"|"&amp;$E134&amp;"|"&amp;$AC134</f>
        <v/>
      </c>
      <c r="AE134" s="66">
        <f>IF($W134&lt;&gt;"","⚑ "&amp;$W134&amp;CHAR(10),"")&amp;TEXT($F134,"hh:mm")&amp;"-"&amp;TEXT($G134,"hh:mm")&amp;IF(OR($P134="Quinzaine A",AND($P134="Hebdo · groupes alternés",$C134="A"))," Q-A",IF(OR($P134="Quinzaine B",AND($P134="Hebdo · groupes alternés",$C134="B"))," Q-B",IF($P134="Exception"," PONCT.","")))&amp;IF($X134="Oui"," OPT","")&amp;CHAR(10)&amp;$K134&amp;CHAR(10)&amp;$M134&amp;IF($N134&lt;&gt;"",CHAR(10)&amp;"Salle "&amp;$N134,"")&amp;IF($O134="En ligne",CHAR(10)&amp;"EN LIGNE","")&amp;IF($V134&lt;&gt;"",CHAR(10)&amp;$V134,"")</f>
        <v/>
      </c>
      <c r="AF134" s="65" t="inlineStr">
        <is>
          <t>19h30-21h Math (Haythem)</t>
        </is>
      </c>
      <c r="AG134" s="65" t="inlineStr">
        <is>
          <t>du 21-09 jusquà le 27-09!G49</t>
        </is>
      </c>
    </row>
    <row r="135" ht="15" customHeight="1">
      <c r="A135" s="74" t="inlineStr">
        <is>
          <t>S2</t>
        </is>
      </c>
      <c r="B135" s="75" t="inlineStr">
        <is>
          <t>du 21 au 27 septembre 2026</t>
        </is>
      </c>
      <c r="C135" s="74" t="inlineStr">
        <is>
          <t>B</t>
        </is>
      </c>
      <c r="D135" s="76" t="n">
        <v>46286</v>
      </c>
      <c r="E135" s="74" t="inlineStr">
        <is>
          <t>Lundi</t>
        </is>
      </c>
      <c r="F135" s="77" t="n">
        <v>0.7916666666666666</v>
      </c>
      <c r="G135" s="77" t="n">
        <v>0.875</v>
      </c>
      <c r="H135" s="78">
        <f>IF(OR($F135="",$G135=""),"",($G135-$F135)*24)</f>
        <v/>
      </c>
      <c r="I135" s="74" t="inlineStr">
        <is>
          <t>Secondaire</t>
        </is>
      </c>
      <c r="J135" s="75" t="inlineStr">
        <is>
          <t>2éme INFO</t>
        </is>
      </c>
      <c r="K135" s="80" t="inlineStr">
        <is>
          <t>Informatique</t>
        </is>
      </c>
      <c r="L135" s="80" t="inlineStr">
        <is>
          <t>Informatique</t>
        </is>
      </c>
      <c r="M135" s="75" t="inlineStr">
        <is>
          <t>Aymen</t>
        </is>
      </c>
      <c r="N135" s="74" t="n"/>
      <c r="O135" s="74" t="n"/>
      <c r="P135" s="74" t="inlineStr">
        <is>
          <t>Ponctuelle / modifiée</t>
        </is>
      </c>
      <c r="Q135" s="75" t="inlineStr"/>
      <c r="R135" s="74" t="n">
        <v>1</v>
      </c>
      <c r="S135" s="74" t="inlineStr">
        <is>
          <t>Oui</t>
        </is>
      </c>
      <c r="T135" s="74" t="inlineStr">
        <is>
          <t>S2-006</t>
        </is>
      </c>
      <c r="U135" s="75" t="inlineStr">
        <is>
          <t>Original (septembre)</t>
        </is>
      </c>
      <c r="V135" s="75" t="inlineStr"/>
      <c r="W135" s="10" t="n"/>
      <c r="X135" s="10" t="inlineStr"/>
      <c r="Y135" s="64">
        <f>IF($M135="","",IF(SUMPRODUCT(($D$4:$D$863=$D135)*($M$4:$M$863=$M135)*($T$4:$T$863&lt;&gt;$T135)*($F$4:$F$863&lt;$G135)*($G$4:$G$863&gt;$F135))&gt;0,"⚠ CONFLIT",""))</f>
        <v/>
      </c>
      <c r="Z135" s="64">
        <f>IF($J135="","",IF(SUMPRODUCT(($D$4:$D$863=$D135)*($J$4:$J$863=$J135)*($T$4:$T$863&lt;&gt;$T135)*($F$4:$F$863&lt;$G135)*($G$4:$G$863&gt;$F135)*(1-($X$4:$X$863="Oui")*($X135="Oui")))&gt;0,"⚠ CONFLIT",""))</f>
        <v/>
      </c>
      <c r="AA135" s="64">
        <f>IF(COUNTIFS($D$4:$D$863,$D135,$J$4:$J$863,$J135,$F$4:$F$863,$F135,$K$4:$K$863,$K135)&gt;1,"⚠ DOUBLON","")</f>
        <v/>
      </c>
      <c r="AB135" s="64">
        <f>IF(COUNTIF($T$4:$T$863,$T135)&lt;&gt;COUNTIFS($T$4:$T$863,$T135,$D$4:$D$863,$D135,$F$4:$F$863,$F135,$G$4:$G$863,$G135,$K$4:$K$863,$K135,$M$4:$M$863,$M135),"⚠ INCOHÉRENT","")</f>
        <v/>
      </c>
      <c r="AC135" s="64">
        <f>COUNTIFS($A$4:$A135,$A135,$J$4:$J135,$J135,$E$4:$E135,$E135)</f>
        <v/>
      </c>
      <c r="AD135" s="65">
        <f>$A135&amp;"|"&amp;$J135&amp;"|"&amp;$E135&amp;"|"&amp;$AC135</f>
        <v/>
      </c>
      <c r="AE135" s="66">
        <f>IF($W135&lt;&gt;"","⚑ "&amp;$W135&amp;CHAR(10),"")&amp;TEXT($F135,"hh:mm")&amp;"-"&amp;TEXT($G135,"hh:mm")&amp;IF(OR($P135="Quinzaine A",AND($P135="Hebdo · groupes alternés",$C135="A"))," Q-A",IF(OR($P135="Quinzaine B",AND($P135="Hebdo · groupes alternés",$C135="B"))," Q-B",IF($P135="Exception"," PONCT.","")))&amp;IF($X135="Oui"," OPT","")&amp;CHAR(10)&amp;$K135&amp;CHAR(10)&amp;$M135&amp;IF($N135&lt;&gt;"",CHAR(10)&amp;"Salle "&amp;$N135,"")&amp;IF($O135="En ligne",CHAR(10)&amp;"EN LIGNE","")&amp;IF($V135&lt;&gt;"",CHAR(10)&amp;$V135,"")</f>
        <v/>
      </c>
      <c r="AF135" s="65" t="inlineStr">
        <is>
          <t>19h-21h Informatique (Aymen)</t>
        </is>
      </c>
      <c r="AG135" s="65" t="inlineStr">
        <is>
          <t>du 21-09 jusquà le 27-09!G64</t>
        </is>
      </c>
    </row>
    <row r="136" ht="15" customHeight="1">
      <c r="A136" s="81" t="inlineStr">
        <is>
          <t>S2</t>
        </is>
      </c>
      <c r="B136" s="82" t="inlineStr">
        <is>
          <t>du 21 au 27 septembre 2026</t>
        </is>
      </c>
      <c r="C136" s="81" t="inlineStr">
        <is>
          <t>B</t>
        </is>
      </c>
      <c r="D136" s="83" t="n">
        <v>46286</v>
      </c>
      <c r="E136" s="81" t="inlineStr">
        <is>
          <t>Lundi</t>
        </is>
      </c>
      <c r="F136" s="84" t="n">
        <v>0.7916666666666666</v>
      </c>
      <c r="G136" s="84" t="n">
        <v>0.875</v>
      </c>
      <c r="H136" s="85">
        <f>IF(OR($F136="",$G136=""),"",($G136-$F136)*24)</f>
        <v/>
      </c>
      <c r="I136" s="81" t="inlineStr">
        <is>
          <t>Bac</t>
        </is>
      </c>
      <c r="J136" s="82" t="inlineStr">
        <is>
          <t>Bac Eco</t>
        </is>
      </c>
      <c r="K136" s="86" t="inlineStr">
        <is>
          <t>Gestion</t>
        </is>
      </c>
      <c r="L136" s="86" t="inlineStr">
        <is>
          <t>Gestion</t>
        </is>
      </c>
      <c r="M136" s="82" t="inlineStr">
        <is>
          <t>Yassine</t>
        </is>
      </c>
      <c r="N136" s="81" t="n"/>
      <c r="O136" s="81" t="n"/>
      <c r="P136" s="81" t="inlineStr">
        <is>
          <t>Hebdomadaire</t>
        </is>
      </c>
      <c r="Q136" s="82" t="inlineStr"/>
      <c r="R136" s="81" t="n">
        <v>1</v>
      </c>
      <c r="S136" s="81" t="inlineStr">
        <is>
          <t>Oui</t>
        </is>
      </c>
      <c r="T136" s="81" t="inlineStr">
        <is>
          <t>S2-007</t>
        </is>
      </c>
      <c r="U136" s="82" t="inlineStr">
        <is>
          <t>Original (septembre)</t>
        </is>
      </c>
      <c r="V136" s="82" t="inlineStr"/>
      <c r="W136" s="10" t="n"/>
      <c r="X136" s="10" t="inlineStr"/>
      <c r="Y136" s="64">
        <f>IF($M136="","",IF(SUMPRODUCT(($D$4:$D$863=$D136)*($M$4:$M$863=$M136)*($T$4:$T$863&lt;&gt;$T136)*($F$4:$F$863&lt;$G136)*($G$4:$G$863&gt;$F136))&gt;0,"⚠ CONFLIT",""))</f>
        <v/>
      </c>
      <c r="Z136" s="64">
        <f>IF($J136="","",IF(SUMPRODUCT(($D$4:$D$863=$D136)*($J$4:$J$863=$J136)*($T$4:$T$863&lt;&gt;$T136)*($F$4:$F$863&lt;$G136)*($G$4:$G$863&gt;$F136)*(1-($X$4:$X$863="Oui")*($X136="Oui")))&gt;0,"⚠ CONFLIT",""))</f>
        <v/>
      </c>
      <c r="AA136" s="64">
        <f>IF(COUNTIFS($D$4:$D$863,$D136,$J$4:$J$863,$J136,$F$4:$F$863,$F136,$K$4:$K$863,$K136)&gt;1,"⚠ DOUBLON","")</f>
        <v/>
      </c>
      <c r="AB136" s="64">
        <f>IF(COUNTIF($T$4:$T$863,$T136)&lt;&gt;COUNTIFS($T$4:$T$863,$T136,$D$4:$D$863,$D136,$F$4:$F$863,$F136,$G$4:$G$863,$G136,$K$4:$K$863,$K136,$M$4:$M$863,$M136),"⚠ INCOHÉRENT","")</f>
        <v/>
      </c>
      <c r="AC136" s="64">
        <f>COUNTIFS($A$4:$A136,$A136,$J$4:$J136,$J136,$E$4:$E136,$E136)</f>
        <v/>
      </c>
      <c r="AD136" s="65">
        <f>$A136&amp;"|"&amp;$J136&amp;"|"&amp;$E136&amp;"|"&amp;$AC136</f>
        <v/>
      </c>
      <c r="AE136" s="66">
        <f>IF($W136&lt;&gt;"","⚑ "&amp;$W136&amp;CHAR(10),"")&amp;TEXT($F136,"hh:mm")&amp;"-"&amp;TEXT($G136,"hh:mm")&amp;IF(OR($P136="Quinzaine A",AND($P136="Hebdo · groupes alternés",$C136="A"))," Q-A",IF(OR($P136="Quinzaine B",AND($P136="Hebdo · groupes alternés",$C136="B"))," Q-B",IF($P136="Exception"," PONCT.","")))&amp;IF($X136="Oui"," OPT","")&amp;CHAR(10)&amp;$K136&amp;CHAR(10)&amp;$M136&amp;IF($N136&lt;&gt;"",CHAR(10)&amp;"Salle "&amp;$N136,"")&amp;IF($O136="En ligne",CHAR(10)&amp;"EN LIGNE","")&amp;IF($V136&lt;&gt;"",CHAR(10)&amp;$V136,"")</f>
        <v/>
      </c>
      <c r="AF136" s="65" t="inlineStr">
        <is>
          <t>19h-21h Gestion (Yassine)</t>
        </is>
      </c>
      <c r="AG136" s="65" t="inlineStr">
        <is>
          <t>du 21-09 jusquà le 27-09!G75</t>
        </is>
      </c>
    </row>
    <row r="137" ht="15" customHeight="1">
      <c r="A137" s="81" t="inlineStr">
        <is>
          <t>S2</t>
        </is>
      </c>
      <c r="B137" s="82" t="inlineStr">
        <is>
          <t>du 21 au 27 septembre 2026</t>
        </is>
      </c>
      <c r="C137" s="81" t="inlineStr">
        <is>
          <t>B</t>
        </is>
      </c>
      <c r="D137" s="83" t="n">
        <v>46286</v>
      </c>
      <c r="E137" s="81" t="inlineStr">
        <is>
          <t>Lundi</t>
        </is>
      </c>
      <c r="F137" s="84" t="n">
        <v>0.7916666666666666</v>
      </c>
      <c r="G137" s="84" t="n">
        <v>0.875</v>
      </c>
      <c r="H137" s="85">
        <f>IF(OR($F137="",$G137=""),"",($G137-$F137)*24)</f>
        <v/>
      </c>
      <c r="I137" s="81" t="inlineStr">
        <is>
          <t>Bac</t>
        </is>
      </c>
      <c r="J137" s="82" t="inlineStr">
        <is>
          <t>Bac SCE</t>
        </is>
      </c>
      <c r="K137" s="73" t="inlineStr">
        <is>
          <t>Physique</t>
        </is>
      </c>
      <c r="L137" s="73" t="inlineStr">
        <is>
          <t>Physique</t>
        </is>
      </c>
      <c r="M137" s="82" t="inlineStr">
        <is>
          <t>Sondes</t>
        </is>
      </c>
      <c r="N137" s="81" t="n"/>
      <c r="O137" s="81" t="n"/>
      <c r="P137" s="81" t="inlineStr">
        <is>
          <t>Hebdomadaire</t>
        </is>
      </c>
      <c r="Q137" s="82" t="inlineStr"/>
      <c r="R137" s="81" t="n">
        <v>1</v>
      </c>
      <c r="S137" s="81" t="inlineStr">
        <is>
          <t>Oui</t>
        </is>
      </c>
      <c r="T137" s="81" t="inlineStr">
        <is>
          <t>S2-008</t>
        </is>
      </c>
      <c r="U137" s="82" t="inlineStr">
        <is>
          <t>Original (septembre)</t>
        </is>
      </c>
      <c r="V137" s="82" t="inlineStr"/>
      <c r="W137" s="10" t="n"/>
      <c r="X137" s="10" t="inlineStr"/>
      <c r="Y137" s="64">
        <f>IF($M137="","",IF(SUMPRODUCT(($D$4:$D$863=$D137)*($M$4:$M$863=$M137)*($T$4:$T$863&lt;&gt;$T137)*($F$4:$F$863&lt;$G137)*($G$4:$G$863&gt;$F137))&gt;0,"⚠ CONFLIT",""))</f>
        <v/>
      </c>
      <c r="Z137" s="64">
        <f>IF($J137="","",IF(SUMPRODUCT(($D$4:$D$863=$D137)*($J$4:$J$863=$J137)*($T$4:$T$863&lt;&gt;$T137)*($F$4:$F$863&lt;$G137)*($G$4:$G$863&gt;$F137)*(1-($X$4:$X$863="Oui")*($X137="Oui")))&gt;0,"⚠ CONFLIT",""))</f>
        <v/>
      </c>
      <c r="AA137" s="64">
        <f>IF(COUNTIFS($D$4:$D$863,$D137,$J$4:$J$863,$J137,$F$4:$F$863,$F137,$K$4:$K$863,$K137)&gt;1,"⚠ DOUBLON","")</f>
        <v/>
      </c>
      <c r="AB137" s="64">
        <f>IF(COUNTIF($T$4:$T$863,$T137)&lt;&gt;COUNTIFS($T$4:$T$863,$T137,$D$4:$D$863,$D137,$F$4:$F$863,$F137,$G$4:$G$863,$G137,$K$4:$K$863,$K137,$M$4:$M$863,$M137),"⚠ INCOHÉRENT","")</f>
        <v/>
      </c>
      <c r="AC137" s="64">
        <f>COUNTIFS($A$4:$A137,$A137,$J$4:$J137,$J137,$E$4:$E137,$E137)</f>
        <v/>
      </c>
      <c r="AD137" s="65">
        <f>$A137&amp;"|"&amp;$J137&amp;"|"&amp;$E137&amp;"|"&amp;$AC137</f>
        <v/>
      </c>
      <c r="AE137" s="66">
        <f>IF($W137&lt;&gt;"","⚑ "&amp;$W137&amp;CHAR(10),"")&amp;TEXT($F137,"hh:mm")&amp;"-"&amp;TEXT($G137,"hh:mm")&amp;IF(OR($P137="Quinzaine A",AND($P137="Hebdo · groupes alternés",$C137="A"))," Q-A",IF(OR($P137="Quinzaine B",AND($P137="Hebdo · groupes alternés",$C137="B"))," Q-B",IF($P137="Exception"," PONCT.","")))&amp;IF($X137="Oui"," OPT","")&amp;CHAR(10)&amp;$K137&amp;CHAR(10)&amp;$M137&amp;IF($N137&lt;&gt;"",CHAR(10)&amp;"Salle "&amp;$N137,"")&amp;IF($O137="En ligne",CHAR(10)&amp;"EN LIGNE","")&amp;IF($V137&lt;&gt;"",CHAR(10)&amp;$V137,"")</f>
        <v/>
      </c>
      <c r="AF137" s="65" t="inlineStr">
        <is>
          <t>19h-21h Physique (Sondes)</t>
        </is>
      </c>
      <c r="AG137" s="65" t="inlineStr">
        <is>
          <t>du 21-09 jusquà le 27-09!G81</t>
        </is>
      </c>
    </row>
    <row r="138" ht="15" customHeight="1">
      <c r="A138" s="81" t="inlineStr">
        <is>
          <t>S2</t>
        </is>
      </c>
      <c r="B138" s="82" t="inlineStr">
        <is>
          <t>du 21 au 27 septembre 2026</t>
        </is>
      </c>
      <c r="C138" s="81" t="inlineStr">
        <is>
          <t>B</t>
        </is>
      </c>
      <c r="D138" s="83" t="n">
        <v>46286</v>
      </c>
      <c r="E138" s="81" t="inlineStr">
        <is>
          <t>Lundi</t>
        </is>
      </c>
      <c r="F138" s="84" t="n">
        <v>0.8125</v>
      </c>
      <c r="G138" s="84" t="n">
        <v>0.875</v>
      </c>
      <c r="H138" s="85">
        <f>IF(OR($F138="",$G138=""),"",($G138-$F138)*24)</f>
        <v/>
      </c>
      <c r="I138" s="81" t="inlineStr">
        <is>
          <t>Bac</t>
        </is>
      </c>
      <c r="J138" s="82" t="inlineStr">
        <is>
          <t>Bac INFO</t>
        </is>
      </c>
      <c r="K138" s="73" t="inlineStr">
        <is>
          <t>Physique</t>
        </is>
      </c>
      <c r="L138" s="73" t="inlineStr">
        <is>
          <t>Physique</t>
        </is>
      </c>
      <c r="M138" s="82" t="inlineStr">
        <is>
          <t>Samia</t>
        </is>
      </c>
      <c r="N138" s="81" t="n"/>
      <c r="O138" s="81" t="n"/>
      <c r="P138" s="81" t="inlineStr">
        <is>
          <t>Hebdomadaire</t>
        </is>
      </c>
      <c r="Q138" s="82" t="inlineStr"/>
      <c r="R138" s="81" t="n">
        <v>1</v>
      </c>
      <c r="S138" s="81" t="inlineStr">
        <is>
          <t>Oui</t>
        </is>
      </c>
      <c r="T138" s="81" t="inlineStr">
        <is>
          <t>S2-009</t>
        </is>
      </c>
      <c r="U138" s="82" t="inlineStr">
        <is>
          <t>Original (septembre)</t>
        </is>
      </c>
      <c r="V138" s="82" t="inlineStr"/>
      <c r="W138" s="10" t="n"/>
      <c r="X138" s="10" t="inlineStr"/>
      <c r="Y138" s="64">
        <f>IF($M138="","",IF(SUMPRODUCT(($D$4:$D$863=$D138)*($M$4:$M$863=$M138)*($T$4:$T$863&lt;&gt;$T138)*($F$4:$F$863&lt;$G138)*($G$4:$G$863&gt;$F138))&gt;0,"⚠ CONFLIT",""))</f>
        <v/>
      </c>
      <c r="Z138" s="64">
        <f>IF($J138="","",IF(SUMPRODUCT(($D$4:$D$863=$D138)*($J$4:$J$863=$J138)*($T$4:$T$863&lt;&gt;$T138)*($F$4:$F$863&lt;$G138)*($G$4:$G$863&gt;$F138)*(1-($X$4:$X$863="Oui")*($X138="Oui")))&gt;0,"⚠ CONFLIT",""))</f>
        <v/>
      </c>
      <c r="AA138" s="64">
        <f>IF(COUNTIFS($D$4:$D$863,$D138,$J$4:$J$863,$J138,$F$4:$F$863,$F138,$K$4:$K$863,$K138)&gt;1,"⚠ DOUBLON","")</f>
        <v/>
      </c>
      <c r="AB138" s="64">
        <f>IF(COUNTIF($T$4:$T$863,$T138)&lt;&gt;COUNTIFS($T$4:$T$863,$T138,$D$4:$D$863,$D138,$F$4:$F$863,$F138,$G$4:$G$863,$G138,$K$4:$K$863,$K138,$M$4:$M$863,$M138),"⚠ INCOHÉRENT","")</f>
        <v/>
      </c>
      <c r="AC138" s="64">
        <f>COUNTIFS($A$4:$A138,$A138,$J$4:$J138,$J138,$E$4:$E138,$E138)</f>
        <v/>
      </c>
      <c r="AD138" s="65">
        <f>$A138&amp;"|"&amp;$J138&amp;"|"&amp;$E138&amp;"|"&amp;$AC138</f>
        <v/>
      </c>
      <c r="AE138" s="66">
        <f>IF($W138&lt;&gt;"","⚑ "&amp;$W138&amp;CHAR(10),"")&amp;TEXT($F138,"hh:mm")&amp;"-"&amp;TEXT($G138,"hh:mm")&amp;IF(OR($P138="Quinzaine A",AND($P138="Hebdo · groupes alternés",$C138="A"))," Q-A",IF(OR($P138="Quinzaine B",AND($P138="Hebdo · groupes alternés",$C138="B"))," Q-B",IF($P138="Exception"," PONCT.","")))&amp;IF($X138="Oui"," OPT","")&amp;CHAR(10)&amp;$K138&amp;CHAR(10)&amp;$M138&amp;IF($N138&lt;&gt;"",CHAR(10)&amp;"Salle "&amp;$N138,"")&amp;IF($O138="En ligne",CHAR(10)&amp;"EN LIGNE","")&amp;IF($V138&lt;&gt;"",CHAR(10)&amp;$V138,"")</f>
        <v/>
      </c>
      <c r="AF138" s="65" t="inlineStr">
        <is>
          <t>19h30-21h Physique (Samia)</t>
        </is>
      </c>
      <c r="AG138" s="65" t="inlineStr">
        <is>
          <t>du 21-09 jusquà le 27-09!G85</t>
        </is>
      </c>
    </row>
    <row r="139" ht="15" customHeight="1">
      <c r="A139" s="58" t="inlineStr">
        <is>
          <t>S2</t>
        </is>
      </c>
      <c r="B139" s="59" t="inlineStr">
        <is>
          <t>du 21 au 27 septembre 2026</t>
        </is>
      </c>
      <c r="C139" s="58" t="inlineStr">
        <is>
          <t>B</t>
        </is>
      </c>
      <c r="D139" s="60" t="n">
        <v>46287</v>
      </c>
      <c r="E139" s="58" t="inlineStr">
        <is>
          <t>Mardi</t>
        </is>
      </c>
      <c r="F139" s="61" t="n">
        <v>0.7916666666666666</v>
      </c>
      <c r="G139" s="61" t="n">
        <v>0.875</v>
      </c>
      <c r="H139" s="62">
        <f>IF(OR($F139="",$G139=""),"",($G139-$F139)*24)</f>
        <v/>
      </c>
      <c r="I139" s="58" t="inlineStr">
        <is>
          <t>Primaire</t>
        </is>
      </c>
      <c r="J139" s="59" t="inlineStr">
        <is>
          <t>5éme</t>
        </is>
      </c>
      <c r="K139" s="63" t="inlineStr">
        <is>
          <t>عربية</t>
        </is>
      </c>
      <c r="L139" s="63" t="inlineStr">
        <is>
          <t>Arabe</t>
        </is>
      </c>
      <c r="M139" s="59" t="inlineStr">
        <is>
          <t>Lobna</t>
        </is>
      </c>
      <c r="N139" s="58" t="n"/>
      <c r="O139" s="58" t="n"/>
      <c r="P139" s="58" t="inlineStr">
        <is>
          <t>Hebdomadaire</t>
        </is>
      </c>
      <c r="Q139" s="59" t="inlineStr"/>
      <c r="R139" s="58" t="n">
        <v>1</v>
      </c>
      <c r="S139" s="58" t="inlineStr">
        <is>
          <t>Oui</t>
        </is>
      </c>
      <c r="T139" s="58" t="inlineStr">
        <is>
          <t>S2-010</t>
        </is>
      </c>
      <c r="U139" s="59" t="inlineStr">
        <is>
          <t>Original (septembre)</t>
        </is>
      </c>
      <c r="V139" s="59" t="inlineStr"/>
      <c r="W139" s="10" t="n"/>
      <c r="X139" s="10" t="inlineStr"/>
      <c r="Y139" s="64">
        <f>IF($M139="","",IF(SUMPRODUCT(($D$4:$D$863=$D139)*($M$4:$M$863=$M139)*($T$4:$T$863&lt;&gt;$T139)*($F$4:$F$863&lt;$G139)*($G$4:$G$863&gt;$F139))&gt;0,"⚠ CONFLIT",""))</f>
        <v/>
      </c>
      <c r="Z139" s="64">
        <f>IF($J139="","",IF(SUMPRODUCT(($D$4:$D$863=$D139)*($J$4:$J$863=$J139)*($T$4:$T$863&lt;&gt;$T139)*($F$4:$F$863&lt;$G139)*($G$4:$G$863&gt;$F139)*(1-($X$4:$X$863="Oui")*($X139="Oui")))&gt;0,"⚠ CONFLIT",""))</f>
        <v/>
      </c>
      <c r="AA139" s="64">
        <f>IF(COUNTIFS($D$4:$D$863,$D139,$J$4:$J$863,$J139,$F$4:$F$863,$F139,$K$4:$K$863,$K139)&gt;1,"⚠ DOUBLON","")</f>
        <v/>
      </c>
      <c r="AB139" s="64">
        <f>IF(COUNTIF($T$4:$T$863,$T139)&lt;&gt;COUNTIFS($T$4:$T$863,$T139,$D$4:$D$863,$D139,$F$4:$F$863,$F139,$G$4:$G$863,$G139,$K$4:$K$863,$K139,$M$4:$M$863,$M139),"⚠ INCOHÉRENT","")</f>
        <v/>
      </c>
      <c r="AC139" s="64">
        <f>COUNTIFS($A$4:$A139,$A139,$J$4:$J139,$J139,$E$4:$E139,$E139)</f>
        <v/>
      </c>
      <c r="AD139" s="65">
        <f>$A139&amp;"|"&amp;$J139&amp;"|"&amp;$E139&amp;"|"&amp;$AC139</f>
        <v/>
      </c>
      <c r="AE139" s="66">
        <f>IF($W139&lt;&gt;"","⚑ "&amp;$W139&amp;CHAR(10),"")&amp;TEXT($F139,"hh:mm")&amp;"-"&amp;TEXT($G139,"hh:mm")&amp;IF(OR($P139="Quinzaine A",AND($P139="Hebdo · groupes alternés",$C139="A"))," Q-A",IF(OR($P139="Quinzaine B",AND($P139="Hebdo · groupes alternés",$C139="B"))," Q-B",IF($P139="Exception"," PONCT.","")))&amp;IF($X139="Oui"," OPT","")&amp;CHAR(10)&amp;$K139&amp;CHAR(10)&amp;$M139&amp;IF($N139&lt;&gt;"",CHAR(10)&amp;"Salle "&amp;$N139,"")&amp;IF($O139="En ligne",CHAR(10)&amp;"EN LIGNE","")&amp;IF($V139&lt;&gt;"",CHAR(10)&amp;$V139,"")</f>
        <v/>
      </c>
      <c r="AF139" s="65" t="inlineStr">
        <is>
          <t>19h-21h عربية (Lobna)</t>
        </is>
      </c>
      <c r="AG139" s="65" t="inlineStr">
        <is>
          <t>du 21-09 jusquà le 27-09!H7</t>
        </is>
      </c>
    </row>
    <row r="140" ht="15" customHeight="1">
      <c r="A140" s="58" t="inlineStr">
        <is>
          <t>S2</t>
        </is>
      </c>
      <c r="B140" s="59" t="inlineStr">
        <is>
          <t>du 21 au 27 septembre 2026</t>
        </is>
      </c>
      <c r="C140" s="58" t="inlineStr">
        <is>
          <t>B</t>
        </is>
      </c>
      <c r="D140" s="60" t="n">
        <v>46287</v>
      </c>
      <c r="E140" s="58" t="inlineStr">
        <is>
          <t>Mardi</t>
        </is>
      </c>
      <c r="F140" s="61" t="n">
        <v>0.7916666666666666</v>
      </c>
      <c r="G140" s="61" t="n">
        <v>0.8541666666666666</v>
      </c>
      <c r="H140" s="62">
        <f>IF(OR($F140="",$G140=""),"",($G140-$F140)*24)</f>
        <v/>
      </c>
      <c r="I140" s="58" t="inlineStr">
        <is>
          <t>Primaire</t>
        </is>
      </c>
      <c r="J140" s="59" t="inlineStr">
        <is>
          <t>6éme (B)</t>
        </is>
      </c>
      <c r="K140" s="67" t="inlineStr">
        <is>
          <t>Français</t>
        </is>
      </c>
      <c r="L140" s="67" t="inlineStr">
        <is>
          <t>Français</t>
        </is>
      </c>
      <c r="M140" s="59" t="inlineStr">
        <is>
          <t>Hend</t>
        </is>
      </c>
      <c r="N140" s="58" t="n"/>
      <c r="O140" s="58" t="n"/>
      <c r="P140" s="58" t="inlineStr">
        <is>
          <t>Hebdomadaire</t>
        </is>
      </c>
      <c r="Q140" s="59" t="inlineStr"/>
      <c r="R140" s="58" t="n">
        <v>1</v>
      </c>
      <c r="S140" s="58" t="inlineStr">
        <is>
          <t>Oui</t>
        </is>
      </c>
      <c r="T140" s="58" t="inlineStr">
        <is>
          <t>S2-011</t>
        </is>
      </c>
      <c r="U140" s="59" t="inlineStr">
        <is>
          <t>Original (septembre)</t>
        </is>
      </c>
      <c r="V140" s="59" t="inlineStr"/>
      <c r="W140" s="10" t="n"/>
      <c r="X140" s="10" t="inlineStr"/>
      <c r="Y140" s="64">
        <f>IF($M140="","",IF(SUMPRODUCT(($D$4:$D$863=$D140)*($M$4:$M$863=$M140)*($T$4:$T$863&lt;&gt;$T140)*($F$4:$F$863&lt;$G140)*($G$4:$G$863&gt;$F140))&gt;0,"⚠ CONFLIT",""))</f>
        <v/>
      </c>
      <c r="Z140" s="64">
        <f>IF($J140="","",IF(SUMPRODUCT(($D$4:$D$863=$D140)*($J$4:$J$863=$J140)*($T$4:$T$863&lt;&gt;$T140)*($F$4:$F$863&lt;$G140)*($G$4:$G$863&gt;$F140)*(1-($X$4:$X$863="Oui")*($X140="Oui")))&gt;0,"⚠ CONFLIT",""))</f>
        <v/>
      </c>
      <c r="AA140" s="64">
        <f>IF(COUNTIFS($D$4:$D$863,$D140,$J$4:$J$863,$J140,$F$4:$F$863,$F140,$K$4:$K$863,$K140)&gt;1,"⚠ DOUBLON","")</f>
        <v/>
      </c>
      <c r="AB140" s="64">
        <f>IF(COUNTIF($T$4:$T$863,$T140)&lt;&gt;COUNTIFS($T$4:$T$863,$T140,$D$4:$D$863,$D140,$F$4:$F$863,$F140,$G$4:$G$863,$G140,$K$4:$K$863,$K140,$M$4:$M$863,$M140),"⚠ INCOHÉRENT","")</f>
        <v/>
      </c>
      <c r="AC140" s="64">
        <f>COUNTIFS($A$4:$A140,$A140,$J$4:$J140,$J140,$E$4:$E140,$E140)</f>
        <v/>
      </c>
      <c r="AD140" s="65">
        <f>$A140&amp;"|"&amp;$J140&amp;"|"&amp;$E140&amp;"|"&amp;$AC140</f>
        <v/>
      </c>
      <c r="AE140" s="66">
        <f>IF($W140&lt;&gt;"","⚑ "&amp;$W140&amp;CHAR(10),"")&amp;TEXT($F140,"hh:mm")&amp;"-"&amp;TEXT($G140,"hh:mm")&amp;IF(OR($P140="Quinzaine A",AND($P140="Hebdo · groupes alternés",$C140="A"))," Q-A",IF(OR($P140="Quinzaine B",AND($P140="Hebdo · groupes alternés",$C140="B"))," Q-B",IF($P140="Exception"," PONCT.","")))&amp;IF($X140="Oui"," OPT","")&amp;CHAR(10)&amp;$K140&amp;CHAR(10)&amp;$M140&amp;IF($N140&lt;&gt;"",CHAR(10)&amp;"Salle "&amp;$N140,"")&amp;IF($O140="En ligne",CHAR(10)&amp;"EN LIGNE","")&amp;IF($V140&lt;&gt;"",CHAR(10)&amp;$V140,"")</f>
        <v/>
      </c>
      <c r="AF140" s="65" t="inlineStr">
        <is>
          <t>19h-20h30 Français (Hend)</t>
        </is>
      </c>
      <c r="AG140" s="65" t="inlineStr">
        <is>
          <t>du 21-09 jusquà le 27-09!H17</t>
        </is>
      </c>
    </row>
    <row r="141" ht="15" customHeight="1">
      <c r="A141" s="68" t="inlineStr">
        <is>
          <t>S2</t>
        </is>
      </c>
      <c r="B141" s="69" t="inlineStr">
        <is>
          <t>du 21 au 27 septembre 2026</t>
        </is>
      </c>
      <c r="C141" s="68" t="inlineStr">
        <is>
          <t>B</t>
        </is>
      </c>
      <c r="D141" s="70" t="n">
        <v>46287</v>
      </c>
      <c r="E141" s="68" t="inlineStr">
        <is>
          <t>Mardi</t>
        </is>
      </c>
      <c r="F141" s="71" t="n">
        <v>0.7916666666666666</v>
      </c>
      <c r="G141" s="71" t="n">
        <v>0.8541666666666666</v>
      </c>
      <c r="H141" s="72">
        <f>IF(OR($F141="",$G141=""),"",($G141-$F141)*24)</f>
        <v/>
      </c>
      <c r="I141" s="68" t="inlineStr">
        <is>
          <t>Collège</t>
        </is>
      </c>
      <c r="J141" s="69" t="inlineStr">
        <is>
          <t>7éme (B)</t>
        </is>
      </c>
      <c r="K141" s="87" t="inlineStr">
        <is>
          <t>Anglais</t>
        </is>
      </c>
      <c r="L141" s="87" t="inlineStr">
        <is>
          <t>Anglais</t>
        </is>
      </c>
      <c r="M141" s="69" t="inlineStr">
        <is>
          <t>Imen Ben Lazrak</t>
        </is>
      </c>
      <c r="N141" s="68" t="n"/>
      <c r="O141" s="68" t="n"/>
      <c r="P141" s="68" t="inlineStr">
        <is>
          <t>Hebdo · groupes alternés</t>
        </is>
      </c>
      <c r="Q141" s="69" t="inlineStr"/>
      <c r="R141" s="68" t="n">
        <v>1</v>
      </c>
      <c r="S141" s="68" t="inlineStr">
        <is>
          <t>Oui</t>
        </is>
      </c>
      <c r="T141" s="68" t="inlineStr">
        <is>
          <t>S2-012</t>
        </is>
      </c>
      <c r="U141" s="69" t="inlineStr">
        <is>
          <t>Original (septembre)</t>
        </is>
      </c>
      <c r="V141" s="69" t="inlineStr"/>
      <c r="W141" s="10" t="n"/>
      <c r="X141" s="10" t="inlineStr"/>
      <c r="Y141" s="64">
        <f>IF($M141="","",IF(SUMPRODUCT(($D$4:$D$863=$D141)*($M$4:$M$863=$M141)*($T$4:$T$863&lt;&gt;$T141)*($F$4:$F$863&lt;$G141)*($G$4:$G$863&gt;$F141))&gt;0,"⚠ CONFLIT",""))</f>
        <v/>
      </c>
      <c r="Z141" s="64">
        <f>IF($J141="","",IF(SUMPRODUCT(($D$4:$D$863=$D141)*($J$4:$J$863=$J141)*($T$4:$T$863&lt;&gt;$T141)*($F$4:$F$863&lt;$G141)*($G$4:$G$863&gt;$F141)*(1-($X$4:$X$863="Oui")*($X141="Oui")))&gt;0,"⚠ CONFLIT",""))</f>
        <v/>
      </c>
      <c r="AA141" s="64">
        <f>IF(COUNTIFS($D$4:$D$863,$D141,$J$4:$J$863,$J141,$F$4:$F$863,$F141,$K$4:$K$863,$K141)&gt;1,"⚠ DOUBLON","")</f>
        <v/>
      </c>
      <c r="AB141" s="64">
        <f>IF(COUNTIF($T$4:$T$863,$T141)&lt;&gt;COUNTIFS($T$4:$T$863,$T141,$D$4:$D$863,$D141,$F$4:$F$863,$F141,$G$4:$G$863,$G141,$K$4:$K$863,$K141,$M$4:$M$863,$M141),"⚠ INCOHÉRENT","")</f>
        <v/>
      </c>
      <c r="AC141" s="64">
        <f>COUNTIFS($A$4:$A141,$A141,$J$4:$J141,$J141,$E$4:$E141,$E141)</f>
        <v/>
      </c>
      <c r="AD141" s="65">
        <f>$A141&amp;"|"&amp;$J141&amp;"|"&amp;$E141&amp;"|"&amp;$AC141</f>
        <v/>
      </c>
      <c r="AE141" s="66">
        <f>IF($W141&lt;&gt;"","⚑ "&amp;$W141&amp;CHAR(10),"")&amp;TEXT($F141,"hh:mm")&amp;"-"&amp;TEXT($G141,"hh:mm")&amp;IF(OR($P141="Quinzaine A",AND($P141="Hebdo · groupes alternés",$C141="A"))," Q-A",IF(OR($P141="Quinzaine B",AND($P141="Hebdo · groupes alternés",$C141="B"))," Q-B",IF($P141="Exception"," PONCT.","")))&amp;IF($X141="Oui"," OPT","")&amp;CHAR(10)&amp;$K141&amp;CHAR(10)&amp;$M141&amp;IF($N141&lt;&gt;"",CHAR(10)&amp;"Salle "&amp;$N141,"")&amp;IF($O141="En ligne",CHAR(10)&amp;"EN LIGNE","")&amp;IF($V141&lt;&gt;"",CHAR(10)&amp;$V141,"")</f>
        <v/>
      </c>
      <c r="AF141" s="65" t="inlineStr">
        <is>
          <t>19h-20h30 Anglais /par quinzaine (Imen Ben Lazrak)</t>
        </is>
      </c>
      <c r="AG141" s="65" t="inlineStr">
        <is>
          <t>du 21-09 jusquà le 27-09!H24</t>
        </is>
      </c>
    </row>
    <row r="142" ht="15" customHeight="1">
      <c r="A142" s="68" t="inlineStr">
        <is>
          <t>S2</t>
        </is>
      </c>
      <c r="B142" s="69" t="inlineStr">
        <is>
          <t>du 21 au 27 septembre 2026</t>
        </is>
      </c>
      <c r="C142" s="68" t="inlineStr">
        <is>
          <t>B</t>
        </is>
      </c>
      <c r="D142" s="70" t="n">
        <v>46287</v>
      </c>
      <c r="E142" s="68" t="inlineStr">
        <is>
          <t>Mardi</t>
        </is>
      </c>
      <c r="F142" s="71" t="n">
        <v>0.8125</v>
      </c>
      <c r="G142" s="71" t="n">
        <v>0.875</v>
      </c>
      <c r="H142" s="72">
        <f>IF(OR($F142="",$G142=""),"",($G142-$F142)*24)</f>
        <v/>
      </c>
      <c r="I142" s="68" t="inlineStr">
        <is>
          <t>Collège</t>
        </is>
      </c>
      <c r="J142" s="69" t="inlineStr">
        <is>
          <t>8éme (B)</t>
        </is>
      </c>
      <c r="K142" s="63" t="inlineStr">
        <is>
          <t>Arabe</t>
        </is>
      </c>
      <c r="L142" s="63" t="inlineStr">
        <is>
          <t>Arabe</t>
        </is>
      </c>
      <c r="M142" s="69" t="inlineStr">
        <is>
          <t>Yahya</t>
        </is>
      </c>
      <c r="N142" s="68" t="n"/>
      <c r="O142" s="68" t="n"/>
      <c r="P142" s="68" t="inlineStr">
        <is>
          <t>Hebdomadaire</t>
        </is>
      </c>
      <c r="Q142" s="69" t="inlineStr">
        <is>
          <t>8éme (B) + 8éme (C)</t>
        </is>
      </c>
      <c r="R142" s="68" t="n">
        <v>2</v>
      </c>
      <c r="S142" s="68" t="inlineStr">
        <is>
          <t>Oui</t>
        </is>
      </c>
      <c r="T142" s="68" t="inlineStr">
        <is>
          <t>S2-013</t>
        </is>
      </c>
      <c r="U142" s="69" t="inlineStr">
        <is>
          <t>Original (septembre)</t>
        </is>
      </c>
      <c r="V142" s="69" t="inlineStr"/>
      <c r="W142" s="10" t="n"/>
      <c r="X142" s="10" t="inlineStr"/>
      <c r="Y142" s="64">
        <f>IF($M142="","",IF(SUMPRODUCT(($D$4:$D$863=$D142)*($M$4:$M$863=$M142)*($T$4:$T$863&lt;&gt;$T142)*($F$4:$F$863&lt;$G142)*($G$4:$G$863&gt;$F142))&gt;0,"⚠ CONFLIT",""))</f>
        <v/>
      </c>
      <c r="Z142" s="64">
        <f>IF($J142="","",IF(SUMPRODUCT(($D$4:$D$863=$D142)*($J$4:$J$863=$J142)*($T$4:$T$863&lt;&gt;$T142)*($F$4:$F$863&lt;$G142)*($G$4:$G$863&gt;$F142)*(1-($X$4:$X$863="Oui")*($X142="Oui")))&gt;0,"⚠ CONFLIT",""))</f>
        <v/>
      </c>
      <c r="AA142" s="64">
        <f>IF(COUNTIFS($D$4:$D$863,$D142,$J$4:$J$863,$J142,$F$4:$F$863,$F142,$K$4:$K$863,$K142)&gt;1,"⚠ DOUBLON","")</f>
        <v/>
      </c>
      <c r="AB142" s="64">
        <f>IF(COUNTIF($T$4:$T$863,$T142)&lt;&gt;COUNTIFS($T$4:$T$863,$T142,$D$4:$D$863,$D142,$F$4:$F$863,$F142,$G$4:$G$863,$G142,$K$4:$K$863,$K142,$M$4:$M$863,$M142),"⚠ INCOHÉRENT","")</f>
        <v/>
      </c>
      <c r="AC142" s="64">
        <f>COUNTIFS($A$4:$A142,$A142,$J$4:$J142,$J142,$E$4:$E142,$E142)</f>
        <v/>
      </c>
      <c r="AD142" s="65">
        <f>$A142&amp;"|"&amp;$J142&amp;"|"&amp;$E142&amp;"|"&amp;$AC142</f>
        <v/>
      </c>
      <c r="AE142" s="66">
        <f>IF($W142&lt;&gt;"","⚑ "&amp;$W142&amp;CHAR(10),"")&amp;TEXT($F142,"hh:mm")&amp;"-"&amp;TEXT($G142,"hh:mm")&amp;IF(OR($P142="Quinzaine A",AND($P142="Hebdo · groupes alternés",$C142="A"))," Q-A",IF(OR($P142="Quinzaine B",AND($P142="Hebdo · groupes alternés",$C142="B"))," Q-B",IF($P142="Exception"," PONCT.","")))&amp;IF($X142="Oui"," OPT","")&amp;CHAR(10)&amp;$K142&amp;CHAR(10)&amp;$M142&amp;IF($N142&lt;&gt;"",CHAR(10)&amp;"Salle "&amp;$N142,"")&amp;IF($O142="En ligne",CHAR(10)&amp;"EN LIGNE","")&amp;IF($V142&lt;&gt;"",CHAR(10)&amp;$V142,"")</f>
        <v/>
      </c>
      <c r="AF142" s="65" t="inlineStr">
        <is>
          <t>19h30-21h Arabe (Yahya)</t>
        </is>
      </c>
      <c r="AG142" s="65" t="inlineStr">
        <is>
          <t>du 21-09 jusquà le 27-09!H32</t>
        </is>
      </c>
    </row>
    <row r="143" ht="15" customHeight="1">
      <c r="A143" s="68" t="inlineStr">
        <is>
          <t>S2</t>
        </is>
      </c>
      <c r="B143" s="69" t="inlineStr">
        <is>
          <t>du 21 au 27 septembre 2026</t>
        </is>
      </c>
      <c r="C143" s="68" t="inlineStr">
        <is>
          <t>B</t>
        </is>
      </c>
      <c r="D143" s="70" t="n">
        <v>46287</v>
      </c>
      <c r="E143" s="68" t="inlineStr">
        <is>
          <t>Mardi</t>
        </is>
      </c>
      <c r="F143" s="71" t="n">
        <v>0.8125</v>
      </c>
      <c r="G143" s="71" t="n">
        <v>0.875</v>
      </c>
      <c r="H143" s="72">
        <f>IF(OR($F143="",$G143=""),"",($G143-$F143)*24)</f>
        <v/>
      </c>
      <c r="I143" s="68" t="inlineStr">
        <is>
          <t>Collège</t>
        </is>
      </c>
      <c r="J143" s="69" t="inlineStr">
        <is>
          <t>8éme (C)</t>
        </is>
      </c>
      <c r="K143" s="63" t="inlineStr">
        <is>
          <t>Arabe</t>
        </is>
      </c>
      <c r="L143" s="63" t="inlineStr">
        <is>
          <t>Arabe</t>
        </is>
      </c>
      <c r="M143" s="69" t="inlineStr">
        <is>
          <t>Yahya</t>
        </is>
      </c>
      <c r="N143" s="68" t="n"/>
      <c r="O143" s="68" t="n"/>
      <c r="P143" s="68" t="inlineStr">
        <is>
          <t>Hebdomadaire</t>
        </is>
      </c>
      <c r="Q143" s="69" t="inlineStr">
        <is>
          <t>8éme (B) + 8éme (C)</t>
        </is>
      </c>
      <c r="R143" s="68" t="n">
        <v>2</v>
      </c>
      <c r="S143" s="68" t="inlineStr"/>
      <c r="T143" s="68" t="inlineStr">
        <is>
          <t>S2-013</t>
        </is>
      </c>
      <c r="U143" s="69" t="inlineStr">
        <is>
          <t>Original (septembre)</t>
        </is>
      </c>
      <c r="V143" s="69" t="inlineStr"/>
      <c r="W143" s="10" t="n"/>
      <c r="X143" s="10" t="inlineStr"/>
      <c r="Y143" s="64">
        <f>IF($M143="","",IF(SUMPRODUCT(($D$4:$D$863=$D143)*($M$4:$M$863=$M143)*($T$4:$T$863&lt;&gt;$T143)*($F$4:$F$863&lt;$G143)*($G$4:$G$863&gt;$F143))&gt;0,"⚠ CONFLIT",""))</f>
        <v/>
      </c>
      <c r="Z143" s="64">
        <f>IF($J143="","",IF(SUMPRODUCT(($D$4:$D$863=$D143)*($J$4:$J$863=$J143)*($T$4:$T$863&lt;&gt;$T143)*($F$4:$F$863&lt;$G143)*($G$4:$G$863&gt;$F143)*(1-($X$4:$X$863="Oui")*($X143="Oui")))&gt;0,"⚠ CONFLIT",""))</f>
        <v/>
      </c>
      <c r="AA143" s="64">
        <f>IF(COUNTIFS($D$4:$D$863,$D143,$J$4:$J$863,$J143,$F$4:$F$863,$F143,$K$4:$K$863,$K143)&gt;1,"⚠ DOUBLON","")</f>
        <v/>
      </c>
      <c r="AB143" s="64">
        <f>IF(COUNTIF($T$4:$T$863,$T143)&lt;&gt;COUNTIFS($T$4:$T$863,$T143,$D$4:$D$863,$D143,$F$4:$F$863,$F143,$G$4:$G$863,$G143,$K$4:$K$863,$K143,$M$4:$M$863,$M143),"⚠ INCOHÉRENT","")</f>
        <v/>
      </c>
      <c r="AC143" s="64">
        <f>COUNTIFS($A$4:$A143,$A143,$J$4:$J143,$J143,$E$4:$E143,$E143)</f>
        <v/>
      </c>
      <c r="AD143" s="65">
        <f>$A143&amp;"|"&amp;$J143&amp;"|"&amp;$E143&amp;"|"&amp;$AC143</f>
        <v/>
      </c>
      <c r="AE143" s="66">
        <f>IF($W143&lt;&gt;"","⚑ "&amp;$W143&amp;CHAR(10),"")&amp;TEXT($F143,"hh:mm")&amp;"-"&amp;TEXT($G143,"hh:mm")&amp;IF(OR($P143="Quinzaine A",AND($P143="Hebdo · groupes alternés",$C143="A"))," Q-A",IF(OR($P143="Quinzaine B",AND($P143="Hebdo · groupes alternés",$C143="B"))," Q-B",IF($P143="Exception"," PONCT.","")))&amp;IF($X143="Oui"," OPT","")&amp;CHAR(10)&amp;$K143&amp;CHAR(10)&amp;$M143&amp;IF($N143&lt;&gt;"",CHAR(10)&amp;"Salle "&amp;$N143,"")&amp;IF($O143="En ligne",CHAR(10)&amp;"EN LIGNE","")&amp;IF($V143&lt;&gt;"",CHAR(10)&amp;$V143,"")</f>
        <v/>
      </c>
      <c r="AF143" s="65" t="inlineStr">
        <is>
          <t>19h30-21h Arabe (Yahya)</t>
        </is>
      </c>
      <c r="AG143" s="65" t="inlineStr">
        <is>
          <t>du 21-09 jusquà le 27-09!H32</t>
        </is>
      </c>
    </row>
    <row r="144" ht="15" customHeight="1">
      <c r="A144" s="68" t="inlineStr">
        <is>
          <t>S2</t>
        </is>
      </c>
      <c r="B144" s="69" t="inlineStr">
        <is>
          <t>du 21 au 27 septembre 2026</t>
        </is>
      </c>
      <c r="C144" s="68" t="inlineStr">
        <is>
          <t>B</t>
        </is>
      </c>
      <c r="D144" s="70" t="n">
        <v>46287</v>
      </c>
      <c r="E144" s="68" t="inlineStr">
        <is>
          <t>Mardi</t>
        </is>
      </c>
      <c r="F144" s="71" t="n">
        <v>0.7916666666666666</v>
      </c>
      <c r="G144" s="71" t="n">
        <v>0.8541666666666666</v>
      </c>
      <c r="H144" s="72">
        <f>IF(OR($F144="",$G144=""),"",($G144-$F144)*24)</f>
        <v/>
      </c>
      <c r="I144" s="68" t="inlineStr">
        <is>
          <t>Collège</t>
        </is>
      </c>
      <c r="J144" s="69" t="inlineStr">
        <is>
          <t>9éme (A)</t>
        </is>
      </c>
      <c r="K144" s="79" t="inlineStr">
        <is>
          <t>Math</t>
        </is>
      </c>
      <c r="L144" s="79" t="inlineStr">
        <is>
          <t>Math</t>
        </is>
      </c>
      <c r="M144" s="69" t="inlineStr">
        <is>
          <t>Faouzi</t>
        </is>
      </c>
      <c r="N144" s="68" t="n"/>
      <c r="O144" s="68" t="n"/>
      <c r="P144" s="68" t="inlineStr">
        <is>
          <t>Hebdomadaire</t>
        </is>
      </c>
      <c r="Q144" s="69" t="inlineStr"/>
      <c r="R144" s="68" t="n">
        <v>1</v>
      </c>
      <c r="S144" s="68" t="inlineStr">
        <is>
          <t>Oui</t>
        </is>
      </c>
      <c r="T144" s="68" t="inlineStr">
        <is>
          <t>S2-014</t>
        </is>
      </c>
      <c r="U144" s="69" t="inlineStr">
        <is>
          <t>Original (septembre)</t>
        </is>
      </c>
      <c r="V144" s="69" t="inlineStr"/>
      <c r="W144" s="10" t="n"/>
      <c r="X144" s="10" t="inlineStr"/>
      <c r="Y144" s="64">
        <f>IF($M144="","",IF(SUMPRODUCT(($D$4:$D$863=$D144)*($M$4:$M$863=$M144)*($T$4:$T$863&lt;&gt;$T144)*($F$4:$F$863&lt;$G144)*($G$4:$G$863&gt;$F144))&gt;0,"⚠ CONFLIT",""))</f>
        <v/>
      </c>
      <c r="Z144" s="64">
        <f>IF($J144="","",IF(SUMPRODUCT(($D$4:$D$863=$D144)*($J$4:$J$863=$J144)*($T$4:$T$863&lt;&gt;$T144)*($F$4:$F$863&lt;$G144)*($G$4:$G$863&gt;$F144)*(1-($X$4:$X$863="Oui")*($X144="Oui")))&gt;0,"⚠ CONFLIT",""))</f>
        <v/>
      </c>
      <c r="AA144" s="64">
        <f>IF(COUNTIFS($D$4:$D$863,$D144,$J$4:$J$863,$J144,$F$4:$F$863,$F144,$K$4:$K$863,$K144)&gt;1,"⚠ DOUBLON","")</f>
        <v/>
      </c>
      <c r="AB144" s="64">
        <f>IF(COUNTIF($T$4:$T$863,$T144)&lt;&gt;COUNTIFS($T$4:$T$863,$T144,$D$4:$D$863,$D144,$F$4:$F$863,$F144,$G$4:$G$863,$G144,$K$4:$K$863,$K144,$M$4:$M$863,$M144),"⚠ INCOHÉRENT","")</f>
        <v/>
      </c>
      <c r="AC144" s="64">
        <f>COUNTIFS($A$4:$A144,$A144,$J$4:$J144,$J144,$E$4:$E144,$E144)</f>
        <v/>
      </c>
      <c r="AD144" s="65">
        <f>$A144&amp;"|"&amp;$J144&amp;"|"&amp;$E144&amp;"|"&amp;$AC144</f>
        <v/>
      </c>
      <c r="AE144" s="66">
        <f>IF($W144&lt;&gt;"","⚑ "&amp;$W144&amp;CHAR(10),"")&amp;TEXT($F144,"hh:mm")&amp;"-"&amp;TEXT($G144,"hh:mm")&amp;IF(OR($P144="Quinzaine A",AND($P144="Hebdo · groupes alternés",$C144="A"))," Q-A",IF(OR($P144="Quinzaine B",AND($P144="Hebdo · groupes alternés",$C144="B"))," Q-B",IF($P144="Exception"," PONCT.","")))&amp;IF($X144="Oui"," OPT","")&amp;CHAR(10)&amp;$K144&amp;CHAR(10)&amp;$M144&amp;IF($N144&lt;&gt;"",CHAR(10)&amp;"Salle "&amp;$N144,"")&amp;IF($O144="En ligne",CHAR(10)&amp;"EN LIGNE","")&amp;IF($V144&lt;&gt;"",CHAR(10)&amp;$V144,"")</f>
        <v/>
      </c>
      <c r="AF144" s="65" t="inlineStr">
        <is>
          <t>19h-20h30 Math (Faouzi)</t>
        </is>
      </c>
      <c r="AG144" s="65" t="inlineStr">
        <is>
          <t>du 21-09 jusquà le 27-09!H37</t>
        </is>
      </c>
    </row>
    <row r="145" ht="15" customHeight="1">
      <c r="A145" s="68" t="inlineStr">
        <is>
          <t>S2</t>
        </is>
      </c>
      <c r="B145" s="69" t="inlineStr">
        <is>
          <t>du 21 au 27 septembre 2026</t>
        </is>
      </c>
      <c r="C145" s="68" t="inlineStr">
        <is>
          <t>B</t>
        </is>
      </c>
      <c r="D145" s="70" t="n">
        <v>46287</v>
      </c>
      <c r="E145" s="68" t="inlineStr">
        <is>
          <t>Mardi</t>
        </is>
      </c>
      <c r="F145" s="71" t="n">
        <v>0.8020833333333334</v>
      </c>
      <c r="G145" s="71" t="n">
        <v>0.8645833333333334</v>
      </c>
      <c r="H145" s="72">
        <f>IF(OR($F145="",$G145=""),"",($G145-$F145)*24)</f>
        <v/>
      </c>
      <c r="I145" s="68" t="inlineStr">
        <is>
          <t>Collège</t>
        </is>
      </c>
      <c r="J145" s="69" t="inlineStr">
        <is>
          <t>9éme (B)</t>
        </is>
      </c>
      <c r="K145" s="88" t="inlineStr">
        <is>
          <t>SVT</t>
        </is>
      </c>
      <c r="L145" s="88" t="inlineStr">
        <is>
          <t>SVT</t>
        </is>
      </c>
      <c r="M145" s="69" t="inlineStr">
        <is>
          <t>Imen Jribi</t>
        </is>
      </c>
      <c r="N145" s="68" t="n"/>
      <c r="O145" s="68" t="n"/>
      <c r="P145" s="68" t="inlineStr">
        <is>
          <t>Hebdomadaire</t>
        </is>
      </c>
      <c r="Q145" s="69" t="inlineStr"/>
      <c r="R145" s="68" t="n">
        <v>1</v>
      </c>
      <c r="S145" s="68" t="inlineStr">
        <is>
          <t>Oui</t>
        </is>
      </c>
      <c r="T145" s="68" t="inlineStr">
        <is>
          <t>S2-015</t>
        </is>
      </c>
      <c r="U145" s="69" t="inlineStr">
        <is>
          <t>Original (septembre)</t>
        </is>
      </c>
      <c r="V145" s="69" t="inlineStr"/>
      <c r="W145" s="10" t="n"/>
      <c r="X145" s="10" t="inlineStr"/>
      <c r="Y145" s="64">
        <f>IF($M145="","",IF(SUMPRODUCT(($D$4:$D$863=$D145)*($M$4:$M$863=$M145)*($T$4:$T$863&lt;&gt;$T145)*($F$4:$F$863&lt;$G145)*($G$4:$G$863&gt;$F145))&gt;0,"⚠ CONFLIT",""))</f>
        <v/>
      </c>
      <c r="Z145" s="64">
        <f>IF($J145="","",IF(SUMPRODUCT(($D$4:$D$863=$D145)*($J$4:$J$863=$J145)*($T$4:$T$863&lt;&gt;$T145)*($F$4:$F$863&lt;$G145)*($G$4:$G$863&gt;$F145)*(1-($X$4:$X$863="Oui")*($X145="Oui")))&gt;0,"⚠ CONFLIT",""))</f>
        <v/>
      </c>
      <c r="AA145" s="64">
        <f>IF(COUNTIFS($D$4:$D$863,$D145,$J$4:$J$863,$J145,$F$4:$F$863,$F145,$K$4:$K$863,$K145)&gt;1,"⚠ DOUBLON","")</f>
        <v/>
      </c>
      <c r="AB145" s="64">
        <f>IF(COUNTIF($T$4:$T$863,$T145)&lt;&gt;COUNTIFS($T$4:$T$863,$T145,$D$4:$D$863,$D145,$F$4:$F$863,$F145,$G$4:$G$863,$G145,$K$4:$K$863,$K145,$M$4:$M$863,$M145),"⚠ INCOHÉRENT","")</f>
        <v/>
      </c>
      <c r="AC145" s="64">
        <f>COUNTIFS($A$4:$A145,$A145,$J$4:$J145,$J145,$E$4:$E145,$E145)</f>
        <v/>
      </c>
      <c r="AD145" s="65">
        <f>$A145&amp;"|"&amp;$J145&amp;"|"&amp;$E145&amp;"|"&amp;$AC145</f>
        <v/>
      </c>
      <c r="AE145" s="66">
        <f>IF($W145&lt;&gt;"","⚑ "&amp;$W145&amp;CHAR(10),"")&amp;TEXT($F145,"hh:mm")&amp;"-"&amp;TEXT($G145,"hh:mm")&amp;IF(OR($P145="Quinzaine A",AND($P145="Hebdo · groupes alternés",$C145="A"))," Q-A",IF(OR($P145="Quinzaine B",AND($P145="Hebdo · groupes alternés",$C145="B"))," Q-B",IF($P145="Exception"," PONCT.","")))&amp;IF($X145="Oui"," OPT","")&amp;CHAR(10)&amp;$K145&amp;CHAR(10)&amp;$M145&amp;IF($N145&lt;&gt;"",CHAR(10)&amp;"Salle "&amp;$N145,"")&amp;IF($O145="En ligne",CHAR(10)&amp;"EN LIGNE","")&amp;IF($V145&lt;&gt;"",CHAR(10)&amp;$V145,"")</f>
        <v/>
      </c>
      <c r="AF145" s="65" t="inlineStr">
        <is>
          <t>19h15-20h45 SVT (Imen Jribi)</t>
        </is>
      </c>
      <c r="AG145" s="65" t="inlineStr">
        <is>
          <t>du 21-09 jusquà le 27-09!H44</t>
        </is>
      </c>
    </row>
    <row r="146" ht="15" customHeight="1">
      <c r="A146" s="74" t="inlineStr">
        <is>
          <t>S2</t>
        </is>
      </c>
      <c r="B146" s="75" t="inlineStr">
        <is>
          <t>du 21 au 27 septembre 2026</t>
        </is>
      </c>
      <c r="C146" s="74" t="inlineStr">
        <is>
          <t>B</t>
        </is>
      </c>
      <c r="D146" s="76" t="n">
        <v>46287</v>
      </c>
      <c r="E146" s="74" t="inlineStr">
        <is>
          <t>Mardi</t>
        </is>
      </c>
      <c r="F146" s="77" t="n">
        <v>0.8125</v>
      </c>
      <c r="G146" s="77" t="n">
        <v>0.875</v>
      </c>
      <c r="H146" s="78">
        <f>IF(OR($F146="",$G146=""),"",($G146-$F146)*24)</f>
        <v/>
      </c>
      <c r="I146" s="74" t="inlineStr">
        <is>
          <t>Secondaire</t>
        </is>
      </c>
      <c r="J146" s="75" t="inlineStr">
        <is>
          <t>1ére (A)</t>
        </is>
      </c>
      <c r="K146" s="67" t="inlineStr">
        <is>
          <t>Français</t>
        </is>
      </c>
      <c r="L146" s="67" t="inlineStr">
        <is>
          <t>Français</t>
        </is>
      </c>
      <c r="M146" s="75" t="inlineStr">
        <is>
          <t>Nassima</t>
        </is>
      </c>
      <c r="N146" s="74" t="n"/>
      <c r="O146" s="74" t="n"/>
      <c r="P146" s="74" t="inlineStr">
        <is>
          <t>Hebdomadaire</t>
        </is>
      </c>
      <c r="Q146" s="75" t="inlineStr"/>
      <c r="R146" s="74" t="n">
        <v>1</v>
      </c>
      <c r="S146" s="74" t="inlineStr">
        <is>
          <t>Oui</t>
        </is>
      </c>
      <c r="T146" s="74" t="inlineStr">
        <is>
          <t>S2-016</t>
        </is>
      </c>
      <c r="U146" s="75" t="inlineStr">
        <is>
          <t>Original (septembre)</t>
        </is>
      </c>
      <c r="V146" s="75" t="inlineStr"/>
      <c r="W146" s="10" t="n"/>
      <c r="X146" s="10" t="inlineStr"/>
      <c r="Y146" s="64">
        <f>IF($M146="","",IF(SUMPRODUCT(($D$4:$D$863=$D146)*($M$4:$M$863=$M146)*($T$4:$T$863&lt;&gt;$T146)*($F$4:$F$863&lt;$G146)*($G$4:$G$863&gt;$F146))&gt;0,"⚠ CONFLIT",""))</f>
        <v/>
      </c>
      <c r="Z146" s="64">
        <f>IF($J146="","",IF(SUMPRODUCT(($D$4:$D$863=$D146)*($J$4:$J$863=$J146)*($T$4:$T$863&lt;&gt;$T146)*($F$4:$F$863&lt;$G146)*($G$4:$G$863&gt;$F146)*(1-($X$4:$X$863="Oui")*($X146="Oui")))&gt;0,"⚠ CONFLIT",""))</f>
        <v/>
      </c>
      <c r="AA146" s="64">
        <f>IF(COUNTIFS($D$4:$D$863,$D146,$J$4:$J$863,$J146,$F$4:$F$863,$F146,$K$4:$K$863,$K146)&gt;1,"⚠ DOUBLON","")</f>
        <v/>
      </c>
      <c r="AB146" s="64">
        <f>IF(COUNTIF($T$4:$T$863,$T146)&lt;&gt;COUNTIFS($T$4:$T$863,$T146,$D$4:$D$863,$D146,$F$4:$F$863,$F146,$G$4:$G$863,$G146,$K$4:$K$863,$K146,$M$4:$M$863,$M146),"⚠ INCOHÉRENT","")</f>
        <v/>
      </c>
      <c r="AC146" s="64">
        <f>COUNTIFS($A$4:$A146,$A146,$J$4:$J146,$J146,$E$4:$E146,$E146)</f>
        <v/>
      </c>
      <c r="AD146" s="65">
        <f>$A146&amp;"|"&amp;$J146&amp;"|"&amp;$E146&amp;"|"&amp;$AC146</f>
        <v/>
      </c>
      <c r="AE146" s="66">
        <f>IF($W146&lt;&gt;"","⚑ "&amp;$W146&amp;CHAR(10),"")&amp;TEXT($F146,"hh:mm")&amp;"-"&amp;TEXT($G146,"hh:mm")&amp;IF(OR($P146="Quinzaine A",AND($P146="Hebdo · groupes alternés",$C146="A"))," Q-A",IF(OR($P146="Quinzaine B",AND($P146="Hebdo · groupes alternés",$C146="B"))," Q-B",IF($P146="Exception"," PONCT.","")))&amp;IF($X146="Oui"," OPT","")&amp;CHAR(10)&amp;$K146&amp;CHAR(10)&amp;$M146&amp;IF($N146&lt;&gt;"",CHAR(10)&amp;"Salle "&amp;$N146,"")&amp;IF($O146="En ligne",CHAR(10)&amp;"EN LIGNE","")&amp;IF($V146&lt;&gt;"",CHAR(10)&amp;$V146,"")</f>
        <v/>
      </c>
      <c r="AF146" s="65" t="inlineStr">
        <is>
          <t>19h30-21h Français (Nassima)</t>
        </is>
      </c>
      <c r="AG146" s="65" t="inlineStr">
        <is>
          <t>du 21-09 jusquà le 27-09!H49</t>
        </is>
      </c>
    </row>
    <row r="147" ht="15" customHeight="1">
      <c r="A147" s="74" t="inlineStr">
        <is>
          <t>S2</t>
        </is>
      </c>
      <c r="B147" s="75" t="inlineStr">
        <is>
          <t>du 21 au 27 septembre 2026</t>
        </is>
      </c>
      <c r="C147" s="74" t="inlineStr">
        <is>
          <t>B</t>
        </is>
      </c>
      <c r="D147" s="76" t="n">
        <v>46287</v>
      </c>
      <c r="E147" s="74" t="inlineStr">
        <is>
          <t>Mardi</t>
        </is>
      </c>
      <c r="F147" s="77" t="n">
        <v>0.8125</v>
      </c>
      <c r="G147" s="77" t="n">
        <v>0.875</v>
      </c>
      <c r="H147" s="78">
        <f>IF(OR($F147="",$G147=""),"",($G147-$F147)*24)</f>
        <v/>
      </c>
      <c r="I147" s="74" t="inlineStr">
        <is>
          <t>Secondaire</t>
        </is>
      </c>
      <c r="J147" s="75" t="inlineStr">
        <is>
          <t>1ére (B)</t>
        </is>
      </c>
      <c r="K147" s="79" t="inlineStr">
        <is>
          <t>Math</t>
        </is>
      </c>
      <c r="L147" s="79" t="inlineStr">
        <is>
          <t>Math</t>
        </is>
      </c>
      <c r="M147" s="75" t="inlineStr">
        <is>
          <t>Haythem</t>
        </is>
      </c>
      <c r="N147" s="74" t="n"/>
      <c r="O147" s="74" t="n"/>
      <c r="P147" s="74" t="inlineStr">
        <is>
          <t>Hebdomadaire</t>
        </is>
      </c>
      <c r="Q147" s="75" t="inlineStr"/>
      <c r="R147" s="74" t="n">
        <v>1</v>
      </c>
      <c r="S147" s="74" t="inlineStr">
        <is>
          <t>Oui</t>
        </is>
      </c>
      <c r="T147" s="74" t="inlineStr">
        <is>
          <t>S2-017</t>
        </is>
      </c>
      <c r="U147" s="75" t="inlineStr">
        <is>
          <t>Original (septembre)</t>
        </is>
      </c>
      <c r="V147" s="75" t="inlineStr"/>
      <c r="W147" s="10" t="n"/>
      <c r="X147" s="10" t="inlineStr"/>
      <c r="Y147" s="64">
        <f>IF($M147="","",IF(SUMPRODUCT(($D$4:$D$863=$D147)*($M$4:$M$863=$M147)*($T$4:$T$863&lt;&gt;$T147)*($F$4:$F$863&lt;$G147)*($G$4:$G$863&gt;$F147))&gt;0,"⚠ CONFLIT",""))</f>
        <v/>
      </c>
      <c r="Z147" s="64">
        <f>IF($J147="","",IF(SUMPRODUCT(($D$4:$D$863=$D147)*($J$4:$J$863=$J147)*($T$4:$T$863&lt;&gt;$T147)*($F$4:$F$863&lt;$G147)*($G$4:$G$863&gt;$F147)*(1-($X$4:$X$863="Oui")*($X147="Oui")))&gt;0,"⚠ CONFLIT",""))</f>
        <v/>
      </c>
      <c r="AA147" s="64">
        <f>IF(COUNTIFS($D$4:$D$863,$D147,$J$4:$J$863,$J147,$F$4:$F$863,$F147,$K$4:$K$863,$K147)&gt;1,"⚠ DOUBLON","")</f>
        <v/>
      </c>
      <c r="AB147" s="64">
        <f>IF(COUNTIF($T$4:$T$863,$T147)&lt;&gt;COUNTIFS($T$4:$T$863,$T147,$D$4:$D$863,$D147,$F$4:$F$863,$F147,$G$4:$G$863,$G147,$K$4:$K$863,$K147,$M$4:$M$863,$M147),"⚠ INCOHÉRENT","")</f>
        <v/>
      </c>
      <c r="AC147" s="64">
        <f>COUNTIFS($A$4:$A147,$A147,$J$4:$J147,$J147,$E$4:$E147,$E147)</f>
        <v/>
      </c>
      <c r="AD147" s="65">
        <f>$A147&amp;"|"&amp;$J147&amp;"|"&amp;$E147&amp;"|"&amp;$AC147</f>
        <v/>
      </c>
      <c r="AE147" s="66">
        <f>IF($W147&lt;&gt;"","⚑ "&amp;$W147&amp;CHAR(10),"")&amp;TEXT($F147,"hh:mm")&amp;"-"&amp;TEXT($G147,"hh:mm")&amp;IF(OR($P147="Quinzaine A",AND($P147="Hebdo · groupes alternés",$C147="A"))," Q-A",IF(OR($P147="Quinzaine B",AND($P147="Hebdo · groupes alternés",$C147="B"))," Q-B",IF($P147="Exception"," PONCT.","")))&amp;IF($X147="Oui"," OPT","")&amp;CHAR(10)&amp;$K147&amp;CHAR(10)&amp;$M147&amp;IF($N147&lt;&gt;"",CHAR(10)&amp;"Salle "&amp;$N147,"")&amp;IF($O147="En ligne",CHAR(10)&amp;"EN LIGNE","")&amp;IF($V147&lt;&gt;"",CHAR(10)&amp;$V147,"")</f>
        <v/>
      </c>
      <c r="AF147" s="65" t="inlineStr">
        <is>
          <t>19h30-21h Math (Haythem)</t>
        </is>
      </c>
      <c r="AG147" s="65" t="inlineStr">
        <is>
          <t>du 21-09 jusquà le 27-09!H54</t>
        </is>
      </c>
    </row>
    <row r="148" ht="15" customHeight="1">
      <c r="A148" s="74" t="inlineStr">
        <is>
          <t>S2</t>
        </is>
      </c>
      <c r="B148" s="75" t="inlineStr">
        <is>
          <t>du 21 au 27 septembre 2026</t>
        </is>
      </c>
      <c r="C148" s="74" t="inlineStr">
        <is>
          <t>B</t>
        </is>
      </c>
      <c r="D148" s="76" t="n">
        <v>46287</v>
      </c>
      <c r="E148" s="74" t="inlineStr">
        <is>
          <t>Mardi</t>
        </is>
      </c>
      <c r="F148" s="77" t="n">
        <v>0.8125</v>
      </c>
      <c r="G148" s="77" t="n">
        <v>0.875</v>
      </c>
      <c r="H148" s="78">
        <f>IF(OR($F148="",$G148=""),"",($G148-$F148)*24)</f>
        <v/>
      </c>
      <c r="I148" s="74" t="inlineStr">
        <is>
          <t>Secondaire</t>
        </is>
      </c>
      <c r="J148" s="75" t="inlineStr">
        <is>
          <t>2éme Eco</t>
        </is>
      </c>
      <c r="K148" s="63" t="inlineStr">
        <is>
          <t>Arabe</t>
        </is>
      </c>
      <c r="L148" s="63" t="inlineStr">
        <is>
          <t>Arabe</t>
        </is>
      </c>
      <c r="M148" s="75" t="inlineStr">
        <is>
          <t>Najet</t>
        </is>
      </c>
      <c r="N148" s="74" t="n"/>
      <c r="O148" s="74" t="n"/>
      <c r="P148" s="74" t="inlineStr">
        <is>
          <t>Quinzaine B</t>
        </is>
      </c>
      <c r="Q148" s="75" t="inlineStr">
        <is>
          <t>2éme Eco + 2éme SCE + 2éme INFO</t>
        </is>
      </c>
      <c r="R148" s="74" t="n">
        <v>3</v>
      </c>
      <c r="S148" s="74" t="inlineStr">
        <is>
          <t>Oui</t>
        </is>
      </c>
      <c r="T148" s="74" t="inlineStr">
        <is>
          <t>S2-018</t>
        </is>
      </c>
      <c r="U148" s="75" t="inlineStr">
        <is>
          <t>Original (septembre)</t>
        </is>
      </c>
      <c r="V148" s="75" t="inlineStr"/>
      <c r="W148" s="10" t="n"/>
      <c r="X148" s="10" t="inlineStr"/>
      <c r="Y148" s="64">
        <f>IF($M148="","",IF(SUMPRODUCT(($D$4:$D$863=$D148)*($M$4:$M$863=$M148)*($T$4:$T$863&lt;&gt;$T148)*($F$4:$F$863&lt;$G148)*($G$4:$G$863&gt;$F148))&gt;0,"⚠ CONFLIT",""))</f>
        <v/>
      </c>
      <c r="Z148" s="64">
        <f>IF($J148="","",IF(SUMPRODUCT(($D$4:$D$863=$D148)*($J$4:$J$863=$J148)*($T$4:$T$863&lt;&gt;$T148)*($F$4:$F$863&lt;$G148)*($G$4:$G$863&gt;$F148)*(1-($X$4:$X$863="Oui")*($X148="Oui")))&gt;0,"⚠ CONFLIT",""))</f>
        <v/>
      </c>
      <c r="AA148" s="64">
        <f>IF(COUNTIFS($D$4:$D$863,$D148,$J$4:$J$863,$J148,$F$4:$F$863,$F148,$K$4:$K$863,$K148)&gt;1,"⚠ DOUBLON","")</f>
        <v/>
      </c>
      <c r="AB148" s="64">
        <f>IF(COUNTIF($T$4:$T$863,$T148)&lt;&gt;COUNTIFS($T$4:$T$863,$T148,$D$4:$D$863,$D148,$F$4:$F$863,$F148,$G$4:$G$863,$G148,$K$4:$K$863,$K148,$M$4:$M$863,$M148),"⚠ INCOHÉRENT","")</f>
        <v/>
      </c>
      <c r="AC148" s="64">
        <f>COUNTIFS($A$4:$A148,$A148,$J$4:$J148,$J148,$E$4:$E148,$E148)</f>
        <v/>
      </c>
      <c r="AD148" s="65">
        <f>$A148&amp;"|"&amp;$J148&amp;"|"&amp;$E148&amp;"|"&amp;$AC148</f>
        <v/>
      </c>
      <c r="AE148" s="66">
        <f>IF($W148&lt;&gt;"","⚑ "&amp;$W148&amp;CHAR(10),"")&amp;TEXT($F148,"hh:mm")&amp;"-"&amp;TEXT($G148,"hh:mm")&amp;IF(OR($P148="Quinzaine A",AND($P148="Hebdo · groupes alternés",$C148="A"))," Q-A",IF(OR($P148="Quinzaine B",AND($P148="Hebdo · groupes alternés",$C148="B"))," Q-B",IF($P148="Exception"," PONCT.","")))&amp;IF($X148="Oui"," OPT","")&amp;CHAR(10)&amp;$K148&amp;CHAR(10)&amp;$M148&amp;IF($N148&lt;&gt;"",CHAR(10)&amp;"Salle "&amp;$N148,"")&amp;IF($O148="En ligne",CHAR(10)&amp;"EN LIGNE","")&amp;IF($V148&lt;&gt;"",CHAR(10)&amp;$V148,"")</f>
        <v/>
      </c>
      <c r="AF148" s="65" t="inlineStr">
        <is>
          <t>19h30-21h Arabe (Najet) /par quinzaine</t>
        </is>
      </c>
      <c r="AG148" s="65" t="inlineStr">
        <is>
          <t>du 21-09 jusquà le 27-09!H60</t>
        </is>
      </c>
    </row>
    <row r="149" ht="15" customHeight="1">
      <c r="A149" s="74" t="inlineStr">
        <is>
          <t>S2</t>
        </is>
      </c>
      <c r="B149" s="75" t="inlineStr">
        <is>
          <t>du 21 au 27 septembre 2026</t>
        </is>
      </c>
      <c r="C149" s="74" t="inlineStr">
        <is>
          <t>B</t>
        </is>
      </c>
      <c r="D149" s="76" t="n">
        <v>46287</v>
      </c>
      <c r="E149" s="74" t="inlineStr">
        <is>
          <t>Mardi</t>
        </is>
      </c>
      <c r="F149" s="77" t="n">
        <v>0.8125</v>
      </c>
      <c r="G149" s="77" t="n">
        <v>0.875</v>
      </c>
      <c r="H149" s="78">
        <f>IF(OR($F149="",$G149=""),"",($G149-$F149)*24)</f>
        <v/>
      </c>
      <c r="I149" s="74" t="inlineStr">
        <is>
          <t>Secondaire</t>
        </is>
      </c>
      <c r="J149" s="75" t="inlineStr">
        <is>
          <t>2éme SCE</t>
        </is>
      </c>
      <c r="K149" s="63" t="inlineStr">
        <is>
          <t>Arabe</t>
        </is>
      </c>
      <c r="L149" s="63" t="inlineStr">
        <is>
          <t>Arabe</t>
        </is>
      </c>
      <c r="M149" s="75" t="inlineStr">
        <is>
          <t>Najet</t>
        </is>
      </c>
      <c r="N149" s="74" t="n"/>
      <c r="O149" s="74" t="n"/>
      <c r="P149" s="74" t="inlineStr">
        <is>
          <t>Quinzaine B</t>
        </is>
      </c>
      <c r="Q149" s="75" t="inlineStr">
        <is>
          <t>2éme Eco + 2éme SCE + 2éme INFO</t>
        </is>
      </c>
      <c r="R149" s="74" t="n">
        <v>3</v>
      </c>
      <c r="S149" s="74" t="inlineStr"/>
      <c r="T149" s="74" t="inlineStr">
        <is>
          <t>S2-018</t>
        </is>
      </c>
      <c r="U149" s="75" t="inlineStr">
        <is>
          <t>Original (septembre)</t>
        </is>
      </c>
      <c r="V149" s="75" t="inlineStr"/>
      <c r="W149" s="10" t="n"/>
      <c r="X149" s="10" t="inlineStr"/>
      <c r="Y149" s="64">
        <f>IF($M149="","",IF(SUMPRODUCT(($D$4:$D$863=$D149)*($M$4:$M$863=$M149)*($T$4:$T$863&lt;&gt;$T149)*($F$4:$F$863&lt;$G149)*($G$4:$G$863&gt;$F149))&gt;0,"⚠ CONFLIT",""))</f>
        <v/>
      </c>
      <c r="Z149" s="64">
        <f>IF($J149="","",IF(SUMPRODUCT(($D$4:$D$863=$D149)*($J$4:$J$863=$J149)*($T$4:$T$863&lt;&gt;$T149)*($F$4:$F$863&lt;$G149)*($G$4:$G$863&gt;$F149)*(1-($X$4:$X$863="Oui")*($X149="Oui")))&gt;0,"⚠ CONFLIT",""))</f>
        <v/>
      </c>
      <c r="AA149" s="64">
        <f>IF(COUNTIFS($D$4:$D$863,$D149,$J$4:$J$863,$J149,$F$4:$F$863,$F149,$K$4:$K$863,$K149)&gt;1,"⚠ DOUBLON","")</f>
        <v/>
      </c>
      <c r="AB149" s="64">
        <f>IF(COUNTIF($T$4:$T$863,$T149)&lt;&gt;COUNTIFS($T$4:$T$863,$T149,$D$4:$D$863,$D149,$F$4:$F$863,$F149,$G$4:$G$863,$G149,$K$4:$K$863,$K149,$M$4:$M$863,$M149),"⚠ INCOHÉRENT","")</f>
        <v/>
      </c>
      <c r="AC149" s="64">
        <f>COUNTIFS($A$4:$A149,$A149,$J$4:$J149,$J149,$E$4:$E149,$E149)</f>
        <v/>
      </c>
      <c r="AD149" s="65">
        <f>$A149&amp;"|"&amp;$J149&amp;"|"&amp;$E149&amp;"|"&amp;$AC149</f>
        <v/>
      </c>
      <c r="AE149" s="66">
        <f>IF($W149&lt;&gt;"","⚑ "&amp;$W149&amp;CHAR(10),"")&amp;TEXT($F149,"hh:mm")&amp;"-"&amp;TEXT($G149,"hh:mm")&amp;IF(OR($P149="Quinzaine A",AND($P149="Hebdo · groupes alternés",$C149="A"))," Q-A",IF(OR($P149="Quinzaine B",AND($P149="Hebdo · groupes alternés",$C149="B"))," Q-B",IF($P149="Exception"," PONCT.","")))&amp;IF($X149="Oui"," OPT","")&amp;CHAR(10)&amp;$K149&amp;CHAR(10)&amp;$M149&amp;IF($N149&lt;&gt;"",CHAR(10)&amp;"Salle "&amp;$N149,"")&amp;IF($O149="En ligne",CHAR(10)&amp;"EN LIGNE","")&amp;IF($V149&lt;&gt;"",CHAR(10)&amp;$V149,"")</f>
        <v/>
      </c>
      <c r="AF149" s="65" t="inlineStr">
        <is>
          <t>19h30-21h Arabe (Najet) /par quinzaine</t>
        </is>
      </c>
      <c r="AG149" s="65" t="inlineStr">
        <is>
          <t>du 21-09 jusquà le 27-09!H60</t>
        </is>
      </c>
    </row>
    <row r="150" ht="15" customHeight="1">
      <c r="A150" s="74" t="inlineStr">
        <is>
          <t>S2</t>
        </is>
      </c>
      <c r="B150" s="75" t="inlineStr">
        <is>
          <t>du 21 au 27 septembre 2026</t>
        </is>
      </c>
      <c r="C150" s="74" t="inlineStr">
        <is>
          <t>B</t>
        </is>
      </c>
      <c r="D150" s="76" t="n">
        <v>46287</v>
      </c>
      <c r="E150" s="74" t="inlineStr">
        <is>
          <t>Mardi</t>
        </is>
      </c>
      <c r="F150" s="77" t="n">
        <v>0.8125</v>
      </c>
      <c r="G150" s="77" t="n">
        <v>0.875</v>
      </c>
      <c r="H150" s="78">
        <f>IF(OR($F150="",$G150=""),"",($G150-$F150)*24)</f>
        <v/>
      </c>
      <c r="I150" s="74" t="inlineStr">
        <is>
          <t>Secondaire</t>
        </is>
      </c>
      <c r="J150" s="75" t="inlineStr">
        <is>
          <t>2éme INFO</t>
        </is>
      </c>
      <c r="K150" s="63" t="inlineStr">
        <is>
          <t>Arabe</t>
        </is>
      </c>
      <c r="L150" s="63" t="inlineStr">
        <is>
          <t>Arabe</t>
        </is>
      </c>
      <c r="M150" s="75" t="inlineStr">
        <is>
          <t>Najet</t>
        </is>
      </c>
      <c r="N150" s="74" t="n"/>
      <c r="O150" s="74" t="n"/>
      <c r="P150" s="74" t="inlineStr">
        <is>
          <t>Quinzaine B</t>
        </is>
      </c>
      <c r="Q150" s="75" t="inlineStr">
        <is>
          <t>2éme Eco + 2éme SCE + 2éme INFO</t>
        </is>
      </c>
      <c r="R150" s="74" t="n">
        <v>3</v>
      </c>
      <c r="S150" s="74" t="inlineStr"/>
      <c r="T150" s="74" t="inlineStr">
        <is>
          <t>S2-018</t>
        </is>
      </c>
      <c r="U150" s="75" t="inlineStr">
        <is>
          <t>Original (septembre)</t>
        </is>
      </c>
      <c r="V150" s="75" t="inlineStr"/>
      <c r="W150" s="10" t="n"/>
      <c r="X150" s="10" t="inlineStr"/>
      <c r="Y150" s="64">
        <f>IF($M150="","",IF(SUMPRODUCT(($D$4:$D$863=$D150)*($M$4:$M$863=$M150)*($T$4:$T$863&lt;&gt;$T150)*($F$4:$F$863&lt;$G150)*($G$4:$G$863&gt;$F150))&gt;0,"⚠ CONFLIT",""))</f>
        <v/>
      </c>
      <c r="Z150" s="64">
        <f>IF($J150="","",IF(SUMPRODUCT(($D$4:$D$863=$D150)*($J$4:$J$863=$J150)*($T$4:$T$863&lt;&gt;$T150)*($F$4:$F$863&lt;$G150)*($G$4:$G$863&gt;$F150)*(1-($X$4:$X$863="Oui")*($X150="Oui")))&gt;0,"⚠ CONFLIT",""))</f>
        <v/>
      </c>
      <c r="AA150" s="64">
        <f>IF(COUNTIFS($D$4:$D$863,$D150,$J$4:$J$863,$J150,$F$4:$F$863,$F150,$K$4:$K$863,$K150)&gt;1,"⚠ DOUBLON","")</f>
        <v/>
      </c>
      <c r="AB150" s="64">
        <f>IF(COUNTIF($T$4:$T$863,$T150)&lt;&gt;COUNTIFS($T$4:$T$863,$T150,$D$4:$D$863,$D150,$F$4:$F$863,$F150,$G$4:$G$863,$G150,$K$4:$K$863,$K150,$M$4:$M$863,$M150),"⚠ INCOHÉRENT","")</f>
        <v/>
      </c>
      <c r="AC150" s="64">
        <f>COUNTIFS($A$4:$A150,$A150,$J$4:$J150,$J150,$E$4:$E150,$E150)</f>
        <v/>
      </c>
      <c r="AD150" s="65">
        <f>$A150&amp;"|"&amp;$J150&amp;"|"&amp;$E150&amp;"|"&amp;$AC150</f>
        <v/>
      </c>
      <c r="AE150" s="66">
        <f>IF($W150&lt;&gt;"","⚑ "&amp;$W150&amp;CHAR(10),"")&amp;TEXT($F150,"hh:mm")&amp;"-"&amp;TEXT($G150,"hh:mm")&amp;IF(OR($P150="Quinzaine A",AND($P150="Hebdo · groupes alternés",$C150="A"))," Q-A",IF(OR($P150="Quinzaine B",AND($P150="Hebdo · groupes alternés",$C150="B"))," Q-B",IF($P150="Exception"," PONCT.","")))&amp;IF($X150="Oui"," OPT","")&amp;CHAR(10)&amp;$K150&amp;CHAR(10)&amp;$M150&amp;IF($N150&lt;&gt;"",CHAR(10)&amp;"Salle "&amp;$N150,"")&amp;IF($O150="En ligne",CHAR(10)&amp;"EN LIGNE","")&amp;IF($V150&lt;&gt;"",CHAR(10)&amp;$V150,"")</f>
        <v/>
      </c>
      <c r="AF150" s="65" t="inlineStr">
        <is>
          <t>19h30-21h Arabe (Najet) /par quinzaine</t>
        </is>
      </c>
      <c r="AG150" s="65" t="inlineStr">
        <is>
          <t>du 21-09 jusquà le 27-09!H60</t>
        </is>
      </c>
    </row>
    <row r="151" ht="15" customHeight="1">
      <c r="A151" s="74" t="inlineStr">
        <is>
          <t>S2</t>
        </is>
      </c>
      <c r="B151" s="75" t="inlineStr">
        <is>
          <t>du 21 au 27 septembre 2026</t>
        </is>
      </c>
      <c r="C151" s="74" t="inlineStr">
        <is>
          <t>B</t>
        </is>
      </c>
      <c r="D151" s="76" t="n">
        <v>46287</v>
      </c>
      <c r="E151" s="74" t="inlineStr">
        <is>
          <t>Mardi</t>
        </is>
      </c>
      <c r="F151" s="77" t="n">
        <v>0.8020833333333334</v>
      </c>
      <c r="G151" s="77" t="n">
        <v>0.8645833333333334</v>
      </c>
      <c r="H151" s="78">
        <f>IF(OR($F151="",$G151=""),"",($G151-$F151)*24)</f>
        <v/>
      </c>
      <c r="I151" s="74" t="inlineStr">
        <is>
          <t>Secondaire</t>
        </is>
      </c>
      <c r="J151" s="75" t="inlineStr">
        <is>
          <t>3éme Eco</t>
        </is>
      </c>
      <c r="K151" s="89" t="inlineStr">
        <is>
          <t>Espagnol</t>
        </is>
      </c>
      <c r="L151" s="89" t="inlineStr">
        <is>
          <t>Espagnol</t>
        </is>
      </c>
      <c r="M151" s="75" t="inlineStr">
        <is>
          <t>Imen</t>
        </is>
      </c>
      <c r="N151" s="74" t="n"/>
      <c r="O151" s="74" t="n"/>
      <c r="P151" s="74" t="inlineStr">
        <is>
          <t>Hebdo · groupes alternés</t>
        </is>
      </c>
      <c r="Q151" s="75" t="inlineStr">
        <is>
          <t>3éme Eco + 3éme INFO</t>
        </is>
      </c>
      <c r="R151" s="74" t="n">
        <v>2</v>
      </c>
      <c r="S151" s="74" t="inlineStr">
        <is>
          <t>Oui</t>
        </is>
      </c>
      <c r="T151" s="74" t="inlineStr">
        <is>
          <t>S2-019</t>
        </is>
      </c>
      <c r="U151" s="75" t="inlineStr">
        <is>
          <t>Original (septembre)</t>
        </is>
      </c>
      <c r="V151" s="75" t="inlineStr"/>
      <c r="W151" s="10" t="n"/>
      <c r="X151" s="10" t="inlineStr">
        <is>
          <t>Oui</t>
        </is>
      </c>
      <c r="Y151" s="64">
        <f>IF($M151="","",IF(SUMPRODUCT(($D$4:$D$863=$D151)*($M$4:$M$863=$M151)*($T$4:$T$863&lt;&gt;$T151)*($F$4:$F$863&lt;$G151)*($G$4:$G$863&gt;$F151))&gt;0,"⚠ CONFLIT",""))</f>
        <v/>
      </c>
      <c r="Z151" s="64">
        <f>IF($J151="","",IF(SUMPRODUCT(($D$4:$D$863=$D151)*($J$4:$J$863=$J151)*($T$4:$T$863&lt;&gt;$T151)*($F$4:$F$863&lt;$G151)*($G$4:$G$863&gt;$F151)*(1-($X$4:$X$863="Oui")*($X151="Oui")))&gt;0,"⚠ CONFLIT",""))</f>
        <v/>
      </c>
      <c r="AA151" s="64">
        <f>IF(COUNTIFS($D$4:$D$863,$D151,$J$4:$J$863,$J151,$F$4:$F$863,$F151,$K$4:$K$863,$K151)&gt;1,"⚠ DOUBLON","")</f>
        <v/>
      </c>
      <c r="AB151" s="64">
        <f>IF(COUNTIF($T$4:$T$863,$T151)&lt;&gt;COUNTIFS($T$4:$T$863,$T151,$D$4:$D$863,$D151,$F$4:$F$863,$F151,$G$4:$G$863,$G151,$K$4:$K$863,$K151,$M$4:$M$863,$M151),"⚠ INCOHÉRENT","")</f>
        <v/>
      </c>
      <c r="AC151" s="64">
        <f>COUNTIFS($A$4:$A151,$A151,$J$4:$J151,$J151,$E$4:$E151,$E151)</f>
        <v/>
      </c>
      <c r="AD151" s="65">
        <f>$A151&amp;"|"&amp;$J151&amp;"|"&amp;$E151&amp;"|"&amp;$AC151</f>
        <v/>
      </c>
      <c r="AE151" s="66">
        <f>IF($W151&lt;&gt;"","⚑ "&amp;$W151&amp;CHAR(10),"")&amp;TEXT($F151,"hh:mm")&amp;"-"&amp;TEXT($G151,"hh:mm")&amp;IF(OR($P151="Quinzaine A",AND($P151="Hebdo · groupes alternés",$C151="A"))," Q-A",IF(OR($P151="Quinzaine B",AND($P151="Hebdo · groupes alternés",$C151="B"))," Q-B",IF($P151="Exception"," PONCT.","")))&amp;IF($X151="Oui"," OPT","")&amp;CHAR(10)&amp;$K151&amp;CHAR(10)&amp;$M151&amp;IF($N151&lt;&gt;"",CHAR(10)&amp;"Salle "&amp;$N151,"")&amp;IF($O151="En ligne",CHAR(10)&amp;"EN LIGNE","")&amp;IF($V151&lt;&gt;"",CHAR(10)&amp;$V151,"")</f>
        <v/>
      </c>
      <c r="AF151" s="65" t="inlineStr">
        <is>
          <t>19h15-20h45 Espagnol (Imen)</t>
        </is>
      </c>
      <c r="AG151" s="65" t="inlineStr">
        <is>
          <t>du 21-09 jusquà le 27-09!H67</t>
        </is>
      </c>
    </row>
    <row r="152" ht="15" customHeight="1">
      <c r="A152" s="74" t="inlineStr">
        <is>
          <t>S2</t>
        </is>
      </c>
      <c r="B152" s="75" t="inlineStr">
        <is>
          <t>du 21 au 27 septembre 2026</t>
        </is>
      </c>
      <c r="C152" s="74" t="inlineStr">
        <is>
          <t>B</t>
        </is>
      </c>
      <c r="D152" s="76" t="n">
        <v>46287</v>
      </c>
      <c r="E152" s="74" t="inlineStr">
        <is>
          <t>Mardi</t>
        </is>
      </c>
      <c r="F152" s="77" t="n">
        <v>0.8020833333333334</v>
      </c>
      <c r="G152" s="77" t="n">
        <v>0.8645833333333334</v>
      </c>
      <c r="H152" s="78">
        <f>IF(OR($F152="",$G152=""),"",($G152-$F152)*24)</f>
        <v/>
      </c>
      <c r="I152" s="74" t="inlineStr">
        <is>
          <t>Secondaire</t>
        </is>
      </c>
      <c r="J152" s="75" t="inlineStr">
        <is>
          <t>3éme INFO</t>
        </is>
      </c>
      <c r="K152" s="89" t="inlineStr">
        <is>
          <t>Espagnol</t>
        </is>
      </c>
      <c r="L152" s="89" t="inlineStr">
        <is>
          <t>Espagnol</t>
        </is>
      </c>
      <c r="M152" s="75" t="inlineStr">
        <is>
          <t>Imen</t>
        </is>
      </c>
      <c r="N152" s="74" t="n"/>
      <c r="O152" s="74" t="n"/>
      <c r="P152" s="74" t="inlineStr">
        <is>
          <t>Hebdo · groupes alternés</t>
        </is>
      </c>
      <c r="Q152" s="75" t="inlineStr">
        <is>
          <t>3éme Eco + 3éme INFO</t>
        </is>
      </c>
      <c r="R152" s="74" t="n">
        <v>2</v>
      </c>
      <c r="S152" s="74" t="inlineStr"/>
      <c r="T152" s="74" t="inlineStr">
        <is>
          <t>S2-019</t>
        </is>
      </c>
      <c r="U152" s="75" t="inlineStr">
        <is>
          <t>Original (septembre)</t>
        </is>
      </c>
      <c r="V152" s="75" t="inlineStr"/>
      <c r="W152" s="10" t="n"/>
      <c r="X152" s="10" t="inlineStr">
        <is>
          <t>Oui</t>
        </is>
      </c>
      <c r="Y152" s="64">
        <f>IF($M152="","",IF(SUMPRODUCT(($D$4:$D$863=$D152)*($M$4:$M$863=$M152)*($T$4:$T$863&lt;&gt;$T152)*($F$4:$F$863&lt;$G152)*($G$4:$G$863&gt;$F152))&gt;0,"⚠ CONFLIT",""))</f>
        <v/>
      </c>
      <c r="Z152" s="64">
        <f>IF($J152="","",IF(SUMPRODUCT(($D$4:$D$863=$D152)*($J$4:$J$863=$J152)*($T$4:$T$863&lt;&gt;$T152)*($F$4:$F$863&lt;$G152)*($G$4:$G$863&gt;$F152)*(1-($X$4:$X$863="Oui")*($X152="Oui")))&gt;0,"⚠ CONFLIT",""))</f>
        <v/>
      </c>
      <c r="AA152" s="64">
        <f>IF(COUNTIFS($D$4:$D$863,$D152,$J$4:$J$863,$J152,$F$4:$F$863,$F152,$K$4:$K$863,$K152)&gt;1,"⚠ DOUBLON","")</f>
        <v/>
      </c>
      <c r="AB152" s="64">
        <f>IF(COUNTIF($T$4:$T$863,$T152)&lt;&gt;COUNTIFS($T$4:$T$863,$T152,$D$4:$D$863,$D152,$F$4:$F$863,$F152,$G$4:$G$863,$G152,$K$4:$K$863,$K152,$M$4:$M$863,$M152),"⚠ INCOHÉRENT","")</f>
        <v/>
      </c>
      <c r="AC152" s="64">
        <f>COUNTIFS($A$4:$A152,$A152,$J$4:$J152,$J152,$E$4:$E152,$E152)</f>
        <v/>
      </c>
      <c r="AD152" s="65">
        <f>$A152&amp;"|"&amp;$J152&amp;"|"&amp;$E152&amp;"|"&amp;$AC152</f>
        <v/>
      </c>
      <c r="AE152" s="66">
        <f>IF($W152&lt;&gt;"","⚑ "&amp;$W152&amp;CHAR(10),"")&amp;TEXT($F152,"hh:mm")&amp;"-"&amp;TEXT($G152,"hh:mm")&amp;IF(OR($P152="Quinzaine A",AND($P152="Hebdo · groupes alternés",$C152="A"))," Q-A",IF(OR($P152="Quinzaine B",AND($P152="Hebdo · groupes alternés",$C152="B"))," Q-B",IF($P152="Exception"," PONCT.","")))&amp;IF($X152="Oui"," OPT","")&amp;CHAR(10)&amp;$K152&amp;CHAR(10)&amp;$M152&amp;IF($N152&lt;&gt;"",CHAR(10)&amp;"Salle "&amp;$N152,"")&amp;IF($O152="En ligne",CHAR(10)&amp;"EN LIGNE","")&amp;IF($V152&lt;&gt;"",CHAR(10)&amp;$V152,"")</f>
        <v/>
      </c>
      <c r="AF152" s="65" t="inlineStr">
        <is>
          <t>19h15-20h45 Espagnol (Imen)</t>
        </is>
      </c>
      <c r="AG152" s="65" t="inlineStr">
        <is>
          <t>du 21-09 jusquà le 27-09!H67</t>
        </is>
      </c>
    </row>
    <row r="153" ht="15" customHeight="1">
      <c r="A153" s="74" t="inlineStr">
        <is>
          <t>S2</t>
        </is>
      </c>
      <c r="B153" s="75" t="inlineStr">
        <is>
          <t>du 21 au 27 septembre 2026</t>
        </is>
      </c>
      <c r="C153" s="74" t="inlineStr">
        <is>
          <t>B</t>
        </is>
      </c>
      <c r="D153" s="76" t="n">
        <v>46287</v>
      </c>
      <c r="E153" s="74" t="inlineStr">
        <is>
          <t>Mardi</t>
        </is>
      </c>
      <c r="F153" s="77" t="n">
        <v>0.8020833333333334</v>
      </c>
      <c r="G153" s="77" t="n">
        <v>0.8645833333333334</v>
      </c>
      <c r="H153" s="78">
        <f>IF(OR($F153="",$G153=""),"",($G153-$F153)*24)</f>
        <v/>
      </c>
      <c r="I153" s="74" t="inlineStr">
        <is>
          <t>Secondaire</t>
        </is>
      </c>
      <c r="J153" s="75" t="inlineStr">
        <is>
          <t>3éme INFO</t>
        </is>
      </c>
      <c r="K153" s="90" t="inlineStr">
        <is>
          <t>Italien</t>
        </is>
      </c>
      <c r="L153" s="90" t="inlineStr">
        <is>
          <t>Italien</t>
        </is>
      </c>
      <c r="M153" s="75" t="inlineStr">
        <is>
          <t>Amel</t>
        </is>
      </c>
      <c r="N153" s="74" t="n"/>
      <c r="O153" s="74" t="n"/>
      <c r="P153" s="74" t="inlineStr">
        <is>
          <t>Hebdo · groupes alternés</t>
        </is>
      </c>
      <c r="Q153" s="75" t="inlineStr">
        <is>
          <t>3éme INFO + 3éme SCE</t>
        </is>
      </c>
      <c r="R153" s="74" t="n">
        <v>2</v>
      </c>
      <c r="S153" s="74" t="inlineStr">
        <is>
          <t>Oui</t>
        </is>
      </c>
      <c r="T153" s="74" t="inlineStr">
        <is>
          <t>S2-020</t>
        </is>
      </c>
      <c r="U153" s="75" t="inlineStr">
        <is>
          <t>Original (septembre)</t>
        </is>
      </c>
      <c r="V153" s="75" t="inlineStr"/>
      <c r="W153" s="10" t="n"/>
      <c r="X153" s="10" t="inlineStr">
        <is>
          <t>Oui</t>
        </is>
      </c>
      <c r="Y153" s="64">
        <f>IF($M153="","",IF(SUMPRODUCT(($D$4:$D$863=$D153)*($M$4:$M$863=$M153)*($T$4:$T$863&lt;&gt;$T153)*($F$4:$F$863&lt;$G153)*($G$4:$G$863&gt;$F153))&gt;0,"⚠ CONFLIT",""))</f>
        <v/>
      </c>
      <c r="Z153" s="64">
        <f>IF($J153="","",IF(SUMPRODUCT(($D$4:$D$863=$D153)*($J$4:$J$863=$J153)*($T$4:$T$863&lt;&gt;$T153)*($F$4:$F$863&lt;$G153)*($G$4:$G$863&gt;$F153)*(1-($X$4:$X$863="Oui")*($X153="Oui")))&gt;0,"⚠ CONFLIT",""))</f>
        <v/>
      </c>
      <c r="AA153" s="64">
        <f>IF(COUNTIFS($D$4:$D$863,$D153,$J$4:$J$863,$J153,$F$4:$F$863,$F153,$K$4:$K$863,$K153)&gt;1,"⚠ DOUBLON","")</f>
        <v/>
      </c>
      <c r="AB153" s="64">
        <f>IF(COUNTIF($T$4:$T$863,$T153)&lt;&gt;COUNTIFS($T$4:$T$863,$T153,$D$4:$D$863,$D153,$F$4:$F$863,$F153,$G$4:$G$863,$G153,$K$4:$K$863,$K153,$M$4:$M$863,$M153),"⚠ INCOHÉRENT","")</f>
        <v/>
      </c>
      <c r="AC153" s="64">
        <f>COUNTIFS($A$4:$A153,$A153,$J$4:$J153,$J153,$E$4:$E153,$E153)</f>
        <v/>
      </c>
      <c r="AD153" s="65">
        <f>$A153&amp;"|"&amp;$J153&amp;"|"&amp;$E153&amp;"|"&amp;$AC153</f>
        <v/>
      </c>
      <c r="AE153" s="66">
        <f>IF($W153&lt;&gt;"","⚑ "&amp;$W153&amp;CHAR(10),"")&amp;TEXT($F153,"hh:mm")&amp;"-"&amp;TEXT($G153,"hh:mm")&amp;IF(OR($P153="Quinzaine A",AND($P153="Hebdo · groupes alternés",$C153="A"))," Q-A",IF(OR($P153="Quinzaine B",AND($P153="Hebdo · groupes alternés",$C153="B"))," Q-B",IF($P153="Exception"," PONCT.","")))&amp;IF($X153="Oui"," OPT","")&amp;CHAR(10)&amp;$K153&amp;CHAR(10)&amp;$M153&amp;IF($N153&lt;&gt;"",CHAR(10)&amp;"Salle "&amp;$N153,"")&amp;IF($O153="En ligne",CHAR(10)&amp;"EN LIGNE","")&amp;IF($V153&lt;&gt;"",CHAR(10)&amp;$V153,"")</f>
        <v/>
      </c>
      <c r="AF153" s="65" t="inlineStr">
        <is>
          <t>19h15-20h45 Italien (Amel)</t>
        </is>
      </c>
      <c r="AG153" s="65" t="inlineStr">
        <is>
          <t>du 21-09 jusquà le 27-09!H71</t>
        </is>
      </c>
    </row>
    <row r="154" ht="15" customHeight="1">
      <c r="A154" s="74" t="inlineStr">
        <is>
          <t>S2</t>
        </is>
      </c>
      <c r="B154" s="75" t="inlineStr">
        <is>
          <t>du 21 au 27 septembre 2026</t>
        </is>
      </c>
      <c r="C154" s="74" t="inlineStr">
        <is>
          <t>B</t>
        </is>
      </c>
      <c r="D154" s="76" t="n">
        <v>46287</v>
      </c>
      <c r="E154" s="74" t="inlineStr">
        <is>
          <t>Mardi</t>
        </is>
      </c>
      <c r="F154" s="77" t="n">
        <v>0.8020833333333334</v>
      </c>
      <c r="G154" s="77" t="n">
        <v>0.8645833333333334</v>
      </c>
      <c r="H154" s="78">
        <f>IF(OR($F154="",$G154=""),"",($G154-$F154)*24)</f>
        <v/>
      </c>
      <c r="I154" s="74" t="inlineStr">
        <is>
          <t>Secondaire</t>
        </is>
      </c>
      <c r="J154" s="75" t="inlineStr">
        <is>
          <t>3éme SCE</t>
        </is>
      </c>
      <c r="K154" s="90" t="inlineStr">
        <is>
          <t>Italien</t>
        </is>
      </c>
      <c r="L154" s="90" t="inlineStr">
        <is>
          <t>Italien</t>
        </is>
      </c>
      <c r="M154" s="75" t="inlineStr">
        <is>
          <t>Amel</t>
        </is>
      </c>
      <c r="N154" s="74" t="n"/>
      <c r="O154" s="74" t="n"/>
      <c r="P154" s="74" t="inlineStr">
        <is>
          <t>Hebdo · groupes alternés</t>
        </is>
      </c>
      <c r="Q154" s="75" t="inlineStr">
        <is>
          <t>3éme INFO + 3éme SCE</t>
        </is>
      </c>
      <c r="R154" s="74" t="n">
        <v>2</v>
      </c>
      <c r="S154" s="74" t="inlineStr"/>
      <c r="T154" s="74" t="inlineStr">
        <is>
          <t>S2-020</t>
        </is>
      </c>
      <c r="U154" s="75" t="inlineStr">
        <is>
          <t>Original (septembre)</t>
        </is>
      </c>
      <c r="V154" s="75" t="inlineStr"/>
      <c r="W154" s="10" t="n"/>
      <c r="X154" s="10" t="inlineStr">
        <is>
          <t>Oui</t>
        </is>
      </c>
      <c r="Y154" s="64">
        <f>IF($M154="","",IF(SUMPRODUCT(($D$4:$D$863=$D154)*($M$4:$M$863=$M154)*($T$4:$T$863&lt;&gt;$T154)*($F$4:$F$863&lt;$G154)*($G$4:$G$863&gt;$F154))&gt;0,"⚠ CONFLIT",""))</f>
        <v/>
      </c>
      <c r="Z154" s="64">
        <f>IF($J154="","",IF(SUMPRODUCT(($D$4:$D$863=$D154)*($J$4:$J$863=$J154)*($T$4:$T$863&lt;&gt;$T154)*($F$4:$F$863&lt;$G154)*($G$4:$G$863&gt;$F154)*(1-($X$4:$X$863="Oui")*($X154="Oui")))&gt;0,"⚠ CONFLIT",""))</f>
        <v/>
      </c>
      <c r="AA154" s="64">
        <f>IF(COUNTIFS($D$4:$D$863,$D154,$J$4:$J$863,$J154,$F$4:$F$863,$F154,$K$4:$K$863,$K154)&gt;1,"⚠ DOUBLON","")</f>
        <v/>
      </c>
      <c r="AB154" s="64">
        <f>IF(COUNTIF($T$4:$T$863,$T154)&lt;&gt;COUNTIFS($T$4:$T$863,$T154,$D$4:$D$863,$D154,$F$4:$F$863,$F154,$G$4:$G$863,$G154,$K$4:$K$863,$K154,$M$4:$M$863,$M154),"⚠ INCOHÉRENT","")</f>
        <v/>
      </c>
      <c r="AC154" s="64">
        <f>COUNTIFS($A$4:$A154,$A154,$J$4:$J154,$J154,$E$4:$E154,$E154)</f>
        <v/>
      </c>
      <c r="AD154" s="65">
        <f>$A154&amp;"|"&amp;$J154&amp;"|"&amp;$E154&amp;"|"&amp;$AC154</f>
        <v/>
      </c>
      <c r="AE154" s="66">
        <f>IF($W154&lt;&gt;"","⚑ "&amp;$W154&amp;CHAR(10),"")&amp;TEXT($F154,"hh:mm")&amp;"-"&amp;TEXT($G154,"hh:mm")&amp;IF(OR($P154="Quinzaine A",AND($P154="Hebdo · groupes alternés",$C154="A"))," Q-A",IF(OR($P154="Quinzaine B",AND($P154="Hebdo · groupes alternés",$C154="B"))," Q-B",IF($P154="Exception"," PONCT.","")))&amp;IF($X154="Oui"," OPT","")&amp;CHAR(10)&amp;$K154&amp;CHAR(10)&amp;$M154&amp;IF($N154&lt;&gt;"",CHAR(10)&amp;"Salle "&amp;$N154,"")&amp;IF($O154="En ligne",CHAR(10)&amp;"EN LIGNE","")&amp;IF($V154&lt;&gt;"",CHAR(10)&amp;$V154,"")</f>
        <v/>
      </c>
      <c r="AF154" s="65" t="inlineStr">
        <is>
          <t>19h15-20h45 Italien (Amel)</t>
        </is>
      </c>
      <c r="AG154" s="65" t="inlineStr">
        <is>
          <t>du 21-09 jusquà le 27-09!H71</t>
        </is>
      </c>
    </row>
    <row r="155" ht="15" customHeight="1">
      <c r="A155" s="58" t="inlineStr">
        <is>
          <t>S2</t>
        </is>
      </c>
      <c r="B155" s="59" t="inlineStr">
        <is>
          <t>du 21 au 27 septembre 2026</t>
        </is>
      </c>
      <c r="C155" s="58" t="inlineStr">
        <is>
          <t>B</t>
        </is>
      </c>
      <c r="D155" s="60" t="n">
        <v>46288</v>
      </c>
      <c r="E155" s="58" t="inlineStr">
        <is>
          <t>Mercredi</t>
        </is>
      </c>
      <c r="F155" s="61" t="n">
        <v>0.7916666666666666</v>
      </c>
      <c r="G155" s="61" t="n">
        <v>0.875</v>
      </c>
      <c r="H155" s="62">
        <f>IF(OR($F155="",$G155=""),"",($G155-$F155)*24)</f>
        <v/>
      </c>
      <c r="I155" s="58" t="inlineStr">
        <is>
          <t>Primaire</t>
        </is>
      </c>
      <c r="J155" s="59" t="inlineStr">
        <is>
          <t>4éme</t>
        </is>
      </c>
      <c r="K155" s="79" t="inlineStr">
        <is>
          <t>رياضيات</t>
        </is>
      </c>
      <c r="L155" s="79" t="inlineStr">
        <is>
          <t>Math</t>
        </is>
      </c>
      <c r="M155" s="59" t="inlineStr">
        <is>
          <t>Bassma</t>
        </is>
      </c>
      <c r="N155" s="58" t="n"/>
      <c r="O155" s="58" t="n"/>
      <c r="P155" s="58" t="inlineStr">
        <is>
          <t>Hebdomadaire</t>
        </is>
      </c>
      <c r="Q155" s="59" t="inlineStr"/>
      <c r="R155" s="58" t="n">
        <v>1</v>
      </c>
      <c r="S155" s="58" t="inlineStr">
        <is>
          <t>Oui</t>
        </is>
      </c>
      <c r="T155" s="58" t="inlineStr">
        <is>
          <t>S2-021</t>
        </is>
      </c>
      <c r="U155" s="59" t="inlineStr">
        <is>
          <t>Original (septembre)</t>
        </is>
      </c>
      <c r="V155" s="59" t="inlineStr"/>
      <c r="W155" s="10" t="n"/>
      <c r="X155" s="10" t="inlineStr"/>
      <c r="Y155" s="64">
        <f>IF($M155="","",IF(SUMPRODUCT(($D$4:$D$863=$D155)*($M$4:$M$863=$M155)*($T$4:$T$863&lt;&gt;$T155)*($F$4:$F$863&lt;$G155)*($G$4:$G$863&gt;$F155))&gt;0,"⚠ CONFLIT",""))</f>
        <v/>
      </c>
      <c r="Z155" s="64">
        <f>IF($J155="","",IF(SUMPRODUCT(($D$4:$D$863=$D155)*($J$4:$J$863=$J155)*($T$4:$T$863&lt;&gt;$T155)*($F$4:$F$863&lt;$G155)*($G$4:$G$863&gt;$F155)*(1-($X$4:$X$863="Oui")*($X155="Oui")))&gt;0,"⚠ CONFLIT",""))</f>
        <v/>
      </c>
      <c r="AA155" s="64">
        <f>IF(COUNTIFS($D$4:$D$863,$D155,$J$4:$J$863,$J155,$F$4:$F$863,$F155,$K$4:$K$863,$K155)&gt;1,"⚠ DOUBLON","")</f>
        <v/>
      </c>
      <c r="AB155" s="64">
        <f>IF(COUNTIF($T$4:$T$863,$T155)&lt;&gt;COUNTIFS($T$4:$T$863,$T155,$D$4:$D$863,$D155,$F$4:$F$863,$F155,$G$4:$G$863,$G155,$K$4:$K$863,$K155,$M$4:$M$863,$M155),"⚠ INCOHÉRENT","")</f>
        <v/>
      </c>
      <c r="AC155" s="64">
        <f>COUNTIFS($A$4:$A155,$A155,$J$4:$J155,$J155,$E$4:$E155,$E155)</f>
        <v/>
      </c>
      <c r="AD155" s="65">
        <f>$A155&amp;"|"&amp;$J155&amp;"|"&amp;$E155&amp;"|"&amp;$AC155</f>
        <v/>
      </c>
      <c r="AE155" s="66">
        <f>IF($W155&lt;&gt;"","⚑ "&amp;$W155&amp;CHAR(10),"")&amp;TEXT($F155,"hh:mm")&amp;"-"&amp;TEXT($G155,"hh:mm")&amp;IF(OR($P155="Quinzaine A",AND($P155="Hebdo · groupes alternés",$C155="A"))," Q-A",IF(OR($P155="Quinzaine B",AND($P155="Hebdo · groupes alternés",$C155="B"))," Q-B",IF($P155="Exception"," PONCT.","")))&amp;IF($X155="Oui"," OPT","")&amp;CHAR(10)&amp;$K155&amp;CHAR(10)&amp;$M155&amp;IF($N155&lt;&gt;"",CHAR(10)&amp;"Salle "&amp;$N155,"")&amp;IF($O155="En ligne",CHAR(10)&amp;"EN LIGNE","")&amp;IF($V155&lt;&gt;"",CHAR(10)&amp;$V155,"")</f>
        <v/>
      </c>
      <c r="AF155" s="65" t="inlineStr">
        <is>
          <t>19h-21h رياضيات (Bassma)</t>
        </is>
      </c>
      <c r="AG155" s="65" t="inlineStr">
        <is>
          <t>du 21-09 jusquà le 27-09!I3</t>
        </is>
      </c>
    </row>
    <row r="156" ht="15" customHeight="1">
      <c r="A156" s="58" t="inlineStr">
        <is>
          <t>S2</t>
        </is>
      </c>
      <c r="B156" s="59" t="inlineStr">
        <is>
          <t>du 21 au 27 septembre 2026</t>
        </is>
      </c>
      <c r="C156" s="58" t="inlineStr">
        <is>
          <t>B</t>
        </is>
      </c>
      <c r="D156" s="60" t="n">
        <v>46288</v>
      </c>
      <c r="E156" s="58" t="inlineStr">
        <is>
          <t>Mercredi</t>
        </is>
      </c>
      <c r="F156" s="61" t="n">
        <v>0.7916666666666666</v>
      </c>
      <c r="G156" s="61" t="n">
        <v>0.875</v>
      </c>
      <c r="H156" s="62">
        <f>IF(OR($F156="",$G156=""),"",($G156-$F156)*24)</f>
        <v/>
      </c>
      <c r="I156" s="58" t="inlineStr">
        <is>
          <t>Primaire</t>
        </is>
      </c>
      <c r="J156" s="59" t="inlineStr">
        <is>
          <t>6éme Pilote (A)</t>
        </is>
      </c>
      <c r="K156" s="79" t="inlineStr">
        <is>
          <t>رياضيات</t>
        </is>
      </c>
      <c r="L156" s="79" t="inlineStr">
        <is>
          <t>Math</t>
        </is>
      </c>
      <c r="M156" s="59" t="inlineStr">
        <is>
          <t>Noura</t>
        </is>
      </c>
      <c r="N156" s="58" t="n"/>
      <c r="O156" s="58" t="n"/>
      <c r="P156" s="58" t="inlineStr">
        <is>
          <t>Hebdomadaire</t>
        </is>
      </c>
      <c r="Q156" s="59" t="inlineStr"/>
      <c r="R156" s="58" t="n">
        <v>1</v>
      </c>
      <c r="S156" s="58" t="inlineStr">
        <is>
          <t>Oui</t>
        </is>
      </c>
      <c r="T156" s="58" t="inlineStr">
        <is>
          <t>S2-022</t>
        </is>
      </c>
      <c r="U156" s="59" t="inlineStr">
        <is>
          <t>Original (septembre)</t>
        </is>
      </c>
      <c r="V156" s="59" t="inlineStr"/>
      <c r="W156" s="10" t="n"/>
      <c r="X156" s="10" t="inlineStr"/>
      <c r="Y156" s="64">
        <f>IF($M156="","",IF(SUMPRODUCT(($D$4:$D$863=$D156)*($M$4:$M$863=$M156)*($T$4:$T$863&lt;&gt;$T156)*($F$4:$F$863&lt;$G156)*($G$4:$G$863&gt;$F156))&gt;0,"⚠ CONFLIT",""))</f>
        <v/>
      </c>
      <c r="Z156" s="64">
        <f>IF($J156="","",IF(SUMPRODUCT(($D$4:$D$863=$D156)*($J$4:$J$863=$J156)*($T$4:$T$863&lt;&gt;$T156)*($F$4:$F$863&lt;$G156)*($G$4:$G$863&gt;$F156)*(1-($X$4:$X$863="Oui")*($X156="Oui")))&gt;0,"⚠ CONFLIT",""))</f>
        <v/>
      </c>
      <c r="AA156" s="64">
        <f>IF(COUNTIFS($D$4:$D$863,$D156,$J$4:$J$863,$J156,$F$4:$F$863,$F156,$K$4:$K$863,$K156)&gt;1,"⚠ DOUBLON","")</f>
        <v/>
      </c>
      <c r="AB156" s="64">
        <f>IF(COUNTIF($T$4:$T$863,$T156)&lt;&gt;COUNTIFS($T$4:$T$863,$T156,$D$4:$D$863,$D156,$F$4:$F$863,$F156,$G$4:$G$863,$G156,$K$4:$K$863,$K156,$M$4:$M$863,$M156),"⚠ INCOHÉRENT","")</f>
        <v/>
      </c>
      <c r="AC156" s="64">
        <f>COUNTIFS($A$4:$A156,$A156,$J$4:$J156,$J156,$E$4:$E156,$E156)</f>
        <v/>
      </c>
      <c r="AD156" s="65">
        <f>$A156&amp;"|"&amp;$J156&amp;"|"&amp;$E156&amp;"|"&amp;$AC156</f>
        <v/>
      </c>
      <c r="AE156" s="66">
        <f>IF($W156&lt;&gt;"","⚑ "&amp;$W156&amp;CHAR(10),"")&amp;TEXT($F156,"hh:mm")&amp;"-"&amp;TEXT($G156,"hh:mm")&amp;IF(OR($P156="Quinzaine A",AND($P156="Hebdo · groupes alternés",$C156="A"))," Q-A",IF(OR($P156="Quinzaine B",AND($P156="Hebdo · groupes alternés",$C156="B"))," Q-B",IF($P156="Exception"," PONCT.","")))&amp;IF($X156="Oui"," OPT","")&amp;CHAR(10)&amp;$K156&amp;CHAR(10)&amp;$M156&amp;IF($N156&lt;&gt;"",CHAR(10)&amp;"Salle "&amp;$N156,"")&amp;IF($O156="En ligne",CHAR(10)&amp;"EN LIGNE","")&amp;IF($V156&lt;&gt;"",CHAR(10)&amp;$V156,"")</f>
        <v/>
      </c>
      <c r="AF156" s="65" t="inlineStr">
        <is>
          <t>19h-21h رياضيات (Noura)</t>
        </is>
      </c>
      <c r="AG156" s="65" t="inlineStr">
        <is>
          <t>du 21-09 jusquà le 27-09!I13</t>
        </is>
      </c>
    </row>
    <row r="157" ht="15" customHeight="1">
      <c r="A157" s="68" t="inlineStr">
        <is>
          <t>S2</t>
        </is>
      </c>
      <c r="B157" s="69" t="inlineStr">
        <is>
          <t>du 21 au 27 septembre 2026</t>
        </is>
      </c>
      <c r="C157" s="68" t="inlineStr">
        <is>
          <t>B</t>
        </is>
      </c>
      <c r="D157" s="70" t="n">
        <v>46288</v>
      </c>
      <c r="E157" s="68" t="inlineStr">
        <is>
          <t>Mercredi</t>
        </is>
      </c>
      <c r="F157" s="71" t="n">
        <v>0.8125</v>
      </c>
      <c r="G157" s="71" t="n">
        <v>0.875</v>
      </c>
      <c r="H157" s="72">
        <f>IF(OR($F157="",$G157=""),"",($G157-$F157)*24)</f>
        <v/>
      </c>
      <c r="I157" s="68" t="inlineStr">
        <is>
          <t>Collège</t>
        </is>
      </c>
      <c r="J157" s="69" t="inlineStr">
        <is>
          <t>7éme (A)</t>
        </is>
      </c>
      <c r="K157" s="73" t="inlineStr">
        <is>
          <t>Physique</t>
        </is>
      </c>
      <c r="L157" s="73" t="inlineStr">
        <is>
          <t>Physique</t>
        </is>
      </c>
      <c r="M157" s="69" t="inlineStr">
        <is>
          <t>Melek</t>
        </is>
      </c>
      <c r="N157" s="68" t="n"/>
      <c r="O157" s="68" t="n"/>
      <c r="P157" s="68" t="inlineStr">
        <is>
          <t>Hebdomadaire</t>
        </is>
      </c>
      <c r="Q157" s="69" t="inlineStr">
        <is>
          <t>7éme (A) + 7éme (B)</t>
        </is>
      </c>
      <c r="R157" s="68" t="n">
        <v>2</v>
      </c>
      <c r="S157" s="68" t="inlineStr">
        <is>
          <t>Oui</t>
        </is>
      </c>
      <c r="T157" s="68" t="inlineStr">
        <is>
          <t>S2-023</t>
        </is>
      </c>
      <c r="U157" s="69" t="inlineStr">
        <is>
          <t>Original (septembre)</t>
        </is>
      </c>
      <c r="V157" s="69" t="inlineStr"/>
      <c r="W157" s="10" t="n"/>
      <c r="X157" s="10" t="inlineStr"/>
      <c r="Y157" s="64">
        <f>IF($M157="","",IF(SUMPRODUCT(($D$4:$D$863=$D157)*($M$4:$M$863=$M157)*($T$4:$T$863&lt;&gt;$T157)*($F$4:$F$863&lt;$G157)*($G$4:$G$863&gt;$F157))&gt;0,"⚠ CONFLIT",""))</f>
        <v/>
      </c>
      <c r="Z157" s="64">
        <f>IF($J157="","",IF(SUMPRODUCT(($D$4:$D$863=$D157)*($J$4:$J$863=$J157)*($T$4:$T$863&lt;&gt;$T157)*($F$4:$F$863&lt;$G157)*($G$4:$G$863&gt;$F157)*(1-($X$4:$X$863="Oui")*($X157="Oui")))&gt;0,"⚠ CONFLIT",""))</f>
        <v/>
      </c>
      <c r="AA157" s="64">
        <f>IF(COUNTIFS($D$4:$D$863,$D157,$J$4:$J$863,$J157,$F$4:$F$863,$F157,$K$4:$K$863,$K157)&gt;1,"⚠ DOUBLON","")</f>
        <v/>
      </c>
      <c r="AB157" s="64">
        <f>IF(COUNTIF($T$4:$T$863,$T157)&lt;&gt;COUNTIFS($T$4:$T$863,$T157,$D$4:$D$863,$D157,$F$4:$F$863,$F157,$G$4:$G$863,$G157,$K$4:$K$863,$K157,$M$4:$M$863,$M157),"⚠ INCOHÉRENT","")</f>
        <v/>
      </c>
      <c r="AC157" s="64">
        <f>COUNTIFS($A$4:$A157,$A157,$J$4:$J157,$J157,$E$4:$E157,$E157)</f>
        <v/>
      </c>
      <c r="AD157" s="65">
        <f>$A157&amp;"|"&amp;$J157&amp;"|"&amp;$E157&amp;"|"&amp;$AC157</f>
        <v/>
      </c>
      <c r="AE157" s="66">
        <f>IF($W157&lt;&gt;"","⚑ "&amp;$W157&amp;CHAR(10),"")&amp;TEXT($F157,"hh:mm")&amp;"-"&amp;TEXT($G157,"hh:mm")&amp;IF(OR($P157="Quinzaine A",AND($P157="Hebdo · groupes alternés",$C157="A"))," Q-A",IF(OR($P157="Quinzaine B",AND($P157="Hebdo · groupes alternés",$C157="B"))," Q-B",IF($P157="Exception"," PONCT.","")))&amp;IF($X157="Oui"," OPT","")&amp;CHAR(10)&amp;$K157&amp;CHAR(10)&amp;$M157&amp;IF($N157&lt;&gt;"",CHAR(10)&amp;"Salle "&amp;$N157,"")&amp;IF($O157="En ligne",CHAR(10)&amp;"EN LIGNE","")&amp;IF($V157&lt;&gt;"",CHAR(10)&amp;$V157,"")</f>
        <v/>
      </c>
      <c r="AF157" s="65" t="inlineStr">
        <is>
          <t>19h30-21h Physique /par quinzaine (Melek)</t>
        </is>
      </c>
      <c r="AG157" s="65" t="inlineStr">
        <is>
          <t>du 21-09 jusquà le 27-09!I20</t>
        </is>
      </c>
    </row>
    <row r="158" ht="15" customHeight="1">
      <c r="A158" s="68" t="inlineStr">
        <is>
          <t>S2</t>
        </is>
      </c>
      <c r="B158" s="69" t="inlineStr">
        <is>
          <t>du 21 au 27 septembre 2026</t>
        </is>
      </c>
      <c r="C158" s="68" t="inlineStr">
        <is>
          <t>B</t>
        </is>
      </c>
      <c r="D158" s="70" t="n">
        <v>46288</v>
      </c>
      <c r="E158" s="68" t="inlineStr">
        <is>
          <t>Mercredi</t>
        </is>
      </c>
      <c r="F158" s="71" t="n">
        <v>0.8125</v>
      </c>
      <c r="G158" s="71" t="n">
        <v>0.875</v>
      </c>
      <c r="H158" s="72">
        <f>IF(OR($F158="",$G158=""),"",($G158-$F158)*24)</f>
        <v/>
      </c>
      <c r="I158" s="68" t="inlineStr">
        <is>
          <t>Collège</t>
        </is>
      </c>
      <c r="J158" s="69" t="inlineStr">
        <is>
          <t>7éme (B)</t>
        </is>
      </c>
      <c r="K158" s="73" t="inlineStr">
        <is>
          <t>Physique</t>
        </is>
      </c>
      <c r="L158" s="73" t="inlineStr">
        <is>
          <t>Physique</t>
        </is>
      </c>
      <c r="M158" s="69" t="inlineStr">
        <is>
          <t>Melek</t>
        </is>
      </c>
      <c r="N158" s="68" t="n"/>
      <c r="O158" s="68" t="n"/>
      <c r="P158" s="68" t="inlineStr">
        <is>
          <t>Hebdomadaire</t>
        </is>
      </c>
      <c r="Q158" s="69" t="inlineStr">
        <is>
          <t>7éme (A) + 7éme (B)</t>
        </is>
      </c>
      <c r="R158" s="68" t="n">
        <v>2</v>
      </c>
      <c r="S158" s="68" t="inlineStr"/>
      <c r="T158" s="68" t="inlineStr">
        <is>
          <t>S2-023</t>
        </is>
      </c>
      <c r="U158" s="69" t="inlineStr">
        <is>
          <t>Original (septembre)</t>
        </is>
      </c>
      <c r="V158" s="69" t="inlineStr"/>
      <c r="W158" s="10" t="n"/>
      <c r="X158" s="10" t="inlineStr"/>
      <c r="Y158" s="64">
        <f>IF($M158="","",IF(SUMPRODUCT(($D$4:$D$863=$D158)*($M$4:$M$863=$M158)*($T$4:$T$863&lt;&gt;$T158)*($F$4:$F$863&lt;$G158)*($G$4:$G$863&gt;$F158))&gt;0,"⚠ CONFLIT",""))</f>
        <v/>
      </c>
      <c r="Z158" s="64">
        <f>IF($J158="","",IF(SUMPRODUCT(($D$4:$D$863=$D158)*($J$4:$J$863=$J158)*($T$4:$T$863&lt;&gt;$T158)*($F$4:$F$863&lt;$G158)*($G$4:$G$863&gt;$F158)*(1-($X$4:$X$863="Oui")*($X158="Oui")))&gt;0,"⚠ CONFLIT",""))</f>
        <v/>
      </c>
      <c r="AA158" s="64">
        <f>IF(COUNTIFS($D$4:$D$863,$D158,$J$4:$J$863,$J158,$F$4:$F$863,$F158,$K$4:$K$863,$K158)&gt;1,"⚠ DOUBLON","")</f>
        <v/>
      </c>
      <c r="AB158" s="64">
        <f>IF(COUNTIF($T$4:$T$863,$T158)&lt;&gt;COUNTIFS($T$4:$T$863,$T158,$D$4:$D$863,$D158,$F$4:$F$863,$F158,$G$4:$G$863,$G158,$K$4:$K$863,$K158,$M$4:$M$863,$M158),"⚠ INCOHÉRENT","")</f>
        <v/>
      </c>
      <c r="AC158" s="64">
        <f>COUNTIFS($A$4:$A158,$A158,$J$4:$J158,$J158,$E$4:$E158,$E158)</f>
        <v/>
      </c>
      <c r="AD158" s="65">
        <f>$A158&amp;"|"&amp;$J158&amp;"|"&amp;$E158&amp;"|"&amp;$AC158</f>
        <v/>
      </c>
      <c r="AE158" s="66">
        <f>IF($W158&lt;&gt;"","⚑ "&amp;$W158&amp;CHAR(10),"")&amp;TEXT($F158,"hh:mm")&amp;"-"&amp;TEXT($G158,"hh:mm")&amp;IF(OR($P158="Quinzaine A",AND($P158="Hebdo · groupes alternés",$C158="A"))," Q-A",IF(OR($P158="Quinzaine B",AND($P158="Hebdo · groupes alternés",$C158="B"))," Q-B",IF($P158="Exception"," PONCT.","")))&amp;IF($X158="Oui"," OPT","")&amp;CHAR(10)&amp;$K158&amp;CHAR(10)&amp;$M158&amp;IF($N158&lt;&gt;"",CHAR(10)&amp;"Salle "&amp;$N158,"")&amp;IF($O158="En ligne",CHAR(10)&amp;"EN LIGNE","")&amp;IF($V158&lt;&gt;"",CHAR(10)&amp;$V158,"")</f>
        <v/>
      </c>
      <c r="AF158" s="65" t="inlineStr">
        <is>
          <t>19h30-21h Physique /par quinzaine (Melek)</t>
        </is>
      </c>
      <c r="AG158" s="65" t="inlineStr">
        <is>
          <t>du 21-09 jusquà le 27-09!I20</t>
        </is>
      </c>
    </row>
    <row r="159" ht="15" customHeight="1">
      <c r="A159" s="68" t="inlineStr">
        <is>
          <t>S2</t>
        </is>
      </c>
      <c r="B159" s="69" t="inlineStr">
        <is>
          <t>du 21 au 27 septembre 2026</t>
        </is>
      </c>
      <c r="C159" s="68" t="inlineStr">
        <is>
          <t>B</t>
        </is>
      </c>
      <c r="D159" s="70" t="n">
        <v>46288</v>
      </c>
      <c r="E159" s="68" t="inlineStr">
        <is>
          <t>Mercredi</t>
        </is>
      </c>
      <c r="F159" s="71" t="n">
        <v>0.7916666666666666</v>
      </c>
      <c r="G159" s="71" t="n">
        <v>0.8541666666666666</v>
      </c>
      <c r="H159" s="72">
        <f>IF(OR($F159="",$G159=""),"",($G159-$F159)*24)</f>
        <v/>
      </c>
      <c r="I159" s="68" t="inlineStr">
        <is>
          <t>Collège</t>
        </is>
      </c>
      <c r="J159" s="69" t="inlineStr">
        <is>
          <t>8éme (A)</t>
        </is>
      </c>
      <c r="K159" s="63" t="inlineStr">
        <is>
          <t>Arabe</t>
        </is>
      </c>
      <c r="L159" s="63" t="inlineStr">
        <is>
          <t>Arabe</t>
        </is>
      </c>
      <c r="M159" s="69" t="inlineStr">
        <is>
          <t>Awatef</t>
        </is>
      </c>
      <c r="N159" s="68" t="n"/>
      <c r="O159" s="68" t="n"/>
      <c r="P159" s="68" t="inlineStr">
        <is>
          <t>Hebdomadaire</t>
        </is>
      </c>
      <c r="Q159" s="69" t="inlineStr"/>
      <c r="R159" s="68" t="n">
        <v>1</v>
      </c>
      <c r="S159" s="68" t="inlineStr">
        <is>
          <t>Oui</t>
        </is>
      </c>
      <c r="T159" s="68" t="inlineStr">
        <is>
          <t>S2-024</t>
        </is>
      </c>
      <c r="U159" s="69" t="inlineStr">
        <is>
          <t>Original (septembre)</t>
        </is>
      </c>
      <c r="V159" s="69" t="inlineStr"/>
      <c r="W159" s="10" t="n"/>
      <c r="X159" s="10" t="inlineStr"/>
      <c r="Y159" s="64">
        <f>IF($M159="","",IF(SUMPRODUCT(($D$4:$D$863=$D159)*($M$4:$M$863=$M159)*($T$4:$T$863&lt;&gt;$T159)*($F$4:$F$863&lt;$G159)*($G$4:$G$863&gt;$F159))&gt;0,"⚠ CONFLIT",""))</f>
        <v/>
      </c>
      <c r="Z159" s="64">
        <f>IF($J159="","",IF(SUMPRODUCT(($D$4:$D$863=$D159)*($J$4:$J$863=$J159)*($T$4:$T$863&lt;&gt;$T159)*($F$4:$F$863&lt;$G159)*($G$4:$G$863&gt;$F159)*(1-($X$4:$X$863="Oui")*($X159="Oui")))&gt;0,"⚠ CONFLIT",""))</f>
        <v/>
      </c>
      <c r="AA159" s="64">
        <f>IF(COUNTIFS($D$4:$D$863,$D159,$J$4:$J$863,$J159,$F$4:$F$863,$F159,$K$4:$K$863,$K159)&gt;1,"⚠ DOUBLON","")</f>
        <v/>
      </c>
      <c r="AB159" s="64">
        <f>IF(COUNTIF($T$4:$T$863,$T159)&lt;&gt;COUNTIFS($T$4:$T$863,$T159,$D$4:$D$863,$D159,$F$4:$F$863,$F159,$G$4:$G$863,$G159,$K$4:$K$863,$K159,$M$4:$M$863,$M159),"⚠ INCOHÉRENT","")</f>
        <v/>
      </c>
      <c r="AC159" s="64">
        <f>COUNTIFS($A$4:$A159,$A159,$J$4:$J159,$J159,$E$4:$E159,$E159)</f>
        <v/>
      </c>
      <c r="AD159" s="65">
        <f>$A159&amp;"|"&amp;$J159&amp;"|"&amp;$E159&amp;"|"&amp;$AC159</f>
        <v/>
      </c>
      <c r="AE159" s="66">
        <f>IF($W159&lt;&gt;"","⚑ "&amp;$W159&amp;CHAR(10),"")&amp;TEXT($F159,"hh:mm")&amp;"-"&amp;TEXT($G159,"hh:mm")&amp;IF(OR($P159="Quinzaine A",AND($P159="Hebdo · groupes alternés",$C159="A"))," Q-A",IF(OR($P159="Quinzaine B",AND($P159="Hebdo · groupes alternés",$C159="B"))," Q-B",IF($P159="Exception"," PONCT.","")))&amp;IF($X159="Oui"," OPT","")&amp;CHAR(10)&amp;$K159&amp;CHAR(10)&amp;$M159&amp;IF($N159&lt;&gt;"",CHAR(10)&amp;"Salle "&amp;$N159,"")&amp;IF($O159="En ligne",CHAR(10)&amp;"EN LIGNE","")&amp;IF($V159&lt;&gt;"",CHAR(10)&amp;$V159,"")</f>
        <v/>
      </c>
      <c r="AF159" s="65" t="inlineStr">
        <is>
          <t>19h-20h30 Arabe (Awatef)</t>
        </is>
      </c>
      <c r="AG159" s="65" t="inlineStr">
        <is>
          <t>du 21-09 jusquà le 27-09!I28</t>
        </is>
      </c>
    </row>
    <row r="160" ht="15" customHeight="1">
      <c r="A160" s="68" t="inlineStr">
        <is>
          <t>S2</t>
        </is>
      </c>
      <c r="B160" s="69" t="inlineStr">
        <is>
          <t>du 21 au 27 septembre 2026</t>
        </is>
      </c>
      <c r="C160" s="68" t="inlineStr">
        <is>
          <t>B</t>
        </is>
      </c>
      <c r="D160" s="70" t="n">
        <v>46288</v>
      </c>
      <c r="E160" s="68" t="inlineStr">
        <is>
          <t>Mercredi</t>
        </is>
      </c>
      <c r="F160" s="71" t="n">
        <v>0.8020833333333334</v>
      </c>
      <c r="G160" s="71" t="n">
        <v>0.8645833333333334</v>
      </c>
      <c r="H160" s="72">
        <f>IF(OR($F160="",$G160=""),"",($G160-$F160)*24)</f>
        <v/>
      </c>
      <c r="I160" s="68" t="inlineStr">
        <is>
          <t>Collège</t>
        </is>
      </c>
      <c r="J160" s="69" t="inlineStr">
        <is>
          <t>8éme (B)</t>
        </is>
      </c>
      <c r="K160" s="79" t="inlineStr">
        <is>
          <t>Math</t>
        </is>
      </c>
      <c r="L160" s="79" t="inlineStr">
        <is>
          <t>Math</t>
        </is>
      </c>
      <c r="M160" s="69" t="inlineStr">
        <is>
          <t>Khouloud</t>
        </is>
      </c>
      <c r="N160" s="68" t="n"/>
      <c r="O160" s="68" t="n"/>
      <c r="P160" s="68" t="inlineStr">
        <is>
          <t>Hebdomadaire</t>
        </is>
      </c>
      <c r="Q160" s="69" t="inlineStr"/>
      <c r="R160" s="68" t="n">
        <v>1</v>
      </c>
      <c r="S160" s="68" t="inlineStr">
        <is>
          <t>Oui</t>
        </is>
      </c>
      <c r="T160" s="68" t="inlineStr">
        <is>
          <t>S2-025</t>
        </is>
      </c>
      <c r="U160" s="69" t="inlineStr">
        <is>
          <t>Original (septembre)</t>
        </is>
      </c>
      <c r="V160" s="69" t="inlineStr"/>
      <c r="W160" s="10" t="n"/>
      <c r="X160" s="10" t="inlineStr"/>
      <c r="Y160" s="64">
        <f>IF($M160="","",IF(SUMPRODUCT(($D$4:$D$863=$D160)*($M$4:$M$863=$M160)*($T$4:$T$863&lt;&gt;$T160)*($F$4:$F$863&lt;$G160)*($G$4:$G$863&gt;$F160))&gt;0,"⚠ CONFLIT",""))</f>
        <v/>
      </c>
      <c r="Z160" s="64">
        <f>IF($J160="","",IF(SUMPRODUCT(($D$4:$D$863=$D160)*($J$4:$J$863=$J160)*($T$4:$T$863&lt;&gt;$T160)*($F$4:$F$863&lt;$G160)*($G$4:$G$863&gt;$F160)*(1-($X$4:$X$863="Oui")*($X160="Oui")))&gt;0,"⚠ CONFLIT",""))</f>
        <v/>
      </c>
      <c r="AA160" s="64">
        <f>IF(COUNTIFS($D$4:$D$863,$D160,$J$4:$J$863,$J160,$F$4:$F$863,$F160,$K$4:$K$863,$K160)&gt;1,"⚠ DOUBLON","")</f>
        <v/>
      </c>
      <c r="AB160" s="64">
        <f>IF(COUNTIF($T$4:$T$863,$T160)&lt;&gt;COUNTIFS($T$4:$T$863,$T160,$D$4:$D$863,$D160,$F$4:$F$863,$F160,$G$4:$G$863,$G160,$K$4:$K$863,$K160,$M$4:$M$863,$M160),"⚠ INCOHÉRENT","")</f>
        <v/>
      </c>
      <c r="AC160" s="64">
        <f>COUNTIFS($A$4:$A160,$A160,$J$4:$J160,$J160,$E$4:$E160,$E160)</f>
        <v/>
      </c>
      <c r="AD160" s="65">
        <f>$A160&amp;"|"&amp;$J160&amp;"|"&amp;$E160&amp;"|"&amp;$AC160</f>
        <v/>
      </c>
      <c r="AE160" s="66">
        <f>IF($W160&lt;&gt;"","⚑ "&amp;$W160&amp;CHAR(10),"")&amp;TEXT($F160,"hh:mm")&amp;"-"&amp;TEXT($G160,"hh:mm")&amp;IF(OR($P160="Quinzaine A",AND($P160="Hebdo · groupes alternés",$C160="A"))," Q-A",IF(OR($P160="Quinzaine B",AND($P160="Hebdo · groupes alternés",$C160="B"))," Q-B",IF($P160="Exception"," PONCT.","")))&amp;IF($X160="Oui"," OPT","")&amp;CHAR(10)&amp;$K160&amp;CHAR(10)&amp;$M160&amp;IF($N160&lt;&gt;"",CHAR(10)&amp;"Salle "&amp;$N160,"")&amp;IF($O160="En ligne",CHAR(10)&amp;"EN LIGNE","")&amp;IF($V160&lt;&gt;"",CHAR(10)&amp;$V160,"")</f>
        <v/>
      </c>
      <c r="AF160" s="65" t="inlineStr">
        <is>
          <t>19h15-20h45 Math (Khouloud)</t>
        </is>
      </c>
      <c r="AG160" s="65" t="inlineStr">
        <is>
          <t>du 21-09 jusquà le 27-09!I32</t>
        </is>
      </c>
    </row>
    <row r="161" ht="15" customHeight="1">
      <c r="A161" s="68" t="inlineStr">
        <is>
          <t>S2</t>
        </is>
      </c>
      <c r="B161" s="69" t="inlineStr">
        <is>
          <t>du 21 au 27 septembre 2026</t>
        </is>
      </c>
      <c r="C161" s="68" t="inlineStr">
        <is>
          <t>B</t>
        </is>
      </c>
      <c r="D161" s="70" t="n">
        <v>46288</v>
      </c>
      <c r="E161" s="68" t="inlineStr">
        <is>
          <t>Mercredi</t>
        </is>
      </c>
      <c r="F161" s="71" t="n">
        <v>0.8125</v>
      </c>
      <c r="G161" s="71" t="n">
        <v>0.875</v>
      </c>
      <c r="H161" s="72">
        <f>IF(OR($F161="",$G161=""),"",($G161-$F161)*24)</f>
        <v/>
      </c>
      <c r="I161" s="68" t="inlineStr">
        <is>
          <t>Collège</t>
        </is>
      </c>
      <c r="J161" s="69" t="inlineStr">
        <is>
          <t>8éme (C)</t>
        </is>
      </c>
      <c r="K161" s="67" t="inlineStr">
        <is>
          <t>Français</t>
        </is>
      </c>
      <c r="L161" s="67" t="inlineStr">
        <is>
          <t>Français</t>
        </is>
      </c>
      <c r="M161" s="69" t="inlineStr">
        <is>
          <t>Nabil</t>
        </is>
      </c>
      <c r="N161" s="68" t="n"/>
      <c r="O161" s="68" t="n"/>
      <c r="P161" s="68" t="inlineStr">
        <is>
          <t>Hebdomadaire</t>
        </is>
      </c>
      <c r="Q161" s="69" t="inlineStr"/>
      <c r="R161" s="68" t="n">
        <v>1</v>
      </c>
      <c r="S161" s="68" t="inlineStr">
        <is>
          <t>Oui</t>
        </is>
      </c>
      <c r="T161" s="68" t="inlineStr">
        <is>
          <t>S2-026</t>
        </is>
      </c>
      <c r="U161" s="69" t="inlineStr">
        <is>
          <t>Original (septembre)</t>
        </is>
      </c>
      <c r="V161" s="69" t="inlineStr"/>
      <c r="W161" s="10" t="n"/>
      <c r="X161" s="10" t="inlineStr"/>
      <c r="Y161" s="64">
        <f>IF($M161="","",IF(SUMPRODUCT(($D$4:$D$863=$D161)*($M$4:$M$863=$M161)*($T$4:$T$863&lt;&gt;$T161)*($F$4:$F$863&lt;$G161)*($G$4:$G$863&gt;$F161))&gt;0,"⚠ CONFLIT",""))</f>
        <v/>
      </c>
      <c r="Z161" s="64">
        <f>IF($J161="","",IF(SUMPRODUCT(($D$4:$D$863=$D161)*($J$4:$J$863=$J161)*($T$4:$T$863&lt;&gt;$T161)*($F$4:$F$863&lt;$G161)*($G$4:$G$863&gt;$F161)*(1-($X$4:$X$863="Oui")*($X161="Oui")))&gt;0,"⚠ CONFLIT",""))</f>
        <v/>
      </c>
      <c r="AA161" s="64">
        <f>IF(COUNTIFS($D$4:$D$863,$D161,$J$4:$J$863,$J161,$F$4:$F$863,$F161,$K$4:$K$863,$K161)&gt;1,"⚠ DOUBLON","")</f>
        <v/>
      </c>
      <c r="AB161" s="64">
        <f>IF(COUNTIF($T$4:$T$863,$T161)&lt;&gt;COUNTIFS($T$4:$T$863,$T161,$D$4:$D$863,$D161,$F$4:$F$863,$F161,$G$4:$G$863,$G161,$K$4:$K$863,$K161,$M$4:$M$863,$M161),"⚠ INCOHÉRENT","")</f>
        <v/>
      </c>
      <c r="AC161" s="64">
        <f>COUNTIFS($A$4:$A161,$A161,$J$4:$J161,$J161,$E$4:$E161,$E161)</f>
        <v/>
      </c>
      <c r="AD161" s="65">
        <f>$A161&amp;"|"&amp;$J161&amp;"|"&amp;$E161&amp;"|"&amp;$AC161</f>
        <v/>
      </c>
      <c r="AE161" s="66">
        <f>IF($W161&lt;&gt;"","⚑ "&amp;$W161&amp;CHAR(10),"")&amp;TEXT($F161,"hh:mm")&amp;"-"&amp;TEXT($G161,"hh:mm")&amp;IF(OR($P161="Quinzaine A",AND($P161="Hebdo · groupes alternés",$C161="A"))," Q-A",IF(OR($P161="Quinzaine B",AND($P161="Hebdo · groupes alternés",$C161="B"))," Q-B",IF($P161="Exception"," PONCT.","")))&amp;IF($X161="Oui"," OPT","")&amp;CHAR(10)&amp;$K161&amp;CHAR(10)&amp;$M161&amp;IF($N161&lt;&gt;"",CHAR(10)&amp;"Salle "&amp;$N161,"")&amp;IF($O161="En ligne",CHAR(10)&amp;"EN LIGNE","")&amp;IF($V161&lt;&gt;"",CHAR(10)&amp;$V161,"")</f>
        <v/>
      </c>
      <c r="AF161" s="65" t="inlineStr">
        <is>
          <t>19h30-21h Français (Nabil)</t>
        </is>
      </c>
      <c r="AG161" s="65" t="inlineStr">
        <is>
          <t>du 21-09 jusquà le 27-09!I35</t>
        </is>
      </c>
    </row>
    <row r="162" ht="15" customHeight="1">
      <c r="A162" s="68" t="inlineStr">
        <is>
          <t>S2</t>
        </is>
      </c>
      <c r="B162" s="69" t="inlineStr">
        <is>
          <t>du 21 au 27 septembre 2026</t>
        </is>
      </c>
      <c r="C162" s="68" t="inlineStr">
        <is>
          <t>B</t>
        </is>
      </c>
      <c r="D162" s="70" t="n">
        <v>46288</v>
      </c>
      <c r="E162" s="68" t="inlineStr">
        <is>
          <t>Mercredi</t>
        </is>
      </c>
      <c r="F162" s="71" t="n">
        <v>0.8125</v>
      </c>
      <c r="G162" s="71" t="n">
        <v>0.875</v>
      </c>
      <c r="H162" s="72">
        <f>IF(OR($F162="",$G162=""),"",($G162-$F162)*24)</f>
        <v/>
      </c>
      <c r="I162" s="68" t="inlineStr">
        <is>
          <t>Collège</t>
        </is>
      </c>
      <c r="J162" s="69" t="inlineStr">
        <is>
          <t>9éme (B)</t>
        </is>
      </c>
      <c r="K162" s="63" t="inlineStr">
        <is>
          <t>Arabe</t>
        </is>
      </c>
      <c r="L162" s="63" t="inlineStr">
        <is>
          <t>Arabe</t>
        </is>
      </c>
      <c r="M162" s="69" t="inlineStr">
        <is>
          <t>Yahya</t>
        </is>
      </c>
      <c r="N162" s="68" t="n"/>
      <c r="O162" s="68" t="n"/>
      <c r="P162" s="68" t="inlineStr">
        <is>
          <t>Hebdomadaire</t>
        </is>
      </c>
      <c r="Q162" s="69" t="inlineStr"/>
      <c r="R162" s="68" t="n">
        <v>1</v>
      </c>
      <c r="S162" s="68" t="inlineStr">
        <is>
          <t>Oui</t>
        </is>
      </c>
      <c r="T162" s="68" t="inlineStr">
        <is>
          <t>S2-027</t>
        </is>
      </c>
      <c r="U162" s="69" t="inlineStr">
        <is>
          <t>Original (septembre)</t>
        </is>
      </c>
      <c r="V162" s="69" t="inlineStr"/>
      <c r="W162" s="10" t="n"/>
      <c r="X162" s="10" t="inlineStr"/>
      <c r="Y162" s="64">
        <f>IF($M162="","",IF(SUMPRODUCT(($D$4:$D$863=$D162)*($M$4:$M$863=$M162)*($T$4:$T$863&lt;&gt;$T162)*($F$4:$F$863&lt;$G162)*($G$4:$G$863&gt;$F162))&gt;0,"⚠ CONFLIT",""))</f>
        <v/>
      </c>
      <c r="Z162" s="64">
        <f>IF($J162="","",IF(SUMPRODUCT(($D$4:$D$863=$D162)*($J$4:$J$863=$J162)*($T$4:$T$863&lt;&gt;$T162)*($F$4:$F$863&lt;$G162)*($G$4:$G$863&gt;$F162)*(1-($X$4:$X$863="Oui")*($X162="Oui")))&gt;0,"⚠ CONFLIT",""))</f>
        <v/>
      </c>
      <c r="AA162" s="64">
        <f>IF(COUNTIFS($D$4:$D$863,$D162,$J$4:$J$863,$J162,$F$4:$F$863,$F162,$K$4:$K$863,$K162)&gt;1,"⚠ DOUBLON","")</f>
        <v/>
      </c>
      <c r="AB162" s="64">
        <f>IF(COUNTIF($T$4:$T$863,$T162)&lt;&gt;COUNTIFS($T$4:$T$863,$T162,$D$4:$D$863,$D162,$F$4:$F$863,$F162,$G$4:$G$863,$G162,$K$4:$K$863,$K162,$M$4:$M$863,$M162),"⚠ INCOHÉRENT","")</f>
        <v/>
      </c>
      <c r="AC162" s="64">
        <f>COUNTIFS($A$4:$A162,$A162,$J$4:$J162,$J162,$E$4:$E162,$E162)</f>
        <v/>
      </c>
      <c r="AD162" s="65">
        <f>$A162&amp;"|"&amp;$J162&amp;"|"&amp;$E162&amp;"|"&amp;$AC162</f>
        <v/>
      </c>
      <c r="AE162" s="66">
        <f>IF($W162&lt;&gt;"","⚑ "&amp;$W162&amp;CHAR(10),"")&amp;TEXT($F162,"hh:mm")&amp;"-"&amp;TEXT($G162,"hh:mm")&amp;IF(OR($P162="Quinzaine A",AND($P162="Hebdo · groupes alternés",$C162="A"))," Q-A",IF(OR($P162="Quinzaine B",AND($P162="Hebdo · groupes alternés",$C162="B"))," Q-B",IF($P162="Exception"," PONCT.","")))&amp;IF($X162="Oui"," OPT","")&amp;CHAR(10)&amp;$K162&amp;CHAR(10)&amp;$M162&amp;IF($N162&lt;&gt;"",CHAR(10)&amp;"Salle "&amp;$N162,"")&amp;IF($O162="En ligne",CHAR(10)&amp;"EN LIGNE","")&amp;IF($V162&lt;&gt;"",CHAR(10)&amp;$V162,"")</f>
        <v/>
      </c>
      <c r="AF162" s="65" t="inlineStr">
        <is>
          <t>19h30-21h Arabe (Yahya)</t>
        </is>
      </c>
      <c r="AG162" s="65" t="inlineStr">
        <is>
          <t>du 21-09 jusquà le 27-09!I44</t>
        </is>
      </c>
    </row>
    <row r="163" ht="15" customHeight="1">
      <c r="A163" s="68" t="inlineStr">
        <is>
          <t>S2</t>
        </is>
      </c>
      <c r="B163" s="69" t="inlineStr">
        <is>
          <t>du 21 au 27 septembre 2026</t>
        </is>
      </c>
      <c r="C163" s="68" t="inlineStr">
        <is>
          <t>B</t>
        </is>
      </c>
      <c r="D163" s="70" t="n">
        <v>46288</v>
      </c>
      <c r="E163" s="68" t="inlineStr">
        <is>
          <t>Mercredi</t>
        </is>
      </c>
      <c r="F163" s="71" t="n">
        <v>0.8020833333333334</v>
      </c>
      <c r="G163" s="71" t="n">
        <v>0.8645833333333334</v>
      </c>
      <c r="H163" s="72">
        <f>IF(OR($F163="",$G163=""),"",($G163-$F163)*24)</f>
        <v/>
      </c>
      <c r="I163" s="68" t="inlineStr">
        <is>
          <t>Collège</t>
        </is>
      </c>
      <c r="J163" s="69" t="inlineStr">
        <is>
          <t>9éme (C)</t>
        </is>
      </c>
      <c r="K163" s="88" t="inlineStr">
        <is>
          <t>SVT</t>
        </is>
      </c>
      <c r="L163" s="88" t="inlineStr">
        <is>
          <t>SVT</t>
        </is>
      </c>
      <c r="M163" s="69" t="inlineStr">
        <is>
          <t>Imen Jribi</t>
        </is>
      </c>
      <c r="N163" s="68" t="n"/>
      <c r="O163" s="68" t="n"/>
      <c r="P163" s="68" t="inlineStr">
        <is>
          <t>Hebdomadaire</t>
        </is>
      </c>
      <c r="Q163" s="69" t="inlineStr"/>
      <c r="R163" s="68" t="n">
        <v>1</v>
      </c>
      <c r="S163" s="68" t="inlineStr">
        <is>
          <t>Oui</t>
        </is>
      </c>
      <c r="T163" s="68" t="inlineStr">
        <is>
          <t>S2-028</t>
        </is>
      </c>
      <c r="U163" s="69" t="inlineStr">
        <is>
          <t>Original (septembre)</t>
        </is>
      </c>
      <c r="V163" s="69" t="inlineStr"/>
      <c r="W163" s="10" t="n"/>
      <c r="X163" s="10" t="inlineStr"/>
      <c r="Y163" s="64">
        <f>IF($M163="","",IF(SUMPRODUCT(($D$4:$D$863=$D163)*($M$4:$M$863=$M163)*($T$4:$T$863&lt;&gt;$T163)*($F$4:$F$863&lt;$G163)*($G$4:$G$863&gt;$F163))&gt;0,"⚠ CONFLIT",""))</f>
        <v/>
      </c>
      <c r="Z163" s="64">
        <f>IF($J163="","",IF(SUMPRODUCT(($D$4:$D$863=$D163)*($J$4:$J$863=$J163)*($T$4:$T$863&lt;&gt;$T163)*($F$4:$F$863&lt;$G163)*($G$4:$G$863&gt;$F163)*(1-($X$4:$X$863="Oui")*($X163="Oui")))&gt;0,"⚠ CONFLIT",""))</f>
        <v/>
      </c>
      <c r="AA163" s="64">
        <f>IF(COUNTIFS($D$4:$D$863,$D163,$J$4:$J$863,$J163,$F$4:$F$863,$F163,$K$4:$K$863,$K163)&gt;1,"⚠ DOUBLON","")</f>
        <v/>
      </c>
      <c r="AB163" s="64">
        <f>IF(COUNTIF($T$4:$T$863,$T163)&lt;&gt;COUNTIFS($T$4:$T$863,$T163,$D$4:$D$863,$D163,$F$4:$F$863,$F163,$G$4:$G$863,$G163,$K$4:$K$863,$K163,$M$4:$M$863,$M163),"⚠ INCOHÉRENT","")</f>
        <v/>
      </c>
      <c r="AC163" s="64">
        <f>COUNTIFS($A$4:$A163,$A163,$J$4:$J163,$J163,$E$4:$E163,$E163)</f>
        <v/>
      </c>
      <c r="AD163" s="65">
        <f>$A163&amp;"|"&amp;$J163&amp;"|"&amp;$E163&amp;"|"&amp;$AC163</f>
        <v/>
      </c>
      <c r="AE163" s="66">
        <f>IF($W163&lt;&gt;"","⚑ "&amp;$W163&amp;CHAR(10),"")&amp;TEXT($F163,"hh:mm")&amp;"-"&amp;TEXT($G163,"hh:mm")&amp;IF(OR($P163="Quinzaine A",AND($P163="Hebdo · groupes alternés",$C163="A"))," Q-A",IF(OR($P163="Quinzaine B",AND($P163="Hebdo · groupes alternés",$C163="B"))," Q-B",IF($P163="Exception"," PONCT.","")))&amp;IF($X163="Oui"," OPT","")&amp;CHAR(10)&amp;$K163&amp;CHAR(10)&amp;$M163&amp;IF($N163&lt;&gt;"",CHAR(10)&amp;"Salle "&amp;$N163,"")&amp;IF($O163="En ligne",CHAR(10)&amp;"EN LIGNE","")&amp;IF($V163&lt;&gt;"",CHAR(10)&amp;$V163,"")</f>
        <v/>
      </c>
      <c r="AF163" s="65" t="inlineStr">
        <is>
          <t>19h15-20h45 SVT (Imen Jribi)</t>
        </is>
      </c>
      <c r="AG163" s="65" t="inlineStr">
        <is>
          <t>du 21-09 jusquà le 27-09!I47</t>
        </is>
      </c>
    </row>
    <row r="164" ht="15" customHeight="1">
      <c r="A164" s="74" t="inlineStr">
        <is>
          <t>S2</t>
        </is>
      </c>
      <c r="B164" s="75" t="inlineStr">
        <is>
          <t>du 21 au 27 septembre 2026</t>
        </is>
      </c>
      <c r="C164" s="74" t="inlineStr">
        <is>
          <t>B</t>
        </is>
      </c>
      <c r="D164" s="76" t="n">
        <v>46288</v>
      </c>
      <c r="E164" s="74" t="inlineStr">
        <is>
          <t>Mercredi</t>
        </is>
      </c>
      <c r="F164" s="77" t="n">
        <v>0.8020833333333334</v>
      </c>
      <c r="G164" s="77" t="n">
        <v>0.8645833333333334</v>
      </c>
      <c r="H164" s="78">
        <f>IF(OR($F164="",$G164=""),"",($G164-$F164)*24)</f>
        <v/>
      </c>
      <c r="I164" s="74" t="inlineStr">
        <is>
          <t>Secondaire</t>
        </is>
      </c>
      <c r="J164" s="75" t="inlineStr">
        <is>
          <t>1ére (B)</t>
        </is>
      </c>
      <c r="K164" s="67" t="inlineStr">
        <is>
          <t>Français</t>
        </is>
      </c>
      <c r="L164" s="67" t="inlineStr">
        <is>
          <t>Français</t>
        </is>
      </c>
      <c r="M164" s="75" t="inlineStr">
        <is>
          <t>Nassima</t>
        </is>
      </c>
      <c r="N164" s="74" t="n"/>
      <c r="O164" s="74" t="n"/>
      <c r="P164" s="74" t="inlineStr">
        <is>
          <t>Hebdomadaire</t>
        </is>
      </c>
      <c r="Q164" s="75" t="inlineStr"/>
      <c r="R164" s="74" t="n">
        <v>1</v>
      </c>
      <c r="S164" s="74" t="inlineStr">
        <is>
          <t>Oui</t>
        </is>
      </c>
      <c r="T164" s="74" t="inlineStr">
        <is>
          <t>S2-029</t>
        </is>
      </c>
      <c r="U164" s="75" t="inlineStr">
        <is>
          <t>Original (septembre)</t>
        </is>
      </c>
      <c r="V164" s="75" t="inlineStr"/>
      <c r="W164" s="10" t="n"/>
      <c r="X164" s="10" t="inlineStr"/>
      <c r="Y164" s="64">
        <f>IF($M164="","",IF(SUMPRODUCT(($D$4:$D$863=$D164)*($M$4:$M$863=$M164)*($T$4:$T$863&lt;&gt;$T164)*($F$4:$F$863&lt;$G164)*($G$4:$G$863&gt;$F164))&gt;0,"⚠ CONFLIT",""))</f>
        <v/>
      </c>
      <c r="Z164" s="64">
        <f>IF($J164="","",IF(SUMPRODUCT(($D$4:$D$863=$D164)*($J$4:$J$863=$J164)*($T$4:$T$863&lt;&gt;$T164)*($F$4:$F$863&lt;$G164)*($G$4:$G$863&gt;$F164)*(1-($X$4:$X$863="Oui")*($X164="Oui")))&gt;0,"⚠ CONFLIT",""))</f>
        <v/>
      </c>
      <c r="AA164" s="64">
        <f>IF(COUNTIFS($D$4:$D$863,$D164,$J$4:$J$863,$J164,$F$4:$F$863,$F164,$K$4:$K$863,$K164)&gt;1,"⚠ DOUBLON","")</f>
        <v/>
      </c>
      <c r="AB164" s="64">
        <f>IF(COUNTIF($T$4:$T$863,$T164)&lt;&gt;COUNTIFS($T$4:$T$863,$T164,$D$4:$D$863,$D164,$F$4:$F$863,$F164,$G$4:$G$863,$G164,$K$4:$K$863,$K164,$M$4:$M$863,$M164),"⚠ INCOHÉRENT","")</f>
        <v/>
      </c>
      <c r="AC164" s="64">
        <f>COUNTIFS($A$4:$A164,$A164,$J$4:$J164,$J164,$E$4:$E164,$E164)</f>
        <v/>
      </c>
      <c r="AD164" s="65">
        <f>$A164&amp;"|"&amp;$J164&amp;"|"&amp;$E164&amp;"|"&amp;$AC164</f>
        <v/>
      </c>
      <c r="AE164" s="66">
        <f>IF($W164&lt;&gt;"","⚑ "&amp;$W164&amp;CHAR(10),"")&amp;TEXT($F164,"hh:mm")&amp;"-"&amp;TEXT($G164,"hh:mm")&amp;IF(OR($P164="Quinzaine A",AND($P164="Hebdo · groupes alternés",$C164="A"))," Q-A",IF(OR($P164="Quinzaine B",AND($P164="Hebdo · groupes alternés",$C164="B"))," Q-B",IF($P164="Exception"," PONCT.","")))&amp;IF($X164="Oui"," OPT","")&amp;CHAR(10)&amp;$K164&amp;CHAR(10)&amp;$M164&amp;IF($N164&lt;&gt;"",CHAR(10)&amp;"Salle "&amp;$N164,"")&amp;IF($O164="En ligne",CHAR(10)&amp;"EN LIGNE","")&amp;IF($V164&lt;&gt;"",CHAR(10)&amp;$V164,"")</f>
        <v/>
      </c>
      <c r="AF164" s="65" t="inlineStr">
        <is>
          <t>19h15-20h45 Français (Nassima)</t>
        </is>
      </c>
      <c r="AG164" s="65" t="inlineStr">
        <is>
          <t>du 21-09 jusquà le 27-09!I54</t>
        </is>
      </c>
    </row>
    <row r="165" ht="15" customHeight="1">
      <c r="A165" s="74" t="inlineStr">
        <is>
          <t>S2</t>
        </is>
      </c>
      <c r="B165" s="75" t="inlineStr">
        <is>
          <t>du 21 au 27 septembre 2026</t>
        </is>
      </c>
      <c r="C165" s="74" t="inlineStr">
        <is>
          <t>B</t>
        </is>
      </c>
      <c r="D165" s="76" t="n">
        <v>46288</v>
      </c>
      <c r="E165" s="74" t="inlineStr">
        <is>
          <t>Mercredi</t>
        </is>
      </c>
      <c r="F165" s="77" t="n">
        <v>0.8125</v>
      </c>
      <c r="G165" s="77" t="n">
        <v>0.875</v>
      </c>
      <c r="H165" s="78">
        <f>IF(OR($F165="",$G165=""),"",($G165-$F165)*24)</f>
        <v/>
      </c>
      <c r="I165" s="74" t="inlineStr">
        <is>
          <t>Secondaire</t>
        </is>
      </c>
      <c r="J165" s="75" t="inlineStr">
        <is>
          <t>2éme Eco</t>
        </is>
      </c>
      <c r="K165" s="79" t="inlineStr">
        <is>
          <t>Math</t>
        </is>
      </c>
      <c r="L165" s="79" t="inlineStr">
        <is>
          <t>Math</t>
        </is>
      </c>
      <c r="M165" s="75" t="inlineStr">
        <is>
          <t>Haythem</t>
        </is>
      </c>
      <c r="N165" s="74" t="n"/>
      <c r="O165" s="74" t="n"/>
      <c r="P165" s="74" t="inlineStr">
        <is>
          <t>Hebdomadaire</t>
        </is>
      </c>
      <c r="Q165" s="75" t="inlineStr"/>
      <c r="R165" s="74" t="n">
        <v>1</v>
      </c>
      <c r="S165" s="74" t="inlineStr">
        <is>
          <t>Oui</t>
        </is>
      </c>
      <c r="T165" s="74" t="inlineStr">
        <is>
          <t>S2-030</t>
        </is>
      </c>
      <c r="U165" s="75" t="inlineStr">
        <is>
          <t>Original (septembre)</t>
        </is>
      </c>
      <c r="V165" s="75" t="inlineStr"/>
      <c r="W165" s="10" t="n"/>
      <c r="X165" s="10" t="inlineStr"/>
      <c r="Y165" s="64">
        <f>IF($M165="","",IF(SUMPRODUCT(($D$4:$D$863=$D165)*($M$4:$M$863=$M165)*($T$4:$T$863&lt;&gt;$T165)*($F$4:$F$863&lt;$G165)*($G$4:$G$863&gt;$F165))&gt;0,"⚠ CONFLIT",""))</f>
        <v/>
      </c>
      <c r="Z165" s="64">
        <f>IF($J165="","",IF(SUMPRODUCT(($D$4:$D$863=$D165)*($J$4:$J$863=$J165)*($T$4:$T$863&lt;&gt;$T165)*($F$4:$F$863&lt;$G165)*($G$4:$G$863&gt;$F165)*(1-($X$4:$X$863="Oui")*($X165="Oui")))&gt;0,"⚠ CONFLIT",""))</f>
        <v/>
      </c>
      <c r="AA165" s="64">
        <f>IF(COUNTIFS($D$4:$D$863,$D165,$J$4:$J$863,$J165,$F$4:$F$863,$F165,$K$4:$K$863,$K165)&gt;1,"⚠ DOUBLON","")</f>
        <v/>
      </c>
      <c r="AB165" s="64">
        <f>IF(COUNTIF($T$4:$T$863,$T165)&lt;&gt;COUNTIFS($T$4:$T$863,$T165,$D$4:$D$863,$D165,$F$4:$F$863,$F165,$G$4:$G$863,$G165,$K$4:$K$863,$K165,$M$4:$M$863,$M165),"⚠ INCOHÉRENT","")</f>
        <v/>
      </c>
      <c r="AC165" s="64">
        <f>COUNTIFS($A$4:$A165,$A165,$J$4:$J165,$J165,$E$4:$E165,$E165)</f>
        <v/>
      </c>
      <c r="AD165" s="65">
        <f>$A165&amp;"|"&amp;$J165&amp;"|"&amp;$E165&amp;"|"&amp;$AC165</f>
        <v/>
      </c>
      <c r="AE165" s="66">
        <f>IF($W165&lt;&gt;"","⚑ "&amp;$W165&amp;CHAR(10),"")&amp;TEXT($F165,"hh:mm")&amp;"-"&amp;TEXT($G165,"hh:mm")&amp;IF(OR($P165="Quinzaine A",AND($P165="Hebdo · groupes alternés",$C165="A"))," Q-A",IF(OR($P165="Quinzaine B",AND($P165="Hebdo · groupes alternés",$C165="B"))," Q-B",IF($P165="Exception"," PONCT.","")))&amp;IF($X165="Oui"," OPT","")&amp;CHAR(10)&amp;$K165&amp;CHAR(10)&amp;$M165&amp;IF($N165&lt;&gt;"",CHAR(10)&amp;"Salle "&amp;$N165,"")&amp;IF($O165="En ligne",CHAR(10)&amp;"EN LIGNE","")&amp;IF($V165&lt;&gt;"",CHAR(10)&amp;$V165,"")</f>
        <v/>
      </c>
      <c r="AF165" s="65" t="inlineStr">
        <is>
          <t>19h30-21h Math (Haythem)</t>
        </is>
      </c>
      <c r="AG165" s="65" t="inlineStr">
        <is>
          <t>du 21-09 jusquà le 27-09!I60</t>
        </is>
      </c>
    </row>
    <row r="166" ht="15" customHeight="1">
      <c r="A166" s="74" t="inlineStr">
        <is>
          <t>S2</t>
        </is>
      </c>
      <c r="B166" s="75" t="inlineStr">
        <is>
          <t>du 21 au 27 septembre 2026</t>
        </is>
      </c>
      <c r="C166" s="74" t="inlineStr">
        <is>
          <t>B</t>
        </is>
      </c>
      <c r="D166" s="76" t="n">
        <v>46288</v>
      </c>
      <c r="E166" s="74" t="inlineStr">
        <is>
          <t>Mercredi</t>
        </is>
      </c>
      <c r="F166" s="77" t="n">
        <v>0.7916666666666666</v>
      </c>
      <c r="G166" s="77" t="n">
        <v>0.8541666666666666</v>
      </c>
      <c r="H166" s="78">
        <f>IF(OR($F166="",$G166=""),"",($G166-$F166)*24)</f>
        <v/>
      </c>
      <c r="I166" s="74" t="inlineStr">
        <is>
          <t>Secondaire</t>
        </is>
      </c>
      <c r="J166" s="75" t="inlineStr">
        <is>
          <t>3éme Eco</t>
        </is>
      </c>
      <c r="K166" s="86" t="inlineStr">
        <is>
          <t>Gestion</t>
        </is>
      </c>
      <c r="L166" s="86" t="inlineStr">
        <is>
          <t>Gestion</t>
        </is>
      </c>
      <c r="M166" s="75" t="inlineStr">
        <is>
          <t>Yassine</t>
        </is>
      </c>
      <c r="N166" s="74" t="n"/>
      <c r="O166" s="74" t="n"/>
      <c r="P166" s="74" t="inlineStr">
        <is>
          <t>Hebdomadaire</t>
        </is>
      </c>
      <c r="Q166" s="75" t="inlineStr"/>
      <c r="R166" s="74" t="n">
        <v>1</v>
      </c>
      <c r="S166" s="74" t="inlineStr">
        <is>
          <t>Oui</t>
        </is>
      </c>
      <c r="T166" s="74" t="inlineStr">
        <is>
          <t>S2-031</t>
        </is>
      </c>
      <c r="U166" s="75" t="inlineStr">
        <is>
          <t>Original (septembre)</t>
        </is>
      </c>
      <c r="V166" s="75" t="inlineStr"/>
      <c r="W166" s="10" t="n"/>
      <c r="X166" s="10" t="inlineStr"/>
      <c r="Y166" s="64">
        <f>IF($M166="","",IF(SUMPRODUCT(($D$4:$D$863=$D166)*($M$4:$M$863=$M166)*($T$4:$T$863&lt;&gt;$T166)*($F$4:$F$863&lt;$G166)*($G$4:$G$863&gt;$F166))&gt;0,"⚠ CONFLIT",""))</f>
        <v/>
      </c>
      <c r="Z166" s="64">
        <f>IF($J166="","",IF(SUMPRODUCT(($D$4:$D$863=$D166)*($J$4:$J$863=$J166)*($T$4:$T$863&lt;&gt;$T166)*($F$4:$F$863&lt;$G166)*($G$4:$G$863&gt;$F166)*(1-($X$4:$X$863="Oui")*($X166="Oui")))&gt;0,"⚠ CONFLIT",""))</f>
        <v/>
      </c>
      <c r="AA166" s="64">
        <f>IF(COUNTIFS($D$4:$D$863,$D166,$J$4:$J$863,$J166,$F$4:$F$863,$F166,$K$4:$K$863,$K166)&gt;1,"⚠ DOUBLON","")</f>
        <v/>
      </c>
      <c r="AB166" s="64">
        <f>IF(COUNTIF($T$4:$T$863,$T166)&lt;&gt;COUNTIFS($T$4:$T$863,$T166,$D$4:$D$863,$D166,$F$4:$F$863,$F166,$G$4:$G$863,$G166,$K$4:$K$863,$K166,$M$4:$M$863,$M166),"⚠ INCOHÉRENT","")</f>
        <v/>
      </c>
      <c r="AC166" s="64">
        <f>COUNTIFS($A$4:$A166,$A166,$J$4:$J166,$J166,$E$4:$E166,$E166)</f>
        <v/>
      </c>
      <c r="AD166" s="65">
        <f>$A166&amp;"|"&amp;$J166&amp;"|"&amp;$E166&amp;"|"&amp;$AC166</f>
        <v/>
      </c>
      <c r="AE166" s="66">
        <f>IF($W166&lt;&gt;"","⚑ "&amp;$W166&amp;CHAR(10),"")&amp;TEXT($F166,"hh:mm")&amp;"-"&amp;TEXT($G166,"hh:mm")&amp;IF(OR($P166="Quinzaine A",AND($P166="Hebdo · groupes alternés",$C166="A"))," Q-A",IF(OR($P166="Quinzaine B",AND($P166="Hebdo · groupes alternés",$C166="B"))," Q-B",IF($P166="Exception"," PONCT.","")))&amp;IF($X166="Oui"," OPT","")&amp;CHAR(10)&amp;$K166&amp;CHAR(10)&amp;$M166&amp;IF($N166&lt;&gt;"",CHAR(10)&amp;"Salle "&amp;$N166,"")&amp;IF($O166="En ligne",CHAR(10)&amp;"EN LIGNE","")&amp;IF($V166&lt;&gt;"",CHAR(10)&amp;$V166,"")</f>
        <v/>
      </c>
      <c r="AF166" s="65" t="inlineStr">
        <is>
          <t>19h-20h30 Gestion (Yassine)</t>
        </is>
      </c>
      <c r="AG166" s="65" t="inlineStr">
        <is>
          <t>du 21-09 jusquà le 27-09!I67</t>
        </is>
      </c>
    </row>
    <row r="167" ht="15" customHeight="1">
      <c r="A167" s="74" t="inlineStr">
        <is>
          <t>S2</t>
        </is>
      </c>
      <c r="B167" s="75" t="inlineStr">
        <is>
          <t>du 21 au 27 septembre 2026</t>
        </is>
      </c>
      <c r="C167" s="74" t="inlineStr">
        <is>
          <t>B</t>
        </is>
      </c>
      <c r="D167" s="76" t="n">
        <v>46288</v>
      </c>
      <c r="E167" s="74" t="inlineStr">
        <is>
          <t>Mercredi</t>
        </is>
      </c>
      <c r="F167" s="77" t="n">
        <v>0.8125</v>
      </c>
      <c r="G167" s="77" t="n">
        <v>0.875</v>
      </c>
      <c r="H167" s="78">
        <f>IF(OR($F167="",$G167=""),"",($G167-$F167)*24)</f>
        <v/>
      </c>
      <c r="I167" s="74" t="inlineStr">
        <is>
          <t>Secondaire</t>
        </is>
      </c>
      <c r="J167" s="75" t="inlineStr">
        <is>
          <t>3éme INFO</t>
        </is>
      </c>
      <c r="K167" s="73" t="inlineStr">
        <is>
          <t>Physique</t>
        </is>
      </c>
      <c r="L167" s="73" t="inlineStr">
        <is>
          <t>Physique</t>
        </is>
      </c>
      <c r="M167" s="75" t="inlineStr">
        <is>
          <t>Samia</t>
        </is>
      </c>
      <c r="N167" s="74" t="n"/>
      <c r="O167" s="74" t="n"/>
      <c r="P167" s="74" t="inlineStr">
        <is>
          <t>Hebdomadaire</t>
        </is>
      </c>
      <c r="Q167" s="75" t="inlineStr"/>
      <c r="R167" s="74" t="n">
        <v>1</v>
      </c>
      <c r="S167" s="74" t="inlineStr">
        <is>
          <t>Oui</t>
        </is>
      </c>
      <c r="T167" s="74" t="inlineStr">
        <is>
          <t>S2-032</t>
        </is>
      </c>
      <c r="U167" s="75" t="inlineStr">
        <is>
          <t>Original (septembre)</t>
        </is>
      </c>
      <c r="V167" s="75" t="inlineStr"/>
      <c r="W167" s="10" t="n"/>
      <c r="X167" s="10" t="inlineStr"/>
      <c r="Y167" s="64">
        <f>IF($M167="","",IF(SUMPRODUCT(($D$4:$D$863=$D167)*($M$4:$M$863=$M167)*($T$4:$T$863&lt;&gt;$T167)*($F$4:$F$863&lt;$G167)*($G$4:$G$863&gt;$F167))&gt;0,"⚠ CONFLIT",""))</f>
        <v/>
      </c>
      <c r="Z167" s="64">
        <f>IF($J167="","",IF(SUMPRODUCT(($D$4:$D$863=$D167)*($J$4:$J$863=$J167)*($T$4:$T$863&lt;&gt;$T167)*($F$4:$F$863&lt;$G167)*($G$4:$G$863&gt;$F167)*(1-($X$4:$X$863="Oui")*($X167="Oui")))&gt;0,"⚠ CONFLIT",""))</f>
        <v/>
      </c>
      <c r="AA167" s="64">
        <f>IF(COUNTIFS($D$4:$D$863,$D167,$J$4:$J$863,$J167,$F$4:$F$863,$F167,$K$4:$K$863,$K167)&gt;1,"⚠ DOUBLON","")</f>
        <v/>
      </c>
      <c r="AB167" s="64">
        <f>IF(COUNTIF($T$4:$T$863,$T167)&lt;&gt;COUNTIFS($T$4:$T$863,$T167,$D$4:$D$863,$D167,$F$4:$F$863,$F167,$G$4:$G$863,$G167,$K$4:$K$863,$K167,$M$4:$M$863,$M167),"⚠ INCOHÉRENT","")</f>
        <v/>
      </c>
      <c r="AC167" s="64">
        <f>COUNTIFS($A$4:$A167,$A167,$J$4:$J167,$J167,$E$4:$E167,$E167)</f>
        <v/>
      </c>
      <c r="AD167" s="65">
        <f>$A167&amp;"|"&amp;$J167&amp;"|"&amp;$E167&amp;"|"&amp;$AC167</f>
        <v/>
      </c>
      <c r="AE167" s="66">
        <f>IF($W167&lt;&gt;"","⚑ "&amp;$W167&amp;CHAR(10),"")&amp;TEXT($F167,"hh:mm")&amp;"-"&amp;TEXT($G167,"hh:mm")&amp;IF(OR($P167="Quinzaine A",AND($P167="Hebdo · groupes alternés",$C167="A"))," Q-A",IF(OR($P167="Quinzaine B",AND($P167="Hebdo · groupes alternés",$C167="B"))," Q-B",IF($P167="Exception"," PONCT.","")))&amp;IF($X167="Oui"," OPT","")&amp;CHAR(10)&amp;$K167&amp;CHAR(10)&amp;$M167&amp;IF($N167&lt;&gt;"",CHAR(10)&amp;"Salle "&amp;$N167,"")&amp;IF($O167="En ligne",CHAR(10)&amp;"EN LIGNE","")&amp;IF($V167&lt;&gt;"",CHAR(10)&amp;$V167,"")</f>
        <v/>
      </c>
      <c r="AF167" s="65" t="inlineStr">
        <is>
          <t>19h30-21h Physique (Samia)</t>
        </is>
      </c>
      <c r="AG167" s="65" t="inlineStr">
        <is>
          <t>du 21-09 jusquà le 27-09!I69</t>
        </is>
      </c>
    </row>
    <row r="168" ht="15" customHeight="1">
      <c r="A168" s="81" t="inlineStr">
        <is>
          <t>S2</t>
        </is>
      </c>
      <c r="B168" s="82" t="inlineStr">
        <is>
          <t>du 21 au 27 septembre 2026</t>
        </is>
      </c>
      <c r="C168" s="81" t="inlineStr">
        <is>
          <t>B</t>
        </is>
      </c>
      <c r="D168" s="83" t="n">
        <v>46288</v>
      </c>
      <c r="E168" s="81" t="inlineStr">
        <is>
          <t>Mercredi</t>
        </is>
      </c>
      <c r="F168" s="84" t="n">
        <v>0.7916666666666666</v>
      </c>
      <c r="G168" s="84" t="n">
        <v>0.875</v>
      </c>
      <c r="H168" s="85">
        <f>IF(OR($F168="",$G168=""),"",($G168-$F168)*24)</f>
        <v/>
      </c>
      <c r="I168" s="81" t="inlineStr">
        <is>
          <t>Bac</t>
        </is>
      </c>
      <c r="J168" s="82" t="inlineStr">
        <is>
          <t>Bac SCE</t>
        </is>
      </c>
      <c r="K168" s="79" t="inlineStr">
        <is>
          <t>Math</t>
        </is>
      </c>
      <c r="L168" s="79" t="inlineStr">
        <is>
          <t>Math</t>
        </is>
      </c>
      <c r="M168" s="82" t="inlineStr">
        <is>
          <t>Ahmed</t>
        </is>
      </c>
      <c r="N168" s="81" t="n"/>
      <c r="O168" s="81" t="n"/>
      <c r="P168" s="81" t="inlineStr">
        <is>
          <t>Hebdomadaire</t>
        </is>
      </c>
      <c r="Q168" s="82" t="inlineStr"/>
      <c r="R168" s="81" t="n">
        <v>1</v>
      </c>
      <c r="S168" s="81" t="inlineStr">
        <is>
          <t>Oui</t>
        </is>
      </c>
      <c r="T168" s="81" t="inlineStr">
        <is>
          <t>S2-033</t>
        </is>
      </c>
      <c r="U168" s="82" t="inlineStr">
        <is>
          <t>Original (septembre)</t>
        </is>
      </c>
      <c r="V168" s="82" t="inlineStr"/>
      <c r="W168" s="10" t="n"/>
      <c r="X168" s="10" t="inlineStr"/>
      <c r="Y168" s="64">
        <f>IF($M168="","",IF(SUMPRODUCT(($D$4:$D$863=$D168)*($M$4:$M$863=$M168)*($T$4:$T$863&lt;&gt;$T168)*($F$4:$F$863&lt;$G168)*($G$4:$G$863&gt;$F168))&gt;0,"⚠ CONFLIT",""))</f>
        <v/>
      </c>
      <c r="Z168" s="64">
        <f>IF($J168="","",IF(SUMPRODUCT(($D$4:$D$863=$D168)*($J$4:$J$863=$J168)*($T$4:$T$863&lt;&gt;$T168)*($F$4:$F$863&lt;$G168)*($G$4:$G$863&gt;$F168)*(1-($X$4:$X$863="Oui")*($X168="Oui")))&gt;0,"⚠ CONFLIT",""))</f>
        <v/>
      </c>
      <c r="AA168" s="64">
        <f>IF(COUNTIFS($D$4:$D$863,$D168,$J$4:$J$863,$J168,$F$4:$F$863,$F168,$K$4:$K$863,$K168)&gt;1,"⚠ DOUBLON","")</f>
        <v/>
      </c>
      <c r="AB168" s="64">
        <f>IF(COUNTIF($T$4:$T$863,$T168)&lt;&gt;COUNTIFS($T$4:$T$863,$T168,$D$4:$D$863,$D168,$F$4:$F$863,$F168,$G$4:$G$863,$G168,$K$4:$K$863,$K168,$M$4:$M$863,$M168),"⚠ INCOHÉRENT","")</f>
        <v/>
      </c>
      <c r="AC168" s="64">
        <f>COUNTIFS($A$4:$A168,$A168,$J$4:$J168,$J168,$E$4:$E168,$E168)</f>
        <v/>
      </c>
      <c r="AD168" s="65">
        <f>$A168&amp;"|"&amp;$J168&amp;"|"&amp;$E168&amp;"|"&amp;$AC168</f>
        <v/>
      </c>
      <c r="AE168" s="66">
        <f>IF($W168&lt;&gt;"","⚑ "&amp;$W168&amp;CHAR(10),"")&amp;TEXT($F168,"hh:mm")&amp;"-"&amp;TEXT($G168,"hh:mm")&amp;IF(OR($P168="Quinzaine A",AND($P168="Hebdo · groupes alternés",$C168="A"))," Q-A",IF(OR($P168="Quinzaine B",AND($P168="Hebdo · groupes alternés",$C168="B"))," Q-B",IF($P168="Exception"," PONCT.","")))&amp;IF($X168="Oui"," OPT","")&amp;CHAR(10)&amp;$K168&amp;CHAR(10)&amp;$M168&amp;IF($N168&lt;&gt;"",CHAR(10)&amp;"Salle "&amp;$N168,"")&amp;IF($O168="En ligne",CHAR(10)&amp;"EN LIGNE","")&amp;IF($V168&lt;&gt;"",CHAR(10)&amp;$V168,"")</f>
        <v/>
      </c>
      <c r="AF168" s="65" t="inlineStr">
        <is>
          <t>19h-21h Math (Ahmed)</t>
        </is>
      </c>
      <c r="AG168" s="65" t="inlineStr">
        <is>
          <t>du 21-09 jusquà le 27-09!I81</t>
        </is>
      </c>
    </row>
    <row r="169" ht="15" customHeight="1">
      <c r="A169" s="81" t="inlineStr">
        <is>
          <t>S2</t>
        </is>
      </c>
      <c r="B169" s="82" t="inlineStr">
        <is>
          <t>du 21 au 27 septembre 2026</t>
        </is>
      </c>
      <c r="C169" s="81" t="inlineStr">
        <is>
          <t>B</t>
        </is>
      </c>
      <c r="D169" s="83" t="n">
        <v>46288</v>
      </c>
      <c r="E169" s="81" t="inlineStr">
        <is>
          <t>Mercredi</t>
        </is>
      </c>
      <c r="F169" s="84" t="n">
        <v>0.7916666666666666</v>
      </c>
      <c r="G169" s="84" t="n">
        <v>0.875</v>
      </c>
      <c r="H169" s="85">
        <f>IF(OR($F169="",$G169=""),"",($G169-$F169)*24)</f>
        <v/>
      </c>
      <c r="I169" s="81" t="inlineStr">
        <is>
          <t>Bac</t>
        </is>
      </c>
      <c r="J169" s="82" t="inlineStr">
        <is>
          <t>Bac INFO</t>
        </is>
      </c>
      <c r="K169" s="96" t="inlineStr">
        <is>
          <t>STI</t>
        </is>
      </c>
      <c r="L169" s="96" t="inlineStr">
        <is>
          <t>STI</t>
        </is>
      </c>
      <c r="M169" s="82" t="inlineStr">
        <is>
          <t>Aymen</t>
        </is>
      </c>
      <c r="N169" s="81" t="n"/>
      <c r="O169" s="81" t="n"/>
      <c r="P169" s="81" t="inlineStr">
        <is>
          <t>Hebdomadaire</t>
        </is>
      </c>
      <c r="Q169" s="82" t="inlineStr"/>
      <c r="R169" s="81" t="n">
        <v>1</v>
      </c>
      <c r="S169" s="81" t="inlineStr">
        <is>
          <t>Oui</t>
        </is>
      </c>
      <c r="T169" s="81" t="inlineStr">
        <is>
          <t>S2-034</t>
        </is>
      </c>
      <c r="U169" s="82" t="inlineStr">
        <is>
          <t>Original (septembre)</t>
        </is>
      </c>
      <c r="V169" s="82" t="inlineStr"/>
      <c r="W169" s="10" t="n"/>
      <c r="X169" s="10" t="inlineStr"/>
      <c r="Y169" s="64">
        <f>IF($M169="","",IF(SUMPRODUCT(($D$4:$D$863=$D169)*($M$4:$M$863=$M169)*($T$4:$T$863&lt;&gt;$T169)*($F$4:$F$863&lt;$G169)*($G$4:$G$863&gt;$F169))&gt;0,"⚠ CONFLIT",""))</f>
        <v/>
      </c>
      <c r="Z169" s="64">
        <f>IF($J169="","",IF(SUMPRODUCT(($D$4:$D$863=$D169)*($J$4:$J$863=$J169)*($T$4:$T$863&lt;&gt;$T169)*($F$4:$F$863&lt;$G169)*($G$4:$G$863&gt;$F169)*(1-($X$4:$X$863="Oui")*($X169="Oui")))&gt;0,"⚠ CONFLIT",""))</f>
        <v/>
      </c>
      <c r="AA169" s="64">
        <f>IF(COUNTIFS($D$4:$D$863,$D169,$J$4:$J$863,$J169,$F$4:$F$863,$F169,$K$4:$K$863,$K169)&gt;1,"⚠ DOUBLON","")</f>
        <v/>
      </c>
      <c r="AB169" s="64">
        <f>IF(COUNTIF($T$4:$T$863,$T169)&lt;&gt;COUNTIFS($T$4:$T$863,$T169,$D$4:$D$863,$D169,$F$4:$F$863,$F169,$G$4:$G$863,$G169,$K$4:$K$863,$K169,$M$4:$M$863,$M169),"⚠ INCOHÉRENT","")</f>
        <v/>
      </c>
      <c r="AC169" s="64">
        <f>COUNTIFS($A$4:$A169,$A169,$J$4:$J169,$J169,$E$4:$E169,$E169)</f>
        <v/>
      </c>
      <c r="AD169" s="65">
        <f>$A169&amp;"|"&amp;$J169&amp;"|"&amp;$E169&amp;"|"&amp;$AC169</f>
        <v/>
      </c>
      <c r="AE169" s="66">
        <f>IF($W169&lt;&gt;"","⚑ "&amp;$W169&amp;CHAR(10),"")&amp;TEXT($F169,"hh:mm")&amp;"-"&amp;TEXT($G169,"hh:mm")&amp;IF(OR($P169="Quinzaine A",AND($P169="Hebdo · groupes alternés",$C169="A"))," Q-A",IF(OR($P169="Quinzaine B",AND($P169="Hebdo · groupes alternés",$C169="B"))," Q-B",IF($P169="Exception"," PONCT.","")))&amp;IF($X169="Oui"," OPT","")&amp;CHAR(10)&amp;$K169&amp;CHAR(10)&amp;$M169&amp;IF($N169&lt;&gt;"",CHAR(10)&amp;"Salle "&amp;$N169,"")&amp;IF($O169="En ligne",CHAR(10)&amp;"EN LIGNE","")&amp;IF($V169&lt;&gt;"",CHAR(10)&amp;$V169,"")</f>
        <v/>
      </c>
      <c r="AF169" s="65" t="inlineStr">
        <is>
          <t>19h-21h STI (Aymen)</t>
        </is>
      </c>
      <c r="AG169" s="65" t="inlineStr">
        <is>
          <t>du 21-09 jusquà le 27-09!I85</t>
        </is>
      </c>
    </row>
    <row r="170" ht="15" customHeight="1">
      <c r="A170" s="58" t="inlineStr">
        <is>
          <t>S2</t>
        </is>
      </c>
      <c r="B170" s="59" t="inlineStr">
        <is>
          <t>du 21 au 27 septembre 2026</t>
        </is>
      </c>
      <c r="C170" s="58" t="inlineStr">
        <is>
          <t>B</t>
        </is>
      </c>
      <c r="D170" s="60" t="n">
        <v>46289</v>
      </c>
      <c r="E170" s="58" t="inlineStr">
        <is>
          <t>Jeudi</t>
        </is>
      </c>
      <c r="F170" s="61" t="n">
        <v>0.7916666666666666</v>
      </c>
      <c r="G170" s="61" t="n">
        <v>0.875</v>
      </c>
      <c r="H170" s="62">
        <f>IF(OR($F170="",$G170=""),"",($G170-$F170)*24)</f>
        <v/>
      </c>
      <c r="I170" s="58" t="inlineStr">
        <is>
          <t>Primaire</t>
        </is>
      </c>
      <c r="J170" s="59" t="inlineStr">
        <is>
          <t>5éme</t>
        </is>
      </c>
      <c r="K170" s="79" t="inlineStr">
        <is>
          <t>رياضيات</t>
        </is>
      </c>
      <c r="L170" s="79" t="inlineStr">
        <is>
          <t>Math</t>
        </is>
      </c>
      <c r="M170" s="59" t="inlineStr">
        <is>
          <t>Bassma</t>
        </is>
      </c>
      <c r="N170" s="58" t="n"/>
      <c r="O170" s="58" t="n"/>
      <c r="P170" s="58" t="inlineStr">
        <is>
          <t>Hebdomadaire</t>
        </is>
      </c>
      <c r="Q170" s="59" t="inlineStr"/>
      <c r="R170" s="58" t="n">
        <v>1</v>
      </c>
      <c r="S170" s="58" t="inlineStr">
        <is>
          <t>Oui</t>
        </is>
      </c>
      <c r="T170" s="58" t="inlineStr">
        <is>
          <t>S2-035</t>
        </is>
      </c>
      <c r="U170" s="59" t="inlineStr">
        <is>
          <t>Original (septembre)</t>
        </is>
      </c>
      <c r="V170" s="59" t="inlineStr"/>
      <c r="W170" s="10" t="n"/>
      <c r="X170" s="10" t="inlineStr"/>
      <c r="Y170" s="64">
        <f>IF($M170="","",IF(SUMPRODUCT(($D$4:$D$863=$D170)*($M$4:$M$863=$M170)*($T$4:$T$863&lt;&gt;$T170)*($F$4:$F$863&lt;$G170)*($G$4:$G$863&gt;$F170))&gt;0,"⚠ CONFLIT",""))</f>
        <v/>
      </c>
      <c r="Z170" s="64">
        <f>IF($J170="","",IF(SUMPRODUCT(($D$4:$D$863=$D170)*($J$4:$J$863=$J170)*($T$4:$T$863&lt;&gt;$T170)*($F$4:$F$863&lt;$G170)*($G$4:$G$863&gt;$F170)*(1-($X$4:$X$863="Oui")*($X170="Oui")))&gt;0,"⚠ CONFLIT",""))</f>
        <v/>
      </c>
      <c r="AA170" s="64">
        <f>IF(COUNTIFS($D$4:$D$863,$D170,$J$4:$J$863,$J170,$F$4:$F$863,$F170,$K$4:$K$863,$K170)&gt;1,"⚠ DOUBLON","")</f>
        <v/>
      </c>
      <c r="AB170" s="64">
        <f>IF(COUNTIF($T$4:$T$863,$T170)&lt;&gt;COUNTIFS($T$4:$T$863,$T170,$D$4:$D$863,$D170,$F$4:$F$863,$F170,$G$4:$G$863,$G170,$K$4:$K$863,$K170,$M$4:$M$863,$M170),"⚠ INCOHÉRENT","")</f>
        <v/>
      </c>
      <c r="AC170" s="64">
        <f>COUNTIFS($A$4:$A170,$A170,$J$4:$J170,$J170,$E$4:$E170,$E170)</f>
        <v/>
      </c>
      <c r="AD170" s="65">
        <f>$A170&amp;"|"&amp;$J170&amp;"|"&amp;$E170&amp;"|"&amp;$AC170</f>
        <v/>
      </c>
      <c r="AE170" s="66">
        <f>IF($W170&lt;&gt;"","⚑ "&amp;$W170&amp;CHAR(10),"")&amp;TEXT($F170,"hh:mm")&amp;"-"&amp;TEXT($G170,"hh:mm")&amp;IF(OR($P170="Quinzaine A",AND($P170="Hebdo · groupes alternés",$C170="A"))," Q-A",IF(OR($P170="Quinzaine B",AND($P170="Hebdo · groupes alternés",$C170="B"))," Q-B",IF($P170="Exception"," PONCT.","")))&amp;IF($X170="Oui"," OPT","")&amp;CHAR(10)&amp;$K170&amp;CHAR(10)&amp;$M170&amp;IF($N170&lt;&gt;"",CHAR(10)&amp;"Salle "&amp;$N170,"")&amp;IF($O170="En ligne",CHAR(10)&amp;"EN LIGNE","")&amp;IF($V170&lt;&gt;"",CHAR(10)&amp;$V170,"")</f>
        <v/>
      </c>
      <c r="AF170" s="65" t="inlineStr">
        <is>
          <t>19h-21h رياضيات (Bassma)</t>
        </is>
      </c>
      <c r="AG170" s="65" t="inlineStr">
        <is>
          <t>du 21-09 jusquà le 27-09!J7</t>
        </is>
      </c>
    </row>
    <row r="171" ht="15" customHeight="1">
      <c r="A171" s="58" t="inlineStr">
        <is>
          <t>S2</t>
        </is>
      </c>
      <c r="B171" s="59" t="inlineStr">
        <is>
          <t>du 21 au 27 septembre 2026</t>
        </is>
      </c>
      <c r="C171" s="58" t="inlineStr">
        <is>
          <t>B</t>
        </is>
      </c>
      <c r="D171" s="60" t="n">
        <v>46289</v>
      </c>
      <c r="E171" s="58" t="inlineStr">
        <is>
          <t>Jeudi</t>
        </is>
      </c>
      <c r="F171" s="61" t="n">
        <v>0.7916666666666666</v>
      </c>
      <c r="G171" s="61" t="n">
        <v>0.875</v>
      </c>
      <c r="H171" s="62">
        <f>IF(OR($F171="",$G171=""),"",($G171-$F171)*24)</f>
        <v/>
      </c>
      <c r="I171" s="58" t="inlineStr">
        <is>
          <t>Primaire</t>
        </is>
      </c>
      <c r="J171" s="59" t="inlineStr">
        <is>
          <t>6éme (B)</t>
        </is>
      </c>
      <c r="K171" s="79" t="inlineStr">
        <is>
          <t>رياضيات</t>
        </is>
      </c>
      <c r="L171" s="79" t="inlineStr">
        <is>
          <t>Math</t>
        </is>
      </c>
      <c r="M171" s="59" t="inlineStr">
        <is>
          <t>Noura</t>
        </is>
      </c>
      <c r="N171" s="58" t="n"/>
      <c r="O171" s="58" t="n"/>
      <c r="P171" s="58" t="inlineStr">
        <is>
          <t>Hebdomadaire</t>
        </is>
      </c>
      <c r="Q171" s="59" t="inlineStr"/>
      <c r="R171" s="58" t="n">
        <v>1</v>
      </c>
      <c r="S171" s="58" t="inlineStr">
        <is>
          <t>Oui</t>
        </is>
      </c>
      <c r="T171" s="58" t="inlineStr">
        <is>
          <t>S2-036</t>
        </is>
      </c>
      <c r="U171" s="59" t="inlineStr">
        <is>
          <t>Original (septembre)</t>
        </is>
      </c>
      <c r="V171" s="59" t="inlineStr"/>
      <c r="W171" s="10" t="n"/>
      <c r="X171" s="10" t="inlineStr"/>
      <c r="Y171" s="64">
        <f>IF($M171="","",IF(SUMPRODUCT(($D$4:$D$863=$D171)*($M$4:$M$863=$M171)*($T$4:$T$863&lt;&gt;$T171)*($F$4:$F$863&lt;$G171)*($G$4:$G$863&gt;$F171))&gt;0,"⚠ CONFLIT",""))</f>
        <v/>
      </c>
      <c r="Z171" s="64">
        <f>IF($J171="","",IF(SUMPRODUCT(($D$4:$D$863=$D171)*($J$4:$J$863=$J171)*($T$4:$T$863&lt;&gt;$T171)*($F$4:$F$863&lt;$G171)*($G$4:$G$863&gt;$F171)*(1-($X$4:$X$863="Oui")*($X171="Oui")))&gt;0,"⚠ CONFLIT",""))</f>
        <v/>
      </c>
      <c r="AA171" s="64">
        <f>IF(COUNTIFS($D$4:$D$863,$D171,$J$4:$J$863,$J171,$F$4:$F$863,$F171,$K$4:$K$863,$K171)&gt;1,"⚠ DOUBLON","")</f>
        <v/>
      </c>
      <c r="AB171" s="64">
        <f>IF(COUNTIF($T$4:$T$863,$T171)&lt;&gt;COUNTIFS($T$4:$T$863,$T171,$D$4:$D$863,$D171,$F$4:$F$863,$F171,$G$4:$G$863,$G171,$K$4:$K$863,$K171,$M$4:$M$863,$M171),"⚠ INCOHÉRENT","")</f>
        <v/>
      </c>
      <c r="AC171" s="64">
        <f>COUNTIFS($A$4:$A171,$A171,$J$4:$J171,$J171,$E$4:$E171,$E171)</f>
        <v/>
      </c>
      <c r="AD171" s="65">
        <f>$A171&amp;"|"&amp;$J171&amp;"|"&amp;$E171&amp;"|"&amp;$AC171</f>
        <v/>
      </c>
      <c r="AE171" s="66">
        <f>IF($W171&lt;&gt;"","⚑ "&amp;$W171&amp;CHAR(10),"")&amp;TEXT($F171,"hh:mm")&amp;"-"&amp;TEXT($G171,"hh:mm")&amp;IF(OR($P171="Quinzaine A",AND($P171="Hebdo · groupes alternés",$C171="A"))," Q-A",IF(OR($P171="Quinzaine B",AND($P171="Hebdo · groupes alternés",$C171="B"))," Q-B",IF($P171="Exception"," PONCT.","")))&amp;IF($X171="Oui"," OPT","")&amp;CHAR(10)&amp;$K171&amp;CHAR(10)&amp;$M171&amp;IF($N171&lt;&gt;"",CHAR(10)&amp;"Salle "&amp;$N171,"")&amp;IF($O171="En ligne",CHAR(10)&amp;"EN LIGNE","")&amp;IF($V171&lt;&gt;"",CHAR(10)&amp;$V171,"")</f>
        <v/>
      </c>
      <c r="AF171" s="65" t="inlineStr">
        <is>
          <t>19h-21h رياضيات (Noura)</t>
        </is>
      </c>
      <c r="AG171" s="65" t="inlineStr">
        <is>
          <t>du 21-09 jusquà le 27-09!J17</t>
        </is>
      </c>
    </row>
    <row r="172" ht="15" customHeight="1">
      <c r="A172" s="68" t="inlineStr">
        <is>
          <t>S2</t>
        </is>
      </c>
      <c r="B172" s="69" t="inlineStr">
        <is>
          <t>du 21 au 27 septembre 2026</t>
        </is>
      </c>
      <c r="C172" s="68" t="inlineStr">
        <is>
          <t>B</t>
        </is>
      </c>
      <c r="D172" s="70" t="n">
        <v>46289</v>
      </c>
      <c r="E172" s="68" t="inlineStr">
        <is>
          <t>Jeudi</t>
        </is>
      </c>
      <c r="F172" s="71" t="n">
        <v>0.8125</v>
      </c>
      <c r="G172" s="71" t="n">
        <v>0.875</v>
      </c>
      <c r="H172" s="72">
        <f>IF(OR($F172="",$G172=""),"",($G172-$F172)*24)</f>
        <v/>
      </c>
      <c r="I172" s="68" t="inlineStr">
        <is>
          <t>Collège</t>
        </is>
      </c>
      <c r="J172" s="69" t="inlineStr">
        <is>
          <t>8éme (A)</t>
        </is>
      </c>
      <c r="K172" s="67" t="inlineStr">
        <is>
          <t>Français</t>
        </is>
      </c>
      <c r="L172" s="67" t="inlineStr">
        <is>
          <t>Français</t>
        </is>
      </c>
      <c r="M172" s="69" t="inlineStr">
        <is>
          <t>Nassima</t>
        </is>
      </c>
      <c r="N172" s="68" t="n"/>
      <c r="O172" s="68" t="n"/>
      <c r="P172" s="68" t="inlineStr">
        <is>
          <t>Hebdomadaire</t>
        </is>
      </c>
      <c r="Q172" s="69" t="inlineStr"/>
      <c r="R172" s="68" t="n">
        <v>1</v>
      </c>
      <c r="S172" s="68" t="inlineStr">
        <is>
          <t>Oui</t>
        </is>
      </c>
      <c r="T172" s="68" t="inlineStr">
        <is>
          <t>S2-037</t>
        </is>
      </c>
      <c r="U172" s="69" t="inlineStr">
        <is>
          <t>Original (septembre)</t>
        </is>
      </c>
      <c r="V172" s="69" t="inlineStr"/>
      <c r="W172" s="10" t="n"/>
      <c r="X172" s="10" t="inlineStr"/>
      <c r="Y172" s="64">
        <f>IF($M172="","",IF(SUMPRODUCT(($D$4:$D$863=$D172)*($M$4:$M$863=$M172)*($T$4:$T$863&lt;&gt;$T172)*($F$4:$F$863&lt;$G172)*($G$4:$G$863&gt;$F172))&gt;0,"⚠ CONFLIT",""))</f>
        <v/>
      </c>
      <c r="Z172" s="64">
        <f>IF($J172="","",IF(SUMPRODUCT(($D$4:$D$863=$D172)*($J$4:$J$863=$J172)*($T$4:$T$863&lt;&gt;$T172)*($F$4:$F$863&lt;$G172)*($G$4:$G$863&gt;$F172)*(1-($X$4:$X$863="Oui")*($X172="Oui")))&gt;0,"⚠ CONFLIT",""))</f>
        <v/>
      </c>
      <c r="AA172" s="64">
        <f>IF(COUNTIFS($D$4:$D$863,$D172,$J$4:$J$863,$J172,$F$4:$F$863,$F172,$K$4:$K$863,$K172)&gt;1,"⚠ DOUBLON","")</f>
        <v/>
      </c>
      <c r="AB172" s="64">
        <f>IF(COUNTIF($T$4:$T$863,$T172)&lt;&gt;COUNTIFS($T$4:$T$863,$T172,$D$4:$D$863,$D172,$F$4:$F$863,$F172,$G$4:$G$863,$G172,$K$4:$K$863,$K172,$M$4:$M$863,$M172),"⚠ INCOHÉRENT","")</f>
        <v/>
      </c>
      <c r="AC172" s="64">
        <f>COUNTIFS($A$4:$A172,$A172,$J$4:$J172,$J172,$E$4:$E172,$E172)</f>
        <v/>
      </c>
      <c r="AD172" s="65">
        <f>$A172&amp;"|"&amp;$J172&amp;"|"&amp;$E172&amp;"|"&amp;$AC172</f>
        <v/>
      </c>
      <c r="AE172" s="66">
        <f>IF($W172&lt;&gt;"","⚑ "&amp;$W172&amp;CHAR(10),"")&amp;TEXT($F172,"hh:mm")&amp;"-"&amp;TEXT($G172,"hh:mm")&amp;IF(OR($P172="Quinzaine A",AND($P172="Hebdo · groupes alternés",$C172="A"))," Q-A",IF(OR($P172="Quinzaine B",AND($P172="Hebdo · groupes alternés",$C172="B"))," Q-B",IF($P172="Exception"," PONCT.","")))&amp;IF($X172="Oui"," OPT","")&amp;CHAR(10)&amp;$K172&amp;CHAR(10)&amp;$M172&amp;IF($N172&lt;&gt;"",CHAR(10)&amp;"Salle "&amp;$N172,"")&amp;IF($O172="En ligne",CHAR(10)&amp;"EN LIGNE","")&amp;IF($V172&lt;&gt;"",CHAR(10)&amp;$V172,"")</f>
        <v/>
      </c>
      <c r="AF172" s="65" t="inlineStr">
        <is>
          <t>19h30-21h Français (Nassima)</t>
        </is>
      </c>
      <c r="AG172" s="65" t="inlineStr">
        <is>
          <t>du 21-09 jusquà le 27-09!J28</t>
        </is>
      </c>
    </row>
    <row r="173" ht="15" customHeight="1">
      <c r="A173" s="68" t="inlineStr">
        <is>
          <t>S2</t>
        </is>
      </c>
      <c r="B173" s="69" t="inlineStr">
        <is>
          <t>du 21 au 27 septembre 2026</t>
        </is>
      </c>
      <c r="C173" s="68" t="inlineStr">
        <is>
          <t>B</t>
        </is>
      </c>
      <c r="D173" s="70" t="n">
        <v>46289</v>
      </c>
      <c r="E173" s="68" t="inlineStr">
        <is>
          <t>Jeudi</t>
        </is>
      </c>
      <c r="F173" s="71" t="n">
        <v>0.8020833333333334</v>
      </c>
      <c r="G173" s="71" t="n">
        <v>0.8645833333333334</v>
      </c>
      <c r="H173" s="72">
        <f>IF(OR($F173="",$G173=""),"",($G173-$F173)*24)</f>
        <v/>
      </c>
      <c r="I173" s="68" t="inlineStr">
        <is>
          <t>Collège</t>
        </is>
      </c>
      <c r="J173" s="69" t="inlineStr">
        <is>
          <t>8éme (C)</t>
        </is>
      </c>
      <c r="K173" s="79" t="inlineStr">
        <is>
          <t>Math</t>
        </is>
      </c>
      <c r="L173" s="79" t="inlineStr">
        <is>
          <t>Math</t>
        </is>
      </c>
      <c r="M173" s="69" t="inlineStr">
        <is>
          <t>Khouloud</t>
        </is>
      </c>
      <c r="N173" s="68" t="n"/>
      <c r="O173" s="68" t="n"/>
      <c r="P173" s="68" t="inlineStr">
        <is>
          <t>Hebdomadaire</t>
        </is>
      </c>
      <c r="Q173" s="69" t="inlineStr"/>
      <c r="R173" s="68" t="n">
        <v>1</v>
      </c>
      <c r="S173" s="68" t="inlineStr">
        <is>
          <t>Oui</t>
        </is>
      </c>
      <c r="T173" s="68" t="inlineStr">
        <is>
          <t>S2-038</t>
        </is>
      </c>
      <c r="U173" s="69" t="inlineStr">
        <is>
          <t>Original (septembre)</t>
        </is>
      </c>
      <c r="V173" s="69" t="inlineStr"/>
      <c r="W173" s="10" t="n"/>
      <c r="X173" s="10" t="inlineStr"/>
      <c r="Y173" s="64">
        <f>IF($M173="","",IF(SUMPRODUCT(($D$4:$D$863=$D173)*($M$4:$M$863=$M173)*($T$4:$T$863&lt;&gt;$T173)*($F$4:$F$863&lt;$G173)*($G$4:$G$863&gt;$F173))&gt;0,"⚠ CONFLIT",""))</f>
        <v/>
      </c>
      <c r="Z173" s="64">
        <f>IF($J173="","",IF(SUMPRODUCT(($D$4:$D$863=$D173)*($J$4:$J$863=$J173)*($T$4:$T$863&lt;&gt;$T173)*($F$4:$F$863&lt;$G173)*($G$4:$G$863&gt;$F173)*(1-($X$4:$X$863="Oui")*($X173="Oui")))&gt;0,"⚠ CONFLIT",""))</f>
        <v/>
      </c>
      <c r="AA173" s="64">
        <f>IF(COUNTIFS($D$4:$D$863,$D173,$J$4:$J$863,$J173,$F$4:$F$863,$F173,$K$4:$K$863,$K173)&gt;1,"⚠ DOUBLON","")</f>
        <v/>
      </c>
      <c r="AB173" s="64">
        <f>IF(COUNTIF($T$4:$T$863,$T173)&lt;&gt;COUNTIFS($T$4:$T$863,$T173,$D$4:$D$863,$D173,$F$4:$F$863,$F173,$G$4:$G$863,$G173,$K$4:$K$863,$K173,$M$4:$M$863,$M173),"⚠ INCOHÉRENT","")</f>
        <v/>
      </c>
      <c r="AC173" s="64">
        <f>COUNTIFS($A$4:$A173,$A173,$J$4:$J173,$J173,$E$4:$E173,$E173)</f>
        <v/>
      </c>
      <c r="AD173" s="65">
        <f>$A173&amp;"|"&amp;$J173&amp;"|"&amp;$E173&amp;"|"&amp;$AC173</f>
        <v/>
      </c>
      <c r="AE173" s="66">
        <f>IF($W173&lt;&gt;"","⚑ "&amp;$W173&amp;CHAR(10),"")&amp;TEXT($F173,"hh:mm")&amp;"-"&amp;TEXT($G173,"hh:mm")&amp;IF(OR($P173="Quinzaine A",AND($P173="Hebdo · groupes alternés",$C173="A"))," Q-A",IF(OR($P173="Quinzaine B",AND($P173="Hebdo · groupes alternés",$C173="B"))," Q-B",IF($P173="Exception"," PONCT.","")))&amp;IF($X173="Oui"," OPT","")&amp;CHAR(10)&amp;$K173&amp;CHAR(10)&amp;$M173&amp;IF($N173&lt;&gt;"",CHAR(10)&amp;"Salle "&amp;$N173,"")&amp;IF($O173="En ligne",CHAR(10)&amp;"EN LIGNE","")&amp;IF($V173&lt;&gt;"",CHAR(10)&amp;$V173,"")</f>
        <v/>
      </c>
      <c r="AF173" s="65" t="inlineStr">
        <is>
          <t>19h15-20h45 Math (Khouloud)</t>
        </is>
      </c>
      <c r="AG173" s="65" t="inlineStr">
        <is>
          <t>du 21-09 jusquà le 27-09!J35</t>
        </is>
      </c>
    </row>
    <row r="174" ht="15" customHeight="1">
      <c r="A174" s="68" t="inlineStr">
        <is>
          <t>S2</t>
        </is>
      </c>
      <c r="B174" s="69" t="inlineStr">
        <is>
          <t>du 21 au 27 septembre 2026</t>
        </is>
      </c>
      <c r="C174" s="68" t="inlineStr">
        <is>
          <t>B</t>
        </is>
      </c>
      <c r="D174" s="70" t="n">
        <v>46289</v>
      </c>
      <c r="E174" s="68" t="inlineStr">
        <is>
          <t>Jeudi</t>
        </is>
      </c>
      <c r="F174" s="71" t="n">
        <v>0.8020833333333334</v>
      </c>
      <c r="G174" s="71" t="n">
        <v>0.8645833333333334</v>
      </c>
      <c r="H174" s="72">
        <f>IF(OR($F174="",$G174=""),"",($G174-$F174)*24)</f>
        <v/>
      </c>
      <c r="I174" s="68" t="inlineStr">
        <is>
          <t>Collège</t>
        </is>
      </c>
      <c r="J174" s="69" t="inlineStr">
        <is>
          <t>9éme (A)</t>
        </is>
      </c>
      <c r="K174" s="88" t="inlineStr">
        <is>
          <t>SVT</t>
        </is>
      </c>
      <c r="L174" s="88" t="inlineStr">
        <is>
          <t>SVT</t>
        </is>
      </c>
      <c r="M174" s="69" t="inlineStr">
        <is>
          <t>Imen Jribi</t>
        </is>
      </c>
      <c r="N174" s="68" t="n"/>
      <c r="O174" s="68" t="n"/>
      <c r="P174" s="68" t="inlineStr">
        <is>
          <t>Hebdomadaire</t>
        </is>
      </c>
      <c r="Q174" s="69" t="inlineStr"/>
      <c r="R174" s="68" t="n">
        <v>1</v>
      </c>
      <c r="S174" s="68" t="inlineStr">
        <is>
          <t>Oui</t>
        </is>
      </c>
      <c r="T174" s="68" t="inlineStr">
        <is>
          <t>S2-039</t>
        </is>
      </c>
      <c r="U174" s="69" t="inlineStr">
        <is>
          <t>Original (septembre)</t>
        </is>
      </c>
      <c r="V174" s="69" t="inlineStr"/>
      <c r="W174" s="10" t="n"/>
      <c r="X174" s="10" t="inlineStr"/>
      <c r="Y174" s="64">
        <f>IF($M174="","",IF(SUMPRODUCT(($D$4:$D$863=$D174)*($M$4:$M$863=$M174)*($T$4:$T$863&lt;&gt;$T174)*($F$4:$F$863&lt;$G174)*($G$4:$G$863&gt;$F174))&gt;0,"⚠ CONFLIT",""))</f>
        <v/>
      </c>
      <c r="Z174" s="64">
        <f>IF($J174="","",IF(SUMPRODUCT(($D$4:$D$863=$D174)*($J$4:$J$863=$J174)*($T$4:$T$863&lt;&gt;$T174)*($F$4:$F$863&lt;$G174)*($G$4:$G$863&gt;$F174)*(1-($X$4:$X$863="Oui")*($X174="Oui")))&gt;0,"⚠ CONFLIT",""))</f>
        <v/>
      </c>
      <c r="AA174" s="64">
        <f>IF(COUNTIFS($D$4:$D$863,$D174,$J$4:$J$863,$J174,$F$4:$F$863,$F174,$K$4:$K$863,$K174)&gt;1,"⚠ DOUBLON","")</f>
        <v/>
      </c>
      <c r="AB174" s="64">
        <f>IF(COUNTIF($T$4:$T$863,$T174)&lt;&gt;COUNTIFS($T$4:$T$863,$T174,$D$4:$D$863,$D174,$F$4:$F$863,$F174,$G$4:$G$863,$G174,$K$4:$K$863,$K174,$M$4:$M$863,$M174),"⚠ INCOHÉRENT","")</f>
        <v/>
      </c>
      <c r="AC174" s="64">
        <f>COUNTIFS($A$4:$A174,$A174,$J$4:$J174,$J174,$E$4:$E174,$E174)</f>
        <v/>
      </c>
      <c r="AD174" s="65">
        <f>$A174&amp;"|"&amp;$J174&amp;"|"&amp;$E174&amp;"|"&amp;$AC174</f>
        <v/>
      </c>
      <c r="AE174" s="66">
        <f>IF($W174&lt;&gt;"","⚑ "&amp;$W174&amp;CHAR(10),"")&amp;TEXT($F174,"hh:mm")&amp;"-"&amp;TEXT($G174,"hh:mm")&amp;IF(OR($P174="Quinzaine A",AND($P174="Hebdo · groupes alternés",$C174="A"))," Q-A",IF(OR($P174="Quinzaine B",AND($P174="Hebdo · groupes alternés",$C174="B"))," Q-B",IF($P174="Exception"," PONCT.","")))&amp;IF($X174="Oui"," OPT","")&amp;CHAR(10)&amp;$K174&amp;CHAR(10)&amp;$M174&amp;IF($N174&lt;&gt;"",CHAR(10)&amp;"Salle "&amp;$N174,"")&amp;IF($O174="En ligne",CHAR(10)&amp;"EN LIGNE","")&amp;IF($V174&lt;&gt;"",CHAR(10)&amp;$V174,"")</f>
        <v/>
      </c>
      <c r="AF174" s="65" t="inlineStr">
        <is>
          <t>19h15-20h45 SVT (Imen Jribi)</t>
        </is>
      </c>
      <c r="AG174" s="65" t="inlineStr">
        <is>
          <t>du 21-09 jusquà le 27-09!J37</t>
        </is>
      </c>
    </row>
    <row r="175" ht="15" customHeight="1">
      <c r="A175" s="68" t="inlineStr">
        <is>
          <t>S2</t>
        </is>
      </c>
      <c r="B175" s="69" t="inlineStr">
        <is>
          <t>du 21 au 27 septembre 2026</t>
        </is>
      </c>
      <c r="C175" s="68" t="inlineStr">
        <is>
          <t>B</t>
        </is>
      </c>
      <c r="D175" s="70" t="n">
        <v>46289</v>
      </c>
      <c r="E175" s="68" t="inlineStr">
        <is>
          <t>Jeudi</t>
        </is>
      </c>
      <c r="F175" s="71" t="n">
        <v>0.8125</v>
      </c>
      <c r="G175" s="71" t="n">
        <v>0.875</v>
      </c>
      <c r="H175" s="72">
        <f>IF(OR($F175="",$G175=""),"",($G175-$F175)*24)</f>
        <v/>
      </c>
      <c r="I175" s="68" t="inlineStr">
        <is>
          <t>Collège</t>
        </is>
      </c>
      <c r="J175" s="69" t="inlineStr">
        <is>
          <t>9éme (C)</t>
        </is>
      </c>
      <c r="K175" s="87" t="inlineStr">
        <is>
          <t>Anglais</t>
        </is>
      </c>
      <c r="L175" s="87" t="inlineStr">
        <is>
          <t>Anglais</t>
        </is>
      </c>
      <c r="M175" s="69" t="inlineStr">
        <is>
          <t>Saber</t>
        </is>
      </c>
      <c r="N175" s="68" t="n"/>
      <c r="O175" s="68" t="n"/>
      <c r="P175" s="68" t="inlineStr">
        <is>
          <t>Hebdomadaire</t>
        </is>
      </c>
      <c r="Q175" s="69" t="inlineStr"/>
      <c r="R175" s="68" t="n">
        <v>1</v>
      </c>
      <c r="S175" s="68" t="inlineStr">
        <is>
          <t>Oui</t>
        </is>
      </c>
      <c r="T175" s="68" t="inlineStr">
        <is>
          <t>S2-040</t>
        </is>
      </c>
      <c r="U175" s="69" t="inlineStr">
        <is>
          <t>Original (septembre)</t>
        </is>
      </c>
      <c r="V175" s="69" t="inlineStr"/>
      <c r="W175" s="10" t="n"/>
      <c r="X175" s="10" t="inlineStr"/>
      <c r="Y175" s="64">
        <f>IF($M175="","",IF(SUMPRODUCT(($D$4:$D$863=$D175)*($M$4:$M$863=$M175)*($T$4:$T$863&lt;&gt;$T175)*($F$4:$F$863&lt;$G175)*($G$4:$G$863&gt;$F175))&gt;0,"⚠ CONFLIT",""))</f>
        <v/>
      </c>
      <c r="Z175" s="64">
        <f>IF($J175="","",IF(SUMPRODUCT(($D$4:$D$863=$D175)*($J$4:$J$863=$J175)*($T$4:$T$863&lt;&gt;$T175)*($F$4:$F$863&lt;$G175)*($G$4:$G$863&gt;$F175)*(1-($X$4:$X$863="Oui")*($X175="Oui")))&gt;0,"⚠ CONFLIT",""))</f>
        <v/>
      </c>
      <c r="AA175" s="64">
        <f>IF(COUNTIFS($D$4:$D$863,$D175,$J$4:$J$863,$J175,$F$4:$F$863,$F175,$K$4:$K$863,$K175)&gt;1,"⚠ DOUBLON","")</f>
        <v/>
      </c>
      <c r="AB175" s="64">
        <f>IF(COUNTIF($T$4:$T$863,$T175)&lt;&gt;COUNTIFS($T$4:$T$863,$T175,$D$4:$D$863,$D175,$F$4:$F$863,$F175,$G$4:$G$863,$G175,$K$4:$K$863,$K175,$M$4:$M$863,$M175),"⚠ INCOHÉRENT","")</f>
        <v/>
      </c>
      <c r="AC175" s="64">
        <f>COUNTIFS($A$4:$A175,$A175,$J$4:$J175,$J175,$E$4:$E175,$E175)</f>
        <v/>
      </c>
      <c r="AD175" s="65">
        <f>$A175&amp;"|"&amp;$J175&amp;"|"&amp;$E175&amp;"|"&amp;$AC175</f>
        <v/>
      </c>
      <c r="AE175" s="66">
        <f>IF($W175&lt;&gt;"","⚑ "&amp;$W175&amp;CHAR(10),"")&amp;TEXT($F175,"hh:mm")&amp;"-"&amp;TEXT($G175,"hh:mm")&amp;IF(OR($P175="Quinzaine A",AND($P175="Hebdo · groupes alternés",$C175="A"))," Q-A",IF(OR($P175="Quinzaine B",AND($P175="Hebdo · groupes alternés",$C175="B"))," Q-B",IF($P175="Exception"," PONCT.","")))&amp;IF($X175="Oui"," OPT","")&amp;CHAR(10)&amp;$K175&amp;CHAR(10)&amp;$M175&amp;IF($N175&lt;&gt;"",CHAR(10)&amp;"Salle "&amp;$N175,"")&amp;IF($O175="En ligne",CHAR(10)&amp;"EN LIGNE","")&amp;IF($V175&lt;&gt;"",CHAR(10)&amp;$V175,"")</f>
        <v/>
      </c>
      <c r="AF175" s="65" t="inlineStr">
        <is>
          <t>19h30-21h Anglais (Saber)</t>
        </is>
      </c>
      <c r="AG175" s="65" t="inlineStr">
        <is>
          <t>du 21-09 jusquà le 27-09!J47</t>
        </is>
      </c>
    </row>
    <row r="176" ht="15" customHeight="1">
      <c r="A176" s="74" t="inlineStr">
        <is>
          <t>S2</t>
        </is>
      </c>
      <c r="B176" s="75" t="inlineStr">
        <is>
          <t>du 21 au 27 septembre 2026</t>
        </is>
      </c>
      <c r="C176" s="74" t="inlineStr">
        <is>
          <t>B</t>
        </is>
      </c>
      <c r="D176" s="76" t="n">
        <v>46289</v>
      </c>
      <c r="E176" s="74" t="inlineStr">
        <is>
          <t>Jeudi</t>
        </is>
      </c>
      <c r="F176" s="77" t="n">
        <v>0.8020833333333334</v>
      </c>
      <c r="G176" s="77" t="n">
        <v>0.8645833333333334</v>
      </c>
      <c r="H176" s="78">
        <f>IF(OR($F176="",$G176=""),"",($G176-$F176)*24)</f>
        <v/>
      </c>
      <c r="I176" s="74" t="inlineStr">
        <is>
          <t>Secondaire</t>
        </is>
      </c>
      <c r="J176" s="75" t="inlineStr">
        <is>
          <t>1ére (B)</t>
        </is>
      </c>
      <c r="K176" s="87" t="inlineStr">
        <is>
          <t>Anglais</t>
        </is>
      </c>
      <c r="L176" s="87" t="inlineStr">
        <is>
          <t>Anglais</t>
        </is>
      </c>
      <c r="M176" s="75" t="inlineStr">
        <is>
          <t>Imen Bennour</t>
        </is>
      </c>
      <c r="N176" s="74" t="n"/>
      <c r="O176" s="74" t="n"/>
      <c r="P176" s="74" t="inlineStr">
        <is>
          <t>Hebdo · groupes alternés</t>
        </is>
      </c>
      <c r="Q176" s="75" t="inlineStr"/>
      <c r="R176" s="74" t="n">
        <v>1</v>
      </c>
      <c r="S176" s="74" t="inlineStr">
        <is>
          <t>Oui</t>
        </is>
      </c>
      <c r="T176" s="74" t="inlineStr">
        <is>
          <t>S2-041</t>
        </is>
      </c>
      <c r="U176" s="75" t="inlineStr">
        <is>
          <t>Original (septembre)</t>
        </is>
      </c>
      <c r="V176" s="75" t="inlineStr"/>
      <c r="W176" s="10" t="n"/>
      <c r="X176" s="10" t="inlineStr"/>
      <c r="Y176" s="64">
        <f>IF($M176="","",IF(SUMPRODUCT(($D$4:$D$863=$D176)*($M$4:$M$863=$M176)*($T$4:$T$863&lt;&gt;$T176)*($F$4:$F$863&lt;$G176)*($G$4:$G$863&gt;$F176))&gt;0,"⚠ CONFLIT",""))</f>
        <v/>
      </c>
      <c r="Z176" s="64">
        <f>IF($J176="","",IF(SUMPRODUCT(($D$4:$D$863=$D176)*($J$4:$J$863=$J176)*($T$4:$T$863&lt;&gt;$T176)*($F$4:$F$863&lt;$G176)*($G$4:$G$863&gt;$F176)*(1-($X$4:$X$863="Oui")*($X176="Oui")))&gt;0,"⚠ CONFLIT",""))</f>
        <v/>
      </c>
      <c r="AA176" s="64">
        <f>IF(COUNTIFS($D$4:$D$863,$D176,$J$4:$J$863,$J176,$F$4:$F$863,$F176,$K$4:$K$863,$K176)&gt;1,"⚠ DOUBLON","")</f>
        <v/>
      </c>
      <c r="AB176" s="64">
        <f>IF(COUNTIF($T$4:$T$863,$T176)&lt;&gt;COUNTIFS($T$4:$T$863,$T176,$D$4:$D$863,$D176,$F$4:$F$863,$F176,$G$4:$G$863,$G176,$K$4:$K$863,$K176,$M$4:$M$863,$M176),"⚠ INCOHÉRENT","")</f>
        <v/>
      </c>
      <c r="AC176" s="64">
        <f>COUNTIFS($A$4:$A176,$A176,$J$4:$J176,$J176,$E$4:$E176,$E176)</f>
        <v/>
      </c>
      <c r="AD176" s="65">
        <f>$A176&amp;"|"&amp;$J176&amp;"|"&amp;$E176&amp;"|"&amp;$AC176</f>
        <v/>
      </c>
      <c r="AE176" s="66">
        <f>IF($W176&lt;&gt;"","⚑ "&amp;$W176&amp;CHAR(10),"")&amp;TEXT($F176,"hh:mm")&amp;"-"&amp;TEXT($G176,"hh:mm")&amp;IF(OR($P176="Quinzaine A",AND($P176="Hebdo · groupes alternés",$C176="A"))," Q-A",IF(OR($P176="Quinzaine B",AND($P176="Hebdo · groupes alternés",$C176="B"))," Q-B",IF($P176="Exception"," PONCT.","")))&amp;IF($X176="Oui"," OPT","")&amp;CHAR(10)&amp;$K176&amp;CHAR(10)&amp;$M176&amp;IF($N176&lt;&gt;"",CHAR(10)&amp;"Salle "&amp;$N176,"")&amp;IF($O176="En ligne",CHAR(10)&amp;"EN LIGNE","")&amp;IF($V176&lt;&gt;"",CHAR(10)&amp;$V176,"")</f>
        <v/>
      </c>
      <c r="AF176" s="65" t="inlineStr">
        <is>
          <t>19h15-20h45 Anglais /par quinzaine (Imen Bennour)</t>
        </is>
      </c>
      <c r="AG176" s="65" t="inlineStr">
        <is>
          <t>du 21-09 jusquà le 27-09!J54</t>
        </is>
      </c>
    </row>
    <row r="177" ht="15" customHeight="1">
      <c r="A177" s="74" t="inlineStr">
        <is>
          <t>S2</t>
        </is>
      </c>
      <c r="B177" s="75" t="inlineStr">
        <is>
          <t>du 21 au 27 septembre 2026</t>
        </is>
      </c>
      <c r="C177" s="74" t="inlineStr">
        <is>
          <t>B</t>
        </is>
      </c>
      <c r="D177" s="76" t="n">
        <v>46289</v>
      </c>
      <c r="E177" s="74" t="inlineStr">
        <is>
          <t>Jeudi</t>
        </is>
      </c>
      <c r="F177" s="77" t="n">
        <v>0.7916666666666666</v>
      </c>
      <c r="G177" s="77" t="n">
        <v>0.8541666666666666</v>
      </c>
      <c r="H177" s="78">
        <f>IF(OR($F177="",$G177=""),"",($G177-$F177)*24)</f>
        <v/>
      </c>
      <c r="I177" s="74" t="inlineStr">
        <is>
          <t>Secondaire</t>
        </is>
      </c>
      <c r="J177" s="75" t="inlineStr">
        <is>
          <t>2éme Eco</t>
        </is>
      </c>
      <c r="K177" s="86" t="inlineStr">
        <is>
          <t>Gestion</t>
        </is>
      </c>
      <c r="L177" s="86" t="inlineStr">
        <is>
          <t>Gestion</t>
        </is>
      </c>
      <c r="M177" s="75" t="inlineStr">
        <is>
          <t>Yassine</t>
        </is>
      </c>
      <c r="N177" s="74" t="n"/>
      <c r="O177" s="74" t="n"/>
      <c r="P177" s="74" t="inlineStr">
        <is>
          <t>Hebdomadaire</t>
        </is>
      </c>
      <c r="Q177" s="75" t="inlineStr"/>
      <c r="R177" s="74" t="n">
        <v>1</v>
      </c>
      <c r="S177" s="74" t="inlineStr">
        <is>
          <t>Oui</t>
        </is>
      </c>
      <c r="T177" s="74" t="inlineStr">
        <is>
          <t>S2-042</t>
        </is>
      </c>
      <c r="U177" s="75" t="inlineStr">
        <is>
          <t>Original (septembre)</t>
        </is>
      </c>
      <c r="V177" s="75" t="inlineStr"/>
      <c r="W177" s="10" t="n"/>
      <c r="X177" s="10" t="inlineStr"/>
      <c r="Y177" s="64">
        <f>IF($M177="","",IF(SUMPRODUCT(($D$4:$D$863=$D177)*($M$4:$M$863=$M177)*($T$4:$T$863&lt;&gt;$T177)*($F$4:$F$863&lt;$G177)*($G$4:$G$863&gt;$F177))&gt;0,"⚠ CONFLIT",""))</f>
        <v/>
      </c>
      <c r="Z177" s="64">
        <f>IF($J177="","",IF(SUMPRODUCT(($D$4:$D$863=$D177)*($J$4:$J$863=$J177)*($T$4:$T$863&lt;&gt;$T177)*($F$4:$F$863&lt;$G177)*($G$4:$G$863&gt;$F177)*(1-($X$4:$X$863="Oui")*($X177="Oui")))&gt;0,"⚠ CONFLIT",""))</f>
        <v/>
      </c>
      <c r="AA177" s="64">
        <f>IF(COUNTIFS($D$4:$D$863,$D177,$J$4:$J$863,$J177,$F$4:$F$863,$F177,$K$4:$K$863,$K177)&gt;1,"⚠ DOUBLON","")</f>
        <v/>
      </c>
      <c r="AB177" s="64">
        <f>IF(COUNTIF($T$4:$T$863,$T177)&lt;&gt;COUNTIFS($T$4:$T$863,$T177,$D$4:$D$863,$D177,$F$4:$F$863,$F177,$G$4:$G$863,$G177,$K$4:$K$863,$K177,$M$4:$M$863,$M177),"⚠ INCOHÉRENT","")</f>
        <v/>
      </c>
      <c r="AC177" s="64">
        <f>COUNTIFS($A$4:$A177,$A177,$J$4:$J177,$J177,$E$4:$E177,$E177)</f>
        <v/>
      </c>
      <c r="AD177" s="65">
        <f>$A177&amp;"|"&amp;$J177&amp;"|"&amp;$E177&amp;"|"&amp;$AC177</f>
        <v/>
      </c>
      <c r="AE177" s="66">
        <f>IF($W177&lt;&gt;"","⚑ "&amp;$W177&amp;CHAR(10),"")&amp;TEXT($F177,"hh:mm")&amp;"-"&amp;TEXT($G177,"hh:mm")&amp;IF(OR($P177="Quinzaine A",AND($P177="Hebdo · groupes alternés",$C177="A"))," Q-A",IF(OR($P177="Quinzaine B",AND($P177="Hebdo · groupes alternés",$C177="B"))," Q-B",IF($P177="Exception"," PONCT.","")))&amp;IF($X177="Oui"," OPT","")&amp;CHAR(10)&amp;$K177&amp;CHAR(10)&amp;$M177&amp;IF($N177&lt;&gt;"",CHAR(10)&amp;"Salle "&amp;$N177,"")&amp;IF($O177="En ligne",CHAR(10)&amp;"EN LIGNE","")&amp;IF($V177&lt;&gt;"",CHAR(10)&amp;$V177,"")</f>
        <v/>
      </c>
      <c r="AF177" s="65" t="inlineStr">
        <is>
          <t>19h-20h30 Gestion (Yassine)</t>
        </is>
      </c>
      <c r="AG177" s="65" t="inlineStr">
        <is>
          <t>du 21-09 jusquà le 27-09!J60</t>
        </is>
      </c>
    </row>
    <row r="178" ht="15" customHeight="1">
      <c r="A178" s="74" t="inlineStr">
        <is>
          <t>S2</t>
        </is>
      </c>
      <c r="B178" s="75" t="inlineStr">
        <is>
          <t>du 21 au 27 septembre 2026</t>
        </is>
      </c>
      <c r="C178" s="74" t="inlineStr">
        <is>
          <t>B</t>
        </is>
      </c>
      <c r="D178" s="76" t="n">
        <v>46289</v>
      </c>
      <c r="E178" s="74" t="inlineStr">
        <is>
          <t>Jeudi</t>
        </is>
      </c>
      <c r="F178" s="77" t="n">
        <v>0.8125</v>
      </c>
      <c r="G178" s="77" t="n">
        <v>0.875</v>
      </c>
      <c r="H178" s="78">
        <f>IF(OR($F178="",$G178=""),"",($G178-$F178)*24)</f>
        <v/>
      </c>
      <c r="I178" s="74" t="inlineStr">
        <is>
          <t>Secondaire</t>
        </is>
      </c>
      <c r="J178" s="75" t="inlineStr">
        <is>
          <t>2éme SCE</t>
        </is>
      </c>
      <c r="K178" s="79" t="inlineStr">
        <is>
          <t>Math</t>
        </is>
      </c>
      <c r="L178" s="79" t="inlineStr">
        <is>
          <t>Math</t>
        </is>
      </c>
      <c r="M178" s="75" t="inlineStr">
        <is>
          <t>Haythem</t>
        </is>
      </c>
      <c r="N178" s="74" t="n"/>
      <c r="O178" s="74" t="n"/>
      <c r="P178" s="74" t="inlineStr">
        <is>
          <t>Hebdomadaire</t>
        </is>
      </c>
      <c r="Q178" s="75" t="inlineStr"/>
      <c r="R178" s="74" t="n">
        <v>1</v>
      </c>
      <c r="S178" s="74" t="inlineStr">
        <is>
          <t>Oui</t>
        </is>
      </c>
      <c r="T178" s="74" t="inlineStr">
        <is>
          <t>S2-043</t>
        </is>
      </c>
      <c r="U178" s="75" t="inlineStr">
        <is>
          <t>Original (septembre)</t>
        </is>
      </c>
      <c r="V178" s="75" t="inlineStr"/>
      <c r="W178" s="10" t="n"/>
      <c r="X178" s="10" t="inlineStr"/>
      <c r="Y178" s="64">
        <f>IF($M178="","",IF(SUMPRODUCT(($D$4:$D$863=$D178)*($M$4:$M$863=$M178)*($T$4:$T$863&lt;&gt;$T178)*($F$4:$F$863&lt;$G178)*($G$4:$G$863&gt;$F178))&gt;0,"⚠ CONFLIT",""))</f>
        <v/>
      </c>
      <c r="Z178" s="64">
        <f>IF($J178="","",IF(SUMPRODUCT(($D$4:$D$863=$D178)*($J$4:$J$863=$J178)*($T$4:$T$863&lt;&gt;$T178)*($F$4:$F$863&lt;$G178)*($G$4:$G$863&gt;$F178)*(1-($X$4:$X$863="Oui")*($X178="Oui")))&gt;0,"⚠ CONFLIT",""))</f>
        <v/>
      </c>
      <c r="AA178" s="64">
        <f>IF(COUNTIFS($D$4:$D$863,$D178,$J$4:$J$863,$J178,$F$4:$F$863,$F178,$K$4:$K$863,$K178)&gt;1,"⚠ DOUBLON","")</f>
        <v/>
      </c>
      <c r="AB178" s="64">
        <f>IF(COUNTIF($T$4:$T$863,$T178)&lt;&gt;COUNTIFS($T$4:$T$863,$T178,$D$4:$D$863,$D178,$F$4:$F$863,$F178,$G$4:$G$863,$G178,$K$4:$K$863,$K178,$M$4:$M$863,$M178),"⚠ INCOHÉRENT","")</f>
        <v/>
      </c>
      <c r="AC178" s="64">
        <f>COUNTIFS($A$4:$A178,$A178,$J$4:$J178,$J178,$E$4:$E178,$E178)</f>
        <v/>
      </c>
      <c r="AD178" s="65">
        <f>$A178&amp;"|"&amp;$J178&amp;"|"&amp;$E178&amp;"|"&amp;$AC178</f>
        <v/>
      </c>
      <c r="AE178" s="66">
        <f>IF($W178&lt;&gt;"","⚑ "&amp;$W178&amp;CHAR(10),"")&amp;TEXT($F178,"hh:mm")&amp;"-"&amp;TEXT($G178,"hh:mm")&amp;IF(OR($P178="Quinzaine A",AND($P178="Hebdo · groupes alternés",$C178="A"))," Q-A",IF(OR($P178="Quinzaine B",AND($P178="Hebdo · groupes alternés",$C178="B"))," Q-B",IF($P178="Exception"," PONCT.","")))&amp;IF($X178="Oui"," OPT","")&amp;CHAR(10)&amp;$K178&amp;CHAR(10)&amp;$M178&amp;IF($N178&lt;&gt;"",CHAR(10)&amp;"Salle "&amp;$N178,"")&amp;IF($O178="En ligne",CHAR(10)&amp;"EN LIGNE","")&amp;IF($V178&lt;&gt;"",CHAR(10)&amp;$V178,"")</f>
        <v/>
      </c>
      <c r="AF178" s="65" t="inlineStr">
        <is>
          <t>19h30-21h Math (Haythem)</t>
        </is>
      </c>
      <c r="AG178" s="65" t="inlineStr">
        <is>
          <t>du 21-09 jusquà le 27-09!J62</t>
        </is>
      </c>
    </row>
    <row r="179" ht="15" customHeight="1">
      <c r="A179" s="74" t="inlineStr">
        <is>
          <t>S2</t>
        </is>
      </c>
      <c r="B179" s="75" t="inlineStr">
        <is>
          <t>du 21 au 27 septembre 2026</t>
        </is>
      </c>
      <c r="C179" s="74" t="inlineStr">
        <is>
          <t>B</t>
        </is>
      </c>
      <c r="D179" s="76" t="n">
        <v>46289</v>
      </c>
      <c r="E179" s="74" t="inlineStr">
        <is>
          <t>Jeudi</t>
        </is>
      </c>
      <c r="F179" s="77" t="n">
        <v>0.8125</v>
      </c>
      <c r="G179" s="77" t="n">
        <v>0.875</v>
      </c>
      <c r="H179" s="78">
        <f>IF(OR($F179="",$G179=""),"",($G179-$F179)*24)</f>
        <v/>
      </c>
      <c r="I179" s="74" t="inlineStr">
        <is>
          <t>Secondaire</t>
        </is>
      </c>
      <c r="J179" s="75" t="inlineStr">
        <is>
          <t>2éme INFO</t>
        </is>
      </c>
      <c r="K179" s="73" t="inlineStr">
        <is>
          <t>Physique</t>
        </is>
      </c>
      <c r="L179" s="73" t="inlineStr">
        <is>
          <t>Physique</t>
        </is>
      </c>
      <c r="M179" s="75" t="inlineStr">
        <is>
          <t>Samia</t>
        </is>
      </c>
      <c r="N179" s="74" t="n"/>
      <c r="O179" s="74" t="n"/>
      <c r="P179" s="74" t="inlineStr">
        <is>
          <t>Hebdomadaire</t>
        </is>
      </c>
      <c r="Q179" s="75" t="inlineStr"/>
      <c r="R179" s="74" t="n">
        <v>1</v>
      </c>
      <c r="S179" s="74" t="inlineStr">
        <is>
          <t>Oui</t>
        </is>
      </c>
      <c r="T179" s="74" t="inlineStr">
        <is>
          <t>S2-044</t>
        </is>
      </c>
      <c r="U179" s="75" t="inlineStr">
        <is>
          <t>Original (septembre)</t>
        </is>
      </c>
      <c r="V179" s="75" t="inlineStr"/>
      <c r="W179" s="10" t="n"/>
      <c r="X179" s="10" t="inlineStr"/>
      <c r="Y179" s="64">
        <f>IF($M179="","",IF(SUMPRODUCT(($D$4:$D$863=$D179)*($M$4:$M$863=$M179)*($T$4:$T$863&lt;&gt;$T179)*($F$4:$F$863&lt;$G179)*($G$4:$G$863&gt;$F179))&gt;0,"⚠ CONFLIT",""))</f>
        <v/>
      </c>
      <c r="Z179" s="64">
        <f>IF($J179="","",IF(SUMPRODUCT(($D$4:$D$863=$D179)*($J$4:$J$863=$J179)*($T$4:$T$863&lt;&gt;$T179)*($F$4:$F$863&lt;$G179)*($G$4:$G$863&gt;$F179)*(1-($X$4:$X$863="Oui")*($X179="Oui")))&gt;0,"⚠ CONFLIT",""))</f>
        <v/>
      </c>
      <c r="AA179" s="64">
        <f>IF(COUNTIFS($D$4:$D$863,$D179,$J$4:$J$863,$J179,$F$4:$F$863,$F179,$K$4:$K$863,$K179)&gt;1,"⚠ DOUBLON","")</f>
        <v/>
      </c>
      <c r="AB179" s="64">
        <f>IF(COUNTIF($T$4:$T$863,$T179)&lt;&gt;COUNTIFS($T$4:$T$863,$T179,$D$4:$D$863,$D179,$F$4:$F$863,$F179,$G$4:$G$863,$G179,$K$4:$K$863,$K179,$M$4:$M$863,$M179),"⚠ INCOHÉRENT","")</f>
        <v/>
      </c>
      <c r="AC179" s="64">
        <f>COUNTIFS($A$4:$A179,$A179,$J$4:$J179,$J179,$E$4:$E179,$E179)</f>
        <v/>
      </c>
      <c r="AD179" s="65">
        <f>$A179&amp;"|"&amp;$J179&amp;"|"&amp;$E179&amp;"|"&amp;$AC179</f>
        <v/>
      </c>
      <c r="AE179" s="66">
        <f>IF($W179&lt;&gt;"","⚑ "&amp;$W179&amp;CHAR(10),"")&amp;TEXT($F179,"hh:mm")&amp;"-"&amp;TEXT($G179,"hh:mm")&amp;IF(OR($P179="Quinzaine A",AND($P179="Hebdo · groupes alternés",$C179="A"))," Q-A",IF(OR($P179="Quinzaine B",AND($P179="Hebdo · groupes alternés",$C179="B"))," Q-B",IF($P179="Exception"," PONCT.","")))&amp;IF($X179="Oui"," OPT","")&amp;CHAR(10)&amp;$K179&amp;CHAR(10)&amp;$M179&amp;IF($N179&lt;&gt;"",CHAR(10)&amp;"Salle "&amp;$N179,"")&amp;IF($O179="En ligne",CHAR(10)&amp;"EN LIGNE","")&amp;IF($V179&lt;&gt;"",CHAR(10)&amp;$V179,"")</f>
        <v/>
      </c>
      <c r="AF179" s="65" t="inlineStr">
        <is>
          <t>19h30-21h Physique (Samia)</t>
        </is>
      </c>
      <c r="AG179" s="65" t="inlineStr">
        <is>
          <t>du 21-09 jusquà le 27-09!J64</t>
        </is>
      </c>
    </row>
    <row r="180" ht="15" customHeight="1">
      <c r="A180" s="74" t="inlineStr">
        <is>
          <t>S2</t>
        </is>
      </c>
      <c r="B180" s="75" t="inlineStr">
        <is>
          <t>du 21 au 27 septembre 2026</t>
        </is>
      </c>
      <c r="C180" s="74" t="inlineStr">
        <is>
          <t>B</t>
        </is>
      </c>
      <c r="D180" s="76" t="n">
        <v>46289</v>
      </c>
      <c r="E180" s="74" t="inlineStr">
        <is>
          <t>Jeudi</t>
        </is>
      </c>
      <c r="F180" s="77" t="n">
        <v>0.7916666666666666</v>
      </c>
      <c r="G180" s="77" t="n">
        <v>0.8541666666666666</v>
      </c>
      <c r="H180" s="78">
        <f>IF(OR($F180="",$G180=""),"",($G180-$F180)*24)</f>
        <v/>
      </c>
      <c r="I180" s="74" t="inlineStr">
        <is>
          <t>Secondaire</t>
        </is>
      </c>
      <c r="J180" s="75" t="inlineStr">
        <is>
          <t>3éme Eco</t>
        </is>
      </c>
      <c r="K180" s="91" t="inlineStr">
        <is>
          <t>Philo</t>
        </is>
      </c>
      <c r="L180" s="91" t="inlineStr">
        <is>
          <t>Philo</t>
        </is>
      </c>
      <c r="M180" s="75" t="inlineStr">
        <is>
          <t>Fayssel</t>
        </is>
      </c>
      <c r="N180" s="74" t="n"/>
      <c r="O180" s="74" t="n"/>
      <c r="P180" s="74" t="inlineStr">
        <is>
          <t>Hebdo · groupes alternés</t>
        </is>
      </c>
      <c r="Q180" s="75" t="inlineStr">
        <is>
          <t>3éme Eco + 3éme INFO + 3éme SCE</t>
        </is>
      </c>
      <c r="R180" s="74" t="n">
        <v>3</v>
      </c>
      <c r="S180" s="74" t="inlineStr">
        <is>
          <t>Oui</t>
        </is>
      </c>
      <c r="T180" s="74" t="inlineStr">
        <is>
          <t>S2-045</t>
        </is>
      </c>
      <c r="U180" s="75" t="inlineStr">
        <is>
          <t>Original (septembre)</t>
        </is>
      </c>
      <c r="V180" s="75" t="inlineStr"/>
      <c r="W180" s="10" t="n"/>
      <c r="X180" s="10" t="inlineStr"/>
      <c r="Y180" s="64">
        <f>IF($M180="","",IF(SUMPRODUCT(($D$4:$D$863=$D180)*($M$4:$M$863=$M180)*($T$4:$T$863&lt;&gt;$T180)*($F$4:$F$863&lt;$G180)*($G$4:$G$863&gt;$F180))&gt;0,"⚠ CONFLIT",""))</f>
        <v/>
      </c>
      <c r="Z180" s="64">
        <f>IF($J180="","",IF(SUMPRODUCT(($D$4:$D$863=$D180)*($J$4:$J$863=$J180)*($T$4:$T$863&lt;&gt;$T180)*($F$4:$F$863&lt;$G180)*($G$4:$G$863&gt;$F180)*(1-($X$4:$X$863="Oui")*($X180="Oui")))&gt;0,"⚠ CONFLIT",""))</f>
        <v/>
      </c>
      <c r="AA180" s="64">
        <f>IF(COUNTIFS($D$4:$D$863,$D180,$J$4:$J$863,$J180,$F$4:$F$863,$F180,$K$4:$K$863,$K180)&gt;1,"⚠ DOUBLON","")</f>
        <v/>
      </c>
      <c r="AB180" s="64">
        <f>IF(COUNTIF($T$4:$T$863,$T180)&lt;&gt;COUNTIFS($T$4:$T$863,$T180,$D$4:$D$863,$D180,$F$4:$F$863,$F180,$G$4:$G$863,$G180,$K$4:$K$863,$K180,$M$4:$M$863,$M180),"⚠ INCOHÉRENT","")</f>
        <v/>
      </c>
      <c r="AC180" s="64">
        <f>COUNTIFS($A$4:$A180,$A180,$J$4:$J180,$J180,$E$4:$E180,$E180)</f>
        <v/>
      </c>
      <c r="AD180" s="65">
        <f>$A180&amp;"|"&amp;$J180&amp;"|"&amp;$E180&amp;"|"&amp;$AC180</f>
        <v/>
      </c>
      <c r="AE180" s="66">
        <f>IF($W180&lt;&gt;"","⚑ "&amp;$W180&amp;CHAR(10),"")&amp;TEXT($F180,"hh:mm")&amp;"-"&amp;TEXT($G180,"hh:mm")&amp;IF(OR($P180="Quinzaine A",AND($P180="Hebdo · groupes alternés",$C180="A"))," Q-A",IF(OR($P180="Quinzaine B",AND($P180="Hebdo · groupes alternés",$C180="B"))," Q-B",IF($P180="Exception"," PONCT.","")))&amp;IF($X180="Oui"," OPT","")&amp;CHAR(10)&amp;$K180&amp;CHAR(10)&amp;$M180&amp;IF($N180&lt;&gt;"",CHAR(10)&amp;"Salle "&amp;$N180,"")&amp;IF($O180="En ligne",CHAR(10)&amp;"EN LIGNE","")&amp;IF($V180&lt;&gt;"",CHAR(10)&amp;$V180,"")</f>
        <v/>
      </c>
      <c r="AF180" s="65" t="inlineStr">
        <is>
          <t>19h-20h30 Philo (Fayssel) /par quizaine</t>
        </is>
      </c>
      <c r="AG180" s="65" t="inlineStr">
        <is>
          <t>du 21-09 jusquà le 27-09!J67</t>
        </is>
      </c>
    </row>
    <row r="181" ht="15" customHeight="1">
      <c r="A181" s="74" t="inlineStr">
        <is>
          <t>S2</t>
        </is>
      </c>
      <c r="B181" s="75" t="inlineStr">
        <is>
          <t>du 21 au 27 septembre 2026</t>
        </is>
      </c>
      <c r="C181" s="74" t="inlineStr">
        <is>
          <t>B</t>
        </is>
      </c>
      <c r="D181" s="76" t="n">
        <v>46289</v>
      </c>
      <c r="E181" s="74" t="inlineStr">
        <is>
          <t>Jeudi</t>
        </is>
      </c>
      <c r="F181" s="77" t="n">
        <v>0.7916666666666666</v>
      </c>
      <c r="G181" s="77" t="n">
        <v>0.8541666666666666</v>
      </c>
      <c r="H181" s="78">
        <f>IF(OR($F181="",$G181=""),"",($G181-$F181)*24)</f>
        <v/>
      </c>
      <c r="I181" s="74" t="inlineStr">
        <is>
          <t>Secondaire</t>
        </is>
      </c>
      <c r="J181" s="75" t="inlineStr">
        <is>
          <t>3éme INFO</t>
        </is>
      </c>
      <c r="K181" s="91" t="inlineStr">
        <is>
          <t>Philo</t>
        </is>
      </c>
      <c r="L181" s="91" t="inlineStr">
        <is>
          <t>Philo</t>
        </is>
      </c>
      <c r="M181" s="75" t="inlineStr">
        <is>
          <t>Fayssel</t>
        </is>
      </c>
      <c r="N181" s="74" t="n"/>
      <c r="O181" s="74" t="n"/>
      <c r="P181" s="74" t="inlineStr">
        <is>
          <t>Hebdo · groupes alternés</t>
        </is>
      </c>
      <c r="Q181" s="75" t="inlineStr">
        <is>
          <t>3éme Eco + 3éme INFO + 3éme SCE</t>
        </is>
      </c>
      <c r="R181" s="74" t="n">
        <v>3</v>
      </c>
      <c r="S181" s="74" t="inlineStr"/>
      <c r="T181" s="74" t="inlineStr">
        <is>
          <t>S2-045</t>
        </is>
      </c>
      <c r="U181" s="75" t="inlineStr">
        <is>
          <t>Original (septembre)</t>
        </is>
      </c>
      <c r="V181" s="75" t="inlineStr"/>
      <c r="W181" s="10" t="n"/>
      <c r="X181" s="10" t="inlineStr"/>
      <c r="Y181" s="64">
        <f>IF($M181="","",IF(SUMPRODUCT(($D$4:$D$863=$D181)*($M$4:$M$863=$M181)*($T$4:$T$863&lt;&gt;$T181)*($F$4:$F$863&lt;$G181)*($G$4:$G$863&gt;$F181))&gt;0,"⚠ CONFLIT",""))</f>
        <v/>
      </c>
      <c r="Z181" s="64">
        <f>IF($J181="","",IF(SUMPRODUCT(($D$4:$D$863=$D181)*($J$4:$J$863=$J181)*($T$4:$T$863&lt;&gt;$T181)*($F$4:$F$863&lt;$G181)*($G$4:$G$863&gt;$F181)*(1-($X$4:$X$863="Oui")*($X181="Oui")))&gt;0,"⚠ CONFLIT",""))</f>
        <v/>
      </c>
      <c r="AA181" s="64">
        <f>IF(COUNTIFS($D$4:$D$863,$D181,$J$4:$J$863,$J181,$F$4:$F$863,$F181,$K$4:$K$863,$K181)&gt;1,"⚠ DOUBLON","")</f>
        <v/>
      </c>
      <c r="AB181" s="64">
        <f>IF(COUNTIF($T$4:$T$863,$T181)&lt;&gt;COUNTIFS($T$4:$T$863,$T181,$D$4:$D$863,$D181,$F$4:$F$863,$F181,$G$4:$G$863,$G181,$K$4:$K$863,$K181,$M$4:$M$863,$M181),"⚠ INCOHÉRENT","")</f>
        <v/>
      </c>
      <c r="AC181" s="64">
        <f>COUNTIFS($A$4:$A181,$A181,$J$4:$J181,$J181,$E$4:$E181,$E181)</f>
        <v/>
      </c>
      <c r="AD181" s="65">
        <f>$A181&amp;"|"&amp;$J181&amp;"|"&amp;$E181&amp;"|"&amp;$AC181</f>
        <v/>
      </c>
      <c r="AE181" s="66">
        <f>IF($W181&lt;&gt;"","⚑ "&amp;$W181&amp;CHAR(10),"")&amp;TEXT($F181,"hh:mm")&amp;"-"&amp;TEXT($G181,"hh:mm")&amp;IF(OR($P181="Quinzaine A",AND($P181="Hebdo · groupes alternés",$C181="A"))," Q-A",IF(OR($P181="Quinzaine B",AND($P181="Hebdo · groupes alternés",$C181="B"))," Q-B",IF($P181="Exception"," PONCT.","")))&amp;IF($X181="Oui"," OPT","")&amp;CHAR(10)&amp;$K181&amp;CHAR(10)&amp;$M181&amp;IF($N181&lt;&gt;"",CHAR(10)&amp;"Salle "&amp;$N181,"")&amp;IF($O181="En ligne",CHAR(10)&amp;"EN LIGNE","")&amp;IF($V181&lt;&gt;"",CHAR(10)&amp;$V181,"")</f>
        <v/>
      </c>
      <c r="AF181" s="65" t="inlineStr">
        <is>
          <t>19h-20h30 Philo (Fayssel) /par quizaine</t>
        </is>
      </c>
      <c r="AG181" s="65" t="inlineStr">
        <is>
          <t>du 21-09 jusquà le 27-09!J67</t>
        </is>
      </c>
    </row>
    <row r="182" ht="15" customHeight="1">
      <c r="A182" s="74" t="inlineStr">
        <is>
          <t>S2</t>
        </is>
      </c>
      <c r="B182" s="75" t="inlineStr">
        <is>
          <t>du 21 au 27 septembre 2026</t>
        </is>
      </c>
      <c r="C182" s="74" t="inlineStr">
        <is>
          <t>B</t>
        </is>
      </c>
      <c r="D182" s="76" t="n">
        <v>46289</v>
      </c>
      <c r="E182" s="74" t="inlineStr">
        <is>
          <t>Jeudi</t>
        </is>
      </c>
      <c r="F182" s="77" t="n">
        <v>0.7916666666666666</v>
      </c>
      <c r="G182" s="77" t="n">
        <v>0.8541666666666666</v>
      </c>
      <c r="H182" s="78">
        <f>IF(OR($F182="",$G182=""),"",($G182-$F182)*24)</f>
        <v/>
      </c>
      <c r="I182" s="74" t="inlineStr">
        <is>
          <t>Secondaire</t>
        </is>
      </c>
      <c r="J182" s="75" t="inlineStr">
        <is>
          <t>3éme SCE</t>
        </is>
      </c>
      <c r="K182" s="91" t="inlineStr">
        <is>
          <t>Philo</t>
        </is>
      </c>
      <c r="L182" s="91" t="inlineStr">
        <is>
          <t>Philo</t>
        </is>
      </c>
      <c r="M182" s="75" t="inlineStr">
        <is>
          <t>Fayssel</t>
        </is>
      </c>
      <c r="N182" s="74" t="n"/>
      <c r="O182" s="74" t="n"/>
      <c r="P182" s="74" t="inlineStr">
        <is>
          <t>Hebdo · groupes alternés</t>
        </is>
      </c>
      <c r="Q182" s="75" t="inlineStr">
        <is>
          <t>3éme Eco + 3éme INFO + 3éme SCE</t>
        </is>
      </c>
      <c r="R182" s="74" t="n">
        <v>3</v>
      </c>
      <c r="S182" s="74" t="inlineStr"/>
      <c r="T182" s="74" t="inlineStr">
        <is>
          <t>S2-045</t>
        </is>
      </c>
      <c r="U182" s="75" t="inlineStr">
        <is>
          <t>Original (septembre)</t>
        </is>
      </c>
      <c r="V182" s="75" t="inlineStr"/>
      <c r="W182" s="10" t="n"/>
      <c r="X182" s="10" t="inlineStr"/>
      <c r="Y182" s="64">
        <f>IF($M182="","",IF(SUMPRODUCT(($D$4:$D$863=$D182)*($M$4:$M$863=$M182)*($T$4:$T$863&lt;&gt;$T182)*($F$4:$F$863&lt;$G182)*($G$4:$G$863&gt;$F182))&gt;0,"⚠ CONFLIT",""))</f>
        <v/>
      </c>
      <c r="Z182" s="64">
        <f>IF($J182="","",IF(SUMPRODUCT(($D$4:$D$863=$D182)*($J$4:$J$863=$J182)*($T$4:$T$863&lt;&gt;$T182)*($F$4:$F$863&lt;$G182)*($G$4:$G$863&gt;$F182)*(1-($X$4:$X$863="Oui")*($X182="Oui")))&gt;0,"⚠ CONFLIT",""))</f>
        <v/>
      </c>
      <c r="AA182" s="64">
        <f>IF(COUNTIFS($D$4:$D$863,$D182,$J$4:$J$863,$J182,$F$4:$F$863,$F182,$K$4:$K$863,$K182)&gt;1,"⚠ DOUBLON","")</f>
        <v/>
      </c>
      <c r="AB182" s="64">
        <f>IF(COUNTIF($T$4:$T$863,$T182)&lt;&gt;COUNTIFS($T$4:$T$863,$T182,$D$4:$D$863,$D182,$F$4:$F$863,$F182,$G$4:$G$863,$G182,$K$4:$K$863,$K182,$M$4:$M$863,$M182),"⚠ INCOHÉRENT","")</f>
        <v/>
      </c>
      <c r="AC182" s="64">
        <f>COUNTIFS($A$4:$A182,$A182,$J$4:$J182,$J182,$E$4:$E182,$E182)</f>
        <v/>
      </c>
      <c r="AD182" s="65">
        <f>$A182&amp;"|"&amp;$J182&amp;"|"&amp;$E182&amp;"|"&amp;$AC182</f>
        <v/>
      </c>
      <c r="AE182" s="66">
        <f>IF($W182&lt;&gt;"","⚑ "&amp;$W182&amp;CHAR(10),"")&amp;TEXT($F182,"hh:mm")&amp;"-"&amp;TEXT($G182,"hh:mm")&amp;IF(OR($P182="Quinzaine A",AND($P182="Hebdo · groupes alternés",$C182="A"))," Q-A",IF(OR($P182="Quinzaine B",AND($P182="Hebdo · groupes alternés",$C182="B"))," Q-B",IF($P182="Exception"," PONCT.","")))&amp;IF($X182="Oui"," OPT","")&amp;CHAR(10)&amp;$K182&amp;CHAR(10)&amp;$M182&amp;IF($N182&lt;&gt;"",CHAR(10)&amp;"Salle "&amp;$N182,"")&amp;IF($O182="En ligne",CHAR(10)&amp;"EN LIGNE","")&amp;IF($V182&lt;&gt;"",CHAR(10)&amp;$V182,"")</f>
        <v/>
      </c>
      <c r="AF182" s="65" t="inlineStr">
        <is>
          <t>19h-20h30 Philo (Fayssel) /par quizaine</t>
        </is>
      </c>
      <c r="AG182" s="65" t="inlineStr">
        <is>
          <t>du 21-09 jusquà le 27-09!J67</t>
        </is>
      </c>
    </row>
    <row r="183" ht="15" customHeight="1">
      <c r="A183" s="81" t="inlineStr">
        <is>
          <t>S2</t>
        </is>
      </c>
      <c r="B183" s="82" t="inlineStr">
        <is>
          <t>du 21 au 27 septembre 2026</t>
        </is>
      </c>
      <c r="C183" s="81" t="inlineStr">
        <is>
          <t>B</t>
        </is>
      </c>
      <c r="D183" s="83" t="n">
        <v>46289</v>
      </c>
      <c r="E183" s="81" t="inlineStr">
        <is>
          <t>Jeudi</t>
        </is>
      </c>
      <c r="F183" s="84" t="n">
        <v>0.8125</v>
      </c>
      <c r="G183" s="84" t="n">
        <v>0.875</v>
      </c>
      <c r="H183" s="85">
        <f>IF(OR($F183="",$G183=""),"",($G183-$F183)*24)</f>
        <v/>
      </c>
      <c r="I183" s="81" t="inlineStr">
        <is>
          <t>Bac</t>
        </is>
      </c>
      <c r="J183" s="82" t="inlineStr">
        <is>
          <t>Bac Eco</t>
        </is>
      </c>
      <c r="K183" s="63" t="inlineStr">
        <is>
          <t>Arabe</t>
        </is>
      </c>
      <c r="L183" s="63" t="inlineStr">
        <is>
          <t>Arabe</t>
        </is>
      </c>
      <c r="M183" s="82" t="inlineStr">
        <is>
          <t>Najet</t>
        </is>
      </c>
      <c r="N183" s="81" t="n"/>
      <c r="O183" s="81" t="n"/>
      <c r="P183" s="81" t="inlineStr">
        <is>
          <t>Hebdo · groupes alternés</t>
        </is>
      </c>
      <c r="Q183" s="82" t="inlineStr">
        <is>
          <t>Bac Eco + Bac SCE + Bac INFO</t>
        </is>
      </c>
      <c r="R183" s="81" t="n">
        <v>3</v>
      </c>
      <c r="S183" s="81" t="inlineStr">
        <is>
          <t>Oui</t>
        </is>
      </c>
      <c r="T183" s="81" t="inlineStr">
        <is>
          <t>S2-046</t>
        </is>
      </c>
      <c r="U183" s="82" t="inlineStr">
        <is>
          <t>Original (septembre)</t>
        </is>
      </c>
      <c r="V183" s="82" t="inlineStr"/>
      <c r="W183" s="10" t="n"/>
      <c r="X183" s="10" t="inlineStr"/>
      <c r="Y183" s="64">
        <f>IF($M183="","",IF(SUMPRODUCT(($D$4:$D$863=$D183)*($M$4:$M$863=$M183)*($T$4:$T$863&lt;&gt;$T183)*($F$4:$F$863&lt;$G183)*($G$4:$G$863&gt;$F183))&gt;0,"⚠ CONFLIT",""))</f>
        <v/>
      </c>
      <c r="Z183" s="64">
        <f>IF($J183="","",IF(SUMPRODUCT(($D$4:$D$863=$D183)*($J$4:$J$863=$J183)*($T$4:$T$863&lt;&gt;$T183)*($F$4:$F$863&lt;$G183)*($G$4:$G$863&gt;$F183)*(1-($X$4:$X$863="Oui")*($X183="Oui")))&gt;0,"⚠ CONFLIT",""))</f>
        <v/>
      </c>
      <c r="AA183" s="64">
        <f>IF(COUNTIFS($D$4:$D$863,$D183,$J$4:$J$863,$J183,$F$4:$F$863,$F183,$K$4:$K$863,$K183)&gt;1,"⚠ DOUBLON","")</f>
        <v/>
      </c>
      <c r="AB183" s="64">
        <f>IF(COUNTIF($T$4:$T$863,$T183)&lt;&gt;COUNTIFS($T$4:$T$863,$T183,$D$4:$D$863,$D183,$F$4:$F$863,$F183,$G$4:$G$863,$G183,$K$4:$K$863,$K183,$M$4:$M$863,$M183),"⚠ INCOHÉRENT","")</f>
        <v/>
      </c>
      <c r="AC183" s="64">
        <f>COUNTIFS($A$4:$A183,$A183,$J$4:$J183,$J183,$E$4:$E183,$E183)</f>
        <v/>
      </c>
      <c r="AD183" s="65">
        <f>$A183&amp;"|"&amp;$J183&amp;"|"&amp;$E183&amp;"|"&amp;$AC183</f>
        <v/>
      </c>
      <c r="AE183" s="66">
        <f>IF($W183&lt;&gt;"","⚑ "&amp;$W183&amp;CHAR(10),"")&amp;TEXT($F183,"hh:mm")&amp;"-"&amp;TEXT($G183,"hh:mm")&amp;IF(OR($P183="Quinzaine A",AND($P183="Hebdo · groupes alternés",$C183="A"))," Q-A",IF(OR($P183="Quinzaine B",AND($P183="Hebdo · groupes alternés",$C183="B"))," Q-B",IF($P183="Exception"," PONCT.","")))&amp;IF($X183="Oui"," OPT","")&amp;CHAR(10)&amp;$K183&amp;CHAR(10)&amp;$M183&amp;IF($N183&lt;&gt;"",CHAR(10)&amp;"Salle "&amp;$N183,"")&amp;IF($O183="En ligne",CHAR(10)&amp;"EN LIGNE","")&amp;IF($V183&lt;&gt;"",CHAR(10)&amp;$V183,"")</f>
        <v/>
      </c>
      <c r="AF183" s="65" t="inlineStr">
        <is>
          <t>19h30-21h Arabe (Najet) /par quinzaine</t>
        </is>
      </c>
      <c r="AG183" s="65" t="inlineStr">
        <is>
          <t>du 21-09 jusquà le 27-09!J75</t>
        </is>
      </c>
    </row>
    <row r="184" ht="15" customHeight="1">
      <c r="A184" s="81" t="inlineStr">
        <is>
          <t>S2</t>
        </is>
      </c>
      <c r="B184" s="82" t="inlineStr">
        <is>
          <t>du 21 au 27 septembre 2026</t>
        </is>
      </c>
      <c r="C184" s="81" t="inlineStr">
        <is>
          <t>B</t>
        </is>
      </c>
      <c r="D184" s="83" t="n">
        <v>46289</v>
      </c>
      <c r="E184" s="81" t="inlineStr">
        <is>
          <t>Jeudi</t>
        </is>
      </c>
      <c r="F184" s="84" t="n">
        <v>0.8125</v>
      </c>
      <c r="G184" s="84" t="n">
        <v>0.875</v>
      </c>
      <c r="H184" s="85">
        <f>IF(OR($F184="",$G184=""),"",($G184-$F184)*24)</f>
        <v/>
      </c>
      <c r="I184" s="81" t="inlineStr">
        <is>
          <t>Bac</t>
        </is>
      </c>
      <c r="J184" s="82" t="inlineStr">
        <is>
          <t>Bac SCE</t>
        </is>
      </c>
      <c r="K184" s="63" t="inlineStr">
        <is>
          <t>Arabe</t>
        </is>
      </c>
      <c r="L184" s="63" t="inlineStr">
        <is>
          <t>Arabe</t>
        </is>
      </c>
      <c r="M184" s="82" t="inlineStr">
        <is>
          <t>Najet</t>
        </is>
      </c>
      <c r="N184" s="81" t="n"/>
      <c r="O184" s="81" t="n"/>
      <c r="P184" s="81" t="inlineStr">
        <is>
          <t>Hebdo · groupes alternés</t>
        </is>
      </c>
      <c r="Q184" s="82" t="inlineStr">
        <is>
          <t>Bac Eco + Bac SCE + Bac INFO</t>
        </is>
      </c>
      <c r="R184" s="81" t="n">
        <v>3</v>
      </c>
      <c r="S184" s="81" t="inlineStr"/>
      <c r="T184" s="81" t="inlineStr">
        <is>
          <t>S2-046</t>
        </is>
      </c>
      <c r="U184" s="82" t="inlineStr">
        <is>
          <t>Original (septembre)</t>
        </is>
      </c>
      <c r="V184" s="82" t="inlineStr"/>
      <c r="W184" s="10" t="n"/>
      <c r="X184" s="10" t="inlineStr"/>
      <c r="Y184" s="64">
        <f>IF($M184="","",IF(SUMPRODUCT(($D$4:$D$863=$D184)*($M$4:$M$863=$M184)*($T$4:$T$863&lt;&gt;$T184)*($F$4:$F$863&lt;$G184)*($G$4:$G$863&gt;$F184))&gt;0,"⚠ CONFLIT",""))</f>
        <v/>
      </c>
      <c r="Z184" s="64">
        <f>IF($J184="","",IF(SUMPRODUCT(($D$4:$D$863=$D184)*($J$4:$J$863=$J184)*($T$4:$T$863&lt;&gt;$T184)*($F$4:$F$863&lt;$G184)*($G$4:$G$863&gt;$F184)*(1-($X$4:$X$863="Oui")*($X184="Oui")))&gt;0,"⚠ CONFLIT",""))</f>
        <v/>
      </c>
      <c r="AA184" s="64">
        <f>IF(COUNTIFS($D$4:$D$863,$D184,$J$4:$J$863,$J184,$F$4:$F$863,$F184,$K$4:$K$863,$K184)&gt;1,"⚠ DOUBLON","")</f>
        <v/>
      </c>
      <c r="AB184" s="64">
        <f>IF(COUNTIF($T$4:$T$863,$T184)&lt;&gt;COUNTIFS($T$4:$T$863,$T184,$D$4:$D$863,$D184,$F$4:$F$863,$F184,$G$4:$G$863,$G184,$K$4:$K$863,$K184,$M$4:$M$863,$M184),"⚠ INCOHÉRENT","")</f>
        <v/>
      </c>
      <c r="AC184" s="64">
        <f>COUNTIFS($A$4:$A184,$A184,$J$4:$J184,$J184,$E$4:$E184,$E184)</f>
        <v/>
      </c>
      <c r="AD184" s="65">
        <f>$A184&amp;"|"&amp;$J184&amp;"|"&amp;$E184&amp;"|"&amp;$AC184</f>
        <v/>
      </c>
      <c r="AE184" s="66">
        <f>IF($W184&lt;&gt;"","⚑ "&amp;$W184&amp;CHAR(10),"")&amp;TEXT($F184,"hh:mm")&amp;"-"&amp;TEXT($G184,"hh:mm")&amp;IF(OR($P184="Quinzaine A",AND($P184="Hebdo · groupes alternés",$C184="A"))," Q-A",IF(OR($P184="Quinzaine B",AND($P184="Hebdo · groupes alternés",$C184="B"))," Q-B",IF($P184="Exception"," PONCT.","")))&amp;IF($X184="Oui"," OPT","")&amp;CHAR(10)&amp;$K184&amp;CHAR(10)&amp;$M184&amp;IF($N184&lt;&gt;"",CHAR(10)&amp;"Salle "&amp;$N184,"")&amp;IF($O184="En ligne",CHAR(10)&amp;"EN LIGNE","")&amp;IF($V184&lt;&gt;"",CHAR(10)&amp;$V184,"")</f>
        <v/>
      </c>
      <c r="AF184" s="65" t="inlineStr">
        <is>
          <t>19h30-21h Arabe (Najet) /par quinzaine</t>
        </is>
      </c>
      <c r="AG184" s="65" t="inlineStr">
        <is>
          <t>du 21-09 jusquà le 27-09!J75</t>
        </is>
      </c>
    </row>
    <row r="185" ht="15" customHeight="1">
      <c r="A185" s="81" t="inlineStr">
        <is>
          <t>S2</t>
        </is>
      </c>
      <c r="B185" s="82" t="inlineStr">
        <is>
          <t>du 21 au 27 septembre 2026</t>
        </is>
      </c>
      <c r="C185" s="81" t="inlineStr">
        <is>
          <t>B</t>
        </is>
      </c>
      <c r="D185" s="83" t="n">
        <v>46289</v>
      </c>
      <c r="E185" s="81" t="inlineStr">
        <is>
          <t>Jeudi</t>
        </is>
      </c>
      <c r="F185" s="84" t="n">
        <v>0.8125</v>
      </c>
      <c r="G185" s="84" t="n">
        <v>0.875</v>
      </c>
      <c r="H185" s="85">
        <f>IF(OR($F185="",$G185=""),"",($G185-$F185)*24)</f>
        <v/>
      </c>
      <c r="I185" s="81" t="inlineStr">
        <is>
          <t>Bac</t>
        </is>
      </c>
      <c r="J185" s="82" t="inlineStr">
        <is>
          <t>Bac INFO</t>
        </is>
      </c>
      <c r="K185" s="63" t="inlineStr">
        <is>
          <t>Arabe</t>
        </is>
      </c>
      <c r="L185" s="63" t="inlineStr">
        <is>
          <t>Arabe</t>
        </is>
      </c>
      <c r="M185" s="82" t="inlineStr">
        <is>
          <t>Najet</t>
        </is>
      </c>
      <c r="N185" s="81" t="n"/>
      <c r="O185" s="81" t="n"/>
      <c r="P185" s="81" t="inlineStr">
        <is>
          <t>Hebdo · groupes alternés</t>
        </is>
      </c>
      <c r="Q185" s="82" t="inlineStr">
        <is>
          <t>Bac Eco + Bac SCE + Bac INFO</t>
        </is>
      </c>
      <c r="R185" s="81" t="n">
        <v>3</v>
      </c>
      <c r="S185" s="81" t="inlineStr"/>
      <c r="T185" s="81" t="inlineStr">
        <is>
          <t>S2-046</t>
        </is>
      </c>
      <c r="U185" s="82" t="inlineStr">
        <is>
          <t>Original (septembre)</t>
        </is>
      </c>
      <c r="V185" s="82" t="inlineStr"/>
      <c r="W185" s="10" t="n"/>
      <c r="X185" s="10" t="inlineStr"/>
      <c r="Y185" s="64">
        <f>IF($M185="","",IF(SUMPRODUCT(($D$4:$D$863=$D185)*($M$4:$M$863=$M185)*($T$4:$T$863&lt;&gt;$T185)*($F$4:$F$863&lt;$G185)*($G$4:$G$863&gt;$F185))&gt;0,"⚠ CONFLIT",""))</f>
        <v/>
      </c>
      <c r="Z185" s="64">
        <f>IF($J185="","",IF(SUMPRODUCT(($D$4:$D$863=$D185)*($J$4:$J$863=$J185)*($T$4:$T$863&lt;&gt;$T185)*($F$4:$F$863&lt;$G185)*($G$4:$G$863&gt;$F185)*(1-($X$4:$X$863="Oui")*($X185="Oui")))&gt;0,"⚠ CONFLIT",""))</f>
        <v/>
      </c>
      <c r="AA185" s="64">
        <f>IF(COUNTIFS($D$4:$D$863,$D185,$J$4:$J$863,$J185,$F$4:$F$863,$F185,$K$4:$K$863,$K185)&gt;1,"⚠ DOUBLON","")</f>
        <v/>
      </c>
      <c r="AB185" s="64">
        <f>IF(COUNTIF($T$4:$T$863,$T185)&lt;&gt;COUNTIFS($T$4:$T$863,$T185,$D$4:$D$863,$D185,$F$4:$F$863,$F185,$G$4:$G$863,$G185,$K$4:$K$863,$K185,$M$4:$M$863,$M185),"⚠ INCOHÉRENT","")</f>
        <v/>
      </c>
      <c r="AC185" s="64">
        <f>COUNTIFS($A$4:$A185,$A185,$J$4:$J185,$J185,$E$4:$E185,$E185)</f>
        <v/>
      </c>
      <c r="AD185" s="65">
        <f>$A185&amp;"|"&amp;$J185&amp;"|"&amp;$E185&amp;"|"&amp;$AC185</f>
        <v/>
      </c>
      <c r="AE185" s="66">
        <f>IF($W185&lt;&gt;"","⚑ "&amp;$W185&amp;CHAR(10),"")&amp;TEXT($F185,"hh:mm")&amp;"-"&amp;TEXT($G185,"hh:mm")&amp;IF(OR($P185="Quinzaine A",AND($P185="Hebdo · groupes alternés",$C185="A"))," Q-A",IF(OR($P185="Quinzaine B",AND($P185="Hebdo · groupes alternés",$C185="B"))," Q-B",IF($P185="Exception"," PONCT.","")))&amp;IF($X185="Oui"," OPT","")&amp;CHAR(10)&amp;$K185&amp;CHAR(10)&amp;$M185&amp;IF($N185&lt;&gt;"",CHAR(10)&amp;"Salle "&amp;$N185,"")&amp;IF($O185="En ligne",CHAR(10)&amp;"EN LIGNE","")&amp;IF($V185&lt;&gt;"",CHAR(10)&amp;$V185,"")</f>
        <v/>
      </c>
      <c r="AF185" s="65" t="inlineStr">
        <is>
          <t>19h30-21h Arabe (Najet) /par quinzaine</t>
        </is>
      </c>
      <c r="AG185" s="65" t="inlineStr">
        <is>
          <t>du 21-09 jusquà le 27-09!J75</t>
        </is>
      </c>
    </row>
    <row r="186" ht="15" customHeight="1">
      <c r="A186" s="58" t="inlineStr">
        <is>
          <t>S2</t>
        </is>
      </c>
      <c r="B186" s="59" t="inlineStr">
        <is>
          <t>du 21 au 27 septembre 2026</t>
        </is>
      </c>
      <c r="C186" s="58" t="inlineStr">
        <is>
          <t>B</t>
        </is>
      </c>
      <c r="D186" s="60" t="n">
        <v>46290</v>
      </c>
      <c r="E186" s="58" t="inlineStr">
        <is>
          <t>Vendredi</t>
        </is>
      </c>
      <c r="F186" s="61" t="n">
        <v>0.7916666666666666</v>
      </c>
      <c r="G186" s="61" t="n">
        <v>0.8541666666666666</v>
      </c>
      <c r="H186" s="62">
        <f>IF(OR($F186="",$G186=""),"",($G186-$F186)*24)</f>
        <v/>
      </c>
      <c r="I186" s="58" t="inlineStr">
        <is>
          <t>Primaire</t>
        </is>
      </c>
      <c r="J186" s="59" t="inlineStr">
        <is>
          <t>5éme</t>
        </is>
      </c>
      <c r="K186" s="92" t="inlineStr">
        <is>
          <t>إيقاظ علمي</t>
        </is>
      </c>
      <c r="L186" s="92" t="inlineStr">
        <is>
          <t>Éveil scientifique</t>
        </is>
      </c>
      <c r="M186" s="59" t="inlineStr">
        <is>
          <t>Bassma</t>
        </is>
      </c>
      <c r="N186" s="58" t="n"/>
      <c r="O186" s="58" t="n"/>
      <c r="P186" s="58" t="inlineStr">
        <is>
          <t>Hebdo · groupes alternés</t>
        </is>
      </c>
      <c r="Q186" s="59" t="inlineStr"/>
      <c r="R186" s="58" t="n">
        <v>1</v>
      </c>
      <c r="S186" s="58" t="inlineStr">
        <is>
          <t>Oui</t>
        </is>
      </c>
      <c r="T186" s="58" t="inlineStr">
        <is>
          <t>S2-047</t>
        </is>
      </c>
      <c r="U186" s="59" t="inlineStr">
        <is>
          <t>Original (septembre)</t>
        </is>
      </c>
      <c r="V186" s="59" t="inlineStr"/>
      <c r="W186" s="10" t="n"/>
      <c r="X186" s="10" t="inlineStr"/>
      <c r="Y186" s="64">
        <f>IF($M186="","",IF(SUMPRODUCT(($D$4:$D$863=$D186)*($M$4:$M$863=$M186)*($T$4:$T$863&lt;&gt;$T186)*($F$4:$F$863&lt;$G186)*($G$4:$G$863&gt;$F186))&gt;0,"⚠ CONFLIT",""))</f>
        <v/>
      </c>
      <c r="Z186" s="64">
        <f>IF($J186="","",IF(SUMPRODUCT(($D$4:$D$863=$D186)*($J$4:$J$863=$J186)*($T$4:$T$863&lt;&gt;$T186)*($F$4:$F$863&lt;$G186)*($G$4:$G$863&gt;$F186)*(1-($X$4:$X$863="Oui")*($X186="Oui")))&gt;0,"⚠ CONFLIT",""))</f>
        <v/>
      </c>
      <c r="AA186" s="64">
        <f>IF(COUNTIFS($D$4:$D$863,$D186,$J$4:$J$863,$J186,$F$4:$F$863,$F186,$K$4:$K$863,$K186)&gt;1,"⚠ DOUBLON","")</f>
        <v/>
      </c>
      <c r="AB186" s="64">
        <f>IF(COUNTIF($T$4:$T$863,$T186)&lt;&gt;COUNTIFS($T$4:$T$863,$T186,$D$4:$D$863,$D186,$F$4:$F$863,$F186,$G$4:$G$863,$G186,$K$4:$K$863,$K186,$M$4:$M$863,$M186),"⚠ INCOHÉRENT","")</f>
        <v/>
      </c>
      <c r="AC186" s="64">
        <f>COUNTIFS($A$4:$A186,$A186,$J$4:$J186,$J186,$E$4:$E186,$E186)</f>
        <v/>
      </c>
      <c r="AD186" s="65">
        <f>$A186&amp;"|"&amp;$J186&amp;"|"&amp;$E186&amp;"|"&amp;$AC186</f>
        <v/>
      </c>
      <c r="AE186" s="66">
        <f>IF($W186&lt;&gt;"","⚑ "&amp;$W186&amp;CHAR(10),"")&amp;TEXT($F186,"hh:mm")&amp;"-"&amp;TEXT($G186,"hh:mm")&amp;IF(OR($P186="Quinzaine A",AND($P186="Hebdo · groupes alternés",$C186="A"))," Q-A",IF(OR($P186="Quinzaine B",AND($P186="Hebdo · groupes alternés",$C186="B"))," Q-B",IF($P186="Exception"," PONCT.","")))&amp;IF($X186="Oui"," OPT","")&amp;CHAR(10)&amp;$K186&amp;CHAR(10)&amp;$M186&amp;IF($N186&lt;&gt;"",CHAR(10)&amp;"Salle "&amp;$N186,"")&amp;IF($O186="En ligne",CHAR(10)&amp;"EN LIGNE","")&amp;IF($V186&lt;&gt;"",CHAR(10)&amp;$V186,"")</f>
        <v/>
      </c>
      <c r="AF186" s="65" t="inlineStr">
        <is>
          <t>19h-20h30 إيقاظ علمي /par quinzaine (Bassma)</t>
        </is>
      </c>
      <c r="AG186" s="65" t="inlineStr">
        <is>
          <t>du 21-09 jusquà le 27-09!K7</t>
        </is>
      </c>
    </row>
    <row r="187" ht="15" customHeight="1">
      <c r="A187" s="58" t="inlineStr">
        <is>
          <t>S2</t>
        </is>
      </c>
      <c r="B187" s="59" t="inlineStr">
        <is>
          <t>du 21 au 27 septembre 2026</t>
        </is>
      </c>
      <c r="C187" s="58" t="inlineStr">
        <is>
          <t>B</t>
        </is>
      </c>
      <c r="D187" s="60" t="n">
        <v>46290</v>
      </c>
      <c r="E187" s="58" t="inlineStr">
        <is>
          <t>Vendredi</t>
        </is>
      </c>
      <c r="F187" s="61" t="n">
        <v>0.8125</v>
      </c>
      <c r="G187" s="61" t="n">
        <v>0.875</v>
      </c>
      <c r="H187" s="62">
        <f>IF(OR($F187="",$G187=""),"",($G187-$F187)*24)</f>
        <v/>
      </c>
      <c r="I187" s="58" t="inlineStr">
        <is>
          <t>Primaire</t>
        </is>
      </c>
      <c r="J187" s="59" t="inlineStr">
        <is>
          <t>6éme Pilote (A)</t>
        </is>
      </c>
      <c r="K187" s="92" t="inlineStr">
        <is>
          <t>إيقاظ علمي</t>
        </is>
      </c>
      <c r="L187" s="92" t="inlineStr">
        <is>
          <t>Éveil scientifique</t>
        </is>
      </c>
      <c r="M187" s="59" t="inlineStr">
        <is>
          <t>Noura</t>
        </is>
      </c>
      <c r="N187" s="58" t="n"/>
      <c r="O187" s="58" t="n"/>
      <c r="P187" s="58" t="inlineStr">
        <is>
          <t>Hebdomadaire</t>
        </is>
      </c>
      <c r="Q187" s="59" t="inlineStr">
        <is>
          <t>6éme Pilote (A) + 6éme (B)</t>
        </is>
      </c>
      <c r="R187" s="58" t="n">
        <v>2</v>
      </c>
      <c r="S187" s="58" t="inlineStr">
        <is>
          <t>Oui</t>
        </is>
      </c>
      <c r="T187" s="58" t="inlineStr">
        <is>
          <t>S2-048</t>
        </is>
      </c>
      <c r="U187" s="59" t="inlineStr">
        <is>
          <t>Original (septembre)</t>
        </is>
      </c>
      <c r="V187" s="59" t="inlineStr"/>
      <c r="W187" s="10" t="n"/>
      <c r="X187" s="10" t="inlineStr"/>
      <c r="Y187" s="64">
        <f>IF($M187="","",IF(SUMPRODUCT(($D$4:$D$863=$D187)*($M$4:$M$863=$M187)*($T$4:$T$863&lt;&gt;$T187)*($F$4:$F$863&lt;$G187)*($G$4:$G$863&gt;$F187))&gt;0,"⚠ CONFLIT",""))</f>
        <v/>
      </c>
      <c r="Z187" s="64">
        <f>IF($J187="","",IF(SUMPRODUCT(($D$4:$D$863=$D187)*($J$4:$J$863=$J187)*($T$4:$T$863&lt;&gt;$T187)*($F$4:$F$863&lt;$G187)*($G$4:$G$863&gt;$F187)*(1-($X$4:$X$863="Oui")*($X187="Oui")))&gt;0,"⚠ CONFLIT",""))</f>
        <v/>
      </c>
      <c r="AA187" s="64">
        <f>IF(COUNTIFS($D$4:$D$863,$D187,$J$4:$J$863,$J187,$F$4:$F$863,$F187,$K$4:$K$863,$K187)&gt;1,"⚠ DOUBLON","")</f>
        <v/>
      </c>
      <c r="AB187" s="64">
        <f>IF(COUNTIF($T$4:$T$863,$T187)&lt;&gt;COUNTIFS($T$4:$T$863,$T187,$D$4:$D$863,$D187,$F$4:$F$863,$F187,$G$4:$G$863,$G187,$K$4:$K$863,$K187,$M$4:$M$863,$M187),"⚠ INCOHÉRENT","")</f>
        <v/>
      </c>
      <c r="AC187" s="64">
        <f>COUNTIFS($A$4:$A187,$A187,$J$4:$J187,$J187,$E$4:$E187,$E187)</f>
        <v/>
      </c>
      <c r="AD187" s="65">
        <f>$A187&amp;"|"&amp;$J187&amp;"|"&amp;$E187&amp;"|"&amp;$AC187</f>
        <v/>
      </c>
      <c r="AE187" s="66">
        <f>IF($W187&lt;&gt;"","⚑ "&amp;$W187&amp;CHAR(10),"")&amp;TEXT($F187,"hh:mm")&amp;"-"&amp;TEXT($G187,"hh:mm")&amp;IF(OR($P187="Quinzaine A",AND($P187="Hebdo · groupes alternés",$C187="A"))," Q-A",IF(OR($P187="Quinzaine B",AND($P187="Hebdo · groupes alternés",$C187="B"))," Q-B",IF($P187="Exception"," PONCT.","")))&amp;IF($X187="Oui"," OPT","")&amp;CHAR(10)&amp;$K187&amp;CHAR(10)&amp;$M187&amp;IF($N187&lt;&gt;"",CHAR(10)&amp;"Salle "&amp;$N187,"")&amp;IF($O187="En ligne",CHAR(10)&amp;"EN LIGNE","")&amp;IF($V187&lt;&gt;"",CHAR(10)&amp;$V187,"")</f>
        <v/>
      </c>
      <c r="AF187" s="65" t="inlineStr">
        <is>
          <t>19h30-21h إيقاظ علمي (Noura)</t>
        </is>
      </c>
      <c r="AG187" s="65" t="inlineStr">
        <is>
          <t>du 21-09 jusquà le 27-09!K13</t>
        </is>
      </c>
    </row>
    <row r="188" ht="15" customHeight="1">
      <c r="A188" s="58" t="inlineStr">
        <is>
          <t>S2</t>
        </is>
      </c>
      <c r="B188" s="59" t="inlineStr">
        <is>
          <t>du 21 au 27 septembre 2026</t>
        </is>
      </c>
      <c r="C188" s="58" t="inlineStr">
        <is>
          <t>B</t>
        </is>
      </c>
      <c r="D188" s="60" t="n">
        <v>46290</v>
      </c>
      <c r="E188" s="58" t="inlineStr">
        <is>
          <t>Vendredi</t>
        </is>
      </c>
      <c r="F188" s="61" t="n">
        <v>0.8125</v>
      </c>
      <c r="G188" s="61" t="n">
        <v>0.875</v>
      </c>
      <c r="H188" s="62">
        <f>IF(OR($F188="",$G188=""),"",($G188-$F188)*24)</f>
        <v/>
      </c>
      <c r="I188" s="58" t="inlineStr">
        <is>
          <t>Primaire</t>
        </is>
      </c>
      <c r="J188" s="59" t="inlineStr">
        <is>
          <t>6éme (B)</t>
        </is>
      </c>
      <c r="K188" s="92" t="inlineStr">
        <is>
          <t>إيقاظ علمي</t>
        </is>
      </c>
      <c r="L188" s="92" t="inlineStr">
        <is>
          <t>Éveil scientifique</t>
        </is>
      </c>
      <c r="M188" s="59" t="inlineStr">
        <is>
          <t>Noura</t>
        </is>
      </c>
      <c r="N188" s="58" t="n"/>
      <c r="O188" s="58" t="n"/>
      <c r="P188" s="58" t="inlineStr">
        <is>
          <t>Hebdomadaire</t>
        </is>
      </c>
      <c r="Q188" s="59" t="inlineStr">
        <is>
          <t>6éme Pilote (A) + 6éme (B)</t>
        </is>
      </c>
      <c r="R188" s="58" t="n">
        <v>2</v>
      </c>
      <c r="S188" s="58" t="inlineStr"/>
      <c r="T188" s="58" t="inlineStr">
        <is>
          <t>S2-048</t>
        </is>
      </c>
      <c r="U188" s="59" t="inlineStr">
        <is>
          <t>Original (septembre)</t>
        </is>
      </c>
      <c r="V188" s="59" t="inlineStr"/>
      <c r="W188" s="10" t="n"/>
      <c r="X188" s="10" t="inlineStr"/>
      <c r="Y188" s="64">
        <f>IF($M188="","",IF(SUMPRODUCT(($D$4:$D$863=$D188)*($M$4:$M$863=$M188)*($T$4:$T$863&lt;&gt;$T188)*($F$4:$F$863&lt;$G188)*($G$4:$G$863&gt;$F188))&gt;0,"⚠ CONFLIT",""))</f>
        <v/>
      </c>
      <c r="Z188" s="64">
        <f>IF($J188="","",IF(SUMPRODUCT(($D$4:$D$863=$D188)*($J$4:$J$863=$J188)*($T$4:$T$863&lt;&gt;$T188)*($F$4:$F$863&lt;$G188)*($G$4:$G$863&gt;$F188)*(1-($X$4:$X$863="Oui")*($X188="Oui")))&gt;0,"⚠ CONFLIT",""))</f>
        <v/>
      </c>
      <c r="AA188" s="64">
        <f>IF(COUNTIFS($D$4:$D$863,$D188,$J$4:$J$863,$J188,$F$4:$F$863,$F188,$K$4:$K$863,$K188)&gt;1,"⚠ DOUBLON","")</f>
        <v/>
      </c>
      <c r="AB188" s="64">
        <f>IF(COUNTIF($T$4:$T$863,$T188)&lt;&gt;COUNTIFS($T$4:$T$863,$T188,$D$4:$D$863,$D188,$F$4:$F$863,$F188,$G$4:$G$863,$G188,$K$4:$K$863,$K188,$M$4:$M$863,$M188),"⚠ INCOHÉRENT","")</f>
        <v/>
      </c>
      <c r="AC188" s="64">
        <f>COUNTIFS($A$4:$A188,$A188,$J$4:$J188,$J188,$E$4:$E188,$E188)</f>
        <v/>
      </c>
      <c r="AD188" s="65">
        <f>$A188&amp;"|"&amp;$J188&amp;"|"&amp;$E188&amp;"|"&amp;$AC188</f>
        <v/>
      </c>
      <c r="AE188" s="66">
        <f>IF($W188&lt;&gt;"","⚑ "&amp;$W188&amp;CHAR(10),"")&amp;TEXT($F188,"hh:mm")&amp;"-"&amp;TEXT($G188,"hh:mm")&amp;IF(OR($P188="Quinzaine A",AND($P188="Hebdo · groupes alternés",$C188="A"))," Q-A",IF(OR($P188="Quinzaine B",AND($P188="Hebdo · groupes alternés",$C188="B"))," Q-B",IF($P188="Exception"," PONCT.","")))&amp;IF($X188="Oui"," OPT","")&amp;CHAR(10)&amp;$K188&amp;CHAR(10)&amp;$M188&amp;IF($N188&lt;&gt;"",CHAR(10)&amp;"Salle "&amp;$N188,"")&amp;IF($O188="En ligne",CHAR(10)&amp;"EN LIGNE","")&amp;IF($V188&lt;&gt;"",CHAR(10)&amp;$V188,"")</f>
        <v/>
      </c>
      <c r="AF188" s="65" t="inlineStr">
        <is>
          <t>19h30-21h إيقاظ علمي (Noura)</t>
        </is>
      </c>
      <c r="AG188" s="65" t="inlineStr">
        <is>
          <t>du 21-09 jusquà le 27-09!K13</t>
        </is>
      </c>
    </row>
    <row r="189" ht="15" customHeight="1">
      <c r="A189" s="68" t="inlineStr">
        <is>
          <t>S2</t>
        </is>
      </c>
      <c r="B189" s="69" t="inlineStr">
        <is>
          <t>du 21 au 27 septembre 2026</t>
        </is>
      </c>
      <c r="C189" s="68" t="inlineStr">
        <is>
          <t>B</t>
        </is>
      </c>
      <c r="D189" s="70" t="n">
        <v>46290</v>
      </c>
      <c r="E189" s="68" t="inlineStr">
        <is>
          <t>Vendredi</t>
        </is>
      </c>
      <c r="F189" s="71" t="n">
        <v>0.75</v>
      </c>
      <c r="G189" s="71" t="n">
        <v>0.8125</v>
      </c>
      <c r="H189" s="72">
        <f>IF(OR($F189="",$G189=""),"",($G189-$F189)*24)</f>
        <v/>
      </c>
      <c r="I189" s="68" t="inlineStr">
        <is>
          <t>Collège</t>
        </is>
      </c>
      <c r="J189" s="69" t="inlineStr">
        <is>
          <t>7éme (A)</t>
        </is>
      </c>
      <c r="K189" s="79" t="inlineStr">
        <is>
          <t>Math</t>
        </is>
      </c>
      <c r="L189" s="79" t="inlineStr">
        <is>
          <t>Math</t>
        </is>
      </c>
      <c r="M189" s="69" t="inlineStr">
        <is>
          <t>Khouloud</t>
        </is>
      </c>
      <c r="N189" s="68" t="n"/>
      <c r="O189" s="68" t="n"/>
      <c r="P189" s="68" t="inlineStr">
        <is>
          <t>Hebdomadaire</t>
        </is>
      </c>
      <c r="Q189" s="69" t="inlineStr"/>
      <c r="R189" s="68" t="n">
        <v>1</v>
      </c>
      <c r="S189" s="68" t="inlineStr">
        <is>
          <t>Oui</t>
        </is>
      </c>
      <c r="T189" s="68" t="inlineStr">
        <is>
          <t>S2-049</t>
        </is>
      </c>
      <c r="U189" s="69" t="inlineStr">
        <is>
          <t>Original (septembre)</t>
        </is>
      </c>
      <c r="V189" s="69" t="inlineStr"/>
      <c r="W189" s="10" t="n"/>
      <c r="X189" s="10" t="inlineStr"/>
      <c r="Y189" s="64">
        <f>IF($M189="","",IF(SUMPRODUCT(($D$4:$D$863=$D189)*($M$4:$M$863=$M189)*($T$4:$T$863&lt;&gt;$T189)*($F$4:$F$863&lt;$G189)*($G$4:$G$863&gt;$F189))&gt;0,"⚠ CONFLIT",""))</f>
        <v/>
      </c>
      <c r="Z189" s="64">
        <f>IF($J189="","",IF(SUMPRODUCT(($D$4:$D$863=$D189)*($J$4:$J$863=$J189)*($T$4:$T$863&lt;&gt;$T189)*($F$4:$F$863&lt;$G189)*($G$4:$G$863&gt;$F189)*(1-($X$4:$X$863="Oui")*($X189="Oui")))&gt;0,"⚠ CONFLIT",""))</f>
        <v/>
      </c>
      <c r="AA189" s="64">
        <f>IF(COUNTIFS($D$4:$D$863,$D189,$J$4:$J$863,$J189,$F$4:$F$863,$F189,$K$4:$K$863,$K189)&gt;1,"⚠ DOUBLON","")</f>
        <v/>
      </c>
      <c r="AB189" s="64">
        <f>IF(COUNTIF($T$4:$T$863,$T189)&lt;&gt;COUNTIFS($T$4:$T$863,$T189,$D$4:$D$863,$D189,$F$4:$F$863,$F189,$G$4:$G$863,$G189,$K$4:$K$863,$K189,$M$4:$M$863,$M189),"⚠ INCOHÉRENT","")</f>
        <v/>
      </c>
      <c r="AC189" s="64">
        <f>COUNTIFS($A$4:$A189,$A189,$J$4:$J189,$J189,$E$4:$E189,$E189)</f>
        <v/>
      </c>
      <c r="AD189" s="65">
        <f>$A189&amp;"|"&amp;$J189&amp;"|"&amp;$E189&amp;"|"&amp;$AC189</f>
        <v/>
      </c>
      <c r="AE189" s="66">
        <f>IF($W189&lt;&gt;"","⚑ "&amp;$W189&amp;CHAR(10),"")&amp;TEXT($F189,"hh:mm")&amp;"-"&amp;TEXT($G189,"hh:mm")&amp;IF(OR($P189="Quinzaine A",AND($P189="Hebdo · groupes alternés",$C189="A"))," Q-A",IF(OR($P189="Quinzaine B",AND($P189="Hebdo · groupes alternés",$C189="B"))," Q-B",IF($P189="Exception"," PONCT.","")))&amp;IF($X189="Oui"," OPT","")&amp;CHAR(10)&amp;$K189&amp;CHAR(10)&amp;$M189&amp;IF($N189&lt;&gt;"",CHAR(10)&amp;"Salle "&amp;$N189,"")&amp;IF($O189="En ligne",CHAR(10)&amp;"EN LIGNE","")&amp;IF($V189&lt;&gt;"",CHAR(10)&amp;$V189,"")</f>
        <v/>
      </c>
      <c r="AF189" s="65" t="inlineStr">
        <is>
          <t>18h-19h30 Math (Khouloud)</t>
        </is>
      </c>
      <c r="AG189" s="65" t="inlineStr">
        <is>
          <t>du 21-09 jusquà le 27-09!K20</t>
        </is>
      </c>
    </row>
    <row r="190" ht="15" customHeight="1">
      <c r="A190" s="68" t="inlineStr">
        <is>
          <t>S2</t>
        </is>
      </c>
      <c r="B190" s="69" t="inlineStr">
        <is>
          <t>du 21 au 27 septembre 2026</t>
        </is>
      </c>
      <c r="C190" s="68" t="inlineStr">
        <is>
          <t>B</t>
        </is>
      </c>
      <c r="D190" s="70" t="n">
        <v>46290</v>
      </c>
      <c r="E190" s="68" t="inlineStr">
        <is>
          <t>Vendredi</t>
        </is>
      </c>
      <c r="F190" s="71" t="n">
        <v>0.8125</v>
      </c>
      <c r="G190" s="71" t="n">
        <v>0.875</v>
      </c>
      <c r="H190" s="72">
        <f>IF(OR($F190="",$G190=""),"",($G190-$F190)*24)</f>
        <v/>
      </c>
      <c r="I190" s="68" t="inlineStr">
        <is>
          <t>Collège</t>
        </is>
      </c>
      <c r="J190" s="69" t="inlineStr">
        <is>
          <t>7éme (B)</t>
        </is>
      </c>
      <c r="K190" s="79" t="inlineStr">
        <is>
          <t>Math</t>
        </is>
      </c>
      <c r="L190" s="79" t="inlineStr">
        <is>
          <t>Math</t>
        </is>
      </c>
      <c r="M190" s="69" t="inlineStr">
        <is>
          <t>Khouloud</t>
        </is>
      </c>
      <c r="N190" s="68" t="n"/>
      <c r="O190" s="68" t="n"/>
      <c r="P190" s="68" t="inlineStr">
        <is>
          <t>Hebdomadaire</t>
        </is>
      </c>
      <c r="Q190" s="69" t="inlineStr"/>
      <c r="R190" s="68" t="n">
        <v>1</v>
      </c>
      <c r="S190" s="68" t="inlineStr">
        <is>
          <t>Oui</t>
        </is>
      </c>
      <c r="T190" s="68" t="inlineStr">
        <is>
          <t>S2-050</t>
        </is>
      </c>
      <c r="U190" s="69" t="inlineStr">
        <is>
          <t>Original (septembre)</t>
        </is>
      </c>
      <c r="V190" s="69" t="inlineStr"/>
      <c r="W190" s="10" t="n"/>
      <c r="X190" s="10" t="inlineStr"/>
      <c r="Y190" s="64">
        <f>IF($M190="","",IF(SUMPRODUCT(($D$4:$D$863=$D190)*($M$4:$M$863=$M190)*($T$4:$T$863&lt;&gt;$T190)*($F$4:$F$863&lt;$G190)*($G$4:$G$863&gt;$F190))&gt;0,"⚠ CONFLIT",""))</f>
        <v/>
      </c>
      <c r="Z190" s="64">
        <f>IF($J190="","",IF(SUMPRODUCT(($D$4:$D$863=$D190)*($J$4:$J$863=$J190)*($T$4:$T$863&lt;&gt;$T190)*($F$4:$F$863&lt;$G190)*($G$4:$G$863&gt;$F190)*(1-($X$4:$X$863="Oui")*($X190="Oui")))&gt;0,"⚠ CONFLIT",""))</f>
        <v/>
      </c>
      <c r="AA190" s="64">
        <f>IF(COUNTIFS($D$4:$D$863,$D190,$J$4:$J$863,$J190,$F$4:$F$863,$F190,$K$4:$K$863,$K190)&gt;1,"⚠ DOUBLON","")</f>
        <v/>
      </c>
      <c r="AB190" s="64">
        <f>IF(COUNTIF($T$4:$T$863,$T190)&lt;&gt;COUNTIFS($T$4:$T$863,$T190,$D$4:$D$863,$D190,$F$4:$F$863,$F190,$G$4:$G$863,$G190,$K$4:$K$863,$K190,$M$4:$M$863,$M190),"⚠ INCOHÉRENT","")</f>
        <v/>
      </c>
      <c r="AC190" s="64">
        <f>COUNTIFS($A$4:$A190,$A190,$J$4:$J190,$J190,$E$4:$E190,$E190)</f>
        <v/>
      </c>
      <c r="AD190" s="65">
        <f>$A190&amp;"|"&amp;$J190&amp;"|"&amp;$E190&amp;"|"&amp;$AC190</f>
        <v/>
      </c>
      <c r="AE190" s="66">
        <f>IF($W190&lt;&gt;"","⚑ "&amp;$W190&amp;CHAR(10),"")&amp;TEXT($F190,"hh:mm")&amp;"-"&amp;TEXT($G190,"hh:mm")&amp;IF(OR($P190="Quinzaine A",AND($P190="Hebdo · groupes alternés",$C190="A"))," Q-A",IF(OR($P190="Quinzaine B",AND($P190="Hebdo · groupes alternés",$C190="B"))," Q-B",IF($P190="Exception"," PONCT.","")))&amp;IF($X190="Oui"," OPT","")&amp;CHAR(10)&amp;$K190&amp;CHAR(10)&amp;$M190&amp;IF($N190&lt;&gt;"",CHAR(10)&amp;"Salle "&amp;$N190,"")&amp;IF($O190="En ligne",CHAR(10)&amp;"EN LIGNE","")&amp;IF($V190&lt;&gt;"",CHAR(10)&amp;$V190,"")</f>
        <v/>
      </c>
      <c r="AF190" s="65" t="inlineStr">
        <is>
          <t>19h30-21h Math (Khouloud)</t>
        </is>
      </c>
      <c r="AG190" s="65" t="inlineStr">
        <is>
          <t>du 21-09 jusquà le 27-09!K24</t>
        </is>
      </c>
    </row>
    <row r="191" ht="15" customHeight="1">
      <c r="A191" s="68" t="inlineStr">
        <is>
          <t>S2</t>
        </is>
      </c>
      <c r="B191" s="69" t="inlineStr">
        <is>
          <t>du 21 au 27 septembre 2026</t>
        </is>
      </c>
      <c r="C191" s="68" t="inlineStr">
        <is>
          <t>B</t>
        </is>
      </c>
      <c r="D191" s="70" t="n">
        <v>46290</v>
      </c>
      <c r="E191" s="68" t="inlineStr">
        <is>
          <t>Vendredi</t>
        </is>
      </c>
      <c r="F191" s="71" t="n">
        <v>0.8125</v>
      </c>
      <c r="G191" s="71" t="n">
        <v>0.875</v>
      </c>
      <c r="H191" s="72">
        <f>IF(OR($F191="",$G191=""),"",($G191-$F191)*24)</f>
        <v/>
      </c>
      <c r="I191" s="68" t="inlineStr">
        <is>
          <t>Collège</t>
        </is>
      </c>
      <c r="J191" s="69" t="inlineStr">
        <is>
          <t>8éme (A)</t>
        </is>
      </c>
      <c r="K191" s="73" t="inlineStr">
        <is>
          <t>Physique</t>
        </is>
      </c>
      <c r="L191" s="73" t="inlineStr">
        <is>
          <t>Physique</t>
        </is>
      </c>
      <c r="M191" s="69" t="inlineStr">
        <is>
          <t>Melek</t>
        </is>
      </c>
      <c r="N191" s="68" t="n"/>
      <c r="O191" s="68" t="n"/>
      <c r="P191" s="68" t="inlineStr">
        <is>
          <t>Hebdomadaire</t>
        </is>
      </c>
      <c r="Q191" s="69" t="inlineStr">
        <is>
          <t>8éme (A) + 8éme (B) + 8éme (C)</t>
        </is>
      </c>
      <c r="R191" s="68" t="n">
        <v>3</v>
      </c>
      <c r="S191" s="68" t="inlineStr">
        <is>
          <t>Oui</t>
        </is>
      </c>
      <c r="T191" s="68" t="inlineStr">
        <is>
          <t>S2-051</t>
        </is>
      </c>
      <c r="U191" s="69" t="inlineStr">
        <is>
          <t>Original (septembre)</t>
        </is>
      </c>
      <c r="V191" s="69" t="inlineStr"/>
      <c r="W191" s="10" t="n"/>
      <c r="X191" s="10" t="inlineStr"/>
      <c r="Y191" s="64">
        <f>IF($M191="","",IF(SUMPRODUCT(($D$4:$D$863=$D191)*($M$4:$M$863=$M191)*($T$4:$T$863&lt;&gt;$T191)*($F$4:$F$863&lt;$G191)*($G$4:$G$863&gt;$F191))&gt;0,"⚠ CONFLIT",""))</f>
        <v/>
      </c>
      <c r="Z191" s="64">
        <f>IF($J191="","",IF(SUMPRODUCT(($D$4:$D$863=$D191)*($J$4:$J$863=$J191)*($T$4:$T$863&lt;&gt;$T191)*($F$4:$F$863&lt;$G191)*($G$4:$G$863&gt;$F191)*(1-($X$4:$X$863="Oui")*($X191="Oui")))&gt;0,"⚠ CONFLIT",""))</f>
        <v/>
      </c>
      <c r="AA191" s="64">
        <f>IF(COUNTIFS($D$4:$D$863,$D191,$J$4:$J$863,$J191,$F$4:$F$863,$F191,$K$4:$K$863,$K191)&gt;1,"⚠ DOUBLON","")</f>
        <v/>
      </c>
      <c r="AB191" s="64">
        <f>IF(COUNTIF($T$4:$T$863,$T191)&lt;&gt;COUNTIFS($T$4:$T$863,$T191,$D$4:$D$863,$D191,$F$4:$F$863,$F191,$G$4:$G$863,$G191,$K$4:$K$863,$K191,$M$4:$M$863,$M191),"⚠ INCOHÉRENT","")</f>
        <v/>
      </c>
      <c r="AC191" s="64">
        <f>COUNTIFS($A$4:$A191,$A191,$J$4:$J191,$J191,$E$4:$E191,$E191)</f>
        <v/>
      </c>
      <c r="AD191" s="65">
        <f>$A191&amp;"|"&amp;$J191&amp;"|"&amp;$E191&amp;"|"&amp;$AC191</f>
        <v/>
      </c>
      <c r="AE191" s="66">
        <f>IF($W191&lt;&gt;"","⚑ "&amp;$W191&amp;CHAR(10),"")&amp;TEXT($F191,"hh:mm")&amp;"-"&amp;TEXT($G191,"hh:mm")&amp;IF(OR($P191="Quinzaine A",AND($P191="Hebdo · groupes alternés",$C191="A"))," Q-A",IF(OR($P191="Quinzaine B",AND($P191="Hebdo · groupes alternés",$C191="B"))," Q-B",IF($P191="Exception"," PONCT.","")))&amp;IF($X191="Oui"," OPT","")&amp;CHAR(10)&amp;$K191&amp;CHAR(10)&amp;$M191&amp;IF($N191&lt;&gt;"",CHAR(10)&amp;"Salle "&amp;$N191,"")&amp;IF($O191="En ligne",CHAR(10)&amp;"EN LIGNE","")&amp;IF($V191&lt;&gt;"",CHAR(10)&amp;$V191,"")</f>
        <v/>
      </c>
      <c r="AF191" s="65" t="inlineStr">
        <is>
          <t>19h30-21h Physique /par quinzaine (Melek)</t>
        </is>
      </c>
      <c r="AG191" s="65" t="inlineStr">
        <is>
          <t>du 21-09 jusquà le 27-09!K28</t>
        </is>
      </c>
    </row>
    <row r="192" ht="15" customHeight="1">
      <c r="A192" s="68" t="inlineStr">
        <is>
          <t>S2</t>
        </is>
      </c>
      <c r="B192" s="69" t="inlineStr">
        <is>
          <t>du 21 au 27 septembre 2026</t>
        </is>
      </c>
      <c r="C192" s="68" t="inlineStr">
        <is>
          <t>B</t>
        </is>
      </c>
      <c r="D192" s="70" t="n">
        <v>46290</v>
      </c>
      <c r="E192" s="68" t="inlineStr">
        <is>
          <t>Vendredi</t>
        </is>
      </c>
      <c r="F192" s="71" t="n">
        <v>0.8125</v>
      </c>
      <c r="G192" s="71" t="n">
        <v>0.875</v>
      </c>
      <c r="H192" s="72">
        <f>IF(OR($F192="",$G192=""),"",($G192-$F192)*24)</f>
        <v/>
      </c>
      <c r="I192" s="68" t="inlineStr">
        <is>
          <t>Collège</t>
        </is>
      </c>
      <c r="J192" s="69" t="inlineStr">
        <is>
          <t>8éme (B)</t>
        </is>
      </c>
      <c r="K192" s="73" t="inlineStr">
        <is>
          <t>Physique</t>
        </is>
      </c>
      <c r="L192" s="73" t="inlineStr">
        <is>
          <t>Physique</t>
        </is>
      </c>
      <c r="M192" s="69" t="inlineStr">
        <is>
          <t>Melek</t>
        </is>
      </c>
      <c r="N192" s="68" t="n"/>
      <c r="O192" s="68" t="n"/>
      <c r="P192" s="68" t="inlineStr">
        <is>
          <t>Hebdomadaire</t>
        </is>
      </c>
      <c r="Q192" s="69" t="inlineStr">
        <is>
          <t>8éme (A) + 8éme (B) + 8éme (C)</t>
        </is>
      </c>
      <c r="R192" s="68" t="n">
        <v>3</v>
      </c>
      <c r="S192" s="68" t="inlineStr"/>
      <c r="T192" s="68" t="inlineStr">
        <is>
          <t>S2-051</t>
        </is>
      </c>
      <c r="U192" s="69" t="inlineStr">
        <is>
          <t>Original (septembre)</t>
        </is>
      </c>
      <c r="V192" s="69" t="inlineStr"/>
      <c r="W192" s="10" t="n"/>
      <c r="X192" s="10" t="inlineStr"/>
      <c r="Y192" s="64">
        <f>IF($M192="","",IF(SUMPRODUCT(($D$4:$D$863=$D192)*($M$4:$M$863=$M192)*($T$4:$T$863&lt;&gt;$T192)*($F$4:$F$863&lt;$G192)*($G$4:$G$863&gt;$F192))&gt;0,"⚠ CONFLIT",""))</f>
        <v/>
      </c>
      <c r="Z192" s="64">
        <f>IF($J192="","",IF(SUMPRODUCT(($D$4:$D$863=$D192)*($J$4:$J$863=$J192)*($T$4:$T$863&lt;&gt;$T192)*($F$4:$F$863&lt;$G192)*($G$4:$G$863&gt;$F192)*(1-($X$4:$X$863="Oui")*($X192="Oui")))&gt;0,"⚠ CONFLIT",""))</f>
        <v/>
      </c>
      <c r="AA192" s="64">
        <f>IF(COUNTIFS($D$4:$D$863,$D192,$J$4:$J$863,$J192,$F$4:$F$863,$F192,$K$4:$K$863,$K192)&gt;1,"⚠ DOUBLON","")</f>
        <v/>
      </c>
      <c r="AB192" s="64">
        <f>IF(COUNTIF($T$4:$T$863,$T192)&lt;&gt;COUNTIFS($T$4:$T$863,$T192,$D$4:$D$863,$D192,$F$4:$F$863,$F192,$G$4:$G$863,$G192,$K$4:$K$863,$K192,$M$4:$M$863,$M192),"⚠ INCOHÉRENT","")</f>
        <v/>
      </c>
      <c r="AC192" s="64">
        <f>COUNTIFS($A$4:$A192,$A192,$J$4:$J192,$J192,$E$4:$E192,$E192)</f>
        <v/>
      </c>
      <c r="AD192" s="65">
        <f>$A192&amp;"|"&amp;$J192&amp;"|"&amp;$E192&amp;"|"&amp;$AC192</f>
        <v/>
      </c>
      <c r="AE192" s="66">
        <f>IF($W192&lt;&gt;"","⚑ "&amp;$W192&amp;CHAR(10),"")&amp;TEXT($F192,"hh:mm")&amp;"-"&amp;TEXT($G192,"hh:mm")&amp;IF(OR($P192="Quinzaine A",AND($P192="Hebdo · groupes alternés",$C192="A"))," Q-A",IF(OR($P192="Quinzaine B",AND($P192="Hebdo · groupes alternés",$C192="B"))," Q-B",IF($P192="Exception"," PONCT.","")))&amp;IF($X192="Oui"," OPT","")&amp;CHAR(10)&amp;$K192&amp;CHAR(10)&amp;$M192&amp;IF($N192&lt;&gt;"",CHAR(10)&amp;"Salle "&amp;$N192,"")&amp;IF($O192="En ligne",CHAR(10)&amp;"EN LIGNE","")&amp;IF($V192&lt;&gt;"",CHAR(10)&amp;$V192,"")</f>
        <v/>
      </c>
      <c r="AF192" s="65" t="inlineStr">
        <is>
          <t>19h30-21h Physique /par quinzaine (Melek)</t>
        </is>
      </c>
      <c r="AG192" s="65" t="inlineStr">
        <is>
          <t>du 21-09 jusquà le 27-09!K28</t>
        </is>
      </c>
    </row>
    <row r="193" ht="15" customHeight="1">
      <c r="A193" s="68" t="inlineStr">
        <is>
          <t>S2</t>
        </is>
      </c>
      <c r="B193" s="69" t="inlineStr">
        <is>
          <t>du 21 au 27 septembre 2026</t>
        </is>
      </c>
      <c r="C193" s="68" t="inlineStr">
        <is>
          <t>B</t>
        </is>
      </c>
      <c r="D193" s="70" t="n">
        <v>46290</v>
      </c>
      <c r="E193" s="68" t="inlineStr">
        <is>
          <t>Vendredi</t>
        </is>
      </c>
      <c r="F193" s="71" t="n">
        <v>0.8125</v>
      </c>
      <c r="G193" s="71" t="n">
        <v>0.875</v>
      </c>
      <c r="H193" s="72">
        <f>IF(OR($F193="",$G193=""),"",($G193-$F193)*24)</f>
        <v/>
      </c>
      <c r="I193" s="68" t="inlineStr">
        <is>
          <t>Collège</t>
        </is>
      </c>
      <c r="J193" s="69" t="inlineStr">
        <is>
          <t>8éme (C)</t>
        </is>
      </c>
      <c r="K193" s="73" t="inlineStr">
        <is>
          <t>Physique</t>
        </is>
      </c>
      <c r="L193" s="73" t="inlineStr">
        <is>
          <t>Physique</t>
        </is>
      </c>
      <c r="M193" s="69" t="inlineStr">
        <is>
          <t>Melek</t>
        </is>
      </c>
      <c r="N193" s="68" t="n"/>
      <c r="O193" s="68" t="n"/>
      <c r="P193" s="68" t="inlineStr">
        <is>
          <t>Hebdomadaire</t>
        </is>
      </c>
      <c r="Q193" s="69" t="inlineStr">
        <is>
          <t>8éme (A) + 8éme (B) + 8éme (C)</t>
        </is>
      </c>
      <c r="R193" s="68" t="n">
        <v>3</v>
      </c>
      <c r="S193" s="68" t="inlineStr"/>
      <c r="T193" s="68" t="inlineStr">
        <is>
          <t>S2-051</t>
        </is>
      </c>
      <c r="U193" s="69" t="inlineStr">
        <is>
          <t>Original (septembre)</t>
        </is>
      </c>
      <c r="V193" s="69" t="inlineStr"/>
      <c r="W193" s="10" t="n"/>
      <c r="X193" s="10" t="inlineStr"/>
      <c r="Y193" s="64">
        <f>IF($M193="","",IF(SUMPRODUCT(($D$4:$D$863=$D193)*($M$4:$M$863=$M193)*($T$4:$T$863&lt;&gt;$T193)*($F$4:$F$863&lt;$G193)*($G$4:$G$863&gt;$F193))&gt;0,"⚠ CONFLIT",""))</f>
        <v/>
      </c>
      <c r="Z193" s="64">
        <f>IF($J193="","",IF(SUMPRODUCT(($D$4:$D$863=$D193)*($J$4:$J$863=$J193)*($T$4:$T$863&lt;&gt;$T193)*($F$4:$F$863&lt;$G193)*($G$4:$G$863&gt;$F193)*(1-($X$4:$X$863="Oui")*($X193="Oui")))&gt;0,"⚠ CONFLIT",""))</f>
        <v/>
      </c>
      <c r="AA193" s="64">
        <f>IF(COUNTIFS($D$4:$D$863,$D193,$J$4:$J$863,$J193,$F$4:$F$863,$F193,$K$4:$K$863,$K193)&gt;1,"⚠ DOUBLON","")</f>
        <v/>
      </c>
      <c r="AB193" s="64">
        <f>IF(COUNTIF($T$4:$T$863,$T193)&lt;&gt;COUNTIFS($T$4:$T$863,$T193,$D$4:$D$863,$D193,$F$4:$F$863,$F193,$G$4:$G$863,$G193,$K$4:$K$863,$K193,$M$4:$M$863,$M193),"⚠ INCOHÉRENT","")</f>
        <v/>
      </c>
      <c r="AC193" s="64">
        <f>COUNTIFS($A$4:$A193,$A193,$J$4:$J193,$J193,$E$4:$E193,$E193)</f>
        <v/>
      </c>
      <c r="AD193" s="65">
        <f>$A193&amp;"|"&amp;$J193&amp;"|"&amp;$E193&amp;"|"&amp;$AC193</f>
        <v/>
      </c>
      <c r="AE193" s="66">
        <f>IF($W193&lt;&gt;"","⚑ "&amp;$W193&amp;CHAR(10),"")&amp;TEXT($F193,"hh:mm")&amp;"-"&amp;TEXT($G193,"hh:mm")&amp;IF(OR($P193="Quinzaine A",AND($P193="Hebdo · groupes alternés",$C193="A"))," Q-A",IF(OR($P193="Quinzaine B",AND($P193="Hebdo · groupes alternés",$C193="B"))," Q-B",IF($P193="Exception"," PONCT.","")))&amp;IF($X193="Oui"," OPT","")&amp;CHAR(10)&amp;$K193&amp;CHAR(10)&amp;$M193&amp;IF($N193&lt;&gt;"",CHAR(10)&amp;"Salle "&amp;$N193,"")&amp;IF($O193="En ligne",CHAR(10)&amp;"EN LIGNE","")&amp;IF($V193&lt;&gt;"",CHAR(10)&amp;$V193,"")</f>
        <v/>
      </c>
      <c r="AF193" s="65" t="inlineStr">
        <is>
          <t>19h30-21h Physique /par quinzaine (Melek)</t>
        </is>
      </c>
      <c r="AG193" s="65" t="inlineStr">
        <is>
          <t>du 21-09 jusquà le 27-09!K28</t>
        </is>
      </c>
    </row>
    <row r="194" ht="15" customHeight="1">
      <c r="A194" s="68" t="inlineStr">
        <is>
          <t>S2</t>
        </is>
      </c>
      <c r="B194" s="69" t="inlineStr">
        <is>
          <t>du 21 au 27 septembre 2026</t>
        </is>
      </c>
      <c r="C194" s="68" t="inlineStr">
        <is>
          <t>B</t>
        </is>
      </c>
      <c r="D194" s="70" t="n">
        <v>46290</v>
      </c>
      <c r="E194" s="68" t="inlineStr">
        <is>
          <t>Vendredi</t>
        </is>
      </c>
      <c r="F194" s="71" t="n">
        <v>0.8125</v>
      </c>
      <c r="G194" s="71" t="n">
        <v>0.875</v>
      </c>
      <c r="H194" s="72">
        <f>IF(OR($F194="",$G194=""),"",($G194-$F194)*24)</f>
        <v/>
      </c>
      <c r="I194" s="68" t="inlineStr">
        <is>
          <t>Collège</t>
        </is>
      </c>
      <c r="J194" s="69" t="inlineStr">
        <is>
          <t>9éme (C)</t>
        </is>
      </c>
      <c r="K194" s="63" t="inlineStr">
        <is>
          <t>Arabe</t>
        </is>
      </c>
      <c r="L194" s="63" t="inlineStr">
        <is>
          <t>Arabe</t>
        </is>
      </c>
      <c r="M194" s="69" t="inlineStr">
        <is>
          <t>Yahya</t>
        </is>
      </c>
      <c r="N194" s="68" t="n"/>
      <c r="O194" s="68" t="n"/>
      <c r="P194" s="68" t="inlineStr">
        <is>
          <t>Hebdomadaire</t>
        </is>
      </c>
      <c r="Q194" s="69" t="inlineStr"/>
      <c r="R194" s="68" t="n">
        <v>1</v>
      </c>
      <c r="S194" s="68" t="inlineStr">
        <is>
          <t>Oui</t>
        </is>
      </c>
      <c r="T194" s="68" t="inlineStr">
        <is>
          <t>S2-052</t>
        </is>
      </c>
      <c r="U194" s="69" t="inlineStr">
        <is>
          <t>Original (septembre)</t>
        </is>
      </c>
      <c r="V194" s="69" t="inlineStr"/>
      <c r="W194" s="10" t="n"/>
      <c r="X194" s="10" t="inlineStr"/>
      <c r="Y194" s="64">
        <f>IF($M194="","",IF(SUMPRODUCT(($D$4:$D$863=$D194)*($M$4:$M$863=$M194)*($T$4:$T$863&lt;&gt;$T194)*($F$4:$F$863&lt;$G194)*($G$4:$G$863&gt;$F194))&gt;0,"⚠ CONFLIT",""))</f>
        <v/>
      </c>
      <c r="Z194" s="64">
        <f>IF($J194="","",IF(SUMPRODUCT(($D$4:$D$863=$D194)*($J$4:$J$863=$J194)*($T$4:$T$863&lt;&gt;$T194)*($F$4:$F$863&lt;$G194)*($G$4:$G$863&gt;$F194)*(1-($X$4:$X$863="Oui")*($X194="Oui")))&gt;0,"⚠ CONFLIT",""))</f>
        <v/>
      </c>
      <c r="AA194" s="64">
        <f>IF(COUNTIFS($D$4:$D$863,$D194,$J$4:$J$863,$J194,$F$4:$F$863,$F194,$K$4:$K$863,$K194)&gt;1,"⚠ DOUBLON","")</f>
        <v/>
      </c>
      <c r="AB194" s="64">
        <f>IF(COUNTIF($T$4:$T$863,$T194)&lt;&gt;COUNTIFS($T$4:$T$863,$T194,$D$4:$D$863,$D194,$F$4:$F$863,$F194,$G$4:$G$863,$G194,$K$4:$K$863,$K194,$M$4:$M$863,$M194),"⚠ INCOHÉRENT","")</f>
        <v/>
      </c>
      <c r="AC194" s="64">
        <f>COUNTIFS($A$4:$A194,$A194,$J$4:$J194,$J194,$E$4:$E194,$E194)</f>
        <v/>
      </c>
      <c r="AD194" s="65">
        <f>$A194&amp;"|"&amp;$J194&amp;"|"&amp;$E194&amp;"|"&amp;$AC194</f>
        <v/>
      </c>
      <c r="AE194" s="66">
        <f>IF($W194&lt;&gt;"","⚑ "&amp;$W194&amp;CHAR(10),"")&amp;TEXT($F194,"hh:mm")&amp;"-"&amp;TEXT($G194,"hh:mm")&amp;IF(OR($P194="Quinzaine A",AND($P194="Hebdo · groupes alternés",$C194="A"))," Q-A",IF(OR($P194="Quinzaine B",AND($P194="Hebdo · groupes alternés",$C194="B"))," Q-B",IF($P194="Exception"," PONCT.","")))&amp;IF($X194="Oui"," OPT","")&amp;CHAR(10)&amp;$K194&amp;CHAR(10)&amp;$M194&amp;IF($N194&lt;&gt;"",CHAR(10)&amp;"Salle "&amp;$N194,"")&amp;IF($O194="En ligne",CHAR(10)&amp;"EN LIGNE","")&amp;IF($V194&lt;&gt;"",CHAR(10)&amp;$V194,"")</f>
        <v/>
      </c>
      <c r="AF194" s="65" t="inlineStr">
        <is>
          <t>19h30-21h Arabe (Yahya)</t>
        </is>
      </c>
      <c r="AG194" s="65" t="inlineStr">
        <is>
          <t>du 21-09 jusquà le 27-09!K47</t>
        </is>
      </c>
    </row>
    <row r="195" ht="15" customHeight="1">
      <c r="A195" s="74" t="inlineStr">
        <is>
          <t>S2</t>
        </is>
      </c>
      <c r="B195" s="75" t="inlineStr">
        <is>
          <t>du 21 au 27 septembre 2026</t>
        </is>
      </c>
      <c r="C195" s="74" t="inlineStr">
        <is>
          <t>B</t>
        </is>
      </c>
      <c r="D195" s="76" t="n">
        <v>46290</v>
      </c>
      <c r="E195" s="74" t="inlineStr">
        <is>
          <t>Vendredi</t>
        </is>
      </c>
      <c r="F195" s="77" t="n">
        <v>0.7291666666666666</v>
      </c>
      <c r="G195" s="77" t="n">
        <v>0.7916666666666666</v>
      </c>
      <c r="H195" s="78">
        <f>IF(OR($F195="",$G195=""),"",($G195-$F195)*24)</f>
        <v/>
      </c>
      <c r="I195" s="74" t="inlineStr">
        <is>
          <t>Secondaire</t>
        </is>
      </c>
      <c r="J195" s="75" t="inlineStr">
        <is>
          <t>1ére (A)</t>
        </is>
      </c>
      <c r="K195" s="63" t="inlineStr">
        <is>
          <t>Arabe</t>
        </is>
      </c>
      <c r="L195" s="63" t="inlineStr">
        <is>
          <t>Arabe</t>
        </is>
      </c>
      <c r="M195" s="75" t="inlineStr">
        <is>
          <t>Najet</t>
        </is>
      </c>
      <c r="N195" s="74" t="n"/>
      <c r="O195" s="74" t="n"/>
      <c r="P195" s="74" t="inlineStr">
        <is>
          <t>Hebdomadaire</t>
        </is>
      </c>
      <c r="Q195" s="75" t="inlineStr"/>
      <c r="R195" s="74" t="n">
        <v>1</v>
      </c>
      <c r="S195" s="74" t="inlineStr">
        <is>
          <t>Oui</t>
        </is>
      </c>
      <c r="T195" s="74" t="inlineStr">
        <is>
          <t>S2-053</t>
        </is>
      </c>
      <c r="U195" s="75" t="inlineStr">
        <is>
          <t>Original (septembre)</t>
        </is>
      </c>
      <c r="V195" s="75" t="inlineStr"/>
      <c r="W195" s="10" t="n"/>
      <c r="X195" s="10" t="inlineStr"/>
      <c r="Y195" s="64">
        <f>IF($M195="","",IF(SUMPRODUCT(($D$4:$D$863=$D195)*($M$4:$M$863=$M195)*($T$4:$T$863&lt;&gt;$T195)*($F$4:$F$863&lt;$G195)*($G$4:$G$863&gt;$F195))&gt;0,"⚠ CONFLIT",""))</f>
        <v/>
      </c>
      <c r="Z195" s="64">
        <f>IF($J195="","",IF(SUMPRODUCT(($D$4:$D$863=$D195)*($J$4:$J$863=$J195)*($T$4:$T$863&lt;&gt;$T195)*($F$4:$F$863&lt;$G195)*($G$4:$G$863&gt;$F195)*(1-($X$4:$X$863="Oui")*($X195="Oui")))&gt;0,"⚠ CONFLIT",""))</f>
        <v/>
      </c>
      <c r="AA195" s="64">
        <f>IF(COUNTIFS($D$4:$D$863,$D195,$J$4:$J$863,$J195,$F$4:$F$863,$F195,$K$4:$K$863,$K195)&gt;1,"⚠ DOUBLON","")</f>
        <v/>
      </c>
      <c r="AB195" s="64">
        <f>IF(COUNTIF($T$4:$T$863,$T195)&lt;&gt;COUNTIFS($T$4:$T$863,$T195,$D$4:$D$863,$D195,$F$4:$F$863,$F195,$G$4:$G$863,$G195,$K$4:$K$863,$K195,$M$4:$M$863,$M195),"⚠ INCOHÉRENT","")</f>
        <v/>
      </c>
      <c r="AC195" s="64">
        <f>COUNTIFS($A$4:$A195,$A195,$J$4:$J195,$J195,$E$4:$E195,$E195)</f>
        <v/>
      </c>
      <c r="AD195" s="65">
        <f>$A195&amp;"|"&amp;$J195&amp;"|"&amp;$E195&amp;"|"&amp;$AC195</f>
        <v/>
      </c>
      <c r="AE195" s="66">
        <f>IF($W195&lt;&gt;"","⚑ "&amp;$W195&amp;CHAR(10),"")&amp;TEXT($F195,"hh:mm")&amp;"-"&amp;TEXT($G195,"hh:mm")&amp;IF(OR($P195="Quinzaine A",AND($P195="Hebdo · groupes alternés",$C195="A"))," Q-A",IF(OR($P195="Quinzaine B",AND($P195="Hebdo · groupes alternés",$C195="B"))," Q-B",IF($P195="Exception"," PONCT.","")))&amp;IF($X195="Oui"," OPT","")&amp;CHAR(10)&amp;$K195&amp;CHAR(10)&amp;$M195&amp;IF($N195&lt;&gt;"",CHAR(10)&amp;"Salle "&amp;$N195,"")&amp;IF($O195="En ligne",CHAR(10)&amp;"EN LIGNE","")&amp;IF($V195&lt;&gt;"",CHAR(10)&amp;$V195,"")</f>
        <v/>
      </c>
      <c r="AF195" s="65" t="inlineStr">
        <is>
          <t>17h30-19h Arabe (Najet)</t>
        </is>
      </c>
      <c r="AG195" s="65" t="inlineStr">
        <is>
          <t>du 21-09 jusquà le 27-09!K49</t>
        </is>
      </c>
    </row>
    <row r="196" ht="15" customHeight="1">
      <c r="A196" s="74" t="inlineStr">
        <is>
          <t>S2</t>
        </is>
      </c>
      <c r="B196" s="75" t="inlineStr">
        <is>
          <t>du 21 au 27 septembre 2026</t>
        </is>
      </c>
      <c r="C196" s="74" t="inlineStr">
        <is>
          <t>B</t>
        </is>
      </c>
      <c r="D196" s="76" t="n">
        <v>46290</v>
      </c>
      <c r="E196" s="74" t="inlineStr">
        <is>
          <t>Vendredi</t>
        </is>
      </c>
      <c r="F196" s="77" t="n">
        <v>0.7916666666666666</v>
      </c>
      <c r="G196" s="77" t="n">
        <v>0.8541666666666666</v>
      </c>
      <c r="H196" s="78">
        <f>IF(OR($F196="",$G196=""),"",($G196-$F196)*24)</f>
        <v/>
      </c>
      <c r="I196" s="74" t="inlineStr">
        <is>
          <t>Secondaire</t>
        </is>
      </c>
      <c r="J196" s="75" t="inlineStr">
        <is>
          <t>1ére (B)</t>
        </is>
      </c>
      <c r="K196" s="63" t="inlineStr">
        <is>
          <t>Arabe</t>
        </is>
      </c>
      <c r="L196" s="63" t="inlineStr">
        <is>
          <t>Arabe</t>
        </is>
      </c>
      <c r="M196" s="75" t="inlineStr">
        <is>
          <t>Najet</t>
        </is>
      </c>
      <c r="N196" s="74" t="n"/>
      <c r="O196" s="74" t="n"/>
      <c r="P196" s="74" t="inlineStr">
        <is>
          <t>Hebdomadaire</t>
        </is>
      </c>
      <c r="Q196" s="75" t="inlineStr"/>
      <c r="R196" s="74" t="n">
        <v>1</v>
      </c>
      <c r="S196" s="74" t="inlineStr">
        <is>
          <t>Oui</t>
        </is>
      </c>
      <c r="T196" s="74" t="inlineStr">
        <is>
          <t>S2-054</t>
        </is>
      </c>
      <c r="U196" s="75" t="inlineStr">
        <is>
          <t>Original (septembre)</t>
        </is>
      </c>
      <c r="V196" s="75" t="inlineStr"/>
      <c r="W196" s="10" t="n"/>
      <c r="X196" s="10" t="inlineStr"/>
      <c r="Y196" s="64">
        <f>IF($M196="","",IF(SUMPRODUCT(($D$4:$D$863=$D196)*($M$4:$M$863=$M196)*($T$4:$T$863&lt;&gt;$T196)*($F$4:$F$863&lt;$G196)*($G$4:$G$863&gt;$F196))&gt;0,"⚠ CONFLIT",""))</f>
        <v/>
      </c>
      <c r="Z196" s="64">
        <f>IF($J196="","",IF(SUMPRODUCT(($D$4:$D$863=$D196)*($J$4:$J$863=$J196)*($T$4:$T$863&lt;&gt;$T196)*($F$4:$F$863&lt;$G196)*($G$4:$G$863&gt;$F196)*(1-($X$4:$X$863="Oui")*($X196="Oui")))&gt;0,"⚠ CONFLIT",""))</f>
        <v/>
      </c>
      <c r="AA196" s="64">
        <f>IF(COUNTIFS($D$4:$D$863,$D196,$J$4:$J$863,$J196,$F$4:$F$863,$F196,$K$4:$K$863,$K196)&gt;1,"⚠ DOUBLON","")</f>
        <v/>
      </c>
      <c r="AB196" s="64">
        <f>IF(COUNTIF($T$4:$T$863,$T196)&lt;&gt;COUNTIFS($T$4:$T$863,$T196,$D$4:$D$863,$D196,$F$4:$F$863,$F196,$G$4:$G$863,$G196,$K$4:$K$863,$K196,$M$4:$M$863,$M196),"⚠ INCOHÉRENT","")</f>
        <v/>
      </c>
      <c r="AC196" s="64">
        <f>COUNTIFS($A$4:$A196,$A196,$J$4:$J196,$J196,$E$4:$E196,$E196)</f>
        <v/>
      </c>
      <c r="AD196" s="65">
        <f>$A196&amp;"|"&amp;$J196&amp;"|"&amp;$E196&amp;"|"&amp;$AC196</f>
        <v/>
      </c>
      <c r="AE196" s="66">
        <f>IF($W196&lt;&gt;"","⚑ "&amp;$W196&amp;CHAR(10),"")&amp;TEXT($F196,"hh:mm")&amp;"-"&amp;TEXT($G196,"hh:mm")&amp;IF(OR($P196="Quinzaine A",AND($P196="Hebdo · groupes alternés",$C196="A"))," Q-A",IF(OR($P196="Quinzaine B",AND($P196="Hebdo · groupes alternés",$C196="B"))," Q-B",IF($P196="Exception"," PONCT.","")))&amp;IF($X196="Oui"," OPT","")&amp;CHAR(10)&amp;$K196&amp;CHAR(10)&amp;$M196&amp;IF($N196&lt;&gt;"",CHAR(10)&amp;"Salle "&amp;$N196,"")&amp;IF($O196="En ligne",CHAR(10)&amp;"EN LIGNE","")&amp;IF($V196&lt;&gt;"",CHAR(10)&amp;$V196,"")</f>
        <v/>
      </c>
      <c r="AF196" s="65" t="inlineStr">
        <is>
          <t>19h-20h30 Arabe (Najet)</t>
        </is>
      </c>
      <c r="AG196" s="65" t="inlineStr">
        <is>
          <t>du 21-09 jusquà le 27-09!K54</t>
        </is>
      </c>
    </row>
    <row r="197" ht="15" customHeight="1">
      <c r="A197" s="74" t="inlineStr">
        <is>
          <t>S2</t>
        </is>
      </c>
      <c r="B197" s="75" t="inlineStr">
        <is>
          <t>du 21 au 27 septembre 2026</t>
        </is>
      </c>
      <c r="C197" s="74" t="inlineStr">
        <is>
          <t>B</t>
        </is>
      </c>
      <c r="D197" s="76" t="n">
        <v>46290</v>
      </c>
      <c r="E197" s="74" t="inlineStr">
        <is>
          <t>Vendredi</t>
        </is>
      </c>
      <c r="F197" s="77" t="n">
        <v>0.8125</v>
      </c>
      <c r="G197" s="77" t="n">
        <v>0.875</v>
      </c>
      <c r="H197" s="78">
        <f>IF(OR($F197="",$G197=""),"",($G197-$F197)*24)</f>
        <v/>
      </c>
      <c r="I197" s="74" t="inlineStr">
        <is>
          <t>Secondaire</t>
        </is>
      </c>
      <c r="J197" s="75" t="inlineStr">
        <is>
          <t>2éme INFO</t>
        </is>
      </c>
      <c r="K197" s="79" t="inlineStr">
        <is>
          <t>Math</t>
        </is>
      </c>
      <c r="L197" s="79" t="inlineStr">
        <is>
          <t>Math</t>
        </is>
      </c>
      <c r="M197" s="75" t="inlineStr">
        <is>
          <t>Haythem</t>
        </is>
      </c>
      <c r="N197" s="74" t="n"/>
      <c r="O197" s="74" t="n"/>
      <c r="P197" s="74" t="inlineStr">
        <is>
          <t>Hebdomadaire</t>
        </is>
      </c>
      <c r="Q197" s="75" t="inlineStr"/>
      <c r="R197" s="74" t="n">
        <v>1</v>
      </c>
      <c r="S197" s="74" t="inlineStr">
        <is>
          <t>Oui</t>
        </is>
      </c>
      <c r="T197" s="74" t="inlineStr">
        <is>
          <t>S2-055</t>
        </is>
      </c>
      <c r="U197" s="75" t="inlineStr">
        <is>
          <t>Original (septembre)</t>
        </is>
      </c>
      <c r="V197" s="75" t="inlineStr"/>
      <c r="W197" s="10" t="n"/>
      <c r="X197" s="10" t="inlineStr"/>
      <c r="Y197" s="64">
        <f>IF($M197="","",IF(SUMPRODUCT(($D$4:$D$863=$D197)*($M$4:$M$863=$M197)*($T$4:$T$863&lt;&gt;$T197)*($F$4:$F$863&lt;$G197)*($G$4:$G$863&gt;$F197))&gt;0,"⚠ CONFLIT",""))</f>
        <v/>
      </c>
      <c r="Z197" s="64">
        <f>IF($J197="","",IF(SUMPRODUCT(($D$4:$D$863=$D197)*($J$4:$J$863=$J197)*($T$4:$T$863&lt;&gt;$T197)*($F$4:$F$863&lt;$G197)*($G$4:$G$863&gt;$F197)*(1-($X$4:$X$863="Oui")*($X197="Oui")))&gt;0,"⚠ CONFLIT",""))</f>
        <v/>
      </c>
      <c r="AA197" s="64">
        <f>IF(COUNTIFS($D$4:$D$863,$D197,$J$4:$J$863,$J197,$F$4:$F$863,$F197,$K$4:$K$863,$K197)&gt;1,"⚠ DOUBLON","")</f>
        <v/>
      </c>
      <c r="AB197" s="64">
        <f>IF(COUNTIF($T$4:$T$863,$T197)&lt;&gt;COUNTIFS($T$4:$T$863,$T197,$D$4:$D$863,$D197,$F$4:$F$863,$F197,$G$4:$G$863,$G197,$K$4:$K$863,$K197,$M$4:$M$863,$M197),"⚠ INCOHÉRENT","")</f>
        <v/>
      </c>
      <c r="AC197" s="64">
        <f>COUNTIFS($A$4:$A197,$A197,$J$4:$J197,$J197,$E$4:$E197,$E197)</f>
        <v/>
      </c>
      <c r="AD197" s="65">
        <f>$A197&amp;"|"&amp;$J197&amp;"|"&amp;$E197&amp;"|"&amp;$AC197</f>
        <v/>
      </c>
      <c r="AE197" s="66">
        <f>IF($W197&lt;&gt;"","⚑ "&amp;$W197&amp;CHAR(10),"")&amp;TEXT($F197,"hh:mm")&amp;"-"&amp;TEXT($G197,"hh:mm")&amp;IF(OR($P197="Quinzaine A",AND($P197="Hebdo · groupes alternés",$C197="A"))," Q-A",IF(OR($P197="Quinzaine B",AND($P197="Hebdo · groupes alternés",$C197="B"))," Q-B",IF($P197="Exception"," PONCT.","")))&amp;IF($X197="Oui"," OPT","")&amp;CHAR(10)&amp;$K197&amp;CHAR(10)&amp;$M197&amp;IF($N197&lt;&gt;"",CHAR(10)&amp;"Salle "&amp;$N197,"")&amp;IF($O197="En ligne",CHAR(10)&amp;"EN LIGNE","")&amp;IF($V197&lt;&gt;"",CHAR(10)&amp;$V197,"")</f>
        <v/>
      </c>
      <c r="AF197" s="65" t="inlineStr">
        <is>
          <t>19h30-21h Math (Haythem)</t>
        </is>
      </c>
      <c r="AG197" s="65" t="inlineStr">
        <is>
          <t>du 21-09 jusquà le 27-09!K64</t>
        </is>
      </c>
    </row>
    <row r="198" ht="15" customHeight="1">
      <c r="A198" s="74" t="inlineStr">
        <is>
          <t>S2</t>
        </is>
      </c>
      <c r="B198" s="75" t="inlineStr">
        <is>
          <t>du 21 au 27 septembre 2026</t>
        </is>
      </c>
      <c r="C198" s="74" t="inlineStr">
        <is>
          <t>B</t>
        </is>
      </c>
      <c r="D198" s="76" t="n">
        <v>46290</v>
      </c>
      <c r="E198" s="74" t="inlineStr">
        <is>
          <t>Vendredi</t>
        </is>
      </c>
      <c r="F198" s="77" t="n">
        <v>0.7291666666666666</v>
      </c>
      <c r="G198" s="77" t="n">
        <v>0.7916666666666666</v>
      </c>
      <c r="H198" s="78">
        <f>IF(OR($F198="",$G198=""),"",($G198-$F198)*24)</f>
        <v/>
      </c>
      <c r="I198" s="74" t="inlineStr">
        <is>
          <t>Secondaire</t>
        </is>
      </c>
      <c r="J198" s="75" t="inlineStr">
        <is>
          <t>3éme Eco</t>
        </is>
      </c>
      <c r="K198" s="87" t="inlineStr">
        <is>
          <t>Anglais</t>
        </is>
      </c>
      <c r="L198" s="87" t="inlineStr">
        <is>
          <t>Anglais</t>
        </is>
      </c>
      <c r="M198" s="75" t="inlineStr">
        <is>
          <t>Khaled</t>
        </is>
      </c>
      <c r="N198" s="74" t="n"/>
      <c r="O198" s="74" t="n"/>
      <c r="P198" s="74" t="inlineStr">
        <is>
          <t>Hebdo · groupes alternés</t>
        </is>
      </c>
      <c r="Q198" s="75" t="inlineStr">
        <is>
          <t>3éme Eco + 3éme INFO + 3éme SCE</t>
        </is>
      </c>
      <c r="R198" s="74" t="n">
        <v>3</v>
      </c>
      <c r="S198" s="74" t="inlineStr">
        <is>
          <t>Oui</t>
        </is>
      </c>
      <c r="T198" s="74" t="inlineStr">
        <is>
          <t>S2-056</t>
        </is>
      </c>
      <c r="U198" s="75" t="inlineStr">
        <is>
          <t>Original (septembre)</t>
        </is>
      </c>
      <c r="V198" s="75" t="inlineStr"/>
      <c r="W198" s="10" t="n"/>
      <c r="X198" s="10" t="inlineStr"/>
      <c r="Y198" s="64">
        <f>IF($M198="","",IF(SUMPRODUCT(($D$4:$D$863=$D198)*($M$4:$M$863=$M198)*($T$4:$T$863&lt;&gt;$T198)*($F$4:$F$863&lt;$G198)*($G$4:$G$863&gt;$F198))&gt;0,"⚠ CONFLIT",""))</f>
        <v/>
      </c>
      <c r="Z198" s="64">
        <f>IF($J198="","",IF(SUMPRODUCT(($D$4:$D$863=$D198)*($J$4:$J$863=$J198)*($T$4:$T$863&lt;&gt;$T198)*($F$4:$F$863&lt;$G198)*($G$4:$G$863&gt;$F198)*(1-($X$4:$X$863="Oui")*($X198="Oui")))&gt;0,"⚠ CONFLIT",""))</f>
        <v/>
      </c>
      <c r="AA198" s="64">
        <f>IF(COUNTIFS($D$4:$D$863,$D198,$J$4:$J$863,$J198,$F$4:$F$863,$F198,$K$4:$K$863,$K198)&gt;1,"⚠ DOUBLON","")</f>
        <v/>
      </c>
      <c r="AB198" s="64">
        <f>IF(COUNTIF($T$4:$T$863,$T198)&lt;&gt;COUNTIFS($T$4:$T$863,$T198,$D$4:$D$863,$D198,$F$4:$F$863,$F198,$G$4:$G$863,$G198,$K$4:$K$863,$K198,$M$4:$M$863,$M198),"⚠ INCOHÉRENT","")</f>
        <v/>
      </c>
      <c r="AC198" s="64">
        <f>COUNTIFS($A$4:$A198,$A198,$J$4:$J198,$J198,$E$4:$E198,$E198)</f>
        <v/>
      </c>
      <c r="AD198" s="65">
        <f>$A198&amp;"|"&amp;$J198&amp;"|"&amp;$E198&amp;"|"&amp;$AC198</f>
        <v/>
      </c>
      <c r="AE198" s="66">
        <f>IF($W198&lt;&gt;"","⚑ "&amp;$W198&amp;CHAR(10),"")&amp;TEXT($F198,"hh:mm")&amp;"-"&amp;TEXT($G198,"hh:mm")&amp;IF(OR($P198="Quinzaine A",AND($P198="Hebdo · groupes alternés",$C198="A"))," Q-A",IF(OR($P198="Quinzaine B",AND($P198="Hebdo · groupes alternés",$C198="B"))," Q-B",IF($P198="Exception"," PONCT.","")))&amp;IF($X198="Oui"," OPT","")&amp;CHAR(10)&amp;$K198&amp;CHAR(10)&amp;$M198&amp;IF($N198&lt;&gt;"",CHAR(10)&amp;"Salle "&amp;$N198,"")&amp;IF($O198="En ligne",CHAR(10)&amp;"EN LIGNE","")&amp;IF($V198&lt;&gt;"",CHAR(10)&amp;$V198,"")</f>
        <v/>
      </c>
      <c r="AF198" s="65" t="inlineStr">
        <is>
          <t>17h30-19h Anglais (Khaled) /par quinzaine</t>
        </is>
      </c>
      <c r="AG198" s="65" t="inlineStr">
        <is>
          <t>du 21-09 jusquà le 27-09!K67</t>
        </is>
      </c>
    </row>
    <row r="199" ht="15" customHeight="1">
      <c r="A199" s="74" t="inlineStr">
        <is>
          <t>S2</t>
        </is>
      </c>
      <c r="B199" s="75" t="inlineStr">
        <is>
          <t>du 21 au 27 septembre 2026</t>
        </is>
      </c>
      <c r="C199" s="74" t="inlineStr">
        <is>
          <t>B</t>
        </is>
      </c>
      <c r="D199" s="76" t="n">
        <v>46290</v>
      </c>
      <c r="E199" s="74" t="inlineStr">
        <is>
          <t>Vendredi</t>
        </is>
      </c>
      <c r="F199" s="77" t="n">
        <v>0.7291666666666666</v>
      </c>
      <c r="G199" s="77" t="n">
        <v>0.7916666666666666</v>
      </c>
      <c r="H199" s="78">
        <f>IF(OR($F199="",$G199=""),"",($G199-$F199)*24)</f>
        <v/>
      </c>
      <c r="I199" s="74" t="inlineStr">
        <is>
          <t>Secondaire</t>
        </is>
      </c>
      <c r="J199" s="75" t="inlineStr">
        <is>
          <t>3éme INFO</t>
        </is>
      </c>
      <c r="K199" s="87" t="inlineStr">
        <is>
          <t>Anglais</t>
        </is>
      </c>
      <c r="L199" s="87" t="inlineStr">
        <is>
          <t>Anglais</t>
        </is>
      </c>
      <c r="M199" s="75" t="inlineStr">
        <is>
          <t>Khaled</t>
        </is>
      </c>
      <c r="N199" s="74" t="n"/>
      <c r="O199" s="74" t="n"/>
      <c r="P199" s="74" t="inlineStr">
        <is>
          <t>Hebdo · groupes alternés</t>
        </is>
      </c>
      <c r="Q199" s="75" t="inlineStr">
        <is>
          <t>3éme Eco + 3éme INFO + 3éme SCE</t>
        </is>
      </c>
      <c r="R199" s="74" t="n">
        <v>3</v>
      </c>
      <c r="S199" s="74" t="inlineStr"/>
      <c r="T199" s="74" t="inlineStr">
        <is>
          <t>S2-056</t>
        </is>
      </c>
      <c r="U199" s="75" t="inlineStr">
        <is>
          <t>Original (septembre)</t>
        </is>
      </c>
      <c r="V199" s="75" t="inlineStr"/>
      <c r="W199" s="10" t="n"/>
      <c r="X199" s="10" t="inlineStr"/>
      <c r="Y199" s="64">
        <f>IF($M199="","",IF(SUMPRODUCT(($D$4:$D$863=$D199)*($M$4:$M$863=$M199)*($T$4:$T$863&lt;&gt;$T199)*($F$4:$F$863&lt;$G199)*($G$4:$G$863&gt;$F199))&gt;0,"⚠ CONFLIT",""))</f>
        <v/>
      </c>
      <c r="Z199" s="64">
        <f>IF($J199="","",IF(SUMPRODUCT(($D$4:$D$863=$D199)*($J$4:$J$863=$J199)*($T$4:$T$863&lt;&gt;$T199)*($F$4:$F$863&lt;$G199)*($G$4:$G$863&gt;$F199)*(1-($X$4:$X$863="Oui")*($X199="Oui")))&gt;0,"⚠ CONFLIT",""))</f>
        <v/>
      </c>
      <c r="AA199" s="64">
        <f>IF(COUNTIFS($D$4:$D$863,$D199,$J$4:$J$863,$J199,$F$4:$F$863,$F199,$K$4:$K$863,$K199)&gt;1,"⚠ DOUBLON","")</f>
        <v/>
      </c>
      <c r="AB199" s="64">
        <f>IF(COUNTIF($T$4:$T$863,$T199)&lt;&gt;COUNTIFS($T$4:$T$863,$T199,$D$4:$D$863,$D199,$F$4:$F$863,$F199,$G$4:$G$863,$G199,$K$4:$K$863,$K199,$M$4:$M$863,$M199),"⚠ INCOHÉRENT","")</f>
        <v/>
      </c>
      <c r="AC199" s="64">
        <f>COUNTIFS($A$4:$A199,$A199,$J$4:$J199,$J199,$E$4:$E199,$E199)</f>
        <v/>
      </c>
      <c r="AD199" s="65">
        <f>$A199&amp;"|"&amp;$J199&amp;"|"&amp;$E199&amp;"|"&amp;$AC199</f>
        <v/>
      </c>
      <c r="AE199" s="66">
        <f>IF($W199&lt;&gt;"","⚑ "&amp;$W199&amp;CHAR(10),"")&amp;TEXT($F199,"hh:mm")&amp;"-"&amp;TEXT($G199,"hh:mm")&amp;IF(OR($P199="Quinzaine A",AND($P199="Hebdo · groupes alternés",$C199="A"))," Q-A",IF(OR($P199="Quinzaine B",AND($P199="Hebdo · groupes alternés",$C199="B"))," Q-B",IF($P199="Exception"," PONCT.","")))&amp;IF($X199="Oui"," OPT","")&amp;CHAR(10)&amp;$K199&amp;CHAR(10)&amp;$M199&amp;IF($N199&lt;&gt;"",CHAR(10)&amp;"Salle "&amp;$N199,"")&amp;IF($O199="En ligne",CHAR(10)&amp;"EN LIGNE","")&amp;IF($V199&lt;&gt;"",CHAR(10)&amp;$V199,"")</f>
        <v/>
      </c>
      <c r="AF199" s="65" t="inlineStr">
        <is>
          <t>17h30-19h Anglais (Khaled) /par quinzaine</t>
        </is>
      </c>
      <c r="AG199" s="65" t="inlineStr">
        <is>
          <t>du 21-09 jusquà le 27-09!K67</t>
        </is>
      </c>
    </row>
    <row r="200" ht="15" customHeight="1">
      <c r="A200" s="74" t="inlineStr">
        <is>
          <t>S2</t>
        </is>
      </c>
      <c r="B200" s="75" t="inlineStr">
        <is>
          <t>du 21 au 27 septembre 2026</t>
        </is>
      </c>
      <c r="C200" s="74" t="inlineStr">
        <is>
          <t>B</t>
        </is>
      </c>
      <c r="D200" s="76" t="n">
        <v>46290</v>
      </c>
      <c r="E200" s="74" t="inlineStr">
        <is>
          <t>Vendredi</t>
        </is>
      </c>
      <c r="F200" s="77" t="n">
        <v>0.7291666666666666</v>
      </c>
      <c r="G200" s="77" t="n">
        <v>0.7916666666666666</v>
      </c>
      <c r="H200" s="78">
        <f>IF(OR($F200="",$G200=""),"",($G200-$F200)*24)</f>
        <v/>
      </c>
      <c r="I200" s="74" t="inlineStr">
        <is>
          <t>Secondaire</t>
        </is>
      </c>
      <c r="J200" s="75" t="inlineStr">
        <is>
          <t>3éme SCE</t>
        </is>
      </c>
      <c r="K200" s="87" t="inlineStr">
        <is>
          <t>Anglais</t>
        </is>
      </c>
      <c r="L200" s="87" t="inlineStr">
        <is>
          <t>Anglais</t>
        </is>
      </c>
      <c r="M200" s="75" t="inlineStr">
        <is>
          <t>Khaled</t>
        </is>
      </c>
      <c r="N200" s="74" t="n"/>
      <c r="O200" s="74" t="n"/>
      <c r="P200" s="74" t="inlineStr">
        <is>
          <t>Hebdo · groupes alternés</t>
        </is>
      </c>
      <c r="Q200" s="75" t="inlineStr">
        <is>
          <t>3éme Eco + 3éme INFO + 3éme SCE</t>
        </is>
      </c>
      <c r="R200" s="74" t="n">
        <v>3</v>
      </c>
      <c r="S200" s="74" t="inlineStr"/>
      <c r="T200" s="74" t="inlineStr">
        <is>
          <t>S2-056</t>
        </is>
      </c>
      <c r="U200" s="75" t="inlineStr">
        <is>
          <t>Original (septembre)</t>
        </is>
      </c>
      <c r="V200" s="75" t="inlineStr"/>
      <c r="W200" s="10" t="n"/>
      <c r="X200" s="10" t="inlineStr"/>
      <c r="Y200" s="64">
        <f>IF($M200="","",IF(SUMPRODUCT(($D$4:$D$863=$D200)*($M$4:$M$863=$M200)*($T$4:$T$863&lt;&gt;$T200)*($F$4:$F$863&lt;$G200)*($G$4:$G$863&gt;$F200))&gt;0,"⚠ CONFLIT",""))</f>
        <v/>
      </c>
      <c r="Z200" s="64">
        <f>IF($J200="","",IF(SUMPRODUCT(($D$4:$D$863=$D200)*($J$4:$J$863=$J200)*($T$4:$T$863&lt;&gt;$T200)*($F$4:$F$863&lt;$G200)*($G$4:$G$863&gt;$F200)*(1-($X$4:$X$863="Oui")*($X200="Oui")))&gt;0,"⚠ CONFLIT",""))</f>
        <v/>
      </c>
      <c r="AA200" s="64">
        <f>IF(COUNTIFS($D$4:$D$863,$D200,$J$4:$J$863,$J200,$F$4:$F$863,$F200,$K$4:$K$863,$K200)&gt;1,"⚠ DOUBLON","")</f>
        <v/>
      </c>
      <c r="AB200" s="64">
        <f>IF(COUNTIF($T$4:$T$863,$T200)&lt;&gt;COUNTIFS($T$4:$T$863,$T200,$D$4:$D$863,$D200,$F$4:$F$863,$F200,$G$4:$G$863,$G200,$K$4:$K$863,$K200,$M$4:$M$863,$M200),"⚠ INCOHÉRENT","")</f>
        <v/>
      </c>
      <c r="AC200" s="64">
        <f>COUNTIFS($A$4:$A200,$A200,$J$4:$J200,$J200,$E$4:$E200,$E200)</f>
        <v/>
      </c>
      <c r="AD200" s="65">
        <f>$A200&amp;"|"&amp;$J200&amp;"|"&amp;$E200&amp;"|"&amp;$AC200</f>
        <v/>
      </c>
      <c r="AE200" s="66">
        <f>IF($W200&lt;&gt;"","⚑ "&amp;$W200&amp;CHAR(10),"")&amp;TEXT($F200,"hh:mm")&amp;"-"&amp;TEXT($G200,"hh:mm")&amp;IF(OR($P200="Quinzaine A",AND($P200="Hebdo · groupes alternés",$C200="A"))," Q-A",IF(OR($P200="Quinzaine B",AND($P200="Hebdo · groupes alternés",$C200="B"))," Q-B",IF($P200="Exception"," PONCT.","")))&amp;IF($X200="Oui"," OPT","")&amp;CHAR(10)&amp;$K200&amp;CHAR(10)&amp;$M200&amp;IF($N200&lt;&gt;"",CHAR(10)&amp;"Salle "&amp;$N200,"")&amp;IF($O200="En ligne",CHAR(10)&amp;"EN LIGNE","")&amp;IF($V200&lt;&gt;"",CHAR(10)&amp;$V200,"")</f>
        <v/>
      </c>
      <c r="AF200" s="65" t="inlineStr">
        <is>
          <t>17h30-19h Anglais (Khaled) /par quinzaine</t>
        </is>
      </c>
      <c r="AG200" s="65" t="inlineStr">
        <is>
          <t>du 21-09 jusquà le 27-09!K67</t>
        </is>
      </c>
    </row>
    <row r="201" ht="15" customHeight="1">
      <c r="A201" s="81" t="inlineStr">
        <is>
          <t>S2</t>
        </is>
      </c>
      <c r="B201" s="82" t="inlineStr">
        <is>
          <t>du 21 au 27 septembre 2026</t>
        </is>
      </c>
      <c r="C201" s="81" t="inlineStr">
        <is>
          <t>B</t>
        </is>
      </c>
      <c r="D201" s="83" t="n">
        <v>46290</v>
      </c>
      <c r="E201" s="81" t="inlineStr">
        <is>
          <t>Vendredi</t>
        </is>
      </c>
      <c r="F201" s="84" t="n">
        <v>0.7291666666666666</v>
      </c>
      <c r="G201" s="84" t="n">
        <v>0.7916666666666666</v>
      </c>
      <c r="H201" s="85">
        <f>IF(OR($F201="",$G201=""),"",($G201-$F201)*24)</f>
        <v/>
      </c>
      <c r="I201" s="81" t="inlineStr">
        <is>
          <t>Bac</t>
        </is>
      </c>
      <c r="J201" s="82" t="inlineStr">
        <is>
          <t>Bac Eco</t>
        </is>
      </c>
      <c r="K201" s="67" t="inlineStr">
        <is>
          <t>Français</t>
        </is>
      </c>
      <c r="L201" s="67" t="inlineStr">
        <is>
          <t>Français</t>
        </is>
      </c>
      <c r="M201" s="82" t="inlineStr">
        <is>
          <t>Nabil</t>
        </is>
      </c>
      <c r="N201" s="81" t="n"/>
      <c r="O201" s="81" t="n"/>
      <c r="P201" s="81" t="inlineStr">
        <is>
          <t>Hebdo · groupes alternés</t>
        </is>
      </c>
      <c r="Q201" s="82" t="inlineStr">
        <is>
          <t>Bac Eco + Bac SCE + Bac INFO</t>
        </is>
      </c>
      <c r="R201" s="81" t="n">
        <v>3</v>
      </c>
      <c r="S201" s="81" t="inlineStr">
        <is>
          <t>Oui</t>
        </is>
      </c>
      <c r="T201" s="81" t="inlineStr">
        <is>
          <t>S2-057</t>
        </is>
      </c>
      <c r="U201" s="82" t="inlineStr">
        <is>
          <t>Original (septembre)</t>
        </is>
      </c>
      <c r="V201" s="82" t="inlineStr"/>
      <c r="W201" s="10" t="n"/>
      <c r="X201" s="10" t="inlineStr"/>
      <c r="Y201" s="64">
        <f>IF($M201="","",IF(SUMPRODUCT(($D$4:$D$863=$D201)*($M$4:$M$863=$M201)*($T$4:$T$863&lt;&gt;$T201)*($F$4:$F$863&lt;$G201)*($G$4:$G$863&gt;$F201))&gt;0,"⚠ CONFLIT",""))</f>
        <v/>
      </c>
      <c r="Z201" s="64">
        <f>IF($J201="","",IF(SUMPRODUCT(($D$4:$D$863=$D201)*($J$4:$J$863=$J201)*($T$4:$T$863&lt;&gt;$T201)*($F$4:$F$863&lt;$G201)*($G$4:$G$863&gt;$F201)*(1-($X$4:$X$863="Oui")*($X201="Oui")))&gt;0,"⚠ CONFLIT",""))</f>
        <v/>
      </c>
      <c r="AA201" s="64">
        <f>IF(COUNTIFS($D$4:$D$863,$D201,$J$4:$J$863,$J201,$F$4:$F$863,$F201,$K$4:$K$863,$K201)&gt;1,"⚠ DOUBLON","")</f>
        <v/>
      </c>
      <c r="AB201" s="64">
        <f>IF(COUNTIF($T$4:$T$863,$T201)&lt;&gt;COUNTIFS($T$4:$T$863,$T201,$D$4:$D$863,$D201,$F$4:$F$863,$F201,$G$4:$G$863,$G201,$K$4:$K$863,$K201,$M$4:$M$863,$M201),"⚠ INCOHÉRENT","")</f>
        <v/>
      </c>
      <c r="AC201" s="64">
        <f>COUNTIFS($A$4:$A201,$A201,$J$4:$J201,$J201,$E$4:$E201,$E201)</f>
        <v/>
      </c>
      <c r="AD201" s="65">
        <f>$A201&amp;"|"&amp;$J201&amp;"|"&amp;$E201&amp;"|"&amp;$AC201</f>
        <v/>
      </c>
      <c r="AE201" s="66">
        <f>IF($W201&lt;&gt;"","⚑ "&amp;$W201&amp;CHAR(10),"")&amp;TEXT($F201,"hh:mm")&amp;"-"&amp;TEXT($G201,"hh:mm")&amp;IF(OR($P201="Quinzaine A",AND($P201="Hebdo · groupes alternés",$C201="A"))," Q-A",IF(OR($P201="Quinzaine B",AND($P201="Hebdo · groupes alternés",$C201="B"))," Q-B",IF($P201="Exception"," PONCT.","")))&amp;IF($X201="Oui"," OPT","")&amp;CHAR(10)&amp;$K201&amp;CHAR(10)&amp;$M201&amp;IF($N201&lt;&gt;"",CHAR(10)&amp;"Salle "&amp;$N201,"")&amp;IF($O201="En ligne",CHAR(10)&amp;"EN LIGNE","")&amp;IF($V201&lt;&gt;"",CHAR(10)&amp;$V201,"")</f>
        <v/>
      </c>
      <c r="AF201" s="65" t="inlineStr">
        <is>
          <t>17h30-19h Français (Nabil) /par quinzaine</t>
        </is>
      </c>
      <c r="AG201" s="65" t="inlineStr">
        <is>
          <t>du 21-09 jusquà le 27-09!K75</t>
        </is>
      </c>
    </row>
    <row r="202" ht="15" customHeight="1">
      <c r="A202" s="81" t="inlineStr">
        <is>
          <t>S2</t>
        </is>
      </c>
      <c r="B202" s="82" t="inlineStr">
        <is>
          <t>du 21 au 27 septembre 2026</t>
        </is>
      </c>
      <c r="C202" s="81" t="inlineStr">
        <is>
          <t>B</t>
        </is>
      </c>
      <c r="D202" s="83" t="n">
        <v>46290</v>
      </c>
      <c r="E202" s="81" t="inlineStr">
        <is>
          <t>Vendredi</t>
        </is>
      </c>
      <c r="F202" s="84" t="n">
        <v>0.7291666666666666</v>
      </c>
      <c r="G202" s="84" t="n">
        <v>0.7916666666666666</v>
      </c>
      <c r="H202" s="85">
        <f>IF(OR($F202="",$G202=""),"",($G202-$F202)*24)</f>
        <v/>
      </c>
      <c r="I202" s="81" t="inlineStr">
        <is>
          <t>Bac</t>
        </is>
      </c>
      <c r="J202" s="82" t="inlineStr">
        <is>
          <t>Bac SCE</t>
        </is>
      </c>
      <c r="K202" s="67" t="inlineStr">
        <is>
          <t>Français</t>
        </is>
      </c>
      <c r="L202" s="67" t="inlineStr">
        <is>
          <t>Français</t>
        </is>
      </c>
      <c r="M202" s="82" t="inlineStr">
        <is>
          <t>Nabil</t>
        </is>
      </c>
      <c r="N202" s="81" t="n"/>
      <c r="O202" s="81" t="n"/>
      <c r="P202" s="81" t="inlineStr">
        <is>
          <t>Hebdo · groupes alternés</t>
        </is>
      </c>
      <c r="Q202" s="82" t="inlineStr">
        <is>
          <t>Bac Eco + Bac SCE + Bac INFO</t>
        </is>
      </c>
      <c r="R202" s="81" t="n">
        <v>3</v>
      </c>
      <c r="S202" s="81" t="inlineStr"/>
      <c r="T202" s="81" t="inlineStr">
        <is>
          <t>S2-057</t>
        </is>
      </c>
      <c r="U202" s="82" t="inlineStr">
        <is>
          <t>Original (septembre)</t>
        </is>
      </c>
      <c r="V202" s="82" t="inlineStr"/>
      <c r="W202" s="10" t="n"/>
      <c r="X202" s="10" t="inlineStr"/>
      <c r="Y202" s="64">
        <f>IF($M202="","",IF(SUMPRODUCT(($D$4:$D$863=$D202)*($M$4:$M$863=$M202)*($T$4:$T$863&lt;&gt;$T202)*($F$4:$F$863&lt;$G202)*($G$4:$G$863&gt;$F202))&gt;0,"⚠ CONFLIT",""))</f>
        <v/>
      </c>
      <c r="Z202" s="64">
        <f>IF($J202="","",IF(SUMPRODUCT(($D$4:$D$863=$D202)*($J$4:$J$863=$J202)*($T$4:$T$863&lt;&gt;$T202)*($F$4:$F$863&lt;$G202)*($G$4:$G$863&gt;$F202)*(1-($X$4:$X$863="Oui")*($X202="Oui")))&gt;0,"⚠ CONFLIT",""))</f>
        <v/>
      </c>
      <c r="AA202" s="64">
        <f>IF(COUNTIFS($D$4:$D$863,$D202,$J$4:$J$863,$J202,$F$4:$F$863,$F202,$K$4:$K$863,$K202)&gt;1,"⚠ DOUBLON","")</f>
        <v/>
      </c>
      <c r="AB202" s="64">
        <f>IF(COUNTIF($T$4:$T$863,$T202)&lt;&gt;COUNTIFS($T$4:$T$863,$T202,$D$4:$D$863,$D202,$F$4:$F$863,$F202,$G$4:$G$863,$G202,$K$4:$K$863,$K202,$M$4:$M$863,$M202),"⚠ INCOHÉRENT","")</f>
        <v/>
      </c>
      <c r="AC202" s="64">
        <f>COUNTIFS($A$4:$A202,$A202,$J$4:$J202,$J202,$E$4:$E202,$E202)</f>
        <v/>
      </c>
      <c r="AD202" s="65">
        <f>$A202&amp;"|"&amp;$J202&amp;"|"&amp;$E202&amp;"|"&amp;$AC202</f>
        <v/>
      </c>
      <c r="AE202" s="66">
        <f>IF($W202&lt;&gt;"","⚑ "&amp;$W202&amp;CHAR(10),"")&amp;TEXT($F202,"hh:mm")&amp;"-"&amp;TEXT($G202,"hh:mm")&amp;IF(OR($P202="Quinzaine A",AND($P202="Hebdo · groupes alternés",$C202="A"))," Q-A",IF(OR($P202="Quinzaine B",AND($P202="Hebdo · groupes alternés",$C202="B"))," Q-B",IF($P202="Exception"," PONCT.","")))&amp;IF($X202="Oui"," OPT","")&amp;CHAR(10)&amp;$K202&amp;CHAR(10)&amp;$M202&amp;IF($N202&lt;&gt;"",CHAR(10)&amp;"Salle "&amp;$N202,"")&amp;IF($O202="En ligne",CHAR(10)&amp;"EN LIGNE","")&amp;IF($V202&lt;&gt;"",CHAR(10)&amp;$V202,"")</f>
        <v/>
      </c>
      <c r="AF202" s="65" t="inlineStr">
        <is>
          <t>17h30-19h Français (Nabil) /par quinzaine</t>
        </is>
      </c>
      <c r="AG202" s="65" t="inlineStr">
        <is>
          <t>du 21-09 jusquà le 27-09!K75</t>
        </is>
      </c>
    </row>
    <row r="203" ht="15" customHeight="1">
      <c r="A203" s="81" t="inlineStr">
        <is>
          <t>S2</t>
        </is>
      </c>
      <c r="B203" s="82" t="inlineStr">
        <is>
          <t>du 21 au 27 septembre 2026</t>
        </is>
      </c>
      <c r="C203" s="81" t="inlineStr">
        <is>
          <t>B</t>
        </is>
      </c>
      <c r="D203" s="83" t="n">
        <v>46290</v>
      </c>
      <c r="E203" s="81" t="inlineStr">
        <is>
          <t>Vendredi</t>
        </is>
      </c>
      <c r="F203" s="84" t="n">
        <v>0.7291666666666666</v>
      </c>
      <c r="G203" s="84" t="n">
        <v>0.7916666666666666</v>
      </c>
      <c r="H203" s="85">
        <f>IF(OR($F203="",$G203=""),"",($G203-$F203)*24)</f>
        <v/>
      </c>
      <c r="I203" s="81" t="inlineStr">
        <is>
          <t>Bac</t>
        </is>
      </c>
      <c r="J203" s="82" t="inlineStr">
        <is>
          <t>Bac INFO</t>
        </is>
      </c>
      <c r="K203" s="67" t="inlineStr">
        <is>
          <t>Français</t>
        </is>
      </c>
      <c r="L203" s="67" t="inlineStr">
        <is>
          <t>Français</t>
        </is>
      </c>
      <c r="M203" s="82" t="inlineStr">
        <is>
          <t>Nabil</t>
        </is>
      </c>
      <c r="N203" s="81" t="n"/>
      <c r="O203" s="81" t="n"/>
      <c r="P203" s="81" t="inlineStr">
        <is>
          <t>Hebdo · groupes alternés</t>
        </is>
      </c>
      <c r="Q203" s="82" t="inlineStr">
        <is>
          <t>Bac Eco + Bac SCE + Bac INFO</t>
        </is>
      </c>
      <c r="R203" s="81" t="n">
        <v>3</v>
      </c>
      <c r="S203" s="81" t="inlineStr"/>
      <c r="T203" s="81" t="inlineStr">
        <is>
          <t>S2-057</t>
        </is>
      </c>
      <c r="U203" s="82" t="inlineStr">
        <is>
          <t>Original (septembre)</t>
        </is>
      </c>
      <c r="V203" s="82" t="inlineStr"/>
      <c r="W203" s="10" t="n"/>
      <c r="X203" s="10" t="inlineStr"/>
      <c r="Y203" s="64">
        <f>IF($M203="","",IF(SUMPRODUCT(($D$4:$D$863=$D203)*($M$4:$M$863=$M203)*($T$4:$T$863&lt;&gt;$T203)*($F$4:$F$863&lt;$G203)*($G$4:$G$863&gt;$F203))&gt;0,"⚠ CONFLIT",""))</f>
        <v/>
      </c>
      <c r="Z203" s="64">
        <f>IF($J203="","",IF(SUMPRODUCT(($D$4:$D$863=$D203)*($J$4:$J$863=$J203)*($T$4:$T$863&lt;&gt;$T203)*($F$4:$F$863&lt;$G203)*($G$4:$G$863&gt;$F203)*(1-($X$4:$X$863="Oui")*($X203="Oui")))&gt;0,"⚠ CONFLIT",""))</f>
        <v/>
      </c>
      <c r="AA203" s="64">
        <f>IF(COUNTIFS($D$4:$D$863,$D203,$J$4:$J$863,$J203,$F$4:$F$863,$F203,$K$4:$K$863,$K203)&gt;1,"⚠ DOUBLON","")</f>
        <v/>
      </c>
      <c r="AB203" s="64">
        <f>IF(COUNTIF($T$4:$T$863,$T203)&lt;&gt;COUNTIFS($T$4:$T$863,$T203,$D$4:$D$863,$D203,$F$4:$F$863,$F203,$G$4:$G$863,$G203,$K$4:$K$863,$K203,$M$4:$M$863,$M203),"⚠ INCOHÉRENT","")</f>
        <v/>
      </c>
      <c r="AC203" s="64">
        <f>COUNTIFS($A$4:$A203,$A203,$J$4:$J203,$J203,$E$4:$E203,$E203)</f>
        <v/>
      </c>
      <c r="AD203" s="65">
        <f>$A203&amp;"|"&amp;$J203&amp;"|"&amp;$E203&amp;"|"&amp;$AC203</f>
        <v/>
      </c>
      <c r="AE203" s="66">
        <f>IF($W203&lt;&gt;"","⚑ "&amp;$W203&amp;CHAR(10),"")&amp;TEXT($F203,"hh:mm")&amp;"-"&amp;TEXT($G203,"hh:mm")&amp;IF(OR($P203="Quinzaine A",AND($P203="Hebdo · groupes alternés",$C203="A"))," Q-A",IF(OR($P203="Quinzaine B",AND($P203="Hebdo · groupes alternés",$C203="B"))," Q-B",IF($P203="Exception"," PONCT.","")))&amp;IF($X203="Oui"," OPT","")&amp;CHAR(10)&amp;$K203&amp;CHAR(10)&amp;$M203&amp;IF($N203&lt;&gt;"",CHAR(10)&amp;"Salle "&amp;$N203,"")&amp;IF($O203="En ligne",CHAR(10)&amp;"EN LIGNE","")&amp;IF($V203&lt;&gt;"",CHAR(10)&amp;$V203,"")</f>
        <v/>
      </c>
      <c r="AF203" s="65" t="inlineStr">
        <is>
          <t>17h30-19h Français (Nabil) /par quinzaine</t>
        </is>
      </c>
      <c r="AG203" s="65" t="inlineStr">
        <is>
          <t>du 21-09 jusquà le 27-09!K75</t>
        </is>
      </c>
    </row>
    <row r="204" ht="15" customHeight="1">
      <c r="A204" s="58" t="inlineStr">
        <is>
          <t>S2</t>
        </is>
      </c>
      <c r="B204" s="59" t="inlineStr">
        <is>
          <t>du 21 au 27 septembre 2026</t>
        </is>
      </c>
      <c r="C204" s="58" t="inlineStr">
        <is>
          <t>B</t>
        </is>
      </c>
      <c r="D204" s="60" t="n">
        <v>46291</v>
      </c>
      <c r="E204" s="58" t="inlineStr">
        <is>
          <t>Samedi</t>
        </is>
      </c>
      <c r="F204" s="61" t="n">
        <v>0.6666666666666666</v>
      </c>
      <c r="G204" s="61" t="n">
        <v>0.7291666666666666</v>
      </c>
      <c r="H204" s="62">
        <f>IF(OR($F204="",$G204=""),"",($G204-$F204)*24)</f>
        <v/>
      </c>
      <c r="I204" s="58" t="inlineStr">
        <is>
          <t>Primaire</t>
        </is>
      </c>
      <c r="J204" s="59" t="inlineStr">
        <is>
          <t>4éme</t>
        </is>
      </c>
      <c r="K204" s="67" t="inlineStr">
        <is>
          <t>Français</t>
        </is>
      </c>
      <c r="L204" s="67" t="inlineStr">
        <is>
          <t>Français</t>
        </is>
      </c>
      <c r="M204" s="59" t="inlineStr">
        <is>
          <t>Hend</t>
        </is>
      </c>
      <c r="N204" s="58" t="n"/>
      <c r="O204" s="58" t="n"/>
      <c r="P204" s="58" t="inlineStr">
        <is>
          <t>Hebdomadaire</t>
        </is>
      </c>
      <c r="Q204" s="59" t="inlineStr"/>
      <c r="R204" s="58" t="n">
        <v>1</v>
      </c>
      <c r="S204" s="58" t="inlineStr">
        <is>
          <t>Oui</t>
        </is>
      </c>
      <c r="T204" s="58" t="inlineStr">
        <is>
          <t>S2-058</t>
        </is>
      </c>
      <c r="U204" s="59" t="inlineStr">
        <is>
          <t>Original (septembre)</t>
        </is>
      </c>
      <c r="V204" s="59" t="inlineStr"/>
      <c r="W204" s="10" t="n"/>
      <c r="X204" s="10" t="inlineStr"/>
      <c r="Y204" s="64">
        <f>IF($M204="","",IF(SUMPRODUCT(($D$4:$D$863=$D204)*($M$4:$M$863=$M204)*($T$4:$T$863&lt;&gt;$T204)*($F$4:$F$863&lt;$G204)*($G$4:$G$863&gt;$F204))&gt;0,"⚠ CONFLIT",""))</f>
        <v/>
      </c>
      <c r="Z204" s="64">
        <f>IF($J204="","",IF(SUMPRODUCT(($D$4:$D$863=$D204)*($J$4:$J$863=$J204)*($T$4:$T$863&lt;&gt;$T204)*($F$4:$F$863&lt;$G204)*($G$4:$G$863&gt;$F204)*(1-($X$4:$X$863="Oui")*($X204="Oui")))&gt;0,"⚠ CONFLIT",""))</f>
        <v/>
      </c>
      <c r="AA204" s="64">
        <f>IF(COUNTIFS($D$4:$D$863,$D204,$J$4:$J$863,$J204,$F$4:$F$863,$F204,$K$4:$K$863,$K204)&gt;1,"⚠ DOUBLON","")</f>
        <v/>
      </c>
      <c r="AB204" s="64">
        <f>IF(COUNTIF($T$4:$T$863,$T204)&lt;&gt;COUNTIFS($T$4:$T$863,$T204,$D$4:$D$863,$D204,$F$4:$F$863,$F204,$G$4:$G$863,$G204,$K$4:$K$863,$K204,$M$4:$M$863,$M204),"⚠ INCOHÉRENT","")</f>
        <v/>
      </c>
      <c r="AC204" s="64">
        <f>COUNTIFS($A$4:$A204,$A204,$J$4:$J204,$J204,$E$4:$E204,$E204)</f>
        <v/>
      </c>
      <c r="AD204" s="65">
        <f>$A204&amp;"|"&amp;$J204&amp;"|"&amp;$E204&amp;"|"&amp;$AC204</f>
        <v/>
      </c>
      <c r="AE204" s="66">
        <f>IF($W204&lt;&gt;"","⚑ "&amp;$W204&amp;CHAR(10),"")&amp;TEXT($F204,"hh:mm")&amp;"-"&amp;TEXT($G204,"hh:mm")&amp;IF(OR($P204="Quinzaine A",AND($P204="Hebdo · groupes alternés",$C204="A"))," Q-A",IF(OR($P204="Quinzaine B",AND($P204="Hebdo · groupes alternés",$C204="B"))," Q-B",IF($P204="Exception"," PONCT.","")))&amp;IF($X204="Oui"," OPT","")&amp;CHAR(10)&amp;$K204&amp;CHAR(10)&amp;$M204&amp;IF($N204&lt;&gt;"",CHAR(10)&amp;"Salle "&amp;$N204,"")&amp;IF($O204="En ligne",CHAR(10)&amp;"EN LIGNE","")&amp;IF($V204&lt;&gt;"",CHAR(10)&amp;$V204,"")</f>
        <v/>
      </c>
      <c r="AF204" s="65" t="inlineStr">
        <is>
          <t>16h-17h30 Français (Hend)</t>
        </is>
      </c>
      <c r="AG204" s="65" t="inlineStr">
        <is>
          <t>du 21-09 jusquà le 27-09!L3</t>
        </is>
      </c>
    </row>
    <row r="205" ht="15" customHeight="1">
      <c r="A205" s="58" t="inlineStr">
        <is>
          <t>S2</t>
        </is>
      </c>
      <c r="B205" s="59" t="inlineStr">
        <is>
          <t>du 21 au 27 septembre 2026</t>
        </is>
      </c>
      <c r="C205" s="58" t="inlineStr">
        <is>
          <t>B</t>
        </is>
      </c>
      <c r="D205" s="60" t="n">
        <v>46291</v>
      </c>
      <c r="E205" s="58" t="inlineStr">
        <is>
          <t>Samedi</t>
        </is>
      </c>
      <c r="F205" s="61" t="n">
        <v>0.75</v>
      </c>
      <c r="G205" s="61" t="n">
        <v>0.8125</v>
      </c>
      <c r="H205" s="62">
        <f>IF(OR($F205="",$G205=""),"",($G205-$F205)*24)</f>
        <v/>
      </c>
      <c r="I205" s="58" t="inlineStr">
        <is>
          <t>Primaire</t>
        </is>
      </c>
      <c r="J205" s="59" t="inlineStr">
        <is>
          <t>5éme</t>
        </is>
      </c>
      <c r="K205" s="67" t="inlineStr">
        <is>
          <t>Français</t>
        </is>
      </c>
      <c r="L205" s="67" t="inlineStr">
        <is>
          <t>Français</t>
        </is>
      </c>
      <c r="M205" s="59" t="inlineStr">
        <is>
          <t>Hend</t>
        </is>
      </c>
      <c r="N205" s="58" t="n"/>
      <c r="O205" s="58" t="n"/>
      <c r="P205" s="58" t="inlineStr">
        <is>
          <t>Hebdomadaire</t>
        </is>
      </c>
      <c r="Q205" s="59" t="inlineStr"/>
      <c r="R205" s="58" t="n">
        <v>1</v>
      </c>
      <c r="S205" s="58" t="inlineStr">
        <is>
          <t>Oui</t>
        </is>
      </c>
      <c r="T205" s="58" t="inlineStr">
        <is>
          <t>S2-059</t>
        </is>
      </c>
      <c r="U205" s="59" t="inlineStr">
        <is>
          <t>Original (septembre)</t>
        </is>
      </c>
      <c r="V205" s="59" t="inlineStr"/>
      <c r="W205" s="10" t="n"/>
      <c r="X205" s="10" t="inlineStr"/>
      <c r="Y205" s="64">
        <f>IF($M205="","",IF(SUMPRODUCT(($D$4:$D$863=$D205)*($M$4:$M$863=$M205)*($T$4:$T$863&lt;&gt;$T205)*($F$4:$F$863&lt;$G205)*($G$4:$G$863&gt;$F205))&gt;0,"⚠ CONFLIT",""))</f>
        <v/>
      </c>
      <c r="Z205" s="64">
        <f>IF($J205="","",IF(SUMPRODUCT(($D$4:$D$863=$D205)*($J$4:$J$863=$J205)*($T$4:$T$863&lt;&gt;$T205)*($F$4:$F$863&lt;$G205)*($G$4:$G$863&gt;$F205)*(1-($X$4:$X$863="Oui")*($X205="Oui")))&gt;0,"⚠ CONFLIT",""))</f>
        <v/>
      </c>
      <c r="AA205" s="64">
        <f>IF(COUNTIFS($D$4:$D$863,$D205,$J$4:$J$863,$J205,$F$4:$F$863,$F205,$K$4:$K$863,$K205)&gt;1,"⚠ DOUBLON","")</f>
        <v/>
      </c>
      <c r="AB205" s="64">
        <f>IF(COUNTIF($T$4:$T$863,$T205)&lt;&gt;COUNTIFS($T$4:$T$863,$T205,$D$4:$D$863,$D205,$F$4:$F$863,$F205,$G$4:$G$863,$G205,$K$4:$K$863,$K205,$M$4:$M$863,$M205),"⚠ INCOHÉRENT","")</f>
        <v/>
      </c>
      <c r="AC205" s="64">
        <f>COUNTIFS($A$4:$A205,$A205,$J$4:$J205,$J205,$E$4:$E205,$E205)</f>
        <v/>
      </c>
      <c r="AD205" s="65">
        <f>$A205&amp;"|"&amp;$J205&amp;"|"&amp;$E205&amp;"|"&amp;$AC205</f>
        <v/>
      </c>
      <c r="AE205" s="66">
        <f>IF($W205&lt;&gt;"","⚑ "&amp;$W205&amp;CHAR(10),"")&amp;TEXT($F205,"hh:mm")&amp;"-"&amp;TEXT($G205,"hh:mm")&amp;IF(OR($P205="Quinzaine A",AND($P205="Hebdo · groupes alternés",$C205="A"))," Q-A",IF(OR($P205="Quinzaine B",AND($P205="Hebdo · groupes alternés",$C205="B"))," Q-B",IF($P205="Exception"," PONCT.","")))&amp;IF($X205="Oui"," OPT","")&amp;CHAR(10)&amp;$K205&amp;CHAR(10)&amp;$M205&amp;IF($N205&lt;&gt;"",CHAR(10)&amp;"Salle "&amp;$N205,"")&amp;IF($O205="En ligne",CHAR(10)&amp;"EN LIGNE","")&amp;IF($V205&lt;&gt;"",CHAR(10)&amp;$V205,"")</f>
        <v/>
      </c>
      <c r="AF205" s="65" t="inlineStr">
        <is>
          <t>18h-19h30 Français (Hend)</t>
        </is>
      </c>
      <c r="AG205" s="65" t="inlineStr">
        <is>
          <t>du 21-09 jusquà le 27-09!L7</t>
        </is>
      </c>
    </row>
    <row r="206" ht="15" customHeight="1">
      <c r="A206" s="58" t="inlineStr">
        <is>
          <t>S2</t>
        </is>
      </c>
      <c r="B206" s="59" t="inlineStr">
        <is>
          <t>du 21 au 27 septembre 2026</t>
        </is>
      </c>
      <c r="C206" s="58" t="inlineStr">
        <is>
          <t>B</t>
        </is>
      </c>
      <c r="D206" s="60" t="n">
        <v>46291</v>
      </c>
      <c r="E206" s="58" t="inlineStr">
        <is>
          <t>Samedi</t>
        </is>
      </c>
      <c r="F206" s="61" t="n">
        <v>0.7916666666666666</v>
      </c>
      <c r="G206" s="61" t="n">
        <v>0.875</v>
      </c>
      <c r="H206" s="62">
        <f>IF(OR($F206="",$G206=""),"",($G206-$F206)*24)</f>
        <v/>
      </c>
      <c r="I206" s="58" t="inlineStr">
        <is>
          <t>Primaire</t>
        </is>
      </c>
      <c r="J206" s="59" t="inlineStr">
        <is>
          <t>6éme Pilote (A)</t>
        </is>
      </c>
      <c r="K206" s="63" t="inlineStr">
        <is>
          <t>عربية</t>
        </is>
      </c>
      <c r="L206" s="63" t="inlineStr">
        <is>
          <t>Arabe</t>
        </is>
      </c>
      <c r="M206" s="59" t="inlineStr">
        <is>
          <t>Lobna</t>
        </is>
      </c>
      <c r="N206" s="58" t="n"/>
      <c r="O206" s="58" t="n"/>
      <c r="P206" s="58" t="inlineStr">
        <is>
          <t>Hebdomadaire</t>
        </is>
      </c>
      <c r="Q206" s="59" t="inlineStr"/>
      <c r="R206" s="58" t="n">
        <v>1</v>
      </c>
      <c r="S206" s="58" t="inlineStr">
        <is>
          <t>Oui</t>
        </is>
      </c>
      <c r="T206" s="58" t="inlineStr">
        <is>
          <t>S2-060</t>
        </is>
      </c>
      <c r="U206" s="59" t="inlineStr">
        <is>
          <t>Original (septembre)</t>
        </is>
      </c>
      <c r="V206" s="59" t="inlineStr"/>
      <c r="W206" s="10" t="n"/>
      <c r="X206" s="10" t="inlineStr"/>
      <c r="Y206" s="64">
        <f>IF($M206="","",IF(SUMPRODUCT(($D$4:$D$863=$D206)*($M$4:$M$863=$M206)*($T$4:$T$863&lt;&gt;$T206)*($F$4:$F$863&lt;$G206)*($G$4:$G$863&gt;$F206))&gt;0,"⚠ CONFLIT",""))</f>
        <v/>
      </c>
      <c r="Z206" s="64">
        <f>IF($J206="","",IF(SUMPRODUCT(($D$4:$D$863=$D206)*($J$4:$J$863=$J206)*($T$4:$T$863&lt;&gt;$T206)*($F$4:$F$863&lt;$G206)*($G$4:$G$863&gt;$F206)*(1-($X$4:$X$863="Oui")*($X206="Oui")))&gt;0,"⚠ CONFLIT",""))</f>
        <v/>
      </c>
      <c r="AA206" s="64">
        <f>IF(COUNTIFS($D$4:$D$863,$D206,$J$4:$J$863,$J206,$F$4:$F$863,$F206,$K$4:$K$863,$K206)&gt;1,"⚠ DOUBLON","")</f>
        <v/>
      </c>
      <c r="AB206" s="64">
        <f>IF(COUNTIF($T$4:$T$863,$T206)&lt;&gt;COUNTIFS($T$4:$T$863,$T206,$D$4:$D$863,$D206,$F$4:$F$863,$F206,$G$4:$G$863,$G206,$K$4:$K$863,$K206,$M$4:$M$863,$M206),"⚠ INCOHÉRENT","")</f>
        <v/>
      </c>
      <c r="AC206" s="64">
        <f>COUNTIFS($A$4:$A206,$A206,$J$4:$J206,$J206,$E$4:$E206,$E206)</f>
        <v/>
      </c>
      <c r="AD206" s="65">
        <f>$A206&amp;"|"&amp;$J206&amp;"|"&amp;$E206&amp;"|"&amp;$AC206</f>
        <v/>
      </c>
      <c r="AE206" s="66">
        <f>IF($W206&lt;&gt;"","⚑ "&amp;$W206&amp;CHAR(10),"")&amp;TEXT($F206,"hh:mm")&amp;"-"&amp;TEXT($G206,"hh:mm")&amp;IF(OR($P206="Quinzaine A",AND($P206="Hebdo · groupes alternés",$C206="A"))," Q-A",IF(OR($P206="Quinzaine B",AND($P206="Hebdo · groupes alternés",$C206="B"))," Q-B",IF($P206="Exception"," PONCT.","")))&amp;IF($X206="Oui"," OPT","")&amp;CHAR(10)&amp;$K206&amp;CHAR(10)&amp;$M206&amp;IF($N206&lt;&gt;"",CHAR(10)&amp;"Salle "&amp;$N206,"")&amp;IF($O206="En ligne",CHAR(10)&amp;"EN LIGNE","")&amp;IF($V206&lt;&gt;"",CHAR(10)&amp;$V206,"")</f>
        <v/>
      </c>
      <c r="AF206" s="65" t="inlineStr">
        <is>
          <t>19h-21h عربية (Lobna)</t>
        </is>
      </c>
      <c r="AG206" s="65" t="inlineStr">
        <is>
          <t>du 21-09 jusquà le 27-09!L13</t>
        </is>
      </c>
    </row>
    <row r="207" ht="15" customHeight="1">
      <c r="A207" s="58" t="inlineStr">
        <is>
          <t>S2</t>
        </is>
      </c>
      <c r="B207" s="59" t="inlineStr">
        <is>
          <t>du 21 au 27 septembre 2026</t>
        </is>
      </c>
      <c r="C207" s="58" t="inlineStr">
        <is>
          <t>B</t>
        </is>
      </c>
      <c r="D207" s="60" t="n">
        <v>46291</v>
      </c>
      <c r="E207" s="58" t="inlineStr">
        <is>
          <t>Samedi</t>
        </is>
      </c>
      <c r="F207" s="61" t="n">
        <v>0.7083333333333334</v>
      </c>
      <c r="G207" s="61" t="n">
        <v>0.7916666666666666</v>
      </c>
      <c r="H207" s="62">
        <f>IF(OR($F207="",$G207=""),"",($G207-$F207)*24)</f>
        <v/>
      </c>
      <c r="I207" s="58" t="inlineStr">
        <is>
          <t>Primaire</t>
        </is>
      </c>
      <c r="J207" s="59" t="inlineStr">
        <is>
          <t>6éme (B)</t>
        </is>
      </c>
      <c r="K207" s="63" t="inlineStr">
        <is>
          <t>عربية</t>
        </is>
      </c>
      <c r="L207" s="63" t="inlineStr">
        <is>
          <t>Arabe</t>
        </is>
      </c>
      <c r="M207" s="59" t="inlineStr">
        <is>
          <t>Lobna</t>
        </is>
      </c>
      <c r="N207" s="58" t="n"/>
      <c r="O207" s="58" t="n"/>
      <c r="P207" s="58" t="inlineStr">
        <is>
          <t>Hebdomadaire</t>
        </is>
      </c>
      <c r="Q207" s="59" t="inlineStr"/>
      <c r="R207" s="58" t="n">
        <v>1</v>
      </c>
      <c r="S207" s="58" t="inlineStr">
        <is>
          <t>Oui</t>
        </is>
      </c>
      <c r="T207" s="58" t="inlineStr">
        <is>
          <t>S2-061</t>
        </is>
      </c>
      <c r="U207" s="59" t="inlineStr">
        <is>
          <t>Original (septembre)</t>
        </is>
      </c>
      <c r="V207" s="59" t="inlineStr"/>
      <c r="W207" s="10" t="n"/>
      <c r="X207" s="10" t="inlineStr"/>
      <c r="Y207" s="64">
        <f>IF($M207="","",IF(SUMPRODUCT(($D$4:$D$863=$D207)*($M$4:$M$863=$M207)*($T$4:$T$863&lt;&gt;$T207)*($F$4:$F$863&lt;$G207)*($G$4:$G$863&gt;$F207))&gt;0,"⚠ CONFLIT",""))</f>
        <v/>
      </c>
      <c r="Z207" s="64">
        <f>IF($J207="","",IF(SUMPRODUCT(($D$4:$D$863=$D207)*($J$4:$J$863=$J207)*($T$4:$T$863&lt;&gt;$T207)*($F$4:$F$863&lt;$G207)*($G$4:$G$863&gt;$F207)*(1-($X$4:$X$863="Oui")*($X207="Oui")))&gt;0,"⚠ CONFLIT",""))</f>
        <v/>
      </c>
      <c r="AA207" s="64">
        <f>IF(COUNTIFS($D$4:$D$863,$D207,$J$4:$J$863,$J207,$F$4:$F$863,$F207,$K$4:$K$863,$K207)&gt;1,"⚠ DOUBLON","")</f>
        <v/>
      </c>
      <c r="AB207" s="64">
        <f>IF(COUNTIF($T$4:$T$863,$T207)&lt;&gt;COUNTIFS($T$4:$T$863,$T207,$D$4:$D$863,$D207,$F$4:$F$863,$F207,$G$4:$G$863,$G207,$K$4:$K$863,$K207,$M$4:$M$863,$M207),"⚠ INCOHÉRENT","")</f>
        <v/>
      </c>
      <c r="AC207" s="64">
        <f>COUNTIFS($A$4:$A207,$A207,$J$4:$J207,$J207,$E$4:$E207,$E207)</f>
        <v/>
      </c>
      <c r="AD207" s="65">
        <f>$A207&amp;"|"&amp;$J207&amp;"|"&amp;$E207&amp;"|"&amp;$AC207</f>
        <v/>
      </c>
      <c r="AE207" s="66">
        <f>IF($W207&lt;&gt;"","⚑ "&amp;$W207&amp;CHAR(10),"")&amp;TEXT($F207,"hh:mm")&amp;"-"&amp;TEXT($G207,"hh:mm")&amp;IF(OR($P207="Quinzaine A",AND($P207="Hebdo · groupes alternés",$C207="A"))," Q-A",IF(OR($P207="Quinzaine B",AND($P207="Hebdo · groupes alternés",$C207="B"))," Q-B",IF($P207="Exception"," PONCT.","")))&amp;IF($X207="Oui"," OPT","")&amp;CHAR(10)&amp;$K207&amp;CHAR(10)&amp;$M207&amp;IF($N207&lt;&gt;"",CHAR(10)&amp;"Salle "&amp;$N207,"")&amp;IF($O207="En ligne",CHAR(10)&amp;"EN LIGNE","")&amp;IF($V207&lt;&gt;"",CHAR(10)&amp;$V207,"")</f>
        <v/>
      </c>
      <c r="AF207" s="65" t="inlineStr">
        <is>
          <t>17h-19h عربية (Lobna)</t>
        </is>
      </c>
      <c r="AG207" s="65" t="inlineStr">
        <is>
          <t>du 21-09 jusquà le 27-09!L17</t>
        </is>
      </c>
    </row>
    <row r="208" ht="15" customHeight="1">
      <c r="A208" s="68" t="inlineStr">
        <is>
          <t>S2</t>
        </is>
      </c>
      <c r="B208" s="69" t="inlineStr">
        <is>
          <t>du 21 au 27 septembre 2026</t>
        </is>
      </c>
      <c r="C208" s="68" t="inlineStr">
        <is>
          <t>B</t>
        </is>
      </c>
      <c r="D208" s="70" t="n">
        <v>46291</v>
      </c>
      <c r="E208" s="68" t="inlineStr">
        <is>
          <t>Samedi</t>
        </is>
      </c>
      <c r="F208" s="71" t="n">
        <v>0.75</v>
      </c>
      <c r="G208" s="71" t="n">
        <v>0.8125</v>
      </c>
      <c r="H208" s="72">
        <f>IF(OR($F208="",$G208=""),"",($G208-$F208)*24)</f>
        <v/>
      </c>
      <c r="I208" s="68" t="inlineStr">
        <is>
          <t>Collège</t>
        </is>
      </c>
      <c r="J208" s="69" t="inlineStr">
        <is>
          <t>7éme (A)</t>
        </is>
      </c>
      <c r="K208" s="63" t="inlineStr">
        <is>
          <t>Arabe</t>
        </is>
      </c>
      <c r="L208" s="63" t="inlineStr">
        <is>
          <t>Arabe</t>
        </is>
      </c>
      <c r="M208" s="69" t="inlineStr">
        <is>
          <t>Awatef</t>
        </is>
      </c>
      <c r="N208" s="68" t="n"/>
      <c r="O208" s="68" t="n"/>
      <c r="P208" s="68" t="inlineStr">
        <is>
          <t>Hebdomadaire</t>
        </is>
      </c>
      <c r="Q208" s="69" t="inlineStr"/>
      <c r="R208" s="68" t="n">
        <v>1</v>
      </c>
      <c r="S208" s="68" t="inlineStr">
        <is>
          <t>Oui</t>
        </is>
      </c>
      <c r="T208" s="68" t="inlineStr">
        <is>
          <t>S2-062</t>
        </is>
      </c>
      <c r="U208" s="69" t="inlineStr">
        <is>
          <t>Original (septembre)</t>
        </is>
      </c>
      <c r="V208" s="69" t="inlineStr"/>
      <c r="W208" s="10" t="n"/>
      <c r="X208" s="10" t="inlineStr"/>
      <c r="Y208" s="64">
        <f>IF($M208="","",IF(SUMPRODUCT(($D$4:$D$863=$D208)*($M$4:$M$863=$M208)*($T$4:$T$863&lt;&gt;$T208)*($F$4:$F$863&lt;$G208)*($G$4:$G$863&gt;$F208))&gt;0,"⚠ CONFLIT",""))</f>
        <v/>
      </c>
      <c r="Z208" s="64">
        <f>IF($J208="","",IF(SUMPRODUCT(($D$4:$D$863=$D208)*($J$4:$J$863=$J208)*($T$4:$T$863&lt;&gt;$T208)*($F$4:$F$863&lt;$G208)*($G$4:$G$863&gt;$F208)*(1-($X$4:$X$863="Oui")*($X208="Oui")))&gt;0,"⚠ CONFLIT",""))</f>
        <v/>
      </c>
      <c r="AA208" s="64">
        <f>IF(COUNTIFS($D$4:$D$863,$D208,$J$4:$J$863,$J208,$F$4:$F$863,$F208,$K$4:$K$863,$K208)&gt;1,"⚠ DOUBLON","")</f>
        <v/>
      </c>
      <c r="AB208" s="64">
        <f>IF(COUNTIF($T$4:$T$863,$T208)&lt;&gt;COUNTIFS($T$4:$T$863,$T208,$D$4:$D$863,$D208,$F$4:$F$863,$F208,$G$4:$G$863,$G208,$K$4:$K$863,$K208,$M$4:$M$863,$M208),"⚠ INCOHÉRENT","")</f>
        <v/>
      </c>
      <c r="AC208" s="64">
        <f>COUNTIFS($A$4:$A208,$A208,$J$4:$J208,$J208,$E$4:$E208,$E208)</f>
        <v/>
      </c>
      <c r="AD208" s="65">
        <f>$A208&amp;"|"&amp;$J208&amp;"|"&amp;$E208&amp;"|"&amp;$AC208</f>
        <v/>
      </c>
      <c r="AE208" s="66">
        <f>IF($W208&lt;&gt;"","⚑ "&amp;$W208&amp;CHAR(10),"")&amp;TEXT($F208,"hh:mm")&amp;"-"&amp;TEXT($G208,"hh:mm")&amp;IF(OR($P208="Quinzaine A",AND($P208="Hebdo · groupes alternés",$C208="A"))," Q-A",IF(OR($P208="Quinzaine B",AND($P208="Hebdo · groupes alternés",$C208="B"))," Q-B",IF($P208="Exception"," PONCT.","")))&amp;IF($X208="Oui"," OPT","")&amp;CHAR(10)&amp;$K208&amp;CHAR(10)&amp;$M208&amp;IF($N208&lt;&gt;"",CHAR(10)&amp;"Salle "&amp;$N208,"")&amp;IF($O208="En ligne",CHAR(10)&amp;"EN LIGNE","")&amp;IF($V208&lt;&gt;"",CHAR(10)&amp;$V208,"")</f>
        <v/>
      </c>
      <c r="AF208" s="65" t="inlineStr">
        <is>
          <t>18h-19h30 Arabe (Awatef)</t>
        </is>
      </c>
      <c r="AG208" s="65" t="inlineStr">
        <is>
          <t>du 21-09 jusquà le 27-09!L20</t>
        </is>
      </c>
    </row>
    <row r="209" ht="15" customHeight="1">
      <c r="A209" s="68" t="inlineStr">
        <is>
          <t>S2</t>
        </is>
      </c>
      <c r="B209" s="69" t="inlineStr">
        <is>
          <t>du 21 au 27 septembre 2026</t>
        </is>
      </c>
      <c r="C209" s="68" t="inlineStr">
        <is>
          <t>B</t>
        </is>
      </c>
      <c r="D209" s="70" t="n">
        <v>46291</v>
      </c>
      <c r="E209" s="68" t="inlineStr">
        <is>
          <t>Samedi</t>
        </is>
      </c>
      <c r="F209" s="71" t="n">
        <v>0.6666666666666666</v>
      </c>
      <c r="G209" s="71" t="n">
        <v>0.7291666666666666</v>
      </c>
      <c r="H209" s="72">
        <f>IF(OR($F209="",$G209=""),"",($G209-$F209)*24)</f>
        <v/>
      </c>
      <c r="I209" s="68" t="inlineStr">
        <is>
          <t>Collège</t>
        </is>
      </c>
      <c r="J209" s="69" t="inlineStr">
        <is>
          <t>7éme (B)</t>
        </is>
      </c>
      <c r="K209" s="88" t="inlineStr">
        <is>
          <t>SVT</t>
        </is>
      </c>
      <c r="L209" s="88" t="inlineStr">
        <is>
          <t>SVT</t>
        </is>
      </c>
      <c r="M209" s="69" t="inlineStr">
        <is>
          <t>Sabrine</t>
        </is>
      </c>
      <c r="N209" s="68" t="n"/>
      <c r="O209" s="68" t="n"/>
      <c r="P209" s="68" t="inlineStr">
        <is>
          <t>Hebdo · groupes alternés</t>
        </is>
      </c>
      <c r="Q209" s="69" t="inlineStr"/>
      <c r="R209" s="68" t="n">
        <v>1</v>
      </c>
      <c r="S209" s="68" t="inlineStr">
        <is>
          <t>Oui</t>
        </is>
      </c>
      <c r="T209" s="68" t="inlineStr">
        <is>
          <t>S2-063</t>
        </is>
      </c>
      <c r="U209" s="69" t="inlineStr">
        <is>
          <t>Original (septembre)</t>
        </is>
      </c>
      <c r="V209" s="69" t="inlineStr"/>
      <c r="W209" s="10" t="n"/>
      <c r="X209" s="10" t="inlineStr"/>
      <c r="Y209" s="64">
        <f>IF($M209="","",IF(SUMPRODUCT(($D$4:$D$863=$D209)*($M$4:$M$863=$M209)*($T$4:$T$863&lt;&gt;$T209)*($F$4:$F$863&lt;$G209)*($G$4:$G$863&gt;$F209))&gt;0,"⚠ CONFLIT",""))</f>
        <v/>
      </c>
      <c r="Z209" s="64">
        <f>IF($J209="","",IF(SUMPRODUCT(($D$4:$D$863=$D209)*($J$4:$J$863=$J209)*($T$4:$T$863&lt;&gt;$T209)*($F$4:$F$863&lt;$G209)*($G$4:$G$863&gt;$F209)*(1-($X$4:$X$863="Oui")*($X209="Oui")))&gt;0,"⚠ CONFLIT",""))</f>
        <v/>
      </c>
      <c r="AA209" s="64">
        <f>IF(COUNTIFS($D$4:$D$863,$D209,$J$4:$J$863,$J209,$F$4:$F$863,$F209,$K$4:$K$863,$K209)&gt;1,"⚠ DOUBLON","")</f>
        <v/>
      </c>
      <c r="AB209" s="64">
        <f>IF(COUNTIF($T$4:$T$863,$T209)&lt;&gt;COUNTIFS($T$4:$T$863,$T209,$D$4:$D$863,$D209,$F$4:$F$863,$F209,$G$4:$G$863,$G209,$K$4:$K$863,$K209,$M$4:$M$863,$M209),"⚠ INCOHÉRENT","")</f>
        <v/>
      </c>
      <c r="AC209" s="64">
        <f>COUNTIFS($A$4:$A209,$A209,$J$4:$J209,$J209,$E$4:$E209,$E209)</f>
        <v/>
      </c>
      <c r="AD209" s="65">
        <f>$A209&amp;"|"&amp;$J209&amp;"|"&amp;$E209&amp;"|"&amp;$AC209</f>
        <v/>
      </c>
      <c r="AE209" s="66">
        <f>IF($W209&lt;&gt;"","⚑ "&amp;$W209&amp;CHAR(10),"")&amp;TEXT($F209,"hh:mm")&amp;"-"&amp;TEXT($G209,"hh:mm")&amp;IF(OR($P209="Quinzaine A",AND($P209="Hebdo · groupes alternés",$C209="A"))," Q-A",IF(OR($P209="Quinzaine B",AND($P209="Hebdo · groupes alternés",$C209="B"))," Q-B",IF($P209="Exception"," PONCT.","")))&amp;IF($X209="Oui"," OPT","")&amp;CHAR(10)&amp;$K209&amp;CHAR(10)&amp;$M209&amp;IF($N209&lt;&gt;"",CHAR(10)&amp;"Salle "&amp;$N209,"")&amp;IF($O209="En ligne",CHAR(10)&amp;"EN LIGNE","")&amp;IF($V209&lt;&gt;"",CHAR(10)&amp;$V209,"")</f>
        <v/>
      </c>
      <c r="AF209" s="65" t="inlineStr">
        <is>
          <t>16h-17h30 SVT /par quinzaine (Sabrine)</t>
        </is>
      </c>
      <c r="AG209" s="65" t="inlineStr">
        <is>
          <t>du 21-09 jusquà le 27-09!L24</t>
        </is>
      </c>
    </row>
    <row r="210" ht="15" customHeight="1">
      <c r="A210" s="68" t="inlineStr">
        <is>
          <t>S2</t>
        </is>
      </c>
      <c r="B210" s="69" t="inlineStr">
        <is>
          <t>du 21 au 27 septembre 2026</t>
        </is>
      </c>
      <c r="C210" s="68" t="inlineStr">
        <is>
          <t>B</t>
        </is>
      </c>
      <c r="D210" s="70" t="n">
        <v>46291</v>
      </c>
      <c r="E210" s="68" t="inlineStr">
        <is>
          <t>Samedi</t>
        </is>
      </c>
      <c r="F210" s="71" t="n">
        <v>0.7291666666666666</v>
      </c>
      <c r="G210" s="71" t="n">
        <v>0.7916666666666666</v>
      </c>
      <c r="H210" s="72">
        <f>IF(OR($F210="",$G210=""),"",($G210-$F210)*24)</f>
        <v/>
      </c>
      <c r="I210" s="68" t="inlineStr">
        <is>
          <t>Collège</t>
        </is>
      </c>
      <c r="J210" s="69" t="inlineStr">
        <is>
          <t>8éme (A)</t>
        </is>
      </c>
      <c r="K210" s="87" t="inlineStr">
        <is>
          <t>Anglais</t>
        </is>
      </c>
      <c r="L210" s="87" t="inlineStr">
        <is>
          <t>Anglais</t>
        </is>
      </c>
      <c r="M210" s="69" t="inlineStr">
        <is>
          <t>Imen Ben Lazrak</t>
        </is>
      </c>
      <c r="N210" s="68" t="n"/>
      <c r="O210" s="68" t="n"/>
      <c r="P210" s="68" t="inlineStr">
        <is>
          <t>Hebdo · groupes alternés</t>
        </is>
      </c>
      <c r="Q210" s="69" t="inlineStr"/>
      <c r="R210" s="68" t="n">
        <v>1</v>
      </c>
      <c r="S210" s="68" t="inlineStr">
        <is>
          <t>Oui</t>
        </is>
      </c>
      <c r="T210" s="68" t="inlineStr">
        <is>
          <t>S2-064</t>
        </is>
      </c>
      <c r="U210" s="69" t="inlineStr">
        <is>
          <t>Original (septembre)</t>
        </is>
      </c>
      <c r="V210" s="69" t="inlineStr"/>
      <c r="W210" s="10" t="n"/>
      <c r="X210" s="10" t="inlineStr"/>
      <c r="Y210" s="64">
        <f>IF($M210="","",IF(SUMPRODUCT(($D$4:$D$863=$D210)*($M$4:$M$863=$M210)*($T$4:$T$863&lt;&gt;$T210)*($F$4:$F$863&lt;$G210)*($G$4:$G$863&gt;$F210))&gt;0,"⚠ CONFLIT",""))</f>
        <v/>
      </c>
      <c r="Z210" s="64">
        <f>IF($J210="","",IF(SUMPRODUCT(($D$4:$D$863=$D210)*($J$4:$J$863=$J210)*($T$4:$T$863&lt;&gt;$T210)*($F$4:$F$863&lt;$G210)*($G$4:$G$863&gt;$F210)*(1-($X$4:$X$863="Oui")*($X210="Oui")))&gt;0,"⚠ CONFLIT",""))</f>
        <v/>
      </c>
      <c r="AA210" s="64">
        <f>IF(COUNTIFS($D$4:$D$863,$D210,$J$4:$J$863,$J210,$F$4:$F$863,$F210,$K$4:$K$863,$K210)&gt;1,"⚠ DOUBLON","")</f>
        <v/>
      </c>
      <c r="AB210" s="64">
        <f>IF(COUNTIF($T$4:$T$863,$T210)&lt;&gt;COUNTIFS($T$4:$T$863,$T210,$D$4:$D$863,$D210,$F$4:$F$863,$F210,$G$4:$G$863,$G210,$K$4:$K$863,$K210,$M$4:$M$863,$M210),"⚠ INCOHÉRENT","")</f>
        <v/>
      </c>
      <c r="AC210" s="64">
        <f>COUNTIFS($A$4:$A210,$A210,$J$4:$J210,$J210,$E$4:$E210,$E210)</f>
        <v/>
      </c>
      <c r="AD210" s="65">
        <f>$A210&amp;"|"&amp;$J210&amp;"|"&amp;$E210&amp;"|"&amp;$AC210</f>
        <v/>
      </c>
      <c r="AE210" s="66">
        <f>IF($W210&lt;&gt;"","⚑ "&amp;$W210&amp;CHAR(10),"")&amp;TEXT($F210,"hh:mm")&amp;"-"&amp;TEXT($G210,"hh:mm")&amp;IF(OR($P210="Quinzaine A",AND($P210="Hebdo · groupes alternés",$C210="A"))," Q-A",IF(OR($P210="Quinzaine B",AND($P210="Hebdo · groupes alternés",$C210="B"))," Q-B",IF($P210="Exception"," PONCT.","")))&amp;IF($X210="Oui"," OPT","")&amp;CHAR(10)&amp;$K210&amp;CHAR(10)&amp;$M210&amp;IF($N210&lt;&gt;"",CHAR(10)&amp;"Salle "&amp;$N210,"")&amp;IF($O210="En ligne",CHAR(10)&amp;"EN LIGNE","")&amp;IF($V210&lt;&gt;"",CHAR(10)&amp;$V210,"")</f>
        <v/>
      </c>
      <c r="AF210" s="65" t="inlineStr">
        <is>
          <t>17h30-19h Anglais /par quinzaine (Imen Ben Lazrak)</t>
        </is>
      </c>
      <c r="AG210" s="65" t="inlineStr">
        <is>
          <t>du 21-09 jusquà le 27-09!L28</t>
        </is>
      </c>
    </row>
    <row r="211" ht="15" customHeight="1">
      <c r="A211" s="68" t="inlineStr">
        <is>
          <t>S2</t>
        </is>
      </c>
      <c r="B211" s="69" t="inlineStr">
        <is>
          <t>du 21 au 27 septembre 2026</t>
        </is>
      </c>
      <c r="C211" s="68" t="inlineStr">
        <is>
          <t>B</t>
        </is>
      </c>
      <c r="D211" s="70" t="n">
        <v>46291</v>
      </c>
      <c r="E211" s="68" t="inlineStr">
        <is>
          <t>Samedi</t>
        </is>
      </c>
      <c r="F211" s="71" t="n">
        <v>0.7291666666666666</v>
      </c>
      <c r="G211" s="71" t="n">
        <v>0.7916666666666666</v>
      </c>
      <c r="H211" s="72">
        <f>IF(OR($F211="",$G211=""),"",($G211-$F211)*24)</f>
        <v/>
      </c>
      <c r="I211" s="68" t="inlineStr">
        <is>
          <t>Collège</t>
        </is>
      </c>
      <c r="J211" s="69" t="inlineStr">
        <is>
          <t>8éme (B)</t>
        </is>
      </c>
      <c r="K211" s="88" t="inlineStr">
        <is>
          <t>SVT</t>
        </is>
      </c>
      <c r="L211" s="88" t="inlineStr">
        <is>
          <t>SVT</t>
        </is>
      </c>
      <c r="M211" s="69" t="inlineStr">
        <is>
          <t>Sabrine</t>
        </is>
      </c>
      <c r="N211" s="68" t="n"/>
      <c r="O211" s="68" t="n"/>
      <c r="P211" s="68" t="inlineStr">
        <is>
          <t>Hebdo · groupes alternés</t>
        </is>
      </c>
      <c r="Q211" s="69" t="inlineStr">
        <is>
          <t>8éme (B) + 8éme (C)</t>
        </is>
      </c>
      <c r="R211" s="68" t="n">
        <v>2</v>
      </c>
      <c r="S211" s="68" t="inlineStr">
        <is>
          <t>Oui</t>
        </is>
      </c>
      <c r="T211" s="68" t="inlineStr">
        <is>
          <t>S2-065</t>
        </is>
      </c>
      <c r="U211" s="69" t="inlineStr">
        <is>
          <t>Original (septembre)</t>
        </is>
      </c>
      <c r="V211" s="69" t="inlineStr"/>
      <c r="W211" s="10" t="n"/>
      <c r="X211" s="10" t="inlineStr"/>
      <c r="Y211" s="64">
        <f>IF($M211="","",IF(SUMPRODUCT(($D$4:$D$863=$D211)*($M$4:$M$863=$M211)*($T$4:$T$863&lt;&gt;$T211)*($F$4:$F$863&lt;$G211)*($G$4:$G$863&gt;$F211))&gt;0,"⚠ CONFLIT",""))</f>
        <v/>
      </c>
      <c r="Z211" s="64">
        <f>IF($J211="","",IF(SUMPRODUCT(($D$4:$D$863=$D211)*($J$4:$J$863=$J211)*($T$4:$T$863&lt;&gt;$T211)*($F$4:$F$863&lt;$G211)*($G$4:$G$863&gt;$F211)*(1-($X$4:$X$863="Oui")*($X211="Oui")))&gt;0,"⚠ CONFLIT",""))</f>
        <v/>
      </c>
      <c r="AA211" s="64">
        <f>IF(COUNTIFS($D$4:$D$863,$D211,$J$4:$J$863,$J211,$F$4:$F$863,$F211,$K$4:$K$863,$K211)&gt;1,"⚠ DOUBLON","")</f>
        <v/>
      </c>
      <c r="AB211" s="64">
        <f>IF(COUNTIF($T$4:$T$863,$T211)&lt;&gt;COUNTIFS($T$4:$T$863,$T211,$D$4:$D$863,$D211,$F$4:$F$863,$F211,$G$4:$G$863,$G211,$K$4:$K$863,$K211,$M$4:$M$863,$M211),"⚠ INCOHÉRENT","")</f>
        <v/>
      </c>
      <c r="AC211" s="64">
        <f>COUNTIFS($A$4:$A211,$A211,$J$4:$J211,$J211,$E$4:$E211,$E211)</f>
        <v/>
      </c>
      <c r="AD211" s="65">
        <f>$A211&amp;"|"&amp;$J211&amp;"|"&amp;$E211&amp;"|"&amp;$AC211</f>
        <v/>
      </c>
      <c r="AE211" s="66">
        <f>IF($W211&lt;&gt;"","⚑ "&amp;$W211&amp;CHAR(10),"")&amp;TEXT($F211,"hh:mm")&amp;"-"&amp;TEXT($G211,"hh:mm")&amp;IF(OR($P211="Quinzaine A",AND($P211="Hebdo · groupes alternés",$C211="A"))," Q-A",IF(OR($P211="Quinzaine B",AND($P211="Hebdo · groupes alternés",$C211="B"))," Q-B",IF($P211="Exception"," PONCT.","")))&amp;IF($X211="Oui"," OPT","")&amp;CHAR(10)&amp;$K211&amp;CHAR(10)&amp;$M211&amp;IF($N211&lt;&gt;"",CHAR(10)&amp;"Salle "&amp;$N211,"")&amp;IF($O211="En ligne",CHAR(10)&amp;"EN LIGNE","")&amp;IF($V211&lt;&gt;"",CHAR(10)&amp;$V211,"")</f>
        <v/>
      </c>
      <c r="AF211" s="65" t="inlineStr">
        <is>
          <t>17h30-19h SVT /par quinzaine (Sabrine)</t>
        </is>
      </c>
      <c r="AG211" s="65" t="inlineStr">
        <is>
          <t>du 21-09 jusquà le 27-09!L32</t>
        </is>
      </c>
    </row>
    <row r="212" ht="15" customHeight="1">
      <c r="A212" s="68" t="inlineStr">
        <is>
          <t>S2</t>
        </is>
      </c>
      <c r="B212" s="69" t="inlineStr">
        <is>
          <t>du 21 au 27 septembre 2026</t>
        </is>
      </c>
      <c r="C212" s="68" t="inlineStr">
        <is>
          <t>B</t>
        </is>
      </c>
      <c r="D212" s="70" t="n">
        <v>46291</v>
      </c>
      <c r="E212" s="68" t="inlineStr">
        <is>
          <t>Samedi</t>
        </is>
      </c>
      <c r="F212" s="71" t="n">
        <v>0.7291666666666666</v>
      </c>
      <c r="G212" s="71" t="n">
        <v>0.7916666666666666</v>
      </c>
      <c r="H212" s="72">
        <f>IF(OR($F212="",$G212=""),"",($G212-$F212)*24)</f>
        <v/>
      </c>
      <c r="I212" s="68" t="inlineStr">
        <is>
          <t>Collège</t>
        </is>
      </c>
      <c r="J212" s="69" t="inlineStr">
        <is>
          <t>8éme (C)</t>
        </is>
      </c>
      <c r="K212" s="88" t="inlineStr">
        <is>
          <t>SVT</t>
        </is>
      </c>
      <c r="L212" s="88" t="inlineStr">
        <is>
          <t>SVT</t>
        </is>
      </c>
      <c r="M212" s="69" t="inlineStr">
        <is>
          <t>Sabrine</t>
        </is>
      </c>
      <c r="N212" s="68" t="n"/>
      <c r="O212" s="68" t="n"/>
      <c r="P212" s="68" t="inlineStr">
        <is>
          <t>Hebdo · groupes alternés</t>
        </is>
      </c>
      <c r="Q212" s="69" t="inlineStr">
        <is>
          <t>8éme (B) + 8éme (C)</t>
        </is>
      </c>
      <c r="R212" s="68" t="n">
        <v>2</v>
      </c>
      <c r="S212" s="68" t="inlineStr"/>
      <c r="T212" s="68" t="inlineStr">
        <is>
          <t>S2-065</t>
        </is>
      </c>
      <c r="U212" s="69" t="inlineStr">
        <is>
          <t>Original (septembre)</t>
        </is>
      </c>
      <c r="V212" s="69" t="inlineStr"/>
      <c r="W212" s="10" t="n"/>
      <c r="X212" s="10" t="inlineStr"/>
      <c r="Y212" s="64">
        <f>IF($M212="","",IF(SUMPRODUCT(($D$4:$D$863=$D212)*($M$4:$M$863=$M212)*($T$4:$T$863&lt;&gt;$T212)*($F$4:$F$863&lt;$G212)*($G$4:$G$863&gt;$F212))&gt;0,"⚠ CONFLIT",""))</f>
        <v/>
      </c>
      <c r="Z212" s="64">
        <f>IF($J212="","",IF(SUMPRODUCT(($D$4:$D$863=$D212)*($J$4:$J$863=$J212)*($T$4:$T$863&lt;&gt;$T212)*($F$4:$F$863&lt;$G212)*($G$4:$G$863&gt;$F212)*(1-($X$4:$X$863="Oui")*($X212="Oui")))&gt;0,"⚠ CONFLIT",""))</f>
        <v/>
      </c>
      <c r="AA212" s="64">
        <f>IF(COUNTIFS($D$4:$D$863,$D212,$J$4:$J$863,$J212,$F$4:$F$863,$F212,$K$4:$K$863,$K212)&gt;1,"⚠ DOUBLON","")</f>
        <v/>
      </c>
      <c r="AB212" s="64">
        <f>IF(COUNTIF($T$4:$T$863,$T212)&lt;&gt;COUNTIFS($T$4:$T$863,$T212,$D$4:$D$863,$D212,$F$4:$F$863,$F212,$G$4:$G$863,$G212,$K$4:$K$863,$K212,$M$4:$M$863,$M212),"⚠ INCOHÉRENT","")</f>
        <v/>
      </c>
      <c r="AC212" s="64">
        <f>COUNTIFS($A$4:$A212,$A212,$J$4:$J212,$J212,$E$4:$E212,$E212)</f>
        <v/>
      </c>
      <c r="AD212" s="65">
        <f>$A212&amp;"|"&amp;$J212&amp;"|"&amp;$E212&amp;"|"&amp;$AC212</f>
        <v/>
      </c>
      <c r="AE212" s="66">
        <f>IF($W212&lt;&gt;"","⚑ "&amp;$W212&amp;CHAR(10),"")&amp;TEXT($F212,"hh:mm")&amp;"-"&amp;TEXT($G212,"hh:mm")&amp;IF(OR($P212="Quinzaine A",AND($P212="Hebdo · groupes alternés",$C212="A"))," Q-A",IF(OR($P212="Quinzaine B",AND($P212="Hebdo · groupes alternés",$C212="B"))," Q-B",IF($P212="Exception"," PONCT.","")))&amp;IF($X212="Oui"," OPT","")&amp;CHAR(10)&amp;$K212&amp;CHAR(10)&amp;$M212&amp;IF($N212&lt;&gt;"",CHAR(10)&amp;"Salle "&amp;$N212,"")&amp;IF($O212="En ligne",CHAR(10)&amp;"EN LIGNE","")&amp;IF($V212&lt;&gt;"",CHAR(10)&amp;$V212,"")</f>
        <v/>
      </c>
      <c r="AF212" s="65" t="inlineStr">
        <is>
          <t>17h30-19h SVT /par quinzaine (Sabrine)</t>
        </is>
      </c>
      <c r="AG212" s="65" t="inlineStr">
        <is>
          <t>du 21-09 jusquà le 27-09!L32</t>
        </is>
      </c>
    </row>
    <row r="213" ht="15" customHeight="1">
      <c r="A213" s="68" t="inlineStr">
        <is>
          <t>S2</t>
        </is>
      </c>
      <c r="B213" s="69" t="inlineStr">
        <is>
          <t>du 21 au 27 septembre 2026</t>
        </is>
      </c>
      <c r="C213" s="68" t="inlineStr">
        <is>
          <t>B</t>
        </is>
      </c>
      <c r="D213" s="70" t="n">
        <v>46291</v>
      </c>
      <c r="E213" s="68" t="inlineStr">
        <is>
          <t>Samedi</t>
        </is>
      </c>
      <c r="F213" s="71" t="n">
        <v>0.6875</v>
      </c>
      <c r="G213" s="71" t="n">
        <v>0.75</v>
      </c>
      <c r="H213" s="72">
        <f>IF(OR($F213="",$G213=""),"",($G213-$F213)*24)</f>
        <v/>
      </c>
      <c r="I213" s="68" t="inlineStr">
        <is>
          <t>Collège</t>
        </is>
      </c>
      <c r="J213" s="69" t="inlineStr">
        <is>
          <t>9éme (A)</t>
        </is>
      </c>
      <c r="K213" s="63" t="inlineStr">
        <is>
          <t>Arabe</t>
        </is>
      </c>
      <c r="L213" s="63" t="inlineStr">
        <is>
          <t>Arabe</t>
        </is>
      </c>
      <c r="M213" s="69" t="inlineStr">
        <is>
          <t>Awatef</t>
        </is>
      </c>
      <c r="N213" s="68" t="n"/>
      <c r="O213" s="68" t="n"/>
      <c r="P213" s="68" t="inlineStr">
        <is>
          <t>Hebdomadaire</t>
        </is>
      </c>
      <c r="Q213" s="69" t="inlineStr"/>
      <c r="R213" s="68" t="n">
        <v>1</v>
      </c>
      <c r="S213" s="68" t="inlineStr">
        <is>
          <t>Oui</t>
        </is>
      </c>
      <c r="T213" s="68" t="inlineStr">
        <is>
          <t>S2-066</t>
        </is>
      </c>
      <c r="U213" s="69" t="inlineStr">
        <is>
          <t>Original (septembre)</t>
        </is>
      </c>
      <c r="V213" s="69" t="inlineStr"/>
      <c r="W213" s="10" t="n"/>
      <c r="X213" s="10" t="inlineStr"/>
      <c r="Y213" s="64">
        <f>IF($M213="","",IF(SUMPRODUCT(($D$4:$D$863=$D213)*($M$4:$M$863=$M213)*($T$4:$T$863&lt;&gt;$T213)*($F$4:$F$863&lt;$G213)*($G$4:$G$863&gt;$F213))&gt;0,"⚠ CONFLIT",""))</f>
        <v/>
      </c>
      <c r="Z213" s="64">
        <f>IF($J213="","",IF(SUMPRODUCT(($D$4:$D$863=$D213)*($J$4:$J$863=$J213)*($T$4:$T$863&lt;&gt;$T213)*($F$4:$F$863&lt;$G213)*($G$4:$G$863&gt;$F213)*(1-($X$4:$X$863="Oui")*($X213="Oui")))&gt;0,"⚠ CONFLIT",""))</f>
        <v/>
      </c>
      <c r="AA213" s="64">
        <f>IF(COUNTIFS($D$4:$D$863,$D213,$J$4:$J$863,$J213,$F$4:$F$863,$F213,$K$4:$K$863,$K213)&gt;1,"⚠ DOUBLON","")</f>
        <v/>
      </c>
      <c r="AB213" s="64">
        <f>IF(COUNTIF($T$4:$T$863,$T213)&lt;&gt;COUNTIFS($T$4:$T$863,$T213,$D$4:$D$863,$D213,$F$4:$F$863,$F213,$G$4:$G$863,$G213,$K$4:$K$863,$K213,$M$4:$M$863,$M213),"⚠ INCOHÉRENT","")</f>
        <v/>
      </c>
      <c r="AC213" s="64">
        <f>COUNTIFS($A$4:$A213,$A213,$J$4:$J213,$J213,$E$4:$E213,$E213)</f>
        <v/>
      </c>
      <c r="AD213" s="65">
        <f>$A213&amp;"|"&amp;$J213&amp;"|"&amp;$E213&amp;"|"&amp;$AC213</f>
        <v/>
      </c>
      <c r="AE213" s="66">
        <f>IF($W213&lt;&gt;"","⚑ "&amp;$W213&amp;CHAR(10),"")&amp;TEXT($F213,"hh:mm")&amp;"-"&amp;TEXT($G213,"hh:mm")&amp;IF(OR($P213="Quinzaine A",AND($P213="Hebdo · groupes alternés",$C213="A"))," Q-A",IF(OR($P213="Quinzaine B",AND($P213="Hebdo · groupes alternés",$C213="B"))," Q-B",IF($P213="Exception"," PONCT.","")))&amp;IF($X213="Oui"," OPT","")&amp;CHAR(10)&amp;$K213&amp;CHAR(10)&amp;$M213&amp;IF($N213&lt;&gt;"",CHAR(10)&amp;"Salle "&amp;$N213,"")&amp;IF($O213="En ligne",CHAR(10)&amp;"EN LIGNE","")&amp;IF($V213&lt;&gt;"",CHAR(10)&amp;$V213,"")</f>
        <v/>
      </c>
      <c r="AF213" s="65" t="inlineStr">
        <is>
          <t>16h30-18h Arabe (Awatef)</t>
        </is>
      </c>
      <c r="AG213" s="65" t="inlineStr">
        <is>
          <t>du 21-09 jusquà le 27-09!L37</t>
        </is>
      </c>
    </row>
    <row r="214" ht="15" customHeight="1">
      <c r="A214" s="68" t="inlineStr">
        <is>
          <t>S2</t>
        </is>
      </c>
      <c r="B214" s="69" t="inlineStr">
        <is>
          <t>du 21 au 27 septembre 2026</t>
        </is>
      </c>
      <c r="C214" s="68" t="inlineStr">
        <is>
          <t>B</t>
        </is>
      </c>
      <c r="D214" s="70" t="n">
        <v>46291</v>
      </c>
      <c r="E214" s="68" t="inlineStr">
        <is>
          <t>Samedi</t>
        </is>
      </c>
      <c r="F214" s="71" t="n">
        <v>0.7291666666666666</v>
      </c>
      <c r="G214" s="71" t="n">
        <v>0.7916666666666666</v>
      </c>
      <c r="H214" s="72">
        <f>IF(OR($F214="",$G214=""),"",($G214-$F214)*24)</f>
        <v/>
      </c>
      <c r="I214" s="68" t="inlineStr">
        <is>
          <t>Collège</t>
        </is>
      </c>
      <c r="J214" s="69" t="inlineStr">
        <is>
          <t>9éme (B)</t>
        </is>
      </c>
      <c r="K214" s="79" t="inlineStr">
        <is>
          <t>Math</t>
        </is>
      </c>
      <c r="L214" s="79" t="inlineStr">
        <is>
          <t>Math</t>
        </is>
      </c>
      <c r="M214" s="69" t="inlineStr">
        <is>
          <t>Hajer</t>
        </is>
      </c>
      <c r="N214" s="68" t="n"/>
      <c r="O214" s="68" t="n"/>
      <c r="P214" s="68" t="inlineStr">
        <is>
          <t>Hebdomadaire</t>
        </is>
      </c>
      <c r="Q214" s="69" t="inlineStr"/>
      <c r="R214" s="68" t="n">
        <v>1</v>
      </c>
      <c r="S214" s="68" t="inlineStr">
        <is>
          <t>Oui</t>
        </is>
      </c>
      <c r="T214" s="68" t="inlineStr">
        <is>
          <t>S2-067</t>
        </is>
      </c>
      <c r="U214" s="69" t="inlineStr">
        <is>
          <t>Original (septembre)</t>
        </is>
      </c>
      <c r="V214" s="69" t="inlineStr"/>
      <c r="W214" s="10" t="n"/>
      <c r="X214" s="10" t="inlineStr"/>
      <c r="Y214" s="64">
        <f>IF($M214="","",IF(SUMPRODUCT(($D$4:$D$863=$D214)*($M$4:$M$863=$M214)*($T$4:$T$863&lt;&gt;$T214)*($F$4:$F$863&lt;$G214)*($G$4:$G$863&gt;$F214))&gt;0,"⚠ CONFLIT",""))</f>
        <v/>
      </c>
      <c r="Z214" s="64">
        <f>IF($J214="","",IF(SUMPRODUCT(($D$4:$D$863=$D214)*($J$4:$J$863=$J214)*($T$4:$T$863&lt;&gt;$T214)*($F$4:$F$863&lt;$G214)*($G$4:$G$863&gt;$F214)*(1-($X$4:$X$863="Oui")*($X214="Oui")))&gt;0,"⚠ CONFLIT",""))</f>
        <v/>
      </c>
      <c r="AA214" s="64">
        <f>IF(COUNTIFS($D$4:$D$863,$D214,$J$4:$J$863,$J214,$F$4:$F$863,$F214,$K$4:$K$863,$K214)&gt;1,"⚠ DOUBLON","")</f>
        <v/>
      </c>
      <c r="AB214" s="64">
        <f>IF(COUNTIF($T$4:$T$863,$T214)&lt;&gt;COUNTIFS($T$4:$T$863,$T214,$D$4:$D$863,$D214,$F$4:$F$863,$F214,$G$4:$G$863,$G214,$K$4:$K$863,$K214,$M$4:$M$863,$M214),"⚠ INCOHÉRENT","")</f>
        <v/>
      </c>
      <c r="AC214" s="64">
        <f>COUNTIFS($A$4:$A214,$A214,$J$4:$J214,$J214,$E$4:$E214,$E214)</f>
        <v/>
      </c>
      <c r="AD214" s="65">
        <f>$A214&amp;"|"&amp;$J214&amp;"|"&amp;$E214&amp;"|"&amp;$AC214</f>
        <v/>
      </c>
      <c r="AE214" s="66">
        <f>IF($W214&lt;&gt;"","⚑ "&amp;$W214&amp;CHAR(10),"")&amp;TEXT($F214,"hh:mm")&amp;"-"&amp;TEXT($G214,"hh:mm")&amp;IF(OR($P214="Quinzaine A",AND($P214="Hebdo · groupes alternés",$C214="A"))," Q-A",IF(OR($P214="Quinzaine B",AND($P214="Hebdo · groupes alternés",$C214="B"))," Q-B",IF($P214="Exception"," PONCT.","")))&amp;IF($X214="Oui"," OPT","")&amp;CHAR(10)&amp;$K214&amp;CHAR(10)&amp;$M214&amp;IF($N214&lt;&gt;"",CHAR(10)&amp;"Salle "&amp;$N214,"")&amp;IF($O214="En ligne",CHAR(10)&amp;"EN LIGNE","")&amp;IF($V214&lt;&gt;"",CHAR(10)&amp;$V214,"")</f>
        <v/>
      </c>
      <c r="AF214" s="65" t="inlineStr">
        <is>
          <t>17h30-19h Math (Hajer)</t>
        </is>
      </c>
      <c r="AG214" s="65" t="inlineStr">
        <is>
          <t>du 21-09 jusquà le 27-09!L44</t>
        </is>
      </c>
    </row>
    <row r="215" ht="15" customHeight="1">
      <c r="A215" s="68" t="inlineStr">
        <is>
          <t>S2</t>
        </is>
      </c>
      <c r="B215" s="69" t="inlineStr">
        <is>
          <t>du 21 au 27 septembre 2026</t>
        </is>
      </c>
      <c r="C215" s="68" t="inlineStr">
        <is>
          <t>B</t>
        </is>
      </c>
      <c r="D215" s="70" t="n">
        <v>46291</v>
      </c>
      <c r="E215" s="68" t="inlineStr">
        <is>
          <t>Samedi</t>
        </is>
      </c>
      <c r="F215" s="71" t="n">
        <v>0.7916666666666666</v>
      </c>
      <c r="G215" s="71" t="n">
        <v>0.8541666666666666</v>
      </c>
      <c r="H215" s="72">
        <f>IF(OR($F215="",$G215=""),"",($G215-$F215)*24)</f>
        <v/>
      </c>
      <c r="I215" s="68" t="inlineStr">
        <is>
          <t>Collège</t>
        </is>
      </c>
      <c r="J215" s="69" t="inlineStr">
        <is>
          <t>9éme (C)</t>
        </is>
      </c>
      <c r="K215" s="79" t="inlineStr">
        <is>
          <t>Math</t>
        </is>
      </c>
      <c r="L215" s="79" t="inlineStr">
        <is>
          <t>Math</t>
        </is>
      </c>
      <c r="M215" s="69" t="inlineStr">
        <is>
          <t>Hajer</t>
        </is>
      </c>
      <c r="N215" s="68" t="n"/>
      <c r="O215" s="68" t="n"/>
      <c r="P215" s="68" t="inlineStr">
        <is>
          <t>Hebdomadaire</t>
        </is>
      </c>
      <c r="Q215" s="69" t="inlineStr"/>
      <c r="R215" s="68" t="n">
        <v>1</v>
      </c>
      <c r="S215" s="68" t="inlineStr">
        <is>
          <t>Oui</t>
        </is>
      </c>
      <c r="T215" s="68" t="inlineStr">
        <is>
          <t>S2-068</t>
        </is>
      </c>
      <c r="U215" s="69" t="inlineStr">
        <is>
          <t>Original (septembre)</t>
        </is>
      </c>
      <c r="V215" s="69" t="inlineStr"/>
      <c r="W215" s="10" t="n"/>
      <c r="X215" s="10" t="inlineStr"/>
      <c r="Y215" s="64">
        <f>IF($M215="","",IF(SUMPRODUCT(($D$4:$D$863=$D215)*($M$4:$M$863=$M215)*($T$4:$T$863&lt;&gt;$T215)*($F$4:$F$863&lt;$G215)*($G$4:$G$863&gt;$F215))&gt;0,"⚠ CONFLIT",""))</f>
        <v/>
      </c>
      <c r="Z215" s="64">
        <f>IF($J215="","",IF(SUMPRODUCT(($D$4:$D$863=$D215)*($J$4:$J$863=$J215)*($T$4:$T$863&lt;&gt;$T215)*($F$4:$F$863&lt;$G215)*($G$4:$G$863&gt;$F215)*(1-($X$4:$X$863="Oui")*($X215="Oui")))&gt;0,"⚠ CONFLIT",""))</f>
        <v/>
      </c>
      <c r="AA215" s="64">
        <f>IF(COUNTIFS($D$4:$D$863,$D215,$J$4:$J$863,$J215,$F$4:$F$863,$F215,$K$4:$K$863,$K215)&gt;1,"⚠ DOUBLON","")</f>
        <v/>
      </c>
      <c r="AB215" s="64">
        <f>IF(COUNTIF($T$4:$T$863,$T215)&lt;&gt;COUNTIFS($T$4:$T$863,$T215,$D$4:$D$863,$D215,$F$4:$F$863,$F215,$G$4:$G$863,$G215,$K$4:$K$863,$K215,$M$4:$M$863,$M215),"⚠ INCOHÉRENT","")</f>
        <v/>
      </c>
      <c r="AC215" s="64">
        <f>COUNTIFS($A$4:$A215,$A215,$J$4:$J215,$J215,$E$4:$E215,$E215)</f>
        <v/>
      </c>
      <c r="AD215" s="65">
        <f>$A215&amp;"|"&amp;$J215&amp;"|"&amp;$E215&amp;"|"&amp;$AC215</f>
        <v/>
      </c>
      <c r="AE215" s="66">
        <f>IF($W215&lt;&gt;"","⚑ "&amp;$W215&amp;CHAR(10),"")&amp;TEXT($F215,"hh:mm")&amp;"-"&amp;TEXT($G215,"hh:mm")&amp;IF(OR($P215="Quinzaine A",AND($P215="Hebdo · groupes alternés",$C215="A"))," Q-A",IF(OR($P215="Quinzaine B",AND($P215="Hebdo · groupes alternés",$C215="B"))," Q-B",IF($P215="Exception"," PONCT.","")))&amp;IF($X215="Oui"," OPT","")&amp;CHAR(10)&amp;$K215&amp;CHAR(10)&amp;$M215&amp;IF($N215&lt;&gt;"",CHAR(10)&amp;"Salle "&amp;$N215,"")&amp;IF($O215="En ligne",CHAR(10)&amp;"EN LIGNE","")&amp;IF($V215&lt;&gt;"",CHAR(10)&amp;$V215,"")</f>
        <v/>
      </c>
      <c r="AF215" s="65" t="inlineStr">
        <is>
          <t>19h-20h30 Math (Hajer)</t>
        </is>
      </c>
      <c r="AG215" s="65" t="inlineStr">
        <is>
          <t>du 21-09 jusquà le 27-09!L47</t>
        </is>
      </c>
    </row>
    <row r="216" ht="15" customHeight="1">
      <c r="A216" s="74" t="inlineStr">
        <is>
          <t>S2</t>
        </is>
      </c>
      <c r="B216" s="75" t="inlineStr">
        <is>
          <t>du 21 au 27 septembre 2026</t>
        </is>
      </c>
      <c r="C216" s="74" t="inlineStr">
        <is>
          <t>B</t>
        </is>
      </c>
      <c r="D216" s="76" t="n">
        <v>46291</v>
      </c>
      <c r="E216" s="74" t="inlineStr">
        <is>
          <t>Samedi</t>
        </is>
      </c>
      <c r="F216" s="77" t="n">
        <v>0.6458333333333334</v>
      </c>
      <c r="G216" s="77" t="n">
        <v>0.7083333333333334</v>
      </c>
      <c r="H216" s="78">
        <f>IF(OR($F216="",$G216=""),"",($G216-$F216)*24)</f>
        <v/>
      </c>
      <c r="I216" s="74" t="inlineStr">
        <is>
          <t>Secondaire</t>
        </is>
      </c>
      <c r="J216" s="75" t="inlineStr">
        <is>
          <t>2éme Eco</t>
        </is>
      </c>
      <c r="K216" s="97" t="inlineStr">
        <is>
          <t>Géographie</t>
        </is>
      </c>
      <c r="L216" s="97" t="inlineStr">
        <is>
          <t>Géographie</t>
        </is>
      </c>
      <c r="M216" s="75" t="inlineStr">
        <is>
          <t>Abdelwaheb</t>
        </is>
      </c>
      <c r="N216" s="74" t="n"/>
      <c r="O216" s="74" t="n"/>
      <c r="P216" s="74" t="inlineStr">
        <is>
          <t>Quinzaine B</t>
        </is>
      </c>
      <c r="Q216" s="75" t="inlineStr"/>
      <c r="R216" s="74" t="n">
        <v>1</v>
      </c>
      <c r="S216" s="74" t="inlineStr">
        <is>
          <t>Oui</t>
        </is>
      </c>
      <c r="T216" s="74" t="inlineStr">
        <is>
          <t>S2-069</t>
        </is>
      </c>
      <c r="U216" s="75" t="inlineStr">
        <is>
          <t>Original (septembre)</t>
        </is>
      </c>
      <c r="V216" s="75" t="inlineStr"/>
      <c r="W216" s="10" t="n"/>
      <c r="X216" s="10" t="inlineStr"/>
      <c r="Y216" s="64">
        <f>IF($M216="","",IF(SUMPRODUCT(($D$4:$D$863=$D216)*($M$4:$M$863=$M216)*($T$4:$T$863&lt;&gt;$T216)*($F$4:$F$863&lt;$G216)*($G$4:$G$863&gt;$F216))&gt;0,"⚠ CONFLIT",""))</f>
        <v/>
      </c>
      <c r="Z216" s="64">
        <f>IF($J216="","",IF(SUMPRODUCT(($D$4:$D$863=$D216)*($J$4:$J$863=$J216)*($T$4:$T$863&lt;&gt;$T216)*($F$4:$F$863&lt;$G216)*($G$4:$G$863&gt;$F216)*(1-($X$4:$X$863="Oui")*($X216="Oui")))&gt;0,"⚠ CONFLIT",""))</f>
        <v/>
      </c>
      <c r="AA216" s="64">
        <f>IF(COUNTIFS($D$4:$D$863,$D216,$J$4:$J$863,$J216,$F$4:$F$863,$F216,$K$4:$K$863,$K216)&gt;1,"⚠ DOUBLON","")</f>
        <v/>
      </c>
      <c r="AB216" s="64">
        <f>IF(COUNTIF($T$4:$T$863,$T216)&lt;&gt;COUNTIFS($T$4:$T$863,$T216,$D$4:$D$863,$D216,$F$4:$F$863,$F216,$G$4:$G$863,$G216,$K$4:$K$863,$K216,$M$4:$M$863,$M216),"⚠ INCOHÉRENT","")</f>
        <v/>
      </c>
      <c r="AC216" s="64">
        <f>COUNTIFS($A$4:$A216,$A216,$J$4:$J216,$J216,$E$4:$E216,$E216)</f>
        <v/>
      </c>
      <c r="AD216" s="65">
        <f>$A216&amp;"|"&amp;$J216&amp;"|"&amp;$E216&amp;"|"&amp;$AC216</f>
        <v/>
      </c>
      <c r="AE216" s="66">
        <f>IF($W216&lt;&gt;"","⚑ "&amp;$W216&amp;CHAR(10),"")&amp;TEXT($F216,"hh:mm")&amp;"-"&amp;TEXT($G216,"hh:mm")&amp;IF(OR($P216="Quinzaine A",AND($P216="Hebdo · groupes alternés",$C216="A"))," Q-A",IF(OR($P216="Quinzaine B",AND($P216="Hebdo · groupes alternés",$C216="B"))," Q-B",IF($P216="Exception"," PONCT.","")))&amp;IF($X216="Oui"," OPT","")&amp;CHAR(10)&amp;$K216&amp;CHAR(10)&amp;$M216&amp;IF($N216&lt;&gt;"",CHAR(10)&amp;"Salle "&amp;$N216,"")&amp;IF($O216="En ligne",CHAR(10)&amp;"EN LIGNE","")&amp;IF($V216&lt;&gt;"",CHAR(10)&amp;$V216,"")</f>
        <v/>
      </c>
      <c r="AF216" s="65" t="inlineStr">
        <is>
          <t>15h30-17h Géographie (Abdelwaheb)</t>
        </is>
      </c>
      <c r="AG216" s="65" t="inlineStr">
        <is>
          <t>du 21-09 jusquà le 27-09!L60</t>
        </is>
      </c>
    </row>
    <row r="217" ht="15" customHeight="1">
      <c r="A217" s="74" t="inlineStr">
        <is>
          <t>S2</t>
        </is>
      </c>
      <c r="B217" s="75" t="inlineStr">
        <is>
          <t>du 21 au 27 septembre 2026</t>
        </is>
      </c>
      <c r="C217" s="74" t="inlineStr">
        <is>
          <t>B</t>
        </is>
      </c>
      <c r="D217" s="76" t="n">
        <v>46291</v>
      </c>
      <c r="E217" s="74" t="inlineStr">
        <is>
          <t>Samedi</t>
        </is>
      </c>
      <c r="F217" s="77" t="n">
        <v>0.6666666666666666</v>
      </c>
      <c r="G217" s="77" t="n">
        <v>0.7291666666666666</v>
      </c>
      <c r="H217" s="78">
        <f>IF(OR($F217="",$G217=""),"",($G217-$F217)*24)</f>
        <v/>
      </c>
      <c r="I217" s="74" t="inlineStr">
        <is>
          <t>Secondaire</t>
        </is>
      </c>
      <c r="J217" s="75" t="inlineStr">
        <is>
          <t>2éme SCE</t>
        </is>
      </c>
      <c r="K217" s="88" t="inlineStr">
        <is>
          <t>SVT</t>
        </is>
      </c>
      <c r="L217" s="88" t="inlineStr">
        <is>
          <t>SVT</t>
        </is>
      </c>
      <c r="M217" s="75" t="inlineStr">
        <is>
          <t>Rym</t>
        </is>
      </c>
      <c r="N217" s="74" t="n"/>
      <c r="O217" s="74" t="n"/>
      <c r="P217" s="74" t="inlineStr">
        <is>
          <t>Hebdomadaire</t>
        </is>
      </c>
      <c r="Q217" s="75" t="inlineStr"/>
      <c r="R217" s="74" t="n">
        <v>1</v>
      </c>
      <c r="S217" s="74" t="inlineStr">
        <is>
          <t>Oui</t>
        </is>
      </c>
      <c r="T217" s="74" t="inlineStr">
        <is>
          <t>S2-070</t>
        </is>
      </c>
      <c r="U217" s="75" t="inlineStr">
        <is>
          <t>Original (septembre)</t>
        </is>
      </c>
      <c r="V217" s="75" t="inlineStr"/>
      <c r="W217" s="10" t="n"/>
      <c r="X217" s="10" t="inlineStr"/>
      <c r="Y217" s="64">
        <f>IF($M217="","",IF(SUMPRODUCT(($D$4:$D$863=$D217)*($M$4:$M$863=$M217)*($T$4:$T$863&lt;&gt;$T217)*($F$4:$F$863&lt;$G217)*($G$4:$G$863&gt;$F217))&gt;0,"⚠ CONFLIT",""))</f>
        <v/>
      </c>
      <c r="Z217" s="64">
        <f>IF($J217="","",IF(SUMPRODUCT(($D$4:$D$863=$D217)*($J$4:$J$863=$J217)*($T$4:$T$863&lt;&gt;$T217)*($F$4:$F$863&lt;$G217)*($G$4:$G$863&gt;$F217)*(1-($X$4:$X$863="Oui")*($X217="Oui")))&gt;0,"⚠ CONFLIT",""))</f>
        <v/>
      </c>
      <c r="AA217" s="64">
        <f>IF(COUNTIFS($D$4:$D$863,$D217,$J$4:$J$863,$J217,$F$4:$F$863,$F217,$K$4:$K$863,$K217)&gt;1,"⚠ DOUBLON","")</f>
        <v/>
      </c>
      <c r="AB217" s="64">
        <f>IF(COUNTIF($T$4:$T$863,$T217)&lt;&gt;COUNTIFS($T$4:$T$863,$T217,$D$4:$D$863,$D217,$F$4:$F$863,$F217,$G$4:$G$863,$G217,$K$4:$K$863,$K217,$M$4:$M$863,$M217),"⚠ INCOHÉRENT","")</f>
        <v/>
      </c>
      <c r="AC217" s="64">
        <f>COUNTIFS($A$4:$A217,$A217,$J$4:$J217,$J217,$E$4:$E217,$E217)</f>
        <v/>
      </c>
      <c r="AD217" s="65">
        <f>$A217&amp;"|"&amp;$J217&amp;"|"&amp;$E217&amp;"|"&amp;$AC217</f>
        <v/>
      </c>
      <c r="AE217" s="66">
        <f>IF($W217&lt;&gt;"","⚑ "&amp;$W217&amp;CHAR(10),"")&amp;TEXT($F217,"hh:mm")&amp;"-"&amp;TEXT($G217,"hh:mm")&amp;IF(OR($P217="Quinzaine A",AND($P217="Hebdo · groupes alternés",$C217="A"))," Q-A",IF(OR($P217="Quinzaine B",AND($P217="Hebdo · groupes alternés",$C217="B"))," Q-B",IF($P217="Exception"," PONCT.","")))&amp;IF($X217="Oui"," OPT","")&amp;CHAR(10)&amp;$K217&amp;CHAR(10)&amp;$M217&amp;IF($N217&lt;&gt;"",CHAR(10)&amp;"Salle "&amp;$N217,"")&amp;IF($O217="En ligne",CHAR(10)&amp;"EN LIGNE","")&amp;IF($V217&lt;&gt;"",CHAR(10)&amp;$V217,"")</f>
        <v/>
      </c>
      <c r="AF217" s="65" t="inlineStr">
        <is>
          <t>16h-17h30 SVT (Rym)</t>
        </is>
      </c>
      <c r="AG217" s="65" t="inlineStr">
        <is>
          <t>du 21-09 jusquà le 27-09!L62</t>
        </is>
      </c>
    </row>
    <row r="218" ht="15" customHeight="1">
      <c r="A218" s="74" t="inlineStr">
        <is>
          <t>S2</t>
        </is>
      </c>
      <c r="B218" s="75" t="inlineStr">
        <is>
          <t>du 21 au 27 septembre 2026</t>
        </is>
      </c>
      <c r="C218" s="74" t="inlineStr">
        <is>
          <t>B</t>
        </is>
      </c>
      <c r="D218" s="76" t="n">
        <v>46291</v>
      </c>
      <c r="E218" s="74" t="inlineStr">
        <is>
          <t>Samedi</t>
        </is>
      </c>
      <c r="F218" s="77" t="n">
        <v>0.7083333333333334</v>
      </c>
      <c r="G218" s="77" t="n">
        <v>0.7708333333333334</v>
      </c>
      <c r="H218" s="78">
        <f>IF(OR($F218="",$G218=""),"",($G218-$F218)*24)</f>
        <v/>
      </c>
      <c r="I218" s="74" t="inlineStr">
        <is>
          <t>Secondaire</t>
        </is>
      </c>
      <c r="J218" s="75" t="inlineStr">
        <is>
          <t>3éme Eco</t>
        </is>
      </c>
      <c r="K218" s="97" t="inlineStr">
        <is>
          <t>Géographie</t>
        </is>
      </c>
      <c r="L218" s="97" t="inlineStr">
        <is>
          <t>Géographie</t>
        </is>
      </c>
      <c r="M218" s="75" t="inlineStr">
        <is>
          <t>Abdelwaheb</t>
        </is>
      </c>
      <c r="N218" s="74" t="n"/>
      <c r="O218" s="74" t="n"/>
      <c r="P218" s="74" t="inlineStr">
        <is>
          <t>Quinzaine B</t>
        </is>
      </c>
      <c r="Q218" s="75" t="inlineStr"/>
      <c r="R218" s="74" t="n">
        <v>1</v>
      </c>
      <c r="S218" s="74" t="inlineStr">
        <is>
          <t>Oui</t>
        </is>
      </c>
      <c r="T218" s="74" t="inlineStr">
        <is>
          <t>S2-071</t>
        </is>
      </c>
      <c r="U218" s="75" t="inlineStr">
        <is>
          <t>Original (septembre)</t>
        </is>
      </c>
      <c r="V218" s="75" t="inlineStr"/>
      <c r="W218" s="10" t="n"/>
      <c r="X218" s="10" t="inlineStr"/>
      <c r="Y218" s="64">
        <f>IF($M218="","",IF(SUMPRODUCT(($D$4:$D$863=$D218)*($M$4:$M$863=$M218)*($T$4:$T$863&lt;&gt;$T218)*($F$4:$F$863&lt;$G218)*($G$4:$G$863&gt;$F218))&gt;0,"⚠ CONFLIT",""))</f>
        <v/>
      </c>
      <c r="Z218" s="64">
        <f>IF($J218="","",IF(SUMPRODUCT(($D$4:$D$863=$D218)*($J$4:$J$863=$J218)*($T$4:$T$863&lt;&gt;$T218)*($F$4:$F$863&lt;$G218)*($G$4:$G$863&gt;$F218)*(1-($X$4:$X$863="Oui")*($X218="Oui")))&gt;0,"⚠ CONFLIT",""))</f>
        <v/>
      </c>
      <c r="AA218" s="64">
        <f>IF(COUNTIFS($D$4:$D$863,$D218,$J$4:$J$863,$J218,$F$4:$F$863,$F218,$K$4:$K$863,$K218)&gt;1,"⚠ DOUBLON","")</f>
        <v/>
      </c>
      <c r="AB218" s="64">
        <f>IF(COUNTIF($T$4:$T$863,$T218)&lt;&gt;COUNTIFS($T$4:$T$863,$T218,$D$4:$D$863,$D218,$F$4:$F$863,$F218,$G$4:$G$863,$G218,$K$4:$K$863,$K218,$M$4:$M$863,$M218),"⚠ INCOHÉRENT","")</f>
        <v/>
      </c>
      <c r="AC218" s="64">
        <f>COUNTIFS($A$4:$A218,$A218,$J$4:$J218,$J218,$E$4:$E218,$E218)</f>
        <v/>
      </c>
      <c r="AD218" s="65">
        <f>$A218&amp;"|"&amp;$J218&amp;"|"&amp;$E218&amp;"|"&amp;$AC218</f>
        <v/>
      </c>
      <c r="AE218" s="66">
        <f>IF($W218&lt;&gt;"","⚑ "&amp;$W218&amp;CHAR(10),"")&amp;TEXT($F218,"hh:mm")&amp;"-"&amp;TEXT($G218,"hh:mm")&amp;IF(OR($P218="Quinzaine A",AND($P218="Hebdo · groupes alternés",$C218="A"))," Q-A",IF(OR($P218="Quinzaine B",AND($P218="Hebdo · groupes alternés",$C218="B"))," Q-B",IF($P218="Exception"," PONCT.","")))&amp;IF($X218="Oui"," OPT","")&amp;CHAR(10)&amp;$K218&amp;CHAR(10)&amp;$M218&amp;IF($N218&lt;&gt;"",CHAR(10)&amp;"Salle "&amp;$N218,"")&amp;IF($O218="En ligne",CHAR(10)&amp;"EN LIGNE","")&amp;IF($V218&lt;&gt;"",CHAR(10)&amp;$V218,"")</f>
        <v/>
      </c>
      <c r="AF218" s="65" t="inlineStr">
        <is>
          <t>17h-18h30 Géographie (Abdelwaheb)</t>
        </is>
      </c>
      <c r="AG218" s="65" t="inlineStr">
        <is>
          <t>du 21-09 jusquà le 27-09!L67</t>
        </is>
      </c>
    </row>
    <row r="219" ht="15" customHeight="1">
      <c r="A219" s="74" t="inlineStr">
        <is>
          <t>S2</t>
        </is>
      </c>
      <c r="B219" s="75" t="inlineStr">
        <is>
          <t>du 21 au 27 septembre 2026</t>
        </is>
      </c>
      <c r="C219" s="74" t="inlineStr">
        <is>
          <t>B</t>
        </is>
      </c>
      <c r="D219" s="76" t="n">
        <v>46291</v>
      </c>
      <c r="E219" s="74" t="inlineStr">
        <is>
          <t>Samedi</t>
        </is>
      </c>
      <c r="F219" s="77" t="n">
        <v>0.625</v>
      </c>
      <c r="G219" s="77" t="n">
        <v>0.7083333333333334</v>
      </c>
      <c r="H219" s="78">
        <f>IF(OR($F219="",$G219=""),"",($G219-$F219)*24)</f>
        <v/>
      </c>
      <c r="I219" s="74" t="inlineStr">
        <is>
          <t>Secondaire</t>
        </is>
      </c>
      <c r="J219" s="75" t="inlineStr">
        <is>
          <t>3éme INFO</t>
        </is>
      </c>
      <c r="K219" s="94" t="inlineStr">
        <is>
          <t>ALGO</t>
        </is>
      </c>
      <c r="L219" s="94" t="inlineStr">
        <is>
          <t>ALGO</t>
        </is>
      </c>
      <c r="M219" s="75" t="inlineStr">
        <is>
          <t>Aymen</t>
        </is>
      </c>
      <c r="N219" s="74" t="n"/>
      <c r="O219" s="74" t="n"/>
      <c r="P219" s="74" t="inlineStr">
        <is>
          <t>Hebdomadaire</t>
        </is>
      </c>
      <c r="Q219" s="75" t="inlineStr"/>
      <c r="R219" s="74" t="n">
        <v>1</v>
      </c>
      <c r="S219" s="74" t="inlineStr">
        <is>
          <t>Oui</t>
        </is>
      </c>
      <c r="T219" s="74" t="inlineStr">
        <is>
          <t>S2-072</t>
        </is>
      </c>
      <c r="U219" s="75" t="inlineStr">
        <is>
          <t>Original (septembre)</t>
        </is>
      </c>
      <c r="V219" s="75" t="inlineStr"/>
      <c r="W219" s="10" t="n"/>
      <c r="X219" s="10" t="inlineStr"/>
      <c r="Y219" s="64">
        <f>IF($M219="","",IF(SUMPRODUCT(($D$4:$D$863=$D219)*($M$4:$M$863=$M219)*($T$4:$T$863&lt;&gt;$T219)*($F$4:$F$863&lt;$G219)*($G$4:$G$863&gt;$F219))&gt;0,"⚠ CONFLIT",""))</f>
        <v/>
      </c>
      <c r="Z219" s="64">
        <f>IF($J219="","",IF(SUMPRODUCT(($D$4:$D$863=$D219)*($J$4:$J$863=$J219)*($T$4:$T$863&lt;&gt;$T219)*($F$4:$F$863&lt;$G219)*($G$4:$G$863&gt;$F219)*(1-($X$4:$X$863="Oui")*($X219="Oui")))&gt;0,"⚠ CONFLIT",""))</f>
        <v/>
      </c>
      <c r="AA219" s="64">
        <f>IF(COUNTIFS($D$4:$D$863,$D219,$J$4:$J$863,$J219,$F$4:$F$863,$F219,$K$4:$K$863,$K219)&gt;1,"⚠ DOUBLON","")</f>
        <v/>
      </c>
      <c r="AB219" s="64">
        <f>IF(COUNTIF($T$4:$T$863,$T219)&lt;&gt;COUNTIFS($T$4:$T$863,$T219,$D$4:$D$863,$D219,$F$4:$F$863,$F219,$G$4:$G$863,$G219,$K$4:$K$863,$K219,$M$4:$M$863,$M219),"⚠ INCOHÉRENT","")</f>
        <v/>
      </c>
      <c r="AC219" s="64">
        <f>COUNTIFS($A$4:$A219,$A219,$J$4:$J219,$J219,$E$4:$E219,$E219)</f>
        <v/>
      </c>
      <c r="AD219" s="65">
        <f>$A219&amp;"|"&amp;$J219&amp;"|"&amp;$E219&amp;"|"&amp;$AC219</f>
        <v/>
      </c>
      <c r="AE219" s="66">
        <f>IF($W219&lt;&gt;"","⚑ "&amp;$W219&amp;CHAR(10),"")&amp;TEXT($F219,"hh:mm")&amp;"-"&amp;TEXT($G219,"hh:mm")&amp;IF(OR($P219="Quinzaine A",AND($P219="Hebdo · groupes alternés",$C219="A"))," Q-A",IF(OR($P219="Quinzaine B",AND($P219="Hebdo · groupes alternés",$C219="B"))," Q-B",IF($P219="Exception"," PONCT.","")))&amp;IF($X219="Oui"," OPT","")&amp;CHAR(10)&amp;$K219&amp;CHAR(10)&amp;$M219&amp;IF($N219&lt;&gt;"",CHAR(10)&amp;"Salle "&amp;$N219,"")&amp;IF($O219="En ligne",CHAR(10)&amp;"EN LIGNE","")&amp;IF($V219&lt;&gt;"",CHAR(10)&amp;$V219,"")</f>
        <v/>
      </c>
      <c r="AF219" s="65" t="inlineStr">
        <is>
          <t>15h-17h ALGO (Aymen)</t>
        </is>
      </c>
      <c r="AG219" s="65" t="inlineStr">
        <is>
          <t>du 21-09 jusquà le 27-09!L69</t>
        </is>
      </c>
    </row>
    <row r="220" ht="15" customHeight="1">
      <c r="A220" s="74" t="inlineStr">
        <is>
          <t>S2</t>
        </is>
      </c>
      <c r="B220" s="75" t="inlineStr">
        <is>
          <t>du 21 au 27 septembre 2026</t>
        </is>
      </c>
      <c r="C220" s="74" t="inlineStr">
        <is>
          <t>B</t>
        </is>
      </c>
      <c r="D220" s="76" t="n">
        <v>46291</v>
      </c>
      <c r="E220" s="74" t="inlineStr">
        <is>
          <t>Samedi</t>
        </is>
      </c>
      <c r="F220" s="77" t="n">
        <v>0.7291666666666666</v>
      </c>
      <c r="G220" s="77" t="n">
        <v>0.7916666666666666</v>
      </c>
      <c r="H220" s="78">
        <f>IF(OR($F220="",$G220=""),"",($G220-$F220)*24)</f>
        <v/>
      </c>
      <c r="I220" s="74" t="inlineStr">
        <is>
          <t>Secondaire</t>
        </is>
      </c>
      <c r="J220" s="75" t="inlineStr">
        <is>
          <t>3éme SCE</t>
        </is>
      </c>
      <c r="K220" s="88" t="inlineStr">
        <is>
          <t>SVT</t>
        </is>
      </c>
      <c r="L220" s="88" t="inlineStr">
        <is>
          <t>SVT</t>
        </is>
      </c>
      <c r="M220" s="75" t="inlineStr">
        <is>
          <t>Rym</t>
        </is>
      </c>
      <c r="N220" s="74" t="n"/>
      <c r="O220" s="74" t="n"/>
      <c r="P220" s="74" t="inlineStr">
        <is>
          <t>Hebdomadaire</t>
        </is>
      </c>
      <c r="Q220" s="75" t="inlineStr"/>
      <c r="R220" s="74" t="n">
        <v>1</v>
      </c>
      <c r="S220" s="74" t="inlineStr">
        <is>
          <t>Oui</t>
        </is>
      </c>
      <c r="T220" s="74" t="inlineStr">
        <is>
          <t>S2-073</t>
        </is>
      </c>
      <c r="U220" s="75" t="inlineStr">
        <is>
          <t>Original (septembre)</t>
        </is>
      </c>
      <c r="V220" s="75" t="inlineStr"/>
      <c r="W220" s="10" t="n"/>
      <c r="X220" s="10" t="inlineStr"/>
      <c r="Y220" s="64">
        <f>IF($M220="","",IF(SUMPRODUCT(($D$4:$D$863=$D220)*($M$4:$M$863=$M220)*($T$4:$T$863&lt;&gt;$T220)*($F$4:$F$863&lt;$G220)*($G$4:$G$863&gt;$F220))&gt;0,"⚠ CONFLIT",""))</f>
        <v/>
      </c>
      <c r="Z220" s="64">
        <f>IF($J220="","",IF(SUMPRODUCT(($D$4:$D$863=$D220)*($J$4:$J$863=$J220)*($T$4:$T$863&lt;&gt;$T220)*($F$4:$F$863&lt;$G220)*($G$4:$G$863&gt;$F220)*(1-($X$4:$X$863="Oui")*($X220="Oui")))&gt;0,"⚠ CONFLIT",""))</f>
        <v/>
      </c>
      <c r="AA220" s="64">
        <f>IF(COUNTIFS($D$4:$D$863,$D220,$J$4:$J$863,$J220,$F$4:$F$863,$F220,$K$4:$K$863,$K220)&gt;1,"⚠ DOUBLON","")</f>
        <v/>
      </c>
      <c r="AB220" s="64">
        <f>IF(COUNTIF($T$4:$T$863,$T220)&lt;&gt;COUNTIFS($T$4:$T$863,$T220,$D$4:$D$863,$D220,$F$4:$F$863,$F220,$G$4:$G$863,$G220,$K$4:$K$863,$K220,$M$4:$M$863,$M220),"⚠ INCOHÉRENT","")</f>
        <v/>
      </c>
      <c r="AC220" s="64">
        <f>COUNTIFS($A$4:$A220,$A220,$J$4:$J220,$J220,$E$4:$E220,$E220)</f>
        <v/>
      </c>
      <c r="AD220" s="65">
        <f>$A220&amp;"|"&amp;$J220&amp;"|"&amp;$E220&amp;"|"&amp;$AC220</f>
        <v/>
      </c>
      <c r="AE220" s="66">
        <f>IF($W220&lt;&gt;"","⚑ "&amp;$W220&amp;CHAR(10),"")&amp;TEXT($F220,"hh:mm")&amp;"-"&amp;TEXT($G220,"hh:mm")&amp;IF(OR($P220="Quinzaine A",AND($P220="Hebdo · groupes alternés",$C220="A"))," Q-A",IF(OR($P220="Quinzaine B",AND($P220="Hebdo · groupes alternés",$C220="B"))," Q-B",IF($P220="Exception"," PONCT.","")))&amp;IF($X220="Oui"," OPT","")&amp;CHAR(10)&amp;$K220&amp;CHAR(10)&amp;$M220&amp;IF($N220&lt;&gt;"",CHAR(10)&amp;"Salle "&amp;$N220,"")&amp;IF($O220="En ligne",CHAR(10)&amp;"EN LIGNE","")&amp;IF($V220&lt;&gt;"",CHAR(10)&amp;$V220,"")</f>
        <v/>
      </c>
      <c r="AF220" s="65" t="inlineStr">
        <is>
          <t>17h30-19h SVT (Rym)</t>
        </is>
      </c>
      <c r="AG220" s="65" t="inlineStr">
        <is>
          <t>du 21-09 jusquà le 27-09!L73</t>
        </is>
      </c>
    </row>
    <row r="221" ht="15" customHeight="1">
      <c r="A221" s="81" t="inlineStr">
        <is>
          <t>S2</t>
        </is>
      </c>
      <c r="B221" s="82" t="inlineStr">
        <is>
          <t>du 21 au 27 septembre 2026</t>
        </is>
      </c>
      <c r="C221" s="81" t="inlineStr">
        <is>
          <t>B</t>
        </is>
      </c>
      <c r="D221" s="83" t="n">
        <v>46291</v>
      </c>
      <c r="E221" s="81" t="inlineStr">
        <is>
          <t>Samedi</t>
        </is>
      </c>
      <c r="F221" s="84" t="n">
        <v>0.7708333333333334</v>
      </c>
      <c r="G221" s="84" t="n">
        <v>0.8333333333333334</v>
      </c>
      <c r="H221" s="85">
        <f>IF(OR($F221="",$G221=""),"",($G221-$F221)*24)</f>
        <v/>
      </c>
      <c r="I221" s="81" t="inlineStr">
        <is>
          <t>Bac</t>
        </is>
      </c>
      <c r="J221" s="82" t="inlineStr">
        <is>
          <t>Bac Eco</t>
        </is>
      </c>
      <c r="K221" s="97" t="inlineStr">
        <is>
          <t>Géographie</t>
        </is>
      </c>
      <c r="L221" s="97" t="inlineStr">
        <is>
          <t>Géographie</t>
        </is>
      </c>
      <c r="M221" s="82" t="inlineStr">
        <is>
          <t>Abdelwaheb</t>
        </is>
      </c>
      <c r="N221" s="81" t="n"/>
      <c r="O221" s="81" t="n"/>
      <c r="P221" s="81" t="inlineStr">
        <is>
          <t>Quinzaine B</t>
        </is>
      </c>
      <c r="Q221" s="82" t="inlineStr"/>
      <c r="R221" s="81" t="n">
        <v>1</v>
      </c>
      <c r="S221" s="81" t="inlineStr">
        <is>
          <t>Oui</t>
        </is>
      </c>
      <c r="T221" s="81" t="inlineStr">
        <is>
          <t>S2-074</t>
        </is>
      </c>
      <c r="U221" s="82" t="inlineStr">
        <is>
          <t>Original (septembre)</t>
        </is>
      </c>
      <c r="V221" s="82" t="inlineStr"/>
      <c r="W221" s="10" t="n"/>
      <c r="X221" s="10" t="inlineStr"/>
      <c r="Y221" s="64">
        <f>IF($M221="","",IF(SUMPRODUCT(($D$4:$D$863=$D221)*($M$4:$M$863=$M221)*($T$4:$T$863&lt;&gt;$T221)*($F$4:$F$863&lt;$G221)*($G$4:$G$863&gt;$F221))&gt;0,"⚠ CONFLIT",""))</f>
        <v/>
      </c>
      <c r="Z221" s="64">
        <f>IF($J221="","",IF(SUMPRODUCT(($D$4:$D$863=$D221)*($J$4:$J$863=$J221)*($T$4:$T$863&lt;&gt;$T221)*($F$4:$F$863&lt;$G221)*($G$4:$G$863&gt;$F221)*(1-($X$4:$X$863="Oui")*($X221="Oui")))&gt;0,"⚠ CONFLIT",""))</f>
        <v/>
      </c>
      <c r="AA221" s="64">
        <f>IF(COUNTIFS($D$4:$D$863,$D221,$J$4:$J$863,$J221,$F$4:$F$863,$F221,$K$4:$K$863,$K221)&gt;1,"⚠ DOUBLON","")</f>
        <v/>
      </c>
      <c r="AB221" s="64">
        <f>IF(COUNTIF($T$4:$T$863,$T221)&lt;&gt;COUNTIFS($T$4:$T$863,$T221,$D$4:$D$863,$D221,$F$4:$F$863,$F221,$G$4:$G$863,$G221,$K$4:$K$863,$K221,$M$4:$M$863,$M221),"⚠ INCOHÉRENT","")</f>
        <v/>
      </c>
      <c r="AC221" s="64">
        <f>COUNTIFS($A$4:$A221,$A221,$J$4:$J221,$J221,$E$4:$E221,$E221)</f>
        <v/>
      </c>
      <c r="AD221" s="65">
        <f>$A221&amp;"|"&amp;$J221&amp;"|"&amp;$E221&amp;"|"&amp;$AC221</f>
        <v/>
      </c>
      <c r="AE221" s="66">
        <f>IF($W221&lt;&gt;"","⚑ "&amp;$W221&amp;CHAR(10),"")&amp;TEXT($F221,"hh:mm")&amp;"-"&amp;TEXT($G221,"hh:mm")&amp;IF(OR($P221="Quinzaine A",AND($P221="Hebdo · groupes alternés",$C221="A"))," Q-A",IF(OR($P221="Quinzaine B",AND($P221="Hebdo · groupes alternés",$C221="B"))," Q-B",IF($P221="Exception"," PONCT.","")))&amp;IF($X221="Oui"," OPT","")&amp;CHAR(10)&amp;$K221&amp;CHAR(10)&amp;$M221&amp;IF($N221&lt;&gt;"",CHAR(10)&amp;"Salle "&amp;$N221,"")&amp;IF($O221="En ligne",CHAR(10)&amp;"EN LIGNE","")&amp;IF($V221&lt;&gt;"",CHAR(10)&amp;$V221,"")</f>
        <v/>
      </c>
      <c r="AF221" s="65" t="inlineStr">
        <is>
          <t>18h30-20h Géographie (Abdelwaheb)</t>
        </is>
      </c>
      <c r="AG221" s="65" t="inlineStr">
        <is>
          <t>du 21-09 jusquà le 27-09!L75</t>
        </is>
      </c>
    </row>
    <row r="222" ht="15" customHeight="1">
      <c r="A222" s="81" t="inlineStr">
        <is>
          <t>S2</t>
        </is>
      </c>
      <c r="B222" s="82" t="inlineStr">
        <is>
          <t>du 21 au 27 septembre 2026</t>
        </is>
      </c>
      <c r="C222" s="81" t="inlineStr">
        <is>
          <t>B</t>
        </is>
      </c>
      <c r="D222" s="83" t="n">
        <v>46291</v>
      </c>
      <c r="E222" s="81" t="inlineStr">
        <is>
          <t>Samedi</t>
        </is>
      </c>
      <c r="F222" s="84" t="n">
        <v>0.7916666666666666</v>
      </c>
      <c r="G222" s="84" t="n">
        <v>0.8541666666666666</v>
      </c>
      <c r="H222" s="85">
        <f>IF(OR($F222="",$G222=""),"",($G222-$F222)*24)</f>
        <v/>
      </c>
      <c r="I222" s="81" t="inlineStr">
        <is>
          <t>Bac</t>
        </is>
      </c>
      <c r="J222" s="82" t="inlineStr">
        <is>
          <t>Bac SCE</t>
        </is>
      </c>
      <c r="K222" s="88" t="inlineStr">
        <is>
          <t>SVT</t>
        </is>
      </c>
      <c r="L222" s="88" t="inlineStr">
        <is>
          <t>SVT</t>
        </is>
      </c>
      <c r="M222" s="82" t="inlineStr">
        <is>
          <t>Rym</t>
        </is>
      </c>
      <c r="N222" s="81" t="n"/>
      <c r="O222" s="81" t="n"/>
      <c r="P222" s="81" t="inlineStr">
        <is>
          <t>Hebdomadaire</t>
        </is>
      </c>
      <c r="Q222" s="82" t="inlineStr"/>
      <c r="R222" s="81" t="n">
        <v>1</v>
      </c>
      <c r="S222" s="81" t="inlineStr">
        <is>
          <t>Oui</t>
        </is>
      </c>
      <c r="T222" s="81" t="inlineStr">
        <is>
          <t>S2-075</t>
        </is>
      </c>
      <c r="U222" s="82" t="inlineStr">
        <is>
          <t>Original (septembre)</t>
        </is>
      </c>
      <c r="V222" s="82" t="inlineStr"/>
      <c r="W222" s="10" t="n"/>
      <c r="X222" s="10" t="inlineStr"/>
      <c r="Y222" s="64">
        <f>IF($M222="","",IF(SUMPRODUCT(($D$4:$D$863=$D222)*($M$4:$M$863=$M222)*($T$4:$T$863&lt;&gt;$T222)*($F$4:$F$863&lt;$G222)*($G$4:$G$863&gt;$F222))&gt;0,"⚠ CONFLIT",""))</f>
        <v/>
      </c>
      <c r="Z222" s="64">
        <f>IF($J222="","",IF(SUMPRODUCT(($D$4:$D$863=$D222)*($J$4:$J$863=$J222)*($T$4:$T$863&lt;&gt;$T222)*($F$4:$F$863&lt;$G222)*($G$4:$G$863&gt;$F222)*(1-($X$4:$X$863="Oui")*($X222="Oui")))&gt;0,"⚠ CONFLIT",""))</f>
        <v/>
      </c>
      <c r="AA222" s="64">
        <f>IF(COUNTIFS($D$4:$D$863,$D222,$J$4:$J$863,$J222,$F$4:$F$863,$F222,$K$4:$K$863,$K222)&gt;1,"⚠ DOUBLON","")</f>
        <v/>
      </c>
      <c r="AB222" s="64">
        <f>IF(COUNTIF($T$4:$T$863,$T222)&lt;&gt;COUNTIFS($T$4:$T$863,$T222,$D$4:$D$863,$D222,$F$4:$F$863,$F222,$G$4:$G$863,$G222,$K$4:$K$863,$K222,$M$4:$M$863,$M222),"⚠ INCOHÉRENT","")</f>
        <v/>
      </c>
      <c r="AC222" s="64">
        <f>COUNTIFS($A$4:$A222,$A222,$J$4:$J222,$J222,$E$4:$E222,$E222)</f>
        <v/>
      </c>
      <c r="AD222" s="65">
        <f>$A222&amp;"|"&amp;$J222&amp;"|"&amp;$E222&amp;"|"&amp;$AC222</f>
        <v/>
      </c>
      <c r="AE222" s="66">
        <f>IF($W222&lt;&gt;"","⚑ "&amp;$W222&amp;CHAR(10),"")&amp;TEXT($F222,"hh:mm")&amp;"-"&amp;TEXT($G222,"hh:mm")&amp;IF(OR($P222="Quinzaine A",AND($P222="Hebdo · groupes alternés",$C222="A"))," Q-A",IF(OR($P222="Quinzaine B",AND($P222="Hebdo · groupes alternés",$C222="B"))," Q-B",IF($P222="Exception"," PONCT.","")))&amp;IF($X222="Oui"," OPT","")&amp;CHAR(10)&amp;$K222&amp;CHAR(10)&amp;$M222&amp;IF($N222&lt;&gt;"",CHAR(10)&amp;"Salle "&amp;$N222,"")&amp;IF($O222="En ligne",CHAR(10)&amp;"EN LIGNE","")&amp;IF($V222&lt;&gt;"",CHAR(10)&amp;$V222,"")</f>
        <v/>
      </c>
      <c r="AF222" s="65" t="inlineStr">
        <is>
          <t>19h-20h30 SVT (Rym)</t>
        </is>
      </c>
      <c r="AG222" s="65" t="inlineStr">
        <is>
          <t>du 21-09 jusquà le 27-09!L81</t>
        </is>
      </c>
    </row>
    <row r="223" ht="15" customHeight="1">
      <c r="A223" s="81" t="inlineStr">
        <is>
          <t>S2</t>
        </is>
      </c>
      <c r="B223" s="82" t="inlineStr">
        <is>
          <t>du 21 au 27 septembre 2026</t>
        </is>
      </c>
      <c r="C223" s="81" t="inlineStr">
        <is>
          <t>B</t>
        </is>
      </c>
      <c r="D223" s="83" t="n">
        <v>46291</v>
      </c>
      <c r="E223" s="81" t="inlineStr">
        <is>
          <t>Samedi</t>
        </is>
      </c>
      <c r="F223" s="84" t="n">
        <v>0.7916666666666666</v>
      </c>
      <c r="G223" s="84" t="n">
        <v>0.875</v>
      </c>
      <c r="H223" s="85">
        <f>IF(OR($F223="",$G223=""),"",($G223-$F223)*24)</f>
        <v/>
      </c>
      <c r="I223" s="81" t="inlineStr">
        <is>
          <t>Bac</t>
        </is>
      </c>
      <c r="J223" s="82" t="inlineStr">
        <is>
          <t>Bac INFO</t>
        </is>
      </c>
      <c r="K223" s="94" t="inlineStr">
        <is>
          <t>ALGO</t>
        </is>
      </c>
      <c r="L223" s="94" t="inlineStr">
        <is>
          <t>ALGO</t>
        </is>
      </c>
      <c r="M223" s="82" t="inlineStr">
        <is>
          <t>Heni</t>
        </is>
      </c>
      <c r="N223" s="81" t="n"/>
      <c r="O223" s="81" t="n"/>
      <c r="P223" s="81" t="inlineStr">
        <is>
          <t>Hebdomadaire</t>
        </is>
      </c>
      <c r="Q223" s="82" t="inlineStr"/>
      <c r="R223" s="81" t="n">
        <v>1</v>
      </c>
      <c r="S223" s="81" t="inlineStr">
        <is>
          <t>Oui</t>
        </is>
      </c>
      <c r="T223" s="81" t="inlineStr">
        <is>
          <t>S2-076</t>
        </is>
      </c>
      <c r="U223" s="82" t="inlineStr">
        <is>
          <t>Original (septembre)</t>
        </is>
      </c>
      <c r="V223" s="82" t="inlineStr"/>
      <c r="W223" s="10" t="n"/>
      <c r="X223" s="10" t="inlineStr"/>
      <c r="Y223" s="64">
        <f>IF($M223="","",IF(SUMPRODUCT(($D$4:$D$863=$D223)*($M$4:$M$863=$M223)*($T$4:$T$863&lt;&gt;$T223)*($F$4:$F$863&lt;$G223)*($G$4:$G$863&gt;$F223))&gt;0,"⚠ CONFLIT",""))</f>
        <v/>
      </c>
      <c r="Z223" s="64">
        <f>IF($J223="","",IF(SUMPRODUCT(($D$4:$D$863=$D223)*($J$4:$J$863=$J223)*($T$4:$T$863&lt;&gt;$T223)*($F$4:$F$863&lt;$G223)*($G$4:$G$863&gt;$F223)*(1-($X$4:$X$863="Oui")*($X223="Oui")))&gt;0,"⚠ CONFLIT",""))</f>
        <v/>
      </c>
      <c r="AA223" s="64">
        <f>IF(COUNTIFS($D$4:$D$863,$D223,$J$4:$J$863,$J223,$F$4:$F$863,$F223,$K$4:$K$863,$K223)&gt;1,"⚠ DOUBLON","")</f>
        <v/>
      </c>
      <c r="AB223" s="64">
        <f>IF(COUNTIF($T$4:$T$863,$T223)&lt;&gt;COUNTIFS($T$4:$T$863,$T223,$D$4:$D$863,$D223,$F$4:$F$863,$F223,$G$4:$G$863,$G223,$K$4:$K$863,$K223,$M$4:$M$863,$M223),"⚠ INCOHÉRENT","")</f>
        <v/>
      </c>
      <c r="AC223" s="64">
        <f>COUNTIFS($A$4:$A223,$A223,$J$4:$J223,$J223,$E$4:$E223,$E223)</f>
        <v/>
      </c>
      <c r="AD223" s="65">
        <f>$A223&amp;"|"&amp;$J223&amp;"|"&amp;$E223&amp;"|"&amp;$AC223</f>
        <v/>
      </c>
      <c r="AE223" s="66">
        <f>IF($W223&lt;&gt;"","⚑ "&amp;$W223&amp;CHAR(10),"")&amp;TEXT($F223,"hh:mm")&amp;"-"&amp;TEXT($G223,"hh:mm")&amp;IF(OR($P223="Quinzaine A",AND($P223="Hebdo · groupes alternés",$C223="A"))," Q-A",IF(OR($P223="Quinzaine B",AND($P223="Hebdo · groupes alternés",$C223="B"))," Q-B",IF($P223="Exception"," PONCT.","")))&amp;IF($X223="Oui"," OPT","")&amp;CHAR(10)&amp;$K223&amp;CHAR(10)&amp;$M223&amp;IF($N223&lt;&gt;"",CHAR(10)&amp;"Salle "&amp;$N223,"")&amp;IF($O223="En ligne",CHAR(10)&amp;"EN LIGNE","")&amp;IF($V223&lt;&gt;"",CHAR(10)&amp;$V223,"")</f>
        <v/>
      </c>
      <c r="AF223" s="65" t="inlineStr">
        <is>
          <t>19h-21h ALGO (Heni)</t>
        </is>
      </c>
      <c r="AG223" s="65" t="inlineStr">
        <is>
          <t>du 21-09 jusquà le 27-09!L85</t>
        </is>
      </c>
    </row>
    <row r="224" ht="15" customHeight="1">
      <c r="A224" s="58" t="inlineStr">
        <is>
          <t>S2</t>
        </is>
      </c>
      <c r="B224" s="59" t="inlineStr">
        <is>
          <t>du 21 au 27 septembre 2026</t>
        </is>
      </c>
      <c r="C224" s="58" t="inlineStr">
        <is>
          <t>B</t>
        </is>
      </c>
      <c r="D224" s="60" t="n">
        <v>46292</v>
      </c>
      <c r="E224" s="58" t="inlineStr">
        <is>
          <t>Dimanche</t>
        </is>
      </c>
      <c r="F224" s="61" t="n">
        <v>0.4375</v>
      </c>
      <c r="G224" s="61" t="n">
        <v>0.5</v>
      </c>
      <c r="H224" s="62">
        <f>IF(OR($F224="",$G224=""),"",($G224-$F224)*24)</f>
        <v/>
      </c>
      <c r="I224" s="58" t="inlineStr">
        <is>
          <t>Primaire</t>
        </is>
      </c>
      <c r="J224" s="59" t="inlineStr">
        <is>
          <t>5éme</t>
        </is>
      </c>
      <c r="K224" s="87" t="inlineStr">
        <is>
          <t>Anglais</t>
        </is>
      </c>
      <c r="L224" s="87" t="inlineStr">
        <is>
          <t>Anglais</t>
        </is>
      </c>
      <c r="M224" s="59" t="inlineStr">
        <is>
          <t>Samar</t>
        </is>
      </c>
      <c r="N224" s="58" t="n"/>
      <c r="O224" s="58" t="n"/>
      <c r="P224" s="58" t="inlineStr">
        <is>
          <t>Hebdo · groupes alternés</t>
        </is>
      </c>
      <c r="Q224" s="59" t="inlineStr"/>
      <c r="R224" s="58" t="n">
        <v>1</v>
      </c>
      <c r="S224" s="58" t="inlineStr">
        <is>
          <t>Oui</t>
        </is>
      </c>
      <c r="T224" s="58" t="inlineStr">
        <is>
          <t>S2-077</t>
        </is>
      </c>
      <c r="U224" s="59" t="inlineStr">
        <is>
          <t>Original (septembre)</t>
        </is>
      </c>
      <c r="V224" s="59" t="inlineStr"/>
      <c r="W224" s="10" t="n"/>
      <c r="X224" s="10" t="inlineStr"/>
      <c r="Y224" s="64">
        <f>IF($M224="","",IF(SUMPRODUCT(($D$4:$D$863=$D224)*($M$4:$M$863=$M224)*($T$4:$T$863&lt;&gt;$T224)*($F$4:$F$863&lt;$G224)*($G$4:$G$863&gt;$F224))&gt;0,"⚠ CONFLIT",""))</f>
        <v/>
      </c>
      <c r="Z224" s="64">
        <f>IF($J224="","",IF(SUMPRODUCT(($D$4:$D$863=$D224)*($J$4:$J$863=$J224)*($T$4:$T$863&lt;&gt;$T224)*($F$4:$F$863&lt;$G224)*($G$4:$G$863&gt;$F224)*(1-($X$4:$X$863="Oui")*($X224="Oui")))&gt;0,"⚠ CONFLIT",""))</f>
        <v/>
      </c>
      <c r="AA224" s="64">
        <f>IF(COUNTIFS($D$4:$D$863,$D224,$J$4:$J$863,$J224,$F$4:$F$863,$F224,$K$4:$K$863,$K224)&gt;1,"⚠ DOUBLON","")</f>
        <v/>
      </c>
      <c r="AB224" s="64">
        <f>IF(COUNTIF($T$4:$T$863,$T224)&lt;&gt;COUNTIFS($T$4:$T$863,$T224,$D$4:$D$863,$D224,$F$4:$F$863,$F224,$G$4:$G$863,$G224,$K$4:$K$863,$K224,$M$4:$M$863,$M224),"⚠ INCOHÉRENT","")</f>
        <v/>
      </c>
      <c r="AC224" s="64">
        <f>COUNTIFS($A$4:$A224,$A224,$J$4:$J224,$J224,$E$4:$E224,$E224)</f>
        <v/>
      </c>
      <c r="AD224" s="65">
        <f>$A224&amp;"|"&amp;$J224&amp;"|"&amp;$E224&amp;"|"&amp;$AC224</f>
        <v/>
      </c>
      <c r="AE224" s="66">
        <f>IF($W224&lt;&gt;"","⚑ "&amp;$W224&amp;CHAR(10),"")&amp;TEXT($F224,"hh:mm")&amp;"-"&amp;TEXT($G224,"hh:mm")&amp;IF(OR($P224="Quinzaine A",AND($P224="Hebdo · groupes alternés",$C224="A"))," Q-A",IF(OR($P224="Quinzaine B",AND($P224="Hebdo · groupes alternés",$C224="B"))," Q-B",IF($P224="Exception"," PONCT.","")))&amp;IF($X224="Oui"," OPT","")&amp;CHAR(10)&amp;$K224&amp;CHAR(10)&amp;$M224&amp;IF($N224&lt;&gt;"",CHAR(10)&amp;"Salle "&amp;$N224,"")&amp;IF($O224="En ligne",CHAR(10)&amp;"EN LIGNE","")&amp;IF($V224&lt;&gt;"",CHAR(10)&amp;$V224,"")</f>
        <v/>
      </c>
      <c r="AF224" s="65" t="inlineStr">
        <is>
          <t>10h30-12h Anglais /par quinzaine (Samar)</t>
        </is>
      </c>
      <c r="AG224" s="65" t="inlineStr">
        <is>
          <t>du 21-09 jusquà le 27-09!M7</t>
        </is>
      </c>
    </row>
    <row r="225" ht="15" customHeight="1">
      <c r="A225" s="58" t="inlineStr">
        <is>
          <t>S2</t>
        </is>
      </c>
      <c r="B225" s="59" t="inlineStr">
        <is>
          <t>du 21 au 27 septembre 2026</t>
        </is>
      </c>
      <c r="C225" s="58" t="inlineStr">
        <is>
          <t>B</t>
        </is>
      </c>
      <c r="D225" s="60" t="n">
        <v>46292</v>
      </c>
      <c r="E225" s="58" t="inlineStr">
        <is>
          <t>Dimanche</t>
        </is>
      </c>
      <c r="F225" s="61" t="n">
        <v>0.3958333333333333</v>
      </c>
      <c r="G225" s="61" t="n">
        <v>0.4583333333333333</v>
      </c>
      <c r="H225" s="62">
        <f>IF(OR($F225="",$G225=""),"",($G225-$F225)*24)</f>
        <v/>
      </c>
      <c r="I225" s="58" t="inlineStr">
        <is>
          <t>Primaire</t>
        </is>
      </c>
      <c r="J225" s="59" t="inlineStr">
        <is>
          <t>6éme Pilote (A)</t>
        </is>
      </c>
      <c r="K225" s="67" t="inlineStr">
        <is>
          <t>Français</t>
        </is>
      </c>
      <c r="L225" s="67" t="inlineStr">
        <is>
          <t>Français</t>
        </is>
      </c>
      <c r="M225" s="59" t="inlineStr">
        <is>
          <t>Hend</t>
        </is>
      </c>
      <c r="N225" s="58" t="n"/>
      <c r="O225" s="58" t="n"/>
      <c r="P225" s="58" t="inlineStr">
        <is>
          <t>Exception</t>
        </is>
      </c>
      <c r="Q225" s="59" t="inlineStr"/>
      <c r="R225" s="58" t="n">
        <v>1</v>
      </c>
      <c r="S225" s="58" t="inlineStr">
        <is>
          <t>Oui</t>
        </is>
      </c>
      <c r="T225" s="58" t="inlineStr">
        <is>
          <t>S2-078</t>
        </is>
      </c>
      <c r="U225" s="59" t="inlineStr">
        <is>
          <t>Original (septembre)</t>
        </is>
      </c>
      <c r="V225" s="59" t="inlineStr">
        <is>
          <t>Rattrapage</t>
        </is>
      </c>
      <c r="W225" s="10" t="n"/>
      <c r="X225" s="10" t="inlineStr"/>
      <c r="Y225" s="64">
        <f>IF($M225="","",IF(SUMPRODUCT(($D$4:$D$863=$D225)*($M$4:$M$863=$M225)*($T$4:$T$863&lt;&gt;$T225)*($F$4:$F$863&lt;$G225)*($G$4:$G$863&gt;$F225))&gt;0,"⚠ CONFLIT",""))</f>
        <v/>
      </c>
      <c r="Z225" s="64">
        <f>IF($J225="","",IF(SUMPRODUCT(($D$4:$D$863=$D225)*($J$4:$J$863=$J225)*($T$4:$T$863&lt;&gt;$T225)*($F$4:$F$863&lt;$G225)*($G$4:$G$863&gt;$F225)*(1-($X$4:$X$863="Oui")*($X225="Oui")))&gt;0,"⚠ CONFLIT",""))</f>
        <v/>
      </c>
      <c r="AA225" s="64">
        <f>IF(COUNTIFS($D$4:$D$863,$D225,$J$4:$J$863,$J225,$F$4:$F$863,$F225,$K$4:$K$863,$K225)&gt;1,"⚠ DOUBLON","")</f>
        <v/>
      </c>
      <c r="AB225" s="64">
        <f>IF(COUNTIF($T$4:$T$863,$T225)&lt;&gt;COUNTIFS($T$4:$T$863,$T225,$D$4:$D$863,$D225,$F$4:$F$863,$F225,$G$4:$G$863,$G225,$K$4:$K$863,$K225,$M$4:$M$863,$M225),"⚠ INCOHÉRENT","")</f>
        <v/>
      </c>
      <c r="AC225" s="64">
        <f>COUNTIFS($A$4:$A225,$A225,$J$4:$J225,$J225,$E$4:$E225,$E225)</f>
        <v/>
      </c>
      <c r="AD225" s="65">
        <f>$A225&amp;"|"&amp;$J225&amp;"|"&amp;$E225&amp;"|"&amp;$AC225</f>
        <v/>
      </c>
      <c r="AE225" s="66">
        <f>IF($W225&lt;&gt;"","⚑ "&amp;$W225&amp;CHAR(10),"")&amp;TEXT($F225,"hh:mm")&amp;"-"&amp;TEXT($G225,"hh:mm")&amp;IF(OR($P225="Quinzaine A",AND($P225="Hebdo · groupes alternés",$C225="A"))," Q-A",IF(OR($P225="Quinzaine B",AND($P225="Hebdo · groupes alternés",$C225="B"))," Q-B",IF($P225="Exception"," PONCT.","")))&amp;IF($X225="Oui"," OPT","")&amp;CHAR(10)&amp;$K225&amp;CHAR(10)&amp;$M225&amp;IF($N225&lt;&gt;"",CHAR(10)&amp;"Salle "&amp;$N225,"")&amp;IF($O225="En ligne",CHAR(10)&amp;"EN LIGNE","")&amp;IF($V225&lt;&gt;"",CHAR(10)&amp;$V225,"")</f>
        <v/>
      </c>
      <c r="AF225" s="65" t="inlineStr">
        <is>
          <t>9H30h-11H Français (Hend) Rattrapage</t>
        </is>
      </c>
      <c r="AG225" s="65" t="inlineStr">
        <is>
          <t>du 21-09 jusquà le 27-09!M13</t>
        </is>
      </c>
    </row>
    <row r="226" ht="15" customHeight="1">
      <c r="A226" s="68" t="inlineStr">
        <is>
          <t>S2</t>
        </is>
      </c>
      <c r="B226" s="69" t="inlineStr">
        <is>
          <t>du 21 au 27 septembre 2026</t>
        </is>
      </c>
      <c r="C226" s="68" t="inlineStr">
        <is>
          <t>B</t>
        </is>
      </c>
      <c r="D226" s="70" t="n">
        <v>46292</v>
      </c>
      <c r="E226" s="68" t="inlineStr">
        <is>
          <t>Dimanche</t>
        </is>
      </c>
      <c r="F226" s="71" t="n">
        <v>0.5833333333333334</v>
      </c>
      <c r="G226" s="71" t="n">
        <v>0.6458333333333334</v>
      </c>
      <c r="H226" s="72">
        <f>IF(OR($F226="",$G226=""),"",($G226-$F226)*24)</f>
        <v/>
      </c>
      <c r="I226" s="68" t="inlineStr">
        <is>
          <t>Collège</t>
        </is>
      </c>
      <c r="J226" s="69" t="inlineStr">
        <is>
          <t>7éme (A)</t>
        </is>
      </c>
      <c r="K226" s="67" t="inlineStr">
        <is>
          <t>Français</t>
        </is>
      </c>
      <c r="L226" s="67" t="inlineStr">
        <is>
          <t>Français</t>
        </is>
      </c>
      <c r="M226" s="69" t="inlineStr">
        <is>
          <t>Marwa</t>
        </is>
      </c>
      <c r="N226" s="68" t="n"/>
      <c r="O226" s="68" t="n"/>
      <c r="P226" s="68" t="inlineStr">
        <is>
          <t>Hebdomadaire</t>
        </is>
      </c>
      <c r="Q226" s="69" t="inlineStr"/>
      <c r="R226" s="68" t="n">
        <v>1</v>
      </c>
      <c r="S226" s="68" t="inlineStr">
        <is>
          <t>Oui</t>
        </is>
      </c>
      <c r="T226" s="68" t="inlineStr">
        <is>
          <t>S2-079</t>
        </is>
      </c>
      <c r="U226" s="69" t="inlineStr">
        <is>
          <t>Original (septembre)</t>
        </is>
      </c>
      <c r="V226" s="69" t="inlineStr"/>
      <c r="W226" s="10" t="n"/>
      <c r="X226" s="10" t="inlineStr"/>
      <c r="Y226" s="64">
        <f>IF($M226="","",IF(SUMPRODUCT(($D$4:$D$863=$D226)*($M$4:$M$863=$M226)*($T$4:$T$863&lt;&gt;$T226)*($F$4:$F$863&lt;$G226)*($G$4:$G$863&gt;$F226))&gt;0,"⚠ CONFLIT",""))</f>
        <v/>
      </c>
      <c r="Z226" s="64">
        <f>IF($J226="","",IF(SUMPRODUCT(($D$4:$D$863=$D226)*($J$4:$J$863=$J226)*($T$4:$T$863&lt;&gt;$T226)*($F$4:$F$863&lt;$G226)*($G$4:$G$863&gt;$F226)*(1-($X$4:$X$863="Oui")*($X226="Oui")))&gt;0,"⚠ CONFLIT",""))</f>
        <v/>
      </c>
      <c r="AA226" s="64">
        <f>IF(COUNTIFS($D$4:$D$863,$D226,$J$4:$J$863,$J226,$F$4:$F$863,$F226,$K$4:$K$863,$K226)&gt;1,"⚠ DOUBLON","")</f>
        <v/>
      </c>
      <c r="AB226" s="64">
        <f>IF(COUNTIF($T$4:$T$863,$T226)&lt;&gt;COUNTIFS($T$4:$T$863,$T226,$D$4:$D$863,$D226,$F$4:$F$863,$F226,$G$4:$G$863,$G226,$K$4:$K$863,$K226,$M$4:$M$863,$M226),"⚠ INCOHÉRENT","")</f>
        <v/>
      </c>
      <c r="AC226" s="64">
        <f>COUNTIFS($A$4:$A226,$A226,$J$4:$J226,$J226,$E$4:$E226,$E226)</f>
        <v/>
      </c>
      <c r="AD226" s="65">
        <f>$A226&amp;"|"&amp;$J226&amp;"|"&amp;$E226&amp;"|"&amp;$AC226</f>
        <v/>
      </c>
      <c r="AE226" s="66">
        <f>IF($W226&lt;&gt;"","⚑ "&amp;$W226&amp;CHAR(10),"")&amp;TEXT($F226,"hh:mm")&amp;"-"&amp;TEXT($G226,"hh:mm")&amp;IF(OR($P226="Quinzaine A",AND($P226="Hebdo · groupes alternés",$C226="A"))," Q-A",IF(OR($P226="Quinzaine B",AND($P226="Hebdo · groupes alternés",$C226="B"))," Q-B",IF($P226="Exception"," PONCT.","")))&amp;IF($X226="Oui"," OPT","")&amp;CHAR(10)&amp;$K226&amp;CHAR(10)&amp;$M226&amp;IF($N226&lt;&gt;"",CHAR(10)&amp;"Salle "&amp;$N226,"")&amp;IF($O226="En ligne",CHAR(10)&amp;"EN LIGNE","")&amp;IF($V226&lt;&gt;"",CHAR(10)&amp;$V226,"")</f>
        <v/>
      </c>
      <c r="AF226" s="65" t="inlineStr">
        <is>
          <t>14h-15h30 Français (Marwa)</t>
        </is>
      </c>
      <c r="AG226" s="65" t="inlineStr">
        <is>
          <t>du 21-09 jusquà le 27-09!M20</t>
        </is>
      </c>
    </row>
    <row r="227" ht="15" customHeight="1">
      <c r="A227" s="68" t="inlineStr">
        <is>
          <t>S2</t>
        </is>
      </c>
      <c r="B227" s="69" t="inlineStr">
        <is>
          <t>du 21 au 27 septembre 2026</t>
        </is>
      </c>
      <c r="C227" s="68" t="inlineStr">
        <is>
          <t>B</t>
        </is>
      </c>
      <c r="D227" s="70" t="n">
        <v>46292</v>
      </c>
      <c r="E227" s="68" t="inlineStr">
        <is>
          <t>Dimanche</t>
        </is>
      </c>
      <c r="F227" s="71" t="n">
        <v>0.6458333333333334</v>
      </c>
      <c r="G227" s="71" t="n">
        <v>0.7083333333333334</v>
      </c>
      <c r="H227" s="72">
        <f>IF(OR($F227="",$G227=""),"",($G227-$F227)*24)</f>
        <v/>
      </c>
      <c r="I227" s="68" t="inlineStr">
        <is>
          <t>Collège</t>
        </is>
      </c>
      <c r="J227" s="69" t="inlineStr">
        <is>
          <t>7éme (B)</t>
        </is>
      </c>
      <c r="K227" s="67" t="inlineStr">
        <is>
          <t>Français</t>
        </is>
      </c>
      <c r="L227" s="67" t="inlineStr">
        <is>
          <t>Français</t>
        </is>
      </c>
      <c r="M227" s="69" t="inlineStr">
        <is>
          <t>Marwa</t>
        </is>
      </c>
      <c r="N227" s="68" t="n"/>
      <c r="O227" s="68" t="n"/>
      <c r="P227" s="68" t="inlineStr">
        <is>
          <t>Hebdomadaire</t>
        </is>
      </c>
      <c r="Q227" s="69" t="inlineStr"/>
      <c r="R227" s="68" t="n">
        <v>1</v>
      </c>
      <c r="S227" s="68" t="inlineStr">
        <is>
          <t>Oui</t>
        </is>
      </c>
      <c r="T227" s="68" t="inlineStr">
        <is>
          <t>S2-080</t>
        </is>
      </c>
      <c r="U227" s="69" t="inlineStr">
        <is>
          <t>Original (septembre)</t>
        </is>
      </c>
      <c r="V227" s="69" t="inlineStr"/>
      <c r="W227" s="10" t="n"/>
      <c r="X227" s="10" t="inlineStr"/>
      <c r="Y227" s="64">
        <f>IF($M227="","",IF(SUMPRODUCT(($D$4:$D$863=$D227)*($M$4:$M$863=$M227)*($T$4:$T$863&lt;&gt;$T227)*($F$4:$F$863&lt;$G227)*($G$4:$G$863&gt;$F227))&gt;0,"⚠ CONFLIT",""))</f>
        <v/>
      </c>
      <c r="Z227" s="64">
        <f>IF($J227="","",IF(SUMPRODUCT(($D$4:$D$863=$D227)*($J$4:$J$863=$J227)*($T$4:$T$863&lt;&gt;$T227)*($F$4:$F$863&lt;$G227)*($G$4:$G$863&gt;$F227)*(1-($X$4:$X$863="Oui")*($X227="Oui")))&gt;0,"⚠ CONFLIT",""))</f>
        <v/>
      </c>
      <c r="AA227" s="64">
        <f>IF(COUNTIFS($D$4:$D$863,$D227,$J$4:$J$863,$J227,$F$4:$F$863,$F227,$K$4:$K$863,$K227)&gt;1,"⚠ DOUBLON","")</f>
        <v/>
      </c>
      <c r="AB227" s="64">
        <f>IF(COUNTIF($T$4:$T$863,$T227)&lt;&gt;COUNTIFS($T$4:$T$863,$T227,$D$4:$D$863,$D227,$F$4:$F$863,$F227,$G$4:$G$863,$G227,$K$4:$K$863,$K227,$M$4:$M$863,$M227),"⚠ INCOHÉRENT","")</f>
        <v/>
      </c>
      <c r="AC227" s="64">
        <f>COUNTIFS($A$4:$A227,$A227,$J$4:$J227,$J227,$E$4:$E227,$E227)</f>
        <v/>
      </c>
      <c r="AD227" s="65">
        <f>$A227&amp;"|"&amp;$J227&amp;"|"&amp;$E227&amp;"|"&amp;$AC227</f>
        <v/>
      </c>
      <c r="AE227" s="66">
        <f>IF($W227&lt;&gt;"","⚑ "&amp;$W227&amp;CHAR(10),"")&amp;TEXT($F227,"hh:mm")&amp;"-"&amp;TEXT($G227,"hh:mm")&amp;IF(OR($P227="Quinzaine A",AND($P227="Hebdo · groupes alternés",$C227="A"))," Q-A",IF(OR($P227="Quinzaine B",AND($P227="Hebdo · groupes alternés",$C227="B"))," Q-B",IF($P227="Exception"," PONCT.","")))&amp;IF($X227="Oui"," OPT","")&amp;CHAR(10)&amp;$K227&amp;CHAR(10)&amp;$M227&amp;IF($N227&lt;&gt;"",CHAR(10)&amp;"Salle "&amp;$N227,"")&amp;IF($O227="En ligne",CHAR(10)&amp;"EN LIGNE","")&amp;IF($V227&lt;&gt;"",CHAR(10)&amp;$V227,"")</f>
        <v/>
      </c>
      <c r="AF227" s="65" t="inlineStr">
        <is>
          <t>15h30-17h Français (Marwa)</t>
        </is>
      </c>
      <c r="AG227" s="65" t="inlineStr">
        <is>
          <t>du 21-09 jusquà le 27-09!M24</t>
        </is>
      </c>
    </row>
    <row r="228" ht="15" customHeight="1">
      <c r="A228" s="68" t="inlineStr">
        <is>
          <t>S2</t>
        </is>
      </c>
      <c r="B228" s="69" t="inlineStr">
        <is>
          <t>du 21 au 27 septembre 2026</t>
        </is>
      </c>
      <c r="C228" s="68" t="inlineStr">
        <is>
          <t>B</t>
        </is>
      </c>
      <c r="D228" s="70" t="n">
        <v>46292</v>
      </c>
      <c r="E228" s="68" t="inlineStr">
        <is>
          <t>Dimanche</t>
        </is>
      </c>
      <c r="F228" s="71" t="n">
        <v>0.5625</v>
      </c>
      <c r="G228" s="71" t="n">
        <v>0.625</v>
      </c>
      <c r="H228" s="72">
        <f>IF(OR($F228="",$G228=""),"",($G228-$F228)*24)</f>
        <v/>
      </c>
      <c r="I228" s="68" t="inlineStr">
        <is>
          <t>Collège</t>
        </is>
      </c>
      <c r="J228" s="69" t="inlineStr">
        <is>
          <t>8éme (A)</t>
        </is>
      </c>
      <c r="K228" s="79" t="inlineStr">
        <is>
          <t>Math</t>
        </is>
      </c>
      <c r="L228" s="79" t="inlineStr">
        <is>
          <t>Math</t>
        </is>
      </c>
      <c r="M228" s="69" t="inlineStr">
        <is>
          <t>Hajer</t>
        </is>
      </c>
      <c r="N228" s="68" t="n"/>
      <c r="O228" s="68" t="n"/>
      <c r="P228" s="68" t="inlineStr">
        <is>
          <t>Hebdomadaire</t>
        </is>
      </c>
      <c r="Q228" s="69" t="inlineStr"/>
      <c r="R228" s="68" t="n">
        <v>1</v>
      </c>
      <c r="S228" s="68" t="inlineStr">
        <is>
          <t>Oui</t>
        </is>
      </c>
      <c r="T228" s="68" t="inlineStr">
        <is>
          <t>S2-081</t>
        </is>
      </c>
      <c r="U228" s="69" t="inlineStr">
        <is>
          <t>Original (septembre)</t>
        </is>
      </c>
      <c r="V228" s="69" t="inlineStr"/>
      <c r="W228" s="10" t="n"/>
      <c r="X228" s="10" t="inlineStr"/>
      <c r="Y228" s="64">
        <f>IF($M228="","",IF(SUMPRODUCT(($D$4:$D$863=$D228)*($M$4:$M$863=$M228)*($T$4:$T$863&lt;&gt;$T228)*($F$4:$F$863&lt;$G228)*($G$4:$G$863&gt;$F228))&gt;0,"⚠ CONFLIT",""))</f>
        <v/>
      </c>
      <c r="Z228" s="64">
        <f>IF($J228="","",IF(SUMPRODUCT(($D$4:$D$863=$D228)*($J$4:$J$863=$J228)*($T$4:$T$863&lt;&gt;$T228)*($F$4:$F$863&lt;$G228)*($G$4:$G$863&gt;$F228)*(1-($X$4:$X$863="Oui")*($X228="Oui")))&gt;0,"⚠ CONFLIT",""))</f>
        <v/>
      </c>
      <c r="AA228" s="64">
        <f>IF(COUNTIFS($D$4:$D$863,$D228,$J$4:$J$863,$J228,$F$4:$F$863,$F228,$K$4:$K$863,$K228)&gt;1,"⚠ DOUBLON","")</f>
        <v/>
      </c>
      <c r="AB228" s="64">
        <f>IF(COUNTIF($T$4:$T$863,$T228)&lt;&gt;COUNTIFS($T$4:$T$863,$T228,$D$4:$D$863,$D228,$F$4:$F$863,$F228,$G$4:$G$863,$G228,$K$4:$K$863,$K228,$M$4:$M$863,$M228),"⚠ INCOHÉRENT","")</f>
        <v/>
      </c>
      <c r="AC228" s="64">
        <f>COUNTIFS($A$4:$A228,$A228,$J$4:$J228,$J228,$E$4:$E228,$E228)</f>
        <v/>
      </c>
      <c r="AD228" s="65">
        <f>$A228&amp;"|"&amp;$J228&amp;"|"&amp;$E228&amp;"|"&amp;$AC228</f>
        <v/>
      </c>
      <c r="AE228" s="66">
        <f>IF($W228&lt;&gt;"","⚑ "&amp;$W228&amp;CHAR(10),"")&amp;TEXT($F228,"hh:mm")&amp;"-"&amp;TEXT($G228,"hh:mm")&amp;IF(OR($P228="Quinzaine A",AND($P228="Hebdo · groupes alternés",$C228="A"))," Q-A",IF(OR($P228="Quinzaine B",AND($P228="Hebdo · groupes alternés",$C228="B"))," Q-B",IF($P228="Exception"," PONCT.","")))&amp;IF($X228="Oui"," OPT","")&amp;CHAR(10)&amp;$K228&amp;CHAR(10)&amp;$M228&amp;IF($N228&lt;&gt;"",CHAR(10)&amp;"Salle "&amp;$N228,"")&amp;IF($O228="En ligne",CHAR(10)&amp;"EN LIGNE","")&amp;IF($V228&lt;&gt;"",CHAR(10)&amp;$V228,"")</f>
        <v/>
      </c>
      <c r="AF228" s="65" t="inlineStr">
        <is>
          <t>13h30-15h Math (Hajer)</t>
        </is>
      </c>
      <c r="AG228" s="65" t="inlineStr">
        <is>
          <t>du 21-09 jusquà le 27-09!M28</t>
        </is>
      </c>
    </row>
    <row r="229" ht="15" customHeight="1">
      <c r="A229" s="68" t="inlineStr">
        <is>
          <t>S2</t>
        </is>
      </c>
      <c r="B229" s="69" t="inlineStr">
        <is>
          <t>du 21 au 27 septembre 2026</t>
        </is>
      </c>
      <c r="C229" s="68" t="inlineStr">
        <is>
          <t>B</t>
        </is>
      </c>
      <c r="D229" s="70" t="n">
        <v>46292</v>
      </c>
      <c r="E229" s="68" t="inlineStr">
        <is>
          <t>Dimanche</t>
        </is>
      </c>
      <c r="F229" s="71" t="n">
        <v>0.7083333333333334</v>
      </c>
      <c r="G229" s="71" t="n">
        <v>0.7708333333333334</v>
      </c>
      <c r="H229" s="72">
        <f>IF(OR($F229="",$G229=""),"",($G229-$F229)*24)</f>
        <v/>
      </c>
      <c r="I229" s="68" t="inlineStr">
        <is>
          <t>Collège</t>
        </is>
      </c>
      <c r="J229" s="69" t="inlineStr">
        <is>
          <t>8éme (B)</t>
        </is>
      </c>
      <c r="K229" s="67" t="inlineStr">
        <is>
          <t>Français</t>
        </is>
      </c>
      <c r="L229" s="67" t="inlineStr">
        <is>
          <t>Français</t>
        </is>
      </c>
      <c r="M229" s="69" t="inlineStr">
        <is>
          <t>Marwa</t>
        </is>
      </c>
      <c r="N229" s="68" t="n"/>
      <c r="O229" s="68" t="n"/>
      <c r="P229" s="68" t="inlineStr">
        <is>
          <t>Hebdomadaire</t>
        </is>
      </c>
      <c r="Q229" s="69" t="inlineStr"/>
      <c r="R229" s="68" t="n">
        <v>1</v>
      </c>
      <c r="S229" s="68" t="inlineStr">
        <is>
          <t>Oui</t>
        </is>
      </c>
      <c r="T229" s="68" t="inlineStr">
        <is>
          <t>S2-082</t>
        </is>
      </c>
      <c r="U229" s="69" t="inlineStr">
        <is>
          <t>Original (septembre)</t>
        </is>
      </c>
      <c r="V229" s="69" t="inlineStr"/>
      <c r="W229" s="10" t="n"/>
      <c r="X229" s="10" t="inlineStr"/>
      <c r="Y229" s="64">
        <f>IF($M229="","",IF(SUMPRODUCT(($D$4:$D$863=$D229)*($M$4:$M$863=$M229)*($T$4:$T$863&lt;&gt;$T229)*($F$4:$F$863&lt;$G229)*($G$4:$G$863&gt;$F229))&gt;0,"⚠ CONFLIT",""))</f>
        <v/>
      </c>
      <c r="Z229" s="64">
        <f>IF($J229="","",IF(SUMPRODUCT(($D$4:$D$863=$D229)*($J$4:$J$863=$J229)*($T$4:$T$863&lt;&gt;$T229)*($F$4:$F$863&lt;$G229)*($G$4:$G$863&gt;$F229)*(1-($X$4:$X$863="Oui")*($X229="Oui")))&gt;0,"⚠ CONFLIT",""))</f>
        <v/>
      </c>
      <c r="AA229" s="64">
        <f>IF(COUNTIFS($D$4:$D$863,$D229,$J$4:$J$863,$J229,$F$4:$F$863,$F229,$K$4:$K$863,$K229)&gt;1,"⚠ DOUBLON","")</f>
        <v/>
      </c>
      <c r="AB229" s="64">
        <f>IF(COUNTIF($T$4:$T$863,$T229)&lt;&gt;COUNTIFS($T$4:$T$863,$T229,$D$4:$D$863,$D229,$F$4:$F$863,$F229,$G$4:$G$863,$G229,$K$4:$K$863,$K229,$M$4:$M$863,$M229),"⚠ INCOHÉRENT","")</f>
        <v/>
      </c>
      <c r="AC229" s="64">
        <f>COUNTIFS($A$4:$A229,$A229,$J$4:$J229,$J229,$E$4:$E229,$E229)</f>
        <v/>
      </c>
      <c r="AD229" s="65">
        <f>$A229&amp;"|"&amp;$J229&amp;"|"&amp;$E229&amp;"|"&amp;$AC229</f>
        <v/>
      </c>
      <c r="AE229" s="66">
        <f>IF($W229&lt;&gt;"","⚑ "&amp;$W229&amp;CHAR(10),"")&amp;TEXT($F229,"hh:mm")&amp;"-"&amp;TEXT($G229,"hh:mm")&amp;IF(OR($P229="Quinzaine A",AND($P229="Hebdo · groupes alternés",$C229="A"))," Q-A",IF(OR($P229="Quinzaine B",AND($P229="Hebdo · groupes alternés",$C229="B"))," Q-B",IF($P229="Exception"," PONCT.","")))&amp;IF($X229="Oui"," OPT","")&amp;CHAR(10)&amp;$K229&amp;CHAR(10)&amp;$M229&amp;IF($N229&lt;&gt;"",CHAR(10)&amp;"Salle "&amp;$N229,"")&amp;IF($O229="En ligne",CHAR(10)&amp;"EN LIGNE","")&amp;IF($V229&lt;&gt;"",CHAR(10)&amp;$V229,"")</f>
        <v/>
      </c>
      <c r="AF229" s="65" t="inlineStr">
        <is>
          <t>17h-18h30 Français (Marwa)</t>
        </is>
      </c>
      <c r="AG229" s="65" t="inlineStr">
        <is>
          <t>du 21-09 jusquà le 27-09!M32</t>
        </is>
      </c>
    </row>
    <row r="230" ht="15" customHeight="1">
      <c r="A230" s="68" t="inlineStr">
        <is>
          <t>S2</t>
        </is>
      </c>
      <c r="B230" s="69" t="inlineStr">
        <is>
          <t>du 21 au 27 septembre 2026</t>
        </is>
      </c>
      <c r="C230" s="68" t="inlineStr">
        <is>
          <t>B</t>
        </is>
      </c>
      <c r="D230" s="70" t="n">
        <v>46292</v>
      </c>
      <c r="E230" s="68" t="inlineStr">
        <is>
          <t>Dimanche</t>
        </is>
      </c>
      <c r="F230" s="71" t="n">
        <v>0.4375</v>
      </c>
      <c r="G230" s="71" t="n">
        <v>0.5</v>
      </c>
      <c r="H230" s="72">
        <f>IF(OR($F230="",$G230=""),"",($G230-$F230)*24)</f>
        <v/>
      </c>
      <c r="I230" s="68" t="inlineStr">
        <is>
          <t>Collège</t>
        </is>
      </c>
      <c r="J230" s="69" t="inlineStr">
        <is>
          <t>9éme (A)</t>
        </is>
      </c>
      <c r="K230" s="87" t="inlineStr">
        <is>
          <t>Anglais</t>
        </is>
      </c>
      <c r="L230" s="87" t="inlineStr">
        <is>
          <t>Anglais</t>
        </is>
      </c>
      <c r="M230" s="69" t="inlineStr">
        <is>
          <t>Bassma</t>
        </is>
      </c>
      <c r="N230" s="68" t="n"/>
      <c r="O230" s="68" t="n"/>
      <c r="P230" s="68" t="inlineStr">
        <is>
          <t>Hebdomadaire</t>
        </is>
      </c>
      <c r="Q230" s="69" t="inlineStr"/>
      <c r="R230" s="68" t="n">
        <v>1</v>
      </c>
      <c r="S230" s="68" t="inlineStr">
        <is>
          <t>Oui</t>
        </is>
      </c>
      <c r="T230" s="68" t="inlineStr">
        <is>
          <t>S2-083</t>
        </is>
      </c>
      <c r="U230" s="69" t="inlineStr">
        <is>
          <t>Original (septembre)</t>
        </is>
      </c>
      <c r="V230" s="69" t="inlineStr"/>
      <c r="W230" s="10" t="n"/>
      <c r="X230" s="10" t="inlineStr"/>
      <c r="Y230" s="64">
        <f>IF($M230="","",IF(SUMPRODUCT(($D$4:$D$863=$D230)*($M$4:$M$863=$M230)*($T$4:$T$863&lt;&gt;$T230)*($F$4:$F$863&lt;$G230)*($G$4:$G$863&gt;$F230))&gt;0,"⚠ CONFLIT",""))</f>
        <v/>
      </c>
      <c r="Z230" s="64">
        <f>IF($J230="","",IF(SUMPRODUCT(($D$4:$D$863=$D230)*($J$4:$J$863=$J230)*($T$4:$T$863&lt;&gt;$T230)*($F$4:$F$863&lt;$G230)*($G$4:$G$863&gt;$F230)*(1-($X$4:$X$863="Oui")*($X230="Oui")))&gt;0,"⚠ CONFLIT",""))</f>
        <v/>
      </c>
      <c r="AA230" s="64">
        <f>IF(COUNTIFS($D$4:$D$863,$D230,$J$4:$J$863,$J230,$F$4:$F$863,$F230,$K$4:$K$863,$K230)&gt;1,"⚠ DOUBLON","")</f>
        <v/>
      </c>
      <c r="AB230" s="64">
        <f>IF(COUNTIF($T$4:$T$863,$T230)&lt;&gt;COUNTIFS($T$4:$T$863,$T230,$D$4:$D$863,$D230,$F$4:$F$863,$F230,$G$4:$G$863,$G230,$K$4:$K$863,$K230,$M$4:$M$863,$M230),"⚠ INCOHÉRENT","")</f>
        <v/>
      </c>
      <c r="AC230" s="64">
        <f>COUNTIFS($A$4:$A230,$A230,$J$4:$J230,$J230,$E$4:$E230,$E230)</f>
        <v/>
      </c>
      <c r="AD230" s="65">
        <f>$A230&amp;"|"&amp;$J230&amp;"|"&amp;$E230&amp;"|"&amp;$AC230</f>
        <v/>
      </c>
      <c r="AE230" s="66">
        <f>IF($W230&lt;&gt;"","⚑ "&amp;$W230&amp;CHAR(10),"")&amp;TEXT($F230,"hh:mm")&amp;"-"&amp;TEXT($G230,"hh:mm")&amp;IF(OR($P230="Quinzaine A",AND($P230="Hebdo · groupes alternés",$C230="A"))," Q-A",IF(OR($P230="Quinzaine B",AND($P230="Hebdo · groupes alternés",$C230="B"))," Q-B",IF($P230="Exception"," PONCT.","")))&amp;IF($X230="Oui"," OPT","")&amp;CHAR(10)&amp;$K230&amp;CHAR(10)&amp;$M230&amp;IF($N230&lt;&gt;"",CHAR(10)&amp;"Salle "&amp;$N230,"")&amp;IF($O230="En ligne",CHAR(10)&amp;"EN LIGNE","")&amp;IF($V230&lt;&gt;"",CHAR(10)&amp;$V230,"")</f>
        <v/>
      </c>
      <c r="AF230" s="65" t="inlineStr">
        <is>
          <t>10h30-12h Anglais (Bassma)</t>
        </is>
      </c>
      <c r="AG230" s="65" t="inlineStr">
        <is>
          <t>du 21-09 jusquà le 27-09!M37</t>
        </is>
      </c>
    </row>
    <row r="231" ht="15" customHeight="1">
      <c r="A231" s="68" t="inlineStr">
        <is>
          <t>S2</t>
        </is>
      </c>
      <c r="B231" s="69" t="inlineStr">
        <is>
          <t>du 21 au 27 septembre 2026</t>
        </is>
      </c>
      <c r="C231" s="68" t="inlineStr">
        <is>
          <t>B</t>
        </is>
      </c>
      <c r="D231" s="70" t="n">
        <v>46292</v>
      </c>
      <c r="E231" s="68" t="inlineStr">
        <is>
          <t>Dimanche</t>
        </is>
      </c>
      <c r="F231" s="71" t="n">
        <v>0.6458333333333334</v>
      </c>
      <c r="G231" s="71" t="n">
        <v>0.7083333333333334</v>
      </c>
      <c r="H231" s="72">
        <f>IF(OR($F231="",$G231=""),"",($G231-$F231)*24)</f>
        <v/>
      </c>
      <c r="I231" s="68" t="inlineStr">
        <is>
          <t>Collège</t>
        </is>
      </c>
      <c r="J231" s="69" t="inlineStr">
        <is>
          <t>9éme (A)</t>
        </is>
      </c>
      <c r="K231" s="67" t="inlineStr">
        <is>
          <t>Français</t>
        </is>
      </c>
      <c r="L231" s="67" t="inlineStr">
        <is>
          <t>Français</t>
        </is>
      </c>
      <c r="M231" s="69" t="inlineStr">
        <is>
          <t>Nassima</t>
        </is>
      </c>
      <c r="N231" s="68" t="n"/>
      <c r="O231" s="68" t="n"/>
      <c r="P231" s="68" t="inlineStr">
        <is>
          <t>Hebdomadaire</t>
        </is>
      </c>
      <c r="Q231" s="69" t="inlineStr"/>
      <c r="R231" s="68" t="n">
        <v>1</v>
      </c>
      <c r="S231" s="68" t="inlineStr">
        <is>
          <t>Oui</t>
        </is>
      </c>
      <c r="T231" s="68" t="inlineStr">
        <is>
          <t>S2-084</t>
        </is>
      </c>
      <c r="U231" s="69" t="inlineStr">
        <is>
          <t>Original (septembre)</t>
        </is>
      </c>
      <c r="V231" s="69" t="inlineStr"/>
      <c r="W231" s="10" t="n"/>
      <c r="X231" s="10" t="inlineStr"/>
      <c r="Y231" s="64">
        <f>IF($M231="","",IF(SUMPRODUCT(($D$4:$D$863=$D231)*($M$4:$M$863=$M231)*($T$4:$T$863&lt;&gt;$T231)*($F$4:$F$863&lt;$G231)*($G$4:$G$863&gt;$F231))&gt;0,"⚠ CONFLIT",""))</f>
        <v/>
      </c>
      <c r="Z231" s="64">
        <f>IF($J231="","",IF(SUMPRODUCT(($D$4:$D$863=$D231)*($J$4:$J$863=$J231)*($T$4:$T$863&lt;&gt;$T231)*($F$4:$F$863&lt;$G231)*($G$4:$G$863&gt;$F231)*(1-($X$4:$X$863="Oui")*($X231="Oui")))&gt;0,"⚠ CONFLIT",""))</f>
        <v/>
      </c>
      <c r="AA231" s="64">
        <f>IF(COUNTIFS($D$4:$D$863,$D231,$J$4:$J$863,$J231,$F$4:$F$863,$F231,$K$4:$K$863,$K231)&gt;1,"⚠ DOUBLON","")</f>
        <v/>
      </c>
      <c r="AB231" s="64">
        <f>IF(COUNTIF($T$4:$T$863,$T231)&lt;&gt;COUNTIFS($T$4:$T$863,$T231,$D$4:$D$863,$D231,$F$4:$F$863,$F231,$G$4:$G$863,$G231,$K$4:$K$863,$K231,$M$4:$M$863,$M231),"⚠ INCOHÉRENT","")</f>
        <v/>
      </c>
      <c r="AC231" s="64">
        <f>COUNTIFS($A$4:$A231,$A231,$J$4:$J231,$J231,$E$4:$E231,$E231)</f>
        <v/>
      </c>
      <c r="AD231" s="65">
        <f>$A231&amp;"|"&amp;$J231&amp;"|"&amp;$E231&amp;"|"&amp;$AC231</f>
        <v/>
      </c>
      <c r="AE231" s="66">
        <f>IF($W231&lt;&gt;"","⚑ "&amp;$W231&amp;CHAR(10),"")&amp;TEXT($F231,"hh:mm")&amp;"-"&amp;TEXT($G231,"hh:mm")&amp;IF(OR($P231="Quinzaine A",AND($P231="Hebdo · groupes alternés",$C231="A"))," Q-A",IF(OR($P231="Quinzaine B",AND($P231="Hebdo · groupes alternés",$C231="B"))," Q-B",IF($P231="Exception"," PONCT.","")))&amp;IF($X231="Oui"," OPT","")&amp;CHAR(10)&amp;$K231&amp;CHAR(10)&amp;$M231&amp;IF($N231&lt;&gt;"",CHAR(10)&amp;"Salle "&amp;$N231,"")&amp;IF($O231="En ligne",CHAR(10)&amp;"EN LIGNE","")&amp;IF($V231&lt;&gt;"",CHAR(10)&amp;$V231,"")</f>
        <v/>
      </c>
      <c r="AF231" s="65" t="inlineStr">
        <is>
          <t>15h30-17h Français (Nassima)</t>
        </is>
      </c>
      <c r="AG231" s="65" t="inlineStr">
        <is>
          <t>du 21-09 jusquà le 27-09!M40</t>
        </is>
      </c>
    </row>
    <row r="232" ht="15" customHeight="1">
      <c r="A232" s="68" t="inlineStr">
        <is>
          <t>S2</t>
        </is>
      </c>
      <c r="B232" s="69" t="inlineStr">
        <is>
          <t>du 21 au 27 septembre 2026</t>
        </is>
      </c>
      <c r="C232" s="68" t="inlineStr">
        <is>
          <t>B</t>
        </is>
      </c>
      <c r="D232" s="70" t="n">
        <v>46292</v>
      </c>
      <c r="E232" s="68" t="inlineStr">
        <is>
          <t>Dimanche</t>
        </is>
      </c>
      <c r="F232" s="71" t="n">
        <v>0.375</v>
      </c>
      <c r="G232" s="71" t="n">
        <v>0.4375</v>
      </c>
      <c r="H232" s="72">
        <f>IF(OR($F232="",$G232=""),"",($G232-$F232)*24)</f>
        <v/>
      </c>
      <c r="I232" s="68" t="inlineStr">
        <is>
          <t>Collège</t>
        </is>
      </c>
      <c r="J232" s="69" t="inlineStr">
        <is>
          <t>9éme (B)</t>
        </is>
      </c>
      <c r="K232" s="87" t="inlineStr">
        <is>
          <t>Anglais</t>
        </is>
      </c>
      <c r="L232" s="87" t="inlineStr">
        <is>
          <t>Anglais</t>
        </is>
      </c>
      <c r="M232" s="69" t="inlineStr">
        <is>
          <t>Bassma</t>
        </is>
      </c>
      <c r="N232" s="68" t="n"/>
      <c r="O232" s="68" t="n"/>
      <c r="P232" s="68" t="inlineStr">
        <is>
          <t>Hebdomadaire</t>
        </is>
      </c>
      <c r="Q232" s="69" t="inlineStr"/>
      <c r="R232" s="68" t="n">
        <v>1</v>
      </c>
      <c r="S232" s="68" t="inlineStr">
        <is>
          <t>Oui</t>
        </is>
      </c>
      <c r="T232" s="68" t="inlineStr">
        <is>
          <t>S2-085</t>
        </is>
      </c>
      <c r="U232" s="69" t="inlineStr">
        <is>
          <t>Original (septembre)</t>
        </is>
      </c>
      <c r="V232" s="69" t="inlineStr"/>
      <c r="W232" s="10" t="n"/>
      <c r="X232" s="10" t="inlineStr"/>
      <c r="Y232" s="64">
        <f>IF($M232="","",IF(SUMPRODUCT(($D$4:$D$863=$D232)*($M$4:$M$863=$M232)*($T$4:$T$863&lt;&gt;$T232)*($F$4:$F$863&lt;$G232)*($G$4:$G$863&gt;$F232))&gt;0,"⚠ CONFLIT",""))</f>
        <v/>
      </c>
      <c r="Z232" s="64">
        <f>IF($J232="","",IF(SUMPRODUCT(($D$4:$D$863=$D232)*($J$4:$J$863=$J232)*($T$4:$T$863&lt;&gt;$T232)*($F$4:$F$863&lt;$G232)*($G$4:$G$863&gt;$F232)*(1-($X$4:$X$863="Oui")*($X232="Oui")))&gt;0,"⚠ CONFLIT",""))</f>
        <v/>
      </c>
      <c r="AA232" s="64">
        <f>IF(COUNTIFS($D$4:$D$863,$D232,$J$4:$J$863,$J232,$F$4:$F$863,$F232,$K$4:$K$863,$K232)&gt;1,"⚠ DOUBLON","")</f>
        <v/>
      </c>
      <c r="AB232" s="64">
        <f>IF(COUNTIF($T$4:$T$863,$T232)&lt;&gt;COUNTIFS($T$4:$T$863,$T232,$D$4:$D$863,$D232,$F$4:$F$863,$F232,$G$4:$G$863,$G232,$K$4:$K$863,$K232,$M$4:$M$863,$M232),"⚠ INCOHÉRENT","")</f>
        <v/>
      </c>
      <c r="AC232" s="64">
        <f>COUNTIFS($A$4:$A232,$A232,$J$4:$J232,$J232,$E$4:$E232,$E232)</f>
        <v/>
      </c>
      <c r="AD232" s="65">
        <f>$A232&amp;"|"&amp;$J232&amp;"|"&amp;$E232&amp;"|"&amp;$AC232</f>
        <v/>
      </c>
      <c r="AE232" s="66">
        <f>IF($W232&lt;&gt;"","⚑ "&amp;$W232&amp;CHAR(10),"")&amp;TEXT($F232,"hh:mm")&amp;"-"&amp;TEXT($G232,"hh:mm")&amp;IF(OR($P232="Quinzaine A",AND($P232="Hebdo · groupes alternés",$C232="A"))," Q-A",IF(OR($P232="Quinzaine B",AND($P232="Hebdo · groupes alternés",$C232="B"))," Q-B",IF($P232="Exception"," PONCT.","")))&amp;IF($X232="Oui"," OPT","")&amp;CHAR(10)&amp;$K232&amp;CHAR(10)&amp;$M232&amp;IF($N232&lt;&gt;"",CHAR(10)&amp;"Salle "&amp;$N232,"")&amp;IF($O232="En ligne",CHAR(10)&amp;"EN LIGNE","")&amp;IF($V232&lt;&gt;"",CHAR(10)&amp;$V232,"")</f>
        <v/>
      </c>
      <c r="AF232" s="65" t="inlineStr">
        <is>
          <t>9h-10h30 Anglais (Bassma)</t>
        </is>
      </c>
      <c r="AG232" s="65" t="inlineStr">
        <is>
          <t>du 21-09 jusquà le 27-09!M44</t>
        </is>
      </c>
    </row>
    <row r="233" ht="15" customHeight="1">
      <c r="A233" s="68" t="inlineStr">
        <is>
          <t>S2</t>
        </is>
      </c>
      <c r="B233" s="69" t="inlineStr">
        <is>
          <t>du 21 au 27 septembre 2026</t>
        </is>
      </c>
      <c r="C233" s="68" t="inlineStr">
        <is>
          <t>B</t>
        </is>
      </c>
      <c r="D233" s="70" t="n">
        <v>46292</v>
      </c>
      <c r="E233" s="68" t="inlineStr">
        <is>
          <t>Dimanche</t>
        </is>
      </c>
      <c r="F233" s="71" t="n">
        <v>0.7083333333333334</v>
      </c>
      <c r="G233" s="71" t="n">
        <v>0.7708333333333334</v>
      </c>
      <c r="H233" s="72">
        <f>IF(OR($F233="",$G233=""),"",($G233-$F233)*24)</f>
        <v/>
      </c>
      <c r="I233" s="68" t="inlineStr">
        <is>
          <t>Collège</t>
        </is>
      </c>
      <c r="J233" s="69" t="inlineStr">
        <is>
          <t>9éme (B)</t>
        </is>
      </c>
      <c r="K233" s="67" t="inlineStr">
        <is>
          <t>Français</t>
        </is>
      </c>
      <c r="L233" s="67" t="inlineStr">
        <is>
          <t>Français</t>
        </is>
      </c>
      <c r="M233" s="69" t="inlineStr">
        <is>
          <t>Nassima</t>
        </is>
      </c>
      <c r="N233" s="68" t="n"/>
      <c r="O233" s="68" t="n"/>
      <c r="P233" s="68" t="inlineStr">
        <is>
          <t>Hebdomadaire</t>
        </is>
      </c>
      <c r="Q233" s="69" t="inlineStr">
        <is>
          <t>9éme (B) + 9éme (C)</t>
        </is>
      </c>
      <c r="R233" s="68" t="n">
        <v>2</v>
      </c>
      <c r="S233" s="68" t="inlineStr">
        <is>
          <t>Oui</t>
        </is>
      </c>
      <c r="T233" s="68" t="inlineStr">
        <is>
          <t>S2-086</t>
        </is>
      </c>
      <c r="U233" s="69" t="inlineStr">
        <is>
          <t>Original (septembre)</t>
        </is>
      </c>
      <c r="V233" s="69" t="inlineStr"/>
      <c r="W233" s="10" t="n"/>
      <c r="X233" s="10" t="inlineStr"/>
      <c r="Y233" s="64">
        <f>IF($M233="","",IF(SUMPRODUCT(($D$4:$D$863=$D233)*($M$4:$M$863=$M233)*($T$4:$T$863&lt;&gt;$T233)*($F$4:$F$863&lt;$G233)*($G$4:$G$863&gt;$F233))&gt;0,"⚠ CONFLIT",""))</f>
        <v/>
      </c>
      <c r="Z233" s="64">
        <f>IF($J233="","",IF(SUMPRODUCT(($D$4:$D$863=$D233)*($J$4:$J$863=$J233)*($T$4:$T$863&lt;&gt;$T233)*($F$4:$F$863&lt;$G233)*($G$4:$G$863&gt;$F233)*(1-($X$4:$X$863="Oui")*($X233="Oui")))&gt;0,"⚠ CONFLIT",""))</f>
        <v/>
      </c>
      <c r="AA233" s="64">
        <f>IF(COUNTIFS($D$4:$D$863,$D233,$J$4:$J$863,$J233,$F$4:$F$863,$F233,$K$4:$K$863,$K233)&gt;1,"⚠ DOUBLON","")</f>
        <v/>
      </c>
      <c r="AB233" s="64">
        <f>IF(COUNTIF($T$4:$T$863,$T233)&lt;&gt;COUNTIFS($T$4:$T$863,$T233,$D$4:$D$863,$D233,$F$4:$F$863,$F233,$G$4:$G$863,$G233,$K$4:$K$863,$K233,$M$4:$M$863,$M233),"⚠ INCOHÉRENT","")</f>
        <v/>
      </c>
      <c r="AC233" s="64">
        <f>COUNTIFS($A$4:$A233,$A233,$J$4:$J233,$J233,$E$4:$E233,$E233)</f>
        <v/>
      </c>
      <c r="AD233" s="65">
        <f>$A233&amp;"|"&amp;$J233&amp;"|"&amp;$E233&amp;"|"&amp;$AC233</f>
        <v/>
      </c>
      <c r="AE233" s="66">
        <f>IF($W233&lt;&gt;"","⚑ "&amp;$W233&amp;CHAR(10),"")&amp;TEXT($F233,"hh:mm")&amp;"-"&amp;TEXT($G233,"hh:mm")&amp;IF(OR($P233="Quinzaine A",AND($P233="Hebdo · groupes alternés",$C233="A"))," Q-A",IF(OR($P233="Quinzaine B",AND($P233="Hebdo · groupes alternés",$C233="B"))," Q-B",IF($P233="Exception"," PONCT.","")))&amp;IF($X233="Oui"," OPT","")&amp;CHAR(10)&amp;$K233&amp;CHAR(10)&amp;$M233&amp;IF($N233&lt;&gt;"",CHAR(10)&amp;"Salle "&amp;$N233,"")&amp;IF($O233="En ligne",CHAR(10)&amp;"EN LIGNE","")&amp;IF($V233&lt;&gt;"",CHAR(10)&amp;$V233,"")</f>
        <v/>
      </c>
      <c r="AF233" s="65" t="inlineStr">
        <is>
          <t>17h-18h30 Français (Nassima)</t>
        </is>
      </c>
      <c r="AG233" s="65" t="inlineStr">
        <is>
          <t>du 21-09 jusquà le 27-09!M46</t>
        </is>
      </c>
    </row>
    <row r="234" ht="15" customHeight="1">
      <c r="A234" s="68" t="inlineStr">
        <is>
          <t>S2</t>
        </is>
      </c>
      <c r="B234" s="69" t="inlineStr">
        <is>
          <t>du 21 au 27 septembre 2026</t>
        </is>
      </c>
      <c r="C234" s="68" t="inlineStr">
        <is>
          <t>B</t>
        </is>
      </c>
      <c r="D234" s="70" t="n">
        <v>46292</v>
      </c>
      <c r="E234" s="68" t="inlineStr">
        <is>
          <t>Dimanche</t>
        </is>
      </c>
      <c r="F234" s="71" t="n">
        <v>0.7083333333333334</v>
      </c>
      <c r="G234" s="71" t="n">
        <v>0.7708333333333334</v>
      </c>
      <c r="H234" s="72">
        <f>IF(OR($F234="",$G234=""),"",($G234-$F234)*24)</f>
        <v/>
      </c>
      <c r="I234" s="68" t="inlineStr">
        <is>
          <t>Collège</t>
        </is>
      </c>
      <c r="J234" s="69" t="inlineStr">
        <is>
          <t>9éme (C)</t>
        </is>
      </c>
      <c r="K234" s="67" t="inlineStr">
        <is>
          <t>Français</t>
        </is>
      </c>
      <c r="L234" s="67" t="inlineStr">
        <is>
          <t>Français</t>
        </is>
      </c>
      <c r="M234" s="69" t="inlineStr">
        <is>
          <t>Nassima</t>
        </is>
      </c>
      <c r="N234" s="68" t="n"/>
      <c r="O234" s="68" t="n"/>
      <c r="P234" s="68" t="inlineStr">
        <is>
          <t>Hebdomadaire</t>
        </is>
      </c>
      <c r="Q234" s="69" t="inlineStr">
        <is>
          <t>9éme (B) + 9éme (C)</t>
        </is>
      </c>
      <c r="R234" s="68" t="n">
        <v>2</v>
      </c>
      <c r="S234" s="68" t="inlineStr"/>
      <c r="T234" s="68" t="inlineStr">
        <is>
          <t>S2-086</t>
        </is>
      </c>
      <c r="U234" s="69" t="inlineStr">
        <is>
          <t>Original (septembre)</t>
        </is>
      </c>
      <c r="V234" s="69" t="inlineStr"/>
      <c r="W234" s="10" t="n"/>
      <c r="X234" s="10" t="inlineStr"/>
      <c r="Y234" s="64">
        <f>IF($M234="","",IF(SUMPRODUCT(($D$4:$D$863=$D234)*($M$4:$M$863=$M234)*($T$4:$T$863&lt;&gt;$T234)*($F$4:$F$863&lt;$G234)*($G$4:$G$863&gt;$F234))&gt;0,"⚠ CONFLIT",""))</f>
        <v/>
      </c>
      <c r="Z234" s="64">
        <f>IF($J234="","",IF(SUMPRODUCT(($D$4:$D$863=$D234)*($J$4:$J$863=$J234)*($T$4:$T$863&lt;&gt;$T234)*($F$4:$F$863&lt;$G234)*($G$4:$G$863&gt;$F234)*(1-($X$4:$X$863="Oui")*($X234="Oui")))&gt;0,"⚠ CONFLIT",""))</f>
        <v/>
      </c>
      <c r="AA234" s="64">
        <f>IF(COUNTIFS($D$4:$D$863,$D234,$J$4:$J$863,$J234,$F$4:$F$863,$F234,$K$4:$K$863,$K234)&gt;1,"⚠ DOUBLON","")</f>
        <v/>
      </c>
      <c r="AB234" s="64">
        <f>IF(COUNTIF($T$4:$T$863,$T234)&lt;&gt;COUNTIFS($T$4:$T$863,$T234,$D$4:$D$863,$D234,$F$4:$F$863,$F234,$G$4:$G$863,$G234,$K$4:$K$863,$K234,$M$4:$M$863,$M234),"⚠ INCOHÉRENT","")</f>
        <v/>
      </c>
      <c r="AC234" s="64">
        <f>COUNTIFS($A$4:$A234,$A234,$J$4:$J234,$J234,$E$4:$E234,$E234)</f>
        <v/>
      </c>
      <c r="AD234" s="65">
        <f>$A234&amp;"|"&amp;$J234&amp;"|"&amp;$E234&amp;"|"&amp;$AC234</f>
        <v/>
      </c>
      <c r="AE234" s="66">
        <f>IF($W234&lt;&gt;"","⚑ "&amp;$W234&amp;CHAR(10),"")&amp;TEXT($F234,"hh:mm")&amp;"-"&amp;TEXT($G234,"hh:mm")&amp;IF(OR($P234="Quinzaine A",AND($P234="Hebdo · groupes alternés",$C234="A"))," Q-A",IF(OR($P234="Quinzaine B",AND($P234="Hebdo · groupes alternés",$C234="B"))," Q-B",IF($P234="Exception"," PONCT.","")))&amp;IF($X234="Oui"," OPT","")&amp;CHAR(10)&amp;$K234&amp;CHAR(10)&amp;$M234&amp;IF($N234&lt;&gt;"",CHAR(10)&amp;"Salle "&amp;$N234,"")&amp;IF($O234="En ligne",CHAR(10)&amp;"EN LIGNE","")&amp;IF($V234&lt;&gt;"",CHAR(10)&amp;$V234,"")</f>
        <v/>
      </c>
      <c r="AF234" s="65" t="inlineStr">
        <is>
          <t>17h-18h30 Français (Nassima)</t>
        </is>
      </c>
      <c r="AG234" s="65" t="inlineStr">
        <is>
          <t>du 21-09 jusquà le 27-09!M46</t>
        </is>
      </c>
    </row>
    <row r="235" ht="15" customHeight="1">
      <c r="A235" s="74" t="inlineStr">
        <is>
          <t>S2</t>
        </is>
      </c>
      <c r="B235" s="75" t="inlineStr">
        <is>
          <t>du 21 au 27 septembre 2026</t>
        </is>
      </c>
      <c r="C235" s="74" t="inlineStr">
        <is>
          <t>B</t>
        </is>
      </c>
      <c r="D235" s="76" t="n">
        <v>46292</v>
      </c>
      <c r="E235" s="74" t="inlineStr">
        <is>
          <t>Dimanche</t>
        </is>
      </c>
      <c r="F235" s="77" t="n">
        <v>0.375</v>
      </c>
      <c r="G235" s="77" t="n">
        <v>0.4375</v>
      </c>
      <c r="H235" s="78">
        <f>IF(OR($F235="",$G235=""),"",($G235-$F235)*24)</f>
        <v/>
      </c>
      <c r="I235" s="74" t="inlineStr">
        <is>
          <t>Secondaire</t>
        </is>
      </c>
      <c r="J235" s="75" t="inlineStr">
        <is>
          <t>1ére (A)</t>
        </is>
      </c>
      <c r="K235" s="73" t="inlineStr">
        <is>
          <t>Physique</t>
        </is>
      </c>
      <c r="L235" s="73" t="inlineStr">
        <is>
          <t>Physique</t>
        </is>
      </c>
      <c r="M235" s="75" t="inlineStr">
        <is>
          <t>Refka</t>
        </is>
      </c>
      <c r="N235" s="74" t="n"/>
      <c r="O235" s="74" t="n"/>
      <c r="P235" s="74" t="inlineStr">
        <is>
          <t>Hebdomadaire</t>
        </is>
      </c>
      <c r="Q235" s="75" t="inlineStr"/>
      <c r="R235" s="74" t="n">
        <v>1</v>
      </c>
      <c r="S235" s="74" t="inlineStr">
        <is>
          <t>Oui</t>
        </is>
      </c>
      <c r="T235" s="74" t="inlineStr">
        <is>
          <t>S2-087</t>
        </is>
      </c>
      <c r="U235" s="75" t="inlineStr">
        <is>
          <t>Original (septembre)</t>
        </is>
      </c>
      <c r="V235" s="75" t="inlineStr"/>
      <c r="W235" s="10" t="n"/>
      <c r="X235" s="10" t="inlineStr"/>
      <c r="Y235" s="64">
        <f>IF($M235="","",IF(SUMPRODUCT(($D$4:$D$863=$D235)*($M$4:$M$863=$M235)*($T$4:$T$863&lt;&gt;$T235)*($F$4:$F$863&lt;$G235)*($G$4:$G$863&gt;$F235))&gt;0,"⚠ CONFLIT",""))</f>
        <v/>
      </c>
      <c r="Z235" s="64">
        <f>IF($J235="","",IF(SUMPRODUCT(($D$4:$D$863=$D235)*($J$4:$J$863=$J235)*($T$4:$T$863&lt;&gt;$T235)*($F$4:$F$863&lt;$G235)*($G$4:$G$863&gt;$F235)*(1-($X$4:$X$863="Oui")*($X235="Oui")))&gt;0,"⚠ CONFLIT",""))</f>
        <v/>
      </c>
      <c r="AA235" s="64">
        <f>IF(COUNTIFS($D$4:$D$863,$D235,$J$4:$J$863,$J235,$F$4:$F$863,$F235,$K$4:$K$863,$K235)&gt;1,"⚠ DOUBLON","")</f>
        <v/>
      </c>
      <c r="AB235" s="64">
        <f>IF(COUNTIF($T$4:$T$863,$T235)&lt;&gt;COUNTIFS($T$4:$T$863,$T235,$D$4:$D$863,$D235,$F$4:$F$863,$F235,$G$4:$G$863,$G235,$K$4:$K$863,$K235,$M$4:$M$863,$M235),"⚠ INCOHÉRENT","")</f>
        <v/>
      </c>
      <c r="AC235" s="64">
        <f>COUNTIFS($A$4:$A235,$A235,$J$4:$J235,$J235,$E$4:$E235,$E235)</f>
        <v/>
      </c>
      <c r="AD235" s="65">
        <f>$A235&amp;"|"&amp;$J235&amp;"|"&amp;$E235&amp;"|"&amp;$AC235</f>
        <v/>
      </c>
      <c r="AE235" s="66">
        <f>IF($W235&lt;&gt;"","⚑ "&amp;$W235&amp;CHAR(10),"")&amp;TEXT($F235,"hh:mm")&amp;"-"&amp;TEXT($G235,"hh:mm")&amp;IF(OR($P235="Quinzaine A",AND($P235="Hebdo · groupes alternés",$C235="A"))," Q-A",IF(OR($P235="Quinzaine B",AND($P235="Hebdo · groupes alternés",$C235="B"))," Q-B",IF($P235="Exception"," PONCT.","")))&amp;IF($X235="Oui"," OPT","")&amp;CHAR(10)&amp;$K235&amp;CHAR(10)&amp;$M235&amp;IF($N235&lt;&gt;"",CHAR(10)&amp;"Salle "&amp;$N235,"")&amp;IF($O235="En ligne",CHAR(10)&amp;"EN LIGNE","")&amp;IF($V235&lt;&gt;"",CHAR(10)&amp;$V235,"")</f>
        <v/>
      </c>
      <c r="AF235" s="65" t="inlineStr">
        <is>
          <t>9h-10h30 Physique (Refka)</t>
        </is>
      </c>
      <c r="AG235" s="65" t="inlineStr">
        <is>
          <t>du 21-09 jusquà le 27-09!M49</t>
        </is>
      </c>
    </row>
    <row r="236" ht="15" customHeight="1">
      <c r="A236" s="74" t="inlineStr">
        <is>
          <t>S2</t>
        </is>
      </c>
      <c r="B236" s="75" t="inlineStr">
        <is>
          <t>du 21 au 27 septembre 2026</t>
        </is>
      </c>
      <c r="C236" s="74" t="inlineStr">
        <is>
          <t>B</t>
        </is>
      </c>
      <c r="D236" s="76" t="n">
        <v>46292</v>
      </c>
      <c r="E236" s="74" t="inlineStr">
        <is>
          <t>Dimanche</t>
        </is>
      </c>
      <c r="F236" s="77" t="n">
        <v>0.4375</v>
      </c>
      <c r="G236" s="77" t="n">
        <v>0.5</v>
      </c>
      <c r="H236" s="78">
        <f>IF(OR($F236="",$G236=""),"",($G236-$F236)*24)</f>
        <v/>
      </c>
      <c r="I236" s="74" t="inlineStr">
        <is>
          <t>Secondaire</t>
        </is>
      </c>
      <c r="J236" s="75" t="inlineStr">
        <is>
          <t>1ére (B)</t>
        </is>
      </c>
      <c r="K236" s="73" t="inlineStr">
        <is>
          <t>Physique</t>
        </is>
      </c>
      <c r="L236" s="73" t="inlineStr">
        <is>
          <t>Physique</t>
        </is>
      </c>
      <c r="M236" s="75" t="inlineStr">
        <is>
          <t>Refka</t>
        </is>
      </c>
      <c r="N236" s="74" t="n"/>
      <c r="O236" s="74" t="n"/>
      <c r="P236" s="74" t="inlineStr">
        <is>
          <t>Hebdomadaire</t>
        </is>
      </c>
      <c r="Q236" s="75" t="inlineStr"/>
      <c r="R236" s="74" t="n">
        <v>1</v>
      </c>
      <c r="S236" s="74" t="inlineStr">
        <is>
          <t>Oui</t>
        </is>
      </c>
      <c r="T236" s="74" t="inlineStr">
        <is>
          <t>S2-088</t>
        </is>
      </c>
      <c r="U236" s="75" t="inlineStr">
        <is>
          <t>Original (septembre)</t>
        </is>
      </c>
      <c r="V236" s="75" t="inlineStr"/>
      <c r="W236" s="10" t="n"/>
      <c r="X236" s="10" t="inlineStr"/>
      <c r="Y236" s="64">
        <f>IF($M236="","",IF(SUMPRODUCT(($D$4:$D$863=$D236)*($M$4:$M$863=$M236)*($T$4:$T$863&lt;&gt;$T236)*($F$4:$F$863&lt;$G236)*($G$4:$G$863&gt;$F236))&gt;0,"⚠ CONFLIT",""))</f>
        <v/>
      </c>
      <c r="Z236" s="64">
        <f>IF($J236="","",IF(SUMPRODUCT(($D$4:$D$863=$D236)*($J$4:$J$863=$J236)*($T$4:$T$863&lt;&gt;$T236)*($F$4:$F$863&lt;$G236)*($G$4:$G$863&gt;$F236)*(1-($X$4:$X$863="Oui")*($X236="Oui")))&gt;0,"⚠ CONFLIT",""))</f>
        <v/>
      </c>
      <c r="AA236" s="64">
        <f>IF(COUNTIFS($D$4:$D$863,$D236,$J$4:$J$863,$J236,$F$4:$F$863,$F236,$K$4:$K$863,$K236)&gt;1,"⚠ DOUBLON","")</f>
        <v/>
      </c>
      <c r="AB236" s="64">
        <f>IF(COUNTIF($T$4:$T$863,$T236)&lt;&gt;COUNTIFS($T$4:$T$863,$T236,$D$4:$D$863,$D236,$F$4:$F$863,$F236,$G$4:$G$863,$G236,$K$4:$K$863,$K236,$M$4:$M$863,$M236),"⚠ INCOHÉRENT","")</f>
        <v/>
      </c>
      <c r="AC236" s="64">
        <f>COUNTIFS($A$4:$A236,$A236,$J$4:$J236,$J236,$E$4:$E236,$E236)</f>
        <v/>
      </c>
      <c r="AD236" s="65">
        <f>$A236&amp;"|"&amp;$J236&amp;"|"&amp;$E236&amp;"|"&amp;$AC236</f>
        <v/>
      </c>
      <c r="AE236" s="66">
        <f>IF($W236&lt;&gt;"","⚑ "&amp;$W236&amp;CHAR(10),"")&amp;TEXT($F236,"hh:mm")&amp;"-"&amp;TEXT($G236,"hh:mm")&amp;IF(OR($P236="Quinzaine A",AND($P236="Hebdo · groupes alternés",$C236="A"))," Q-A",IF(OR($P236="Quinzaine B",AND($P236="Hebdo · groupes alternés",$C236="B"))," Q-B",IF($P236="Exception"," PONCT.","")))&amp;IF($X236="Oui"," OPT","")&amp;CHAR(10)&amp;$K236&amp;CHAR(10)&amp;$M236&amp;IF($N236&lt;&gt;"",CHAR(10)&amp;"Salle "&amp;$N236,"")&amp;IF($O236="En ligne",CHAR(10)&amp;"EN LIGNE","")&amp;IF($V236&lt;&gt;"",CHAR(10)&amp;$V236,"")</f>
        <v/>
      </c>
      <c r="AF236" s="65" t="inlineStr">
        <is>
          <t>10h30-12h Physique (Refka)</t>
        </is>
      </c>
      <c r="AG236" s="65" t="inlineStr">
        <is>
          <t>du 21-09 jusquà le 27-09!M54</t>
        </is>
      </c>
    </row>
    <row r="237" ht="15" customHeight="1">
      <c r="A237" s="74" t="inlineStr">
        <is>
          <t>S2</t>
        </is>
      </c>
      <c r="B237" s="75" t="inlineStr">
        <is>
          <t>du 21 au 27 septembre 2026</t>
        </is>
      </c>
      <c r="C237" s="74" t="inlineStr">
        <is>
          <t>B</t>
        </is>
      </c>
      <c r="D237" s="76" t="n">
        <v>46292</v>
      </c>
      <c r="E237" s="74" t="inlineStr">
        <is>
          <t>Dimanche</t>
        </is>
      </c>
      <c r="F237" s="77" t="n">
        <v>0.5416666666666666</v>
      </c>
      <c r="G237" s="77" t="n">
        <v>0.6041666666666666</v>
      </c>
      <c r="H237" s="78">
        <f>IF(OR($F237="",$G237=""),"",($G237-$F237)*24)</f>
        <v/>
      </c>
      <c r="I237" s="74" t="inlineStr">
        <is>
          <t>Secondaire</t>
        </is>
      </c>
      <c r="J237" s="75" t="inlineStr">
        <is>
          <t>1ére (B)</t>
        </is>
      </c>
      <c r="K237" s="88" t="inlineStr">
        <is>
          <t>SVT</t>
        </is>
      </c>
      <c r="L237" s="88" t="inlineStr">
        <is>
          <t>SVT</t>
        </is>
      </c>
      <c r="M237" s="75" t="inlineStr">
        <is>
          <t>Imen Ghoumem</t>
        </is>
      </c>
      <c r="N237" s="74" t="n"/>
      <c r="O237" s="74" t="n"/>
      <c r="P237" s="74" t="inlineStr">
        <is>
          <t>Quinzaine B</t>
        </is>
      </c>
      <c r="Q237" s="75" t="inlineStr"/>
      <c r="R237" s="74" t="n">
        <v>1</v>
      </c>
      <c r="S237" s="74" t="inlineStr">
        <is>
          <t>Oui</t>
        </is>
      </c>
      <c r="T237" s="74" t="inlineStr">
        <is>
          <t>S2-089</t>
        </is>
      </c>
      <c r="U237" s="75" t="inlineStr">
        <is>
          <t>Original (septembre)</t>
        </is>
      </c>
      <c r="V237" s="75" t="inlineStr"/>
      <c r="W237" s="10" t="n"/>
      <c r="X237" s="10" t="inlineStr"/>
      <c r="Y237" s="64">
        <f>IF($M237="","",IF(SUMPRODUCT(($D$4:$D$863=$D237)*($M$4:$M$863=$M237)*($T$4:$T$863&lt;&gt;$T237)*($F$4:$F$863&lt;$G237)*($G$4:$G$863&gt;$F237))&gt;0,"⚠ CONFLIT",""))</f>
        <v/>
      </c>
      <c r="Z237" s="64">
        <f>IF($J237="","",IF(SUMPRODUCT(($D$4:$D$863=$D237)*($J$4:$J$863=$J237)*($T$4:$T$863&lt;&gt;$T237)*($F$4:$F$863&lt;$G237)*($G$4:$G$863&gt;$F237)*(1-($X$4:$X$863="Oui")*($X237="Oui")))&gt;0,"⚠ CONFLIT",""))</f>
        <v/>
      </c>
      <c r="AA237" s="64">
        <f>IF(COUNTIFS($D$4:$D$863,$D237,$J$4:$J$863,$J237,$F$4:$F$863,$F237,$K$4:$K$863,$K237)&gt;1,"⚠ DOUBLON","")</f>
        <v/>
      </c>
      <c r="AB237" s="64">
        <f>IF(COUNTIF($T$4:$T$863,$T237)&lt;&gt;COUNTIFS($T$4:$T$863,$T237,$D$4:$D$863,$D237,$F$4:$F$863,$F237,$G$4:$G$863,$G237,$K$4:$K$863,$K237,$M$4:$M$863,$M237),"⚠ INCOHÉRENT","")</f>
        <v/>
      </c>
      <c r="AC237" s="64">
        <f>COUNTIFS($A$4:$A237,$A237,$J$4:$J237,$J237,$E$4:$E237,$E237)</f>
        <v/>
      </c>
      <c r="AD237" s="65">
        <f>$A237&amp;"|"&amp;$J237&amp;"|"&amp;$E237&amp;"|"&amp;$AC237</f>
        <v/>
      </c>
      <c r="AE237" s="66">
        <f>IF($W237&lt;&gt;"","⚑ "&amp;$W237&amp;CHAR(10),"")&amp;TEXT($F237,"hh:mm")&amp;"-"&amp;TEXT($G237,"hh:mm")&amp;IF(OR($P237="Quinzaine A",AND($P237="Hebdo · groupes alternés",$C237="A"))," Q-A",IF(OR($P237="Quinzaine B",AND($P237="Hebdo · groupes alternés",$C237="B"))," Q-B",IF($P237="Exception"," PONCT.","")))&amp;IF($X237="Oui"," OPT","")&amp;CHAR(10)&amp;$K237&amp;CHAR(10)&amp;$M237&amp;IF($N237&lt;&gt;"",CHAR(10)&amp;"Salle "&amp;$N237,"")&amp;IF($O237="En ligne",CHAR(10)&amp;"EN LIGNE","")&amp;IF($V237&lt;&gt;"",CHAR(10)&amp;$V237,"")</f>
        <v/>
      </c>
      <c r="AF237" s="65" t="inlineStr">
        <is>
          <t>13h-14h30 SVT (Imen Ghoumem)/Par quizaine</t>
        </is>
      </c>
      <c r="AG237" s="65" t="inlineStr">
        <is>
          <t>du 21-09 jusquà le 27-09!M57</t>
        </is>
      </c>
    </row>
    <row r="238" ht="15" customHeight="1">
      <c r="A238" s="74" t="inlineStr">
        <is>
          <t>S2</t>
        </is>
      </c>
      <c r="B238" s="75" t="inlineStr">
        <is>
          <t>du 21 au 27 septembre 2026</t>
        </is>
      </c>
      <c r="C238" s="74" t="inlineStr">
        <is>
          <t>B</t>
        </is>
      </c>
      <c r="D238" s="76" t="n">
        <v>46292</v>
      </c>
      <c r="E238" s="74" t="inlineStr">
        <is>
          <t>Dimanche</t>
        </is>
      </c>
      <c r="F238" s="77" t="n">
        <v>0.375</v>
      </c>
      <c r="G238" s="77" t="n">
        <v>0.4375</v>
      </c>
      <c r="H238" s="78">
        <f>IF(OR($F238="",$G238=""),"",($G238-$F238)*24)</f>
        <v/>
      </c>
      <c r="I238" s="74" t="inlineStr">
        <is>
          <t>Secondaire</t>
        </is>
      </c>
      <c r="J238" s="75" t="inlineStr">
        <is>
          <t>2éme Eco</t>
        </is>
      </c>
      <c r="K238" s="95" t="inlineStr">
        <is>
          <t>Eco</t>
        </is>
      </c>
      <c r="L238" s="95" t="inlineStr">
        <is>
          <t>Eco</t>
        </is>
      </c>
      <c r="M238" s="75" t="inlineStr">
        <is>
          <t>Rym</t>
        </is>
      </c>
      <c r="N238" s="74" t="n"/>
      <c r="O238" s="74" t="n"/>
      <c r="P238" s="74" t="inlineStr">
        <is>
          <t>Hebdomadaire</t>
        </is>
      </c>
      <c r="Q238" s="75" t="inlineStr"/>
      <c r="R238" s="74" t="n">
        <v>1</v>
      </c>
      <c r="S238" s="74" t="inlineStr">
        <is>
          <t>Oui</t>
        </is>
      </c>
      <c r="T238" s="74" t="inlineStr">
        <is>
          <t>S2-090</t>
        </is>
      </c>
      <c r="U238" s="75" t="inlineStr">
        <is>
          <t>Original (septembre)</t>
        </is>
      </c>
      <c r="V238" s="75" t="inlineStr"/>
      <c r="W238" s="10" t="n"/>
      <c r="X238" s="10" t="inlineStr"/>
      <c r="Y238" s="64">
        <f>IF($M238="","",IF(SUMPRODUCT(($D$4:$D$863=$D238)*($M$4:$M$863=$M238)*($T$4:$T$863&lt;&gt;$T238)*($F$4:$F$863&lt;$G238)*($G$4:$G$863&gt;$F238))&gt;0,"⚠ CONFLIT",""))</f>
        <v/>
      </c>
      <c r="Z238" s="64">
        <f>IF($J238="","",IF(SUMPRODUCT(($D$4:$D$863=$D238)*($J$4:$J$863=$J238)*($T$4:$T$863&lt;&gt;$T238)*($F$4:$F$863&lt;$G238)*($G$4:$G$863&gt;$F238)*(1-($X$4:$X$863="Oui")*($X238="Oui")))&gt;0,"⚠ CONFLIT",""))</f>
        <v/>
      </c>
      <c r="AA238" s="64">
        <f>IF(COUNTIFS($D$4:$D$863,$D238,$J$4:$J$863,$J238,$F$4:$F$863,$F238,$K$4:$K$863,$K238)&gt;1,"⚠ DOUBLON","")</f>
        <v/>
      </c>
      <c r="AB238" s="64">
        <f>IF(COUNTIF($T$4:$T$863,$T238)&lt;&gt;COUNTIFS($T$4:$T$863,$T238,$D$4:$D$863,$D238,$F$4:$F$863,$F238,$G$4:$G$863,$G238,$K$4:$K$863,$K238,$M$4:$M$863,$M238),"⚠ INCOHÉRENT","")</f>
        <v/>
      </c>
      <c r="AC238" s="64">
        <f>COUNTIFS($A$4:$A238,$A238,$J$4:$J238,$J238,$E$4:$E238,$E238)</f>
        <v/>
      </c>
      <c r="AD238" s="65">
        <f>$A238&amp;"|"&amp;$J238&amp;"|"&amp;$E238&amp;"|"&amp;$AC238</f>
        <v/>
      </c>
      <c r="AE238" s="66">
        <f>IF($W238&lt;&gt;"","⚑ "&amp;$W238&amp;CHAR(10),"")&amp;TEXT($F238,"hh:mm")&amp;"-"&amp;TEXT($G238,"hh:mm")&amp;IF(OR($P238="Quinzaine A",AND($P238="Hebdo · groupes alternés",$C238="A"))," Q-A",IF(OR($P238="Quinzaine B",AND($P238="Hebdo · groupes alternés",$C238="B"))," Q-B",IF($P238="Exception"," PONCT.","")))&amp;IF($X238="Oui"," OPT","")&amp;CHAR(10)&amp;$K238&amp;CHAR(10)&amp;$M238&amp;IF($N238&lt;&gt;"",CHAR(10)&amp;"Salle "&amp;$N238,"")&amp;IF($O238="En ligne",CHAR(10)&amp;"EN LIGNE","")&amp;IF($V238&lt;&gt;"",CHAR(10)&amp;$V238,"")</f>
        <v/>
      </c>
      <c r="AF238" s="65" t="inlineStr">
        <is>
          <t>9h-10h30 Eco (Rym)</t>
        </is>
      </c>
      <c r="AG238" s="65" t="inlineStr">
        <is>
          <t>du 21-09 jusquà le 27-09!M60</t>
        </is>
      </c>
    </row>
    <row r="239" ht="15" customHeight="1">
      <c r="A239" s="74" t="inlineStr">
        <is>
          <t>S2</t>
        </is>
      </c>
      <c r="B239" s="75" t="inlineStr">
        <is>
          <t>du 21 au 27 septembre 2026</t>
        </is>
      </c>
      <c r="C239" s="74" t="inlineStr">
        <is>
          <t>B</t>
        </is>
      </c>
      <c r="D239" s="76" t="n">
        <v>46292</v>
      </c>
      <c r="E239" s="74" t="inlineStr">
        <is>
          <t>Dimanche</t>
        </is>
      </c>
      <c r="F239" s="77" t="n">
        <v>0.5</v>
      </c>
      <c r="G239" s="77" t="n">
        <v>0.5625</v>
      </c>
      <c r="H239" s="78">
        <f>IF(OR($F239="",$G239=""),"",($G239-$F239)*24)</f>
        <v/>
      </c>
      <c r="I239" s="74" t="inlineStr">
        <is>
          <t>Secondaire</t>
        </is>
      </c>
      <c r="J239" s="75" t="inlineStr">
        <is>
          <t>2éme SCE</t>
        </is>
      </c>
      <c r="K239" s="73" t="inlineStr">
        <is>
          <t>Physique</t>
        </is>
      </c>
      <c r="L239" s="73" t="inlineStr">
        <is>
          <t>Physique</t>
        </is>
      </c>
      <c r="M239" s="75" t="inlineStr">
        <is>
          <t>Refka</t>
        </is>
      </c>
      <c r="N239" s="74" t="n"/>
      <c r="O239" s="74" t="n"/>
      <c r="P239" s="74" t="inlineStr">
        <is>
          <t>Hebdomadaire</t>
        </is>
      </c>
      <c r="Q239" s="75" t="inlineStr"/>
      <c r="R239" s="74" t="n">
        <v>1</v>
      </c>
      <c r="S239" s="74" t="inlineStr">
        <is>
          <t>Oui</t>
        </is>
      </c>
      <c r="T239" s="74" t="inlineStr">
        <is>
          <t>S2-091</t>
        </is>
      </c>
      <c r="U239" s="75" t="inlineStr">
        <is>
          <t>Original (septembre)</t>
        </is>
      </c>
      <c r="V239" s="75" t="inlineStr"/>
      <c r="W239" s="10" t="n"/>
      <c r="X239" s="10" t="inlineStr"/>
      <c r="Y239" s="64">
        <f>IF($M239="","",IF(SUMPRODUCT(($D$4:$D$863=$D239)*($M$4:$M$863=$M239)*($T$4:$T$863&lt;&gt;$T239)*($F$4:$F$863&lt;$G239)*($G$4:$G$863&gt;$F239))&gt;0,"⚠ CONFLIT",""))</f>
        <v/>
      </c>
      <c r="Z239" s="64">
        <f>IF($J239="","",IF(SUMPRODUCT(($D$4:$D$863=$D239)*($J$4:$J$863=$J239)*($T$4:$T$863&lt;&gt;$T239)*($F$4:$F$863&lt;$G239)*($G$4:$G$863&gt;$F239)*(1-($X$4:$X$863="Oui")*($X239="Oui")))&gt;0,"⚠ CONFLIT",""))</f>
        <v/>
      </c>
      <c r="AA239" s="64">
        <f>IF(COUNTIFS($D$4:$D$863,$D239,$J$4:$J$863,$J239,$F$4:$F$863,$F239,$K$4:$K$863,$K239)&gt;1,"⚠ DOUBLON","")</f>
        <v/>
      </c>
      <c r="AB239" s="64">
        <f>IF(COUNTIF($T$4:$T$863,$T239)&lt;&gt;COUNTIFS($T$4:$T$863,$T239,$D$4:$D$863,$D239,$F$4:$F$863,$F239,$G$4:$G$863,$G239,$K$4:$K$863,$K239,$M$4:$M$863,$M239),"⚠ INCOHÉRENT","")</f>
        <v/>
      </c>
      <c r="AC239" s="64">
        <f>COUNTIFS($A$4:$A239,$A239,$J$4:$J239,$J239,$E$4:$E239,$E239)</f>
        <v/>
      </c>
      <c r="AD239" s="65">
        <f>$A239&amp;"|"&amp;$J239&amp;"|"&amp;$E239&amp;"|"&amp;$AC239</f>
        <v/>
      </c>
      <c r="AE239" s="66">
        <f>IF($W239&lt;&gt;"","⚑ "&amp;$W239&amp;CHAR(10),"")&amp;TEXT($F239,"hh:mm")&amp;"-"&amp;TEXT($G239,"hh:mm")&amp;IF(OR($P239="Quinzaine A",AND($P239="Hebdo · groupes alternés",$C239="A"))," Q-A",IF(OR($P239="Quinzaine B",AND($P239="Hebdo · groupes alternés",$C239="B"))," Q-B",IF($P239="Exception"," PONCT.","")))&amp;IF($X239="Oui"," OPT","")&amp;CHAR(10)&amp;$K239&amp;CHAR(10)&amp;$M239&amp;IF($N239&lt;&gt;"",CHAR(10)&amp;"Salle "&amp;$N239,"")&amp;IF($O239="En ligne",CHAR(10)&amp;"EN LIGNE","")&amp;IF($V239&lt;&gt;"",CHAR(10)&amp;$V239,"")</f>
        <v/>
      </c>
      <c r="AF239" s="65" t="inlineStr">
        <is>
          <t>12h-13h30 Physique (Refka)</t>
        </is>
      </c>
      <c r="AG239" s="65" t="inlineStr">
        <is>
          <t>du 21-09 jusquà le 27-09!M62</t>
        </is>
      </c>
    </row>
    <row r="240" ht="15" customHeight="1">
      <c r="A240" s="74" t="inlineStr">
        <is>
          <t>S2</t>
        </is>
      </c>
      <c r="B240" s="75" t="inlineStr">
        <is>
          <t>du 21 au 27 septembre 2026</t>
        </is>
      </c>
      <c r="C240" s="74" t="inlineStr">
        <is>
          <t>B</t>
        </is>
      </c>
      <c r="D240" s="76" t="n">
        <v>46292</v>
      </c>
      <c r="E240" s="74" t="inlineStr">
        <is>
          <t>Dimanche</t>
        </is>
      </c>
      <c r="F240" s="77" t="n">
        <v>0.4375</v>
      </c>
      <c r="G240" s="77" t="n">
        <v>0.5</v>
      </c>
      <c r="H240" s="78">
        <f>IF(OR($F240="",$G240=""),"",($G240-$F240)*24)</f>
        <v/>
      </c>
      <c r="I240" s="74" t="inlineStr">
        <is>
          <t>Secondaire</t>
        </is>
      </c>
      <c r="J240" s="75" t="inlineStr">
        <is>
          <t>3éme Eco</t>
        </is>
      </c>
      <c r="K240" s="95" t="inlineStr">
        <is>
          <t>Eco</t>
        </is>
      </c>
      <c r="L240" s="95" t="inlineStr">
        <is>
          <t>Eco</t>
        </is>
      </c>
      <c r="M240" s="75" t="inlineStr">
        <is>
          <t>Rym</t>
        </is>
      </c>
      <c r="N240" s="74" t="n"/>
      <c r="O240" s="74" t="n"/>
      <c r="P240" s="74" t="inlineStr">
        <is>
          <t>Hebdomadaire</t>
        </is>
      </c>
      <c r="Q240" s="75" t="inlineStr"/>
      <c r="R240" s="74" t="n">
        <v>1</v>
      </c>
      <c r="S240" s="74" t="inlineStr">
        <is>
          <t>Oui</t>
        </is>
      </c>
      <c r="T240" s="74" t="inlineStr">
        <is>
          <t>S2-093</t>
        </is>
      </c>
      <c r="U240" s="75" t="inlineStr">
        <is>
          <t>Original (septembre)</t>
        </is>
      </c>
      <c r="V240" s="75" t="inlineStr"/>
      <c r="W240" s="10" t="n"/>
      <c r="X240" s="10" t="inlineStr"/>
      <c r="Y240" s="64">
        <f>IF($M240="","",IF(SUMPRODUCT(($D$4:$D$863=$D240)*($M$4:$M$863=$M240)*($T$4:$T$863&lt;&gt;$T240)*($F$4:$F$863&lt;$G240)*($G$4:$G$863&gt;$F240))&gt;0,"⚠ CONFLIT",""))</f>
        <v/>
      </c>
      <c r="Z240" s="64">
        <f>IF($J240="","",IF(SUMPRODUCT(($D$4:$D$863=$D240)*($J$4:$J$863=$J240)*($T$4:$T$863&lt;&gt;$T240)*($F$4:$F$863&lt;$G240)*($G$4:$G$863&gt;$F240)*(1-($X$4:$X$863="Oui")*($X240="Oui")))&gt;0,"⚠ CONFLIT",""))</f>
        <v/>
      </c>
      <c r="AA240" s="64">
        <f>IF(COUNTIFS($D$4:$D$863,$D240,$J$4:$J$863,$J240,$F$4:$F$863,$F240,$K$4:$K$863,$K240)&gt;1,"⚠ DOUBLON","")</f>
        <v/>
      </c>
      <c r="AB240" s="64">
        <f>IF(COUNTIF($T$4:$T$863,$T240)&lt;&gt;COUNTIFS($T$4:$T$863,$T240,$D$4:$D$863,$D240,$F$4:$F$863,$F240,$G$4:$G$863,$G240,$K$4:$K$863,$K240,$M$4:$M$863,$M240),"⚠ INCOHÉRENT","")</f>
        <v/>
      </c>
      <c r="AC240" s="64">
        <f>COUNTIFS($A$4:$A240,$A240,$J$4:$J240,$J240,$E$4:$E240,$E240)</f>
        <v/>
      </c>
      <c r="AD240" s="65">
        <f>$A240&amp;"|"&amp;$J240&amp;"|"&amp;$E240&amp;"|"&amp;$AC240</f>
        <v/>
      </c>
      <c r="AE240" s="66">
        <f>IF($W240&lt;&gt;"","⚑ "&amp;$W240&amp;CHAR(10),"")&amp;TEXT($F240,"hh:mm")&amp;"-"&amp;TEXT($G240,"hh:mm")&amp;IF(OR($P240="Quinzaine A",AND($P240="Hebdo · groupes alternés",$C240="A"))," Q-A",IF(OR($P240="Quinzaine B",AND($P240="Hebdo · groupes alternés",$C240="B"))," Q-B",IF($P240="Exception"," PONCT.","")))&amp;IF($X240="Oui"," OPT","")&amp;CHAR(10)&amp;$K240&amp;CHAR(10)&amp;$M240&amp;IF($N240&lt;&gt;"",CHAR(10)&amp;"Salle "&amp;$N240,"")&amp;IF($O240="En ligne",CHAR(10)&amp;"EN LIGNE","")&amp;IF($V240&lt;&gt;"",CHAR(10)&amp;$V240,"")</f>
        <v/>
      </c>
      <c r="AF240" s="65" t="inlineStr">
        <is>
          <t>10h30-12h Eco (Rym)</t>
        </is>
      </c>
      <c r="AG240" s="65" t="inlineStr">
        <is>
          <t>du 21-09 jusquà le 27-09!M68</t>
        </is>
      </c>
    </row>
    <row r="241" ht="15" customHeight="1">
      <c r="A241" s="74" t="inlineStr">
        <is>
          <t>S2</t>
        </is>
      </c>
      <c r="B241" s="75" t="inlineStr">
        <is>
          <t>du 21 au 27 septembre 2026</t>
        </is>
      </c>
      <c r="C241" s="74" t="inlineStr">
        <is>
          <t>B</t>
        </is>
      </c>
      <c r="D241" s="76" t="n">
        <v>46292</v>
      </c>
      <c r="E241" s="74" t="inlineStr">
        <is>
          <t>Dimanche</t>
        </is>
      </c>
      <c r="F241" s="77" t="n">
        <v>0.6666666666666666</v>
      </c>
      <c r="G241" s="77" t="n">
        <v>0.7291666666666666</v>
      </c>
      <c r="H241" s="78">
        <f>IF(OR($F241="",$G241=""),"",($G241-$F241)*24)</f>
        <v/>
      </c>
      <c r="I241" s="74" t="inlineStr">
        <is>
          <t>Secondaire</t>
        </is>
      </c>
      <c r="J241" s="75" t="inlineStr">
        <is>
          <t>3éme Eco</t>
        </is>
      </c>
      <c r="K241" s="79" t="inlineStr">
        <is>
          <t>Math</t>
        </is>
      </c>
      <c r="L241" s="79" t="inlineStr">
        <is>
          <t>Math</t>
        </is>
      </c>
      <c r="M241" s="75" t="inlineStr">
        <is>
          <t>Lotfi</t>
        </is>
      </c>
      <c r="N241" s="74" t="n"/>
      <c r="O241" s="74" t="n"/>
      <c r="P241" s="74" t="inlineStr">
        <is>
          <t>Hebdomadaire</t>
        </is>
      </c>
      <c r="Q241" s="75" t="inlineStr"/>
      <c r="R241" s="74" t="n">
        <v>1</v>
      </c>
      <c r="S241" s="74" t="inlineStr">
        <is>
          <t>Oui</t>
        </is>
      </c>
      <c r="T241" s="74" t="inlineStr">
        <is>
          <t>S2-092</t>
        </is>
      </c>
      <c r="U241" s="75" t="inlineStr">
        <is>
          <t>Original (septembre)</t>
        </is>
      </c>
      <c r="V241" s="75" t="inlineStr"/>
      <c r="W241" s="10" t="n"/>
      <c r="X241" s="10" t="inlineStr"/>
      <c r="Y241" s="64">
        <f>IF($M241="","",IF(SUMPRODUCT(($D$4:$D$863=$D241)*($M$4:$M$863=$M241)*($T$4:$T$863&lt;&gt;$T241)*($F$4:$F$863&lt;$G241)*($G$4:$G$863&gt;$F241))&gt;0,"⚠ CONFLIT",""))</f>
        <v/>
      </c>
      <c r="Z241" s="64">
        <f>IF($J241="","",IF(SUMPRODUCT(($D$4:$D$863=$D241)*($J$4:$J$863=$J241)*($T$4:$T$863&lt;&gt;$T241)*($F$4:$F$863&lt;$G241)*($G$4:$G$863&gt;$F241)*(1-($X$4:$X$863="Oui")*($X241="Oui")))&gt;0,"⚠ CONFLIT",""))</f>
        <v/>
      </c>
      <c r="AA241" s="64">
        <f>IF(COUNTIFS($D$4:$D$863,$D241,$J$4:$J$863,$J241,$F$4:$F$863,$F241,$K$4:$K$863,$K241)&gt;1,"⚠ DOUBLON","")</f>
        <v/>
      </c>
      <c r="AB241" s="64">
        <f>IF(COUNTIF($T$4:$T$863,$T241)&lt;&gt;COUNTIFS($T$4:$T$863,$T241,$D$4:$D$863,$D241,$F$4:$F$863,$F241,$G$4:$G$863,$G241,$K$4:$K$863,$K241,$M$4:$M$863,$M241),"⚠ INCOHÉRENT","")</f>
        <v/>
      </c>
      <c r="AC241" s="64">
        <f>COUNTIFS($A$4:$A241,$A241,$J$4:$J241,$J241,$E$4:$E241,$E241)</f>
        <v/>
      </c>
      <c r="AD241" s="65">
        <f>$A241&amp;"|"&amp;$J241&amp;"|"&amp;$E241&amp;"|"&amp;$AC241</f>
        <v/>
      </c>
      <c r="AE241" s="66">
        <f>IF($W241&lt;&gt;"","⚑ "&amp;$W241&amp;CHAR(10),"")&amp;TEXT($F241,"hh:mm")&amp;"-"&amp;TEXT($G241,"hh:mm")&amp;IF(OR($P241="Quinzaine A",AND($P241="Hebdo · groupes alternés",$C241="A"))," Q-A",IF(OR($P241="Quinzaine B",AND($P241="Hebdo · groupes alternés",$C241="B"))," Q-B",IF($P241="Exception"," PONCT.","")))&amp;IF($X241="Oui"," OPT","")&amp;CHAR(10)&amp;$K241&amp;CHAR(10)&amp;$M241&amp;IF($N241&lt;&gt;"",CHAR(10)&amp;"Salle "&amp;$N241,"")&amp;IF($O241="En ligne",CHAR(10)&amp;"EN LIGNE","")&amp;IF($V241&lt;&gt;"",CHAR(10)&amp;$V241,"")</f>
        <v/>
      </c>
      <c r="AF241" s="65" t="inlineStr">
        <is>
          <t>16h-17h30 Math (Lotfi)</t>
        </is>
      </c>
      <c r="AG241" s="65" t="inlineStr">
        <is>
          <t>du 21-09 jusquà le 27-09!M67</t>
        </is>
      </c>
    </row>
    <row r="242" ht="15" customHeight="1">
      <c r="A242" s="74" t="inlineStr">
        <is>
          <t>S2</t>
        </is>
      </c>
      <c r="B242" s="75" t="inlineStr">
        <is>
          <t>du 21 au 27 septembre 2026</t>
        </is>
      </c>
      <c r="C242" s="74" t="inlineStr">
        <is>
          <t>B</t>
        </is>
      </c>
      <c r="D242" s="76" t="n">
        <v>46292</v>
      </c>
      <c r="E242" s="74" t="inlineStr">
        <is>
          <t>Dimanche</t>
        </is>
      </c>
      <c r="F242" s="77" t="n">
        <v>0.6458333333333334</v>
      </c>
      <c r="G242" s="77" t="n">
        <v>0.7291666666666666</v>
      </c>
      <c r="H242" s="78">
        <f>IF(OR($F242="",$G242=""),"",($G242-$F242)*24)</f>
        <v/>
      </c>
      <c r="I242" s="74" t="inlineStr">
        <is>
          <t>Secondaire</t>
        </is>
      </c>
      <c r="J242" s="75" t="inlineStr">
        <is>
          <t>3éme INFO</t>
        </is>
      </c>
      <c r="K242" s="96" t="inlineStr">
        <is>
          <t>STI</t>
        </is>
      </c>
      <c r="L242" s="96" t="inlineStr">
        <is>
          <t>STI</t>
        </is>
      </c>
      <c r="M242" s="75" t="inlineStr">
        <is>
          <t>Aymen</t>
        </is>
      </c>
      <c r="N242" s="74" t="n"/>
      <c r="O242" s="74" t="n"/>
      <c r="P242" s="74" t="inlineStr">
        <is>
          <t>Ponctuelle / modifiée</t>
        </is>
      </c>
      <c r="Q242" s="75" t="inlineStr"/>
      <c r="R242" s="74" t="n">
        <v>1</v>
      </c>
      <c r="S242" s="74" t="inlineStr">
        <is>
          <t>Oui</t>
        </is>
      </c>
      <c r="T242" s="74" t="inlineStr">
        <is>
          <t>S2-095</t>
        </is>
      </c>
      <c r="U242" s="75" t="inlineStr">
        <is>
          <t>Original (septembre)</t>
        </is>
      </c>
      <c r="V242" s="75" t="inlineStr"/>
      <c r="W242" s="10" t="n"/>
      <c r="X242" s="10" t="inlineStr"/>
      <c r="Y242" s="64">
        <f>IF($M242="","",IF(SUMPRODUCT(($D$4:$D$863=$D242)*($M$4:$M$863=$M242)*($T$4:$T$863&lt;&gt;$T242)*($F$4:$F$863&lt;$G242)*($G$4:$G$863&gt;$F242))&gt;0,"⚠ CONFLIT",""))</f>
        <v/>
      </c>
      <c r="Z242" s="64">
        <f>IF($J242="","",IF(SUMPRODUCT(($D$4:$D$863=$D242)*($J$4:$J$863=$J242)*($T$4:$T$863&lt;&gt;$T242)*($F$4:$F$863&lt;$G242)*($G$4:$G$863&gt;$F242)*(1-($X$4:$X$863="Oui")*($X242="Oui")))&gt;0,"⚠ CONFLIT",""))</f>
        <v/>
      </c>
      <c r="AA242" s="64">
        <f>IF(COUNTIFS($D$4:$D$863,$D242,$J$4:$J$863,$J242,$F$4:$F$863,$F242,$K$4:$K$863,$K242)&gt;1,"⚠ DOUBLON","")</f>
        <v/>
      </c>
      <c r="AB242" s="64">
        <f>IF(COUNTIF($T$4:$T$863,$T242)&lt;&gt;COUNTIFS($T$4:$T$863,$T242,$D$4:$D$863,$D242,$F$4:$F$863,$F242,$G$4:$G$863,$G242,$K$4:$K$863,$K242,$M$4:$M$863,$M242),"⚠ INCOHÉRENT","")</f>
        <v/>
      </c>
      <c r="AC242" s="64">
        <f>COUNTIFS($A$4:$A242,$A242,$J$4:$J242,$J242,$E$4:$E242,$E242)</f>
        <v/>
      </c>
      <c r="AD242" s="65">
        <f>$A242&amp;"|"&amp;$J242&amp;"|"&amp;$E242&amp;"|"&amp;$AC242</f>
        <v/>
      </c>
      <c r="AE242" s="66">
        <f>IF($W242&lt;&gt;"","⚑ "&amp;$W242&amp;CHAR(10),"")&amp;TEXT($F242,"hh:mm")&amp;"-"&amp;TEXT($G242,"hh:mm")&amp;IF(OR($P242="Quinzaine A",AND($P242="Hebdo · groupes alternés",$C242="A"))," Q-A",IF(OR($P242="Quinzaine B",AND($P242="Hebdo · groupes alternés",$C242="B"))," Q-B",IF($P242="Exception"," PONCT.","")))&amp;IF($X242="Oui"," OPT","")&amp;CHAR(10)&amp;$K242&amp;CHAR(10)&amp;$M242&amp;IF($N242&lt;&gt;"",CHAR(10)&amp;"Salle "&amp;$N242,"")&amp;IF($O242="En ligne",CHAR(10)&amp;"EN LIGNE","")&amp;IF($V242&lt;&gt;"",CHAR(10)&amp;$V242,"")</f>
        <v/>
      </c>
      <c r="AF242" s="65" t="inlineStr">
        <is>
          <t>15h30-17h30 STI (Aymen)</t>
        </is>
      </c>
      <c r="AG242" s="65" t="inlineStr">
        <is>
          <t>du 21-09 jusquà le 27-09!M71</t>
        </is>
      </c>
    </row>
    <row r="243" ht="15" customHeight="1">
      <c r="A243" s="74" t="inlineStr">
        <is>
          <t>S2</t>
        </is>
      </c>
      <c r="B243" s="75" t="inlineStr">
        <is>
          <t>du 21 au 27 septembre 2026</t>
        </is>
      </c>
      <c r="C243" s="74" t="inlineStr">
        <is>
          <t>B</t>
        </is>
      </c>
      <c r="D243" s="76" t="n">
        <v>46292</v>
      </c>
      <c r="E243" s="74" t="inlineStr">
        <is>
          <t>Dimanche</t>
        </is>
      </c>
      <c r="F243" s="77" t="n">
        <v>0.7291666666666666</v>
      </c>
      <c r="G243" s="77" t="n">
        <v>0.7916666666666666</v>
      </c>
      <c r="H243" s="78">
        <f>IF(OR($F243="",$G243=""),"",($G243-$F243)*24)</f>
        <v/>
      </c>
      <c r="I243" s="74" t="inlineStr">
        <is>
          <t>Secondaire</t>
        </is>
      </c>
      <c r="J243" s="75" t="inlineStr">
        <is>
          <t>3éme INFO</t>
        </is>
      </c>
      <c r="K243" s="79" t="inlineStr">
        <is>
          <t>Math</t>
        </is>
      </c>
      <c r="L243" s="79" t="inlineStr">
        <is>
          <t>Math</t>
        </is>
      </c>
      <c r="M243" s="75" t="inlineStr">
        <is>
          <t>Lotfi</t>
        </is>
      </c>
      <c r="N243" s="74" t="n"/>
      <c r="O243" s="74" t="n"/>
      <c r="P243" s="74" t="inlineStr">
        <is>
          <t>Hebdomadaire</t>
        </is>
      </c>
      <c r="Q243" s="75" t="inlineStr"/>
      <c r="R243" s="74" t="n">
        <v>1</v>
      </c>
      <c r="S243" s="74" t="inlineStr">
        <is>
          <t>Oui</t>
        </is>
      </c>
      <c r="T243" s="74" t="inlineStr">
        <is>
          <t>S2-094</t>
        </is>
      </c>
      <c r="U243" s="75" t="inlineStr">
        <is>
          <t>Original (septembre)</t>
        </is>
      </c>
      <c r="V243" s="75" t="inlineStr"/>
      <c r="W243" s="10" t="n"/>
      <c r="X243" s="10" t="inlineStr"/>
      <c r="Y243" s="64">
        <f>IF($M243="","",IF(SUMPRODUCT(($D$4:$D$863=$D243)*($M$4:$M$863=$M243)*($T$4:$T$863&lt;&gt;$T243)*($F$4:$F$863&lt;$G243)*($G$4:$G$863&gt;$F243))&gt;0,"⚠ CONFLIT",""))</f>
        <v/>
      </c>
      <c r="Z243" s="64">
        <f>IF($J243="","",IF(SUMPRODUCT(($D$4:$D$863=$D243)*($J$4:$J$863=$J243)*($T$4:$T$863&lt;&gt;$T243)*($F$4:$F$863&lt;$G243)*($G$4:$G$863&gt;$F243)*(1-($X$4:$X$863="Oui")*($X243="Oui")))&gt;0,"⚠ CONFLIT",""))</f>
        <v/>
      </c>
      <c r="AA243" s="64">
        <f>IF(COUNTIFS($D$4:$D$863,$D243,$J$4:$J$863,$J243,$F$4:$F$863,$F243,$K$4:$K$863,$K243)&gt;1,"⚠ DOUBLON","")</f>
        <v/>
      </c>
      <c r="AB243" s="64">
        <f>IF(COUNTIF($T$4:$T$863,$T243)&lt;&gt;COUNTIFS($T$4:$T$863,$T243,$D$4:$D$863,$D243,$F$4:$F$863,$F243,$G$4:$G$863,$G243,$K$4:$K$863,$K243,$M$4:$M$863,$M243),"⚠ INCOHÉRENT","")</f>
        <v/>
      </c>
      <c r="AC243" s="64">
        <f>COUNTIFS($A$4:$A243,$A243,$J$4:$J243,$J243,$E$4:$E243,$E243)</f>
        <v/>
      </c>
      <c r="AD243" s="65">
        <f>$A243&amp;"|"&amp;$J243&amp;"|"&amp;$E243&amp;"|"&amp;$AC243</f>
        <v/>
      </c>
      <c r="AE243" s="66">
        <f>IF($W243&lt;&gt;"","⚑ "&amp;$W243&amp;CHAR(10),"")&amp;TEXT($F243,"hh:mm")&amp;"-"&amp;TEXT($G243,"hh:mm")&amp;IF(OR($P243="Quinzaine A",AND($P243="Hebdo · groupes alternés",$C243="A"))," Q-A",IF(OR($P243="Quinzaine B",AND($P243="Hebdo · groupes alternés",$C243="B"))," Q-B",IF($P243="Exception"," PONCT.","")))&amp;IF($X243="Oui"," OPT","")&amp;CHAR(10)&amp;$K243&amp;CHAR(10)&amp;$M243&amp;IF($N243&lt;&gt;"",CHAR(10)&amp;"Salle "&amp;$N243,"")&amp;IF($O243="En ligne",CHAR(10)&amp;"EN LIGNE","")&amp;IF($V243&lt;&gt;"",CHAR(10)&amp;$V243,"")</f>
        <v/>
      </c>
      <c r="AF243" s="65" t="inlineStr">
        <is>
          <t>17h30-19h Math (Lotfi)</t>
        </is>
      </c>
      <c r="AG243" s="65" t="inlineStr">
        <is>
          <t>du 21-09 jusquà le 27-09!M69</t>
        </is>
      </c>
    </row>
    <row r="244" ht="15" customHeight="1">
      <c r="A244" s="74" t="inlineStr">
        <is>
          <t>S2</t>
        </is>
      </c>
      <c r="B244" s="75" t="inlineStr">
        <is>
          <t>du 21 au 27 septembre 2026</t>
        </is>
      </c>
      <c r="C244" s="74" t="inlineStr">
        <is>
          <t>B</t>
        </is>
      </c>
      <c r="D244" s="76" t="n">
        <v>46292</v>
      </c>
      <c r="E244" s="74" t="inlineStr">
        <is>
          <t>Dimanche</t>
        </is>
      </c>
      <c r="F244" s="77" t="n">
        <v>0.4375</v>
      </c>
      <c r="G244" s="77" t="n">
        <v>0.5</v>
      </c>
      <c r="H244" s="78">
        <f>IF(OR($F244="",$G244=""),"",($G244-$F244)*24)</f>
        <v/>
      </c>
      <c r="I244" s="74" t="inlineStr">
        <is>
          <t>Secondaire</t>
        </is>
      </c>
      <c r="J244" s="75" t="inlineStr">
        <is>
          <t>3éme SCE</t>
        </is>
      </c>
      <c r="K244" s="73" t="inlineStr">
        <is>
          <t>Physique</t>
        </is>
      </c>
      <c r="L244" s="73" t="inlineStr">
        <is>
          <t>Physique</t>
        </is>
      </c>
      <c r="M244" s="75" t="inlineStr">
        <is>
          <t>Sondes</t>
        </is>
      </c>
      <c r="N244" s="74" t="n"/>
      <c r="O244" s="74" t="n"/>
      <c r="P244" s="74" t="inlineStr">
        <is>
          <t>Hebdomadaire</t>
        </is>
      </c>
      <c r="Q244" s="75" t="inlineStr"/>
      <c r="R244" s="74" t="n">
        <v>1</v>
      </c>
      <c r="S244" s="74" t="inlineStr">
        <is>
          <t>Oui</t>
        </is>
      </c>
      <c r="T244" s="74" t="inlineStr">
        <is>
          <t>S2-097</t>
        </is>
      </c>
      <c r="U244" s="75" t="inlineStr">
        <is>
          <t>Original (septembre)</t>
        </is>
      </c>
      <c r="V244" s="75" t="inlineStr"/>
      <c r="W244" s="10" t="n"/>
      <c r="X244" s="10" t="inlineStr"/>
      <c r="Y244" s="64">
        <f>IF($M244="","",IF(SUMPRODUCT(($D$4:$D$863=$D244)*($M$4:$M$863=$M244)*($T$4:$T$863&lt;&gt;$T244)*($F$4:$F$863&lt;$G244)*($G$4:$G$863&gt;$F244))&gt;0,"⚠ CONFLIT",""))</f>
        <v/>
      </c>
      <c r="Z244" s="64">
        <f>IF($J244="","",IF(SUMPRODUCT(($D$4:$D$863=$D244)*($J$4:$J$863=$J244)*($T$4:$T$863&lt;&gt;$T244)*($F$4:$F$863&lt;$G244)*($G$4:$G$863&gt;$F244)*(1-($X$4:$X$863="Oui")*($X244="Oui")))&gt;0,"⚠ CONFLIT",""))</f>
        <v/>
      </c>
      <c r="AA244" s="64">
        <f>IF(COUNTIFS($D$4:$D$863,$D244,$J$4:$J$863,$J244,$F$4:$F$863,$F244,$K$4:$K$863,$K244)&gt;1,"⚠ DOUBLON","")</f>
        <v/>
      </c>
      <c r="AB244" s="64">
        <f>IF(COUNTIF($T$4:$T$863,$T244)&lt;&gt;COUNTIFS($T$4:$T$863,$T244,$D$4:$D$863,$D244,$F$4:$F$863,$F244,$G$4:$G$863,$G244,$K$4:$K$863,$K244,$M$4:$M$863,$M244),"⚠ INCOHÉRENT","")</f>
        <v/>
      </c>
      <c r="AC244" s="64">
        <f>COUNTIFS($A$4:$A244,$A244,$J$4:$J244,$J244,$E$4:$E244,$E244)</f>
        <v/>
      </c>
      <c r="AD244" s="65">
        <f>$A244&amp;"|"&amp;$J244&amp;"|"&amp;$E244&amp;"|"&amp;$AC244</f>
        <v/>
      </c>
      <c r="AE244" s="66">
        <f>IF($W244&lt;&gt;"","⚑ "&amp;$W244&amp;CHAR(10),"")&amp;TEXT($F244,"hh:mm")&amp;"-"&amp;TEXT($G244,"hh:mm")&amp;IF(OR($P244="Quinzaine A",AND($P244="Hebdo · groupes alternés",$C244="A"))," Q-A",IF(OR($P244="Quinzaine B",AND($P244="Hebdo · groupes alternés",$C244="B"))," Q-B",IF($P244="Exception"," PONCT.","")))&amp;IF($X244="Oui"," OPT","")&amp;CHAR(10)&amp;$K244&amp;CHAR(10)&amp;$M244&amp;IF($N244&lt;&gt;"",CHAR(10)&amp;"Salle "&amp;$N244,"")&amp;IF($O244="En ligne",CHAR(10)&amp;"EN LIGNE","")&amp;IF($V244&lt;&gt;"",CHAR(10)&amp;$V244,"")</f>
        <v/>
      </c>
      <c r="AF244" s="65" t="inlineStr">
        <is>
          <t>10h30-12h Physique (Sondes)</t>
        </is>
      </c>
      <c r="AG244" s="65" t="inlineStr">
        <is>
          <t>du 21-09 jusquà le 27-09!M74</t>
        </is>
      </c>
    </row>
    <row r="245" ht="15" customHeight="1">
      <c r="A245" s="74" t="inlineStr">
        <is>
          <t>S2</t>
        </is>
      </c>
      <c r="B245" s="75" t="inlineStr">
        <is>
          <t>du 21 au 27 septembre 2026</t>
        </is>
      </c>
      <c r="C245" s="74" t="inlineStr">
        <is>
          <t>B</t>
        </is>
      </c>
      <c r="D245" s="76" t="n">
        <v>46292</v>
      </c>
      <c r="E245" s="74" t="inlineStr">
        <is>
          <t>Dimanche</t>
        </is>
      </c>
      <c r="F245" s="77" t="n">
        <v>0.5625</v>
      </c>
      <c r="G245" s="77" t="n">
        <v>0.625</v>
      </c>
      <c r="H245" s="78">
        <f>IF(OR($F245="",$G245=""),"",($G245-$F245)*24)</f>
        <v/>
      </c>
      <c r="I245" s="74" t="inlineStr">
        <is>
          <t>Secondaire</t>
        </is>
      </c>
      <c r="J245" s="75" t="inlineStr">
        <is>
          <t>3éme SCE</t>
        </is>
      </c>
      <c r="K245" s="79" t="inlineStr">
        <is>
          <t>Math</t>
        </is>
      </c>
      <c r="L245" s="79" t="inlineStr">
        <is>
          <t>Math</t>
        </is>
      </c>
      <c r="M245" s="75" t="inlineStr">
        <is>
          <t>Lotfi</t>
        </is>
      </c>
      <c r="N245" s="74" t="n"/>
      <c r="O245" s="74" t="n"/>
      <c r="P245" s="74" t="inlineStr">
        <is>
          <t>Ponctuelle / modifiée</t>
        </is>
      </c>
      <c r="Q245" s="75" t="inlineStr"/>
      <c r="R245" s="74" t="n">
        <v>1</v>
      </c>
      <c r="S245" s="74" t="inlineStr">
        <is>
          <t>Oui</t>
        </is>
      </c>
      <c r="T245" s="74" t="inlineStr">
        <is>
          <t>S2-096</t>
        </is>
      </c>
      <c r="U245" s="75" t="inlineStr">
        <is>
          <t>Original (septembre)</t>
        </is>
      </c>
      <c r="V245" s="75" t="inlineStr"/>
      <c r="W245" s="10" t="n"/>
      <c r="X245" s="10" t="inlineStr"/>
      <c r="Y245" s="64">
        <f>IF($M245="","",IF(SUMPRODUCT(($D$4:$D$863=$D245)*($M$4:$M$863=$M245)*($T$4:$T$863&lt;&gt;$T245)*($F$4:$F$863&lt;$G245)*($G$4:$G$863&gt;$F245))&gt;0,"⚠ CONFLIT",""))</f>
        <v/>
      </c>
      <c r="Z245" s="64">
        <f>IF($J245="","",IF(SUMPRODUCT(($D$4:$D$863=$D245)*($J$4:$J$863=$J245)*($T$4:$T$863&lt;&gt;$T245)*($F$4:$F$863&lt;$G245)*($G$4:$G$863&gt;$F245)*(1-($X$4:$X$863="Oui")*($X245="Oui")))&gt;0,"⚠ CONFLIT",""))</f>
        <v/>
      </c>
      <c r="AA245" s="64">
        <f>IF(COUNTIFS($D$4:$D$863,$D245,$J$4:$J$863,$J245,$F$4:$F$863,$F245,$K$4:$K$863,$K245)&gt;1,"⚠ DOUBLON","")</f>
        <v/>
      </c>
      <c r="AB245" s="64">
        <f>IF(COUNTIF($T$4:$T$863,$T245)&lt;&gt;COUNTIFS($T$4:$T$863,$T245,$D$4:$D$863,$D245,$F$4:$F$863,$F245,$G$4:$G$863,$G245,$K$4:$K$863,$K245,$M$4:$M$863,$M245),"⚠ INCOHÉRENT","")</f>
        <v/>
      </c>
      <c r="AC245" s="64">
        <f>COUNTIFS($A$4:$A245,$A245,$J$4:$J245,$J245,$E$4:$E245,$E245)</f>
        <v/>
      </c>
      <c r="AD245" s="65">
        <f>$A245&amp;"|"&amp;$J245&amp;"|"&amp;$E245&amp;"|"&amp;$AC245</f>
        <v/>
      </c>
      <c r="AE245" s="66">
        <f>IF($W245&lt;&gt;"","⚑ "&amp;$W245&amp;CHAR(10),"")&amp;TEXT($F245,"hh:mm")&amp;"-"&amp;TEXT($G245,"hh:mm")&amp;IF(OR($P245="Quinzaine A",AND($P245="Hebdo · groupes alternés",$C245="A"))," Q-A",IF(OR($P245="Quinzaine B",AND($P245="Hebdo · groupes alternés",$C245="B"))," Q-B",IF($P245="Exception"," PONCT.","")))&amp;IF($X245="Oui"," OPT","")&amp;CHAR(10)&amp;$K245&amp;CHAR(10)&amp;$M245&amp;IF($N245&lt;&gt;"",CHAR(10)&amp;"Salle "&amp;$N245,"")&amp;IF($O245="En ligne",CHAR(10)&amp;"EN LIGNE","")&amp;IF($V245&lt;&gt;"",CHAR(10)&amp;$V245,"")</f>
        <v/>
      </c>
      <c r="AF245" s="65" t="inlineStr">
        <is>
          <t>13h30-15h Math (Lotfi)</t>
        </is>
      </c>
      <c r="AG245" s="65" t="inlineStr">
        <is>
          <t>du 21-09 jusquà le 27-09!M73</t>
        </is>
      </c>
    </row>
    <row r="246" ht="15" customHeight="1">
      <c r="A246" s="81" t="inlineStr">
        <is>
          <t>S2</t>
        </is>
      </c>
      <c r="B246" s="82" t="inlineStr">
        <is>
          <t>du 21 au 27 septembre 2026</t>
        </is>
      </c>
      <c r="C246" s="81" t="inlineStr">
        <is>
          <t>B</t>
        </is>
      </c>
      <c r="D246" s="83" t="n">
        <v>46292</v>
      </c>
      <c r="E246" s="81" t="inlineStr">
        <is>
          <t>Dimanche</t>
        </is>
      </c>
      <c r="F246" s="84" t="n">
        <v>0.4375</v>
      </c>
      <c r="G246" s="84" t="n">
        <v>0.5</v>
      </c>
      <c r="H246" s="85">
        <f>IF(OR($F246="",$G246=""),"",($G246-$F246)*24)</f>
        <v/>
      </c>
      <c r="I246" s="81" t="inlineStr">
        <is>
          <t>Bac</t>
        </is>
      </c>
      <c r="J246" s="82" t="inlineStr">
        <is>
          <t>Bac Eco</t>
        </is>
      </c>
      <c r="K246" s="79" t="inlineStr">
        <is>
          <t>Math</t>
        </is>
      </c>
      <c r="L246" s="79" t="inlineStr">
        <is>
          <t>Math</t>
        </is>
      </c>
      <c r="M246" s="82" t="inlineStr">
        <is>
          <t>Lotfi</t>
        </is>
      </c>
      <c r="N246" s="81" t="n"/>
      <c r="O246" s="81" t="n"/>
      <c r="P246" s="81" t="inlineStr">
        <is>
          <t>Hebdomadaire</t>
        </is>
      </c>
      <c r="Q246" s="82" t="inlineStr"/>
      <c r="R246" s="81" t="n">
        <v>1</v>
      </c>
      <c r="S246" s="81" t="inlineStr">
        <is>
          <t>Oui</t>
        </is>
      </c>
      <c r="T246" s="81" t="inlineStr">
        <is>
          <t>S2-098</t>
        </is>
      </c>
      <c r="U246" s="82" t="inlineStr">
        <is>
          <t>Original (septembre)</t>
        </is>
      </c>
      <c r="V246" s="82" t="inlineStr"/>
      <c r="W246" s="10" t="n"/>
      <c r="X246" s="10" t="inlineStr"/>
      <c r="Y246" s="64">
        <f>IF($M246="","",IF(SUMPRODUCT(($D$4:$D$863=$D246)*($M$4:$M$863=$M246)*($T$4:$T$863&lt;&gt;$T246)*($F$4:$F$863&lt;$G246)*($G$4:$G$863&gt;$F246))&gt;0,"⚠ CONFLIT",""))</f>
        <v/>
      </c>
      <c r="Z246" s="64">
        <f>IF($J246="","",IF(SUMPRODUCT(($D$4:$D$863=$D246)*($J$4:$J$863=$J246)*($T$4:$T$863&lt;&gt;$T246)*($F$4:$F$863&lt;$G246)*($G$4:$G$863&gt;$F246)*(1-($X$4:$X$863="Oui")*($X246="Oui")))&gt;0,"⚠ CONFLIT",""))</f>
        <v/>
      </c>
      <c r="AA246" s="64">
        <f>IF(COUNTIFS($D$4:$D$863,$D246,$J$4:$J$863,$J246,$F$4:$F$863,$F246,$K$4:$K$863,$K246)&gt;1,"⚠ DOUBLON","")</f>
        <v/>
      </c>
      <c r="AB246" s="64">
        <f>IF(COUNTIF($T$4:$T$863,$T246)&lt;&gt;COUNTIFS($T$4:$T$863,$T246,$D$4:$D$863,$D246,$F$4:$F$863,$F246,$G$4:$G$863,$G246,$K$4:$K$863,$K246,$M$4:$M$863,$M246),"⚠ INCOHÉRENT","")</f>
        <v/>
      </c>
      <c r="AC246" s="64">
        <f>COUNTIFS($A$4:$A246,$A246,$J$4:$J246,$J246,$E$4:$E246,$E246)</f>
        <v/>
      </c>
      <c r="AD246" s="65">
        <f>$A246&amp;"|"&amp;$J246&amp;"|"&amp;$E246&amp;"|"&amp;$AC246</f>
        <v/>
      </c>
      <c r="AE246" s="66">
        <f>IF($W246&lt;&gt;"","⚑ "&amp;$W246&amp;CHAR(10),"")&amp;TEXT($F246,"hh:mm")&amp;"-"&amp;TEXT($G246,"hh:mm")&amp;IF(OR($P246="Quinzaine A",AND($P246="Hebdo · groupes alternés",$C246="A"))," Q-A",IF(OR($P246="Quinzaine B",AND($P246="Hebdo · groupes alternés",$C246="B"))," Q-B",IF($P246="Exception"," PONCT.","")))&amp;IF($X246="Oui"," OPT","")&amp;CHAR(10)&amp;$K246&amp;CHAR(10)&amp;$M246&amp;IF($N246&lt;&gt;"",CHAR(10)&amp;"Salle "&amp;$N246,"")&amp;IF($O246="En ligne",CHAR(10)&amp;"EN LIGNE","")&amp;IF($V246&lt;&gt;"",CHAR(10)&amp;$V246,"")</f>
        <v/>
      </c>
      <c r="AF246" s="65" t="inlineStr">
        <is>
          <t>10h30-12h Math (Lotfi)</t>
        </is>
      </c>
      <c r="AG246" s="65" t="inlineStr">
        <is>
          <t>du 21-09 jusquà le 27-09!M75</t>
        </is>
      </c>
    </row>
    <row r="247" ht="15" customHeight="1">
      <c r="A247" s="81" t="inlineStr">
        <is>
          <t>S2</t>
        </is>
      </c>
      <c r="B247" s="82" t="inlineStr">
        <is>
          <t>du 21 au 27 septembre 2026</t>
        </is>
      </c>
      <c r="C247" s="81" t="inlineStr">
        <is>
          <t>B</t>
        </is>
      </c>
      <c r="D247" s="83" t="n">
        <v>46292</v>
      </c>
      <c r="E247" s="81" t="inlineStr">
        <is>
          <t>Dimanche</t>
        </is>
      </c>
      <c r="F247" s="84" t="n">
        <v>0.5208333333333334</v>
      </c>
      <c r="G247" s="84" t="n">
        <v>0.6041666666666666</v>
      </c>
      <c r="H247" s="85">
        <f>IF(OR($F247="",$G247=""),"",($G247-$F247)*24)</f>
        <v/>
      </c>
      <c r="I247" s="81" t="inlineStr">
        <is>
          <t>Bac</t>
        </is>
      </c>
      <c r="J247" s="82" t="inlineStr">
        <is>
          <t>Bac Eco</t>
        </is>
      </c>
      <c r="K247" s="95" t="inlineStr">
        <is>
          <t>Eco</t>
        </is>
      </c>
      <c r="L247" s="95" t="inlineStr">
        <is>
          <t>Eco</t>
        </is>
      </c>
      <c r="M247" s="82" t="inlineStr">
        <is>
          <t>Rym</t>
        </is>
      </c>
      <c r="N247" s="81" t="n"/>
      <c r="O247" s="81" t="n"/>
      <c r="P247" s="81" t="inlineStr">
        <is>
          <t>Hebdomadaire</t>
        </is>
      </c>
      <c r="Q247" s="82" t="inlineStr"/>
      <c r="R247" s="81" t="n">
        <v>1</v>
      </c>
      <c r="S247" s="81" t="inlineStr">
        <is>
          <t>Oui</t>
        </is>
      </c>
      <c r="T247" s="81" t="inlineStr">
        <is>
          <t>S2-099</t>
        </is>
      </c>
      <c r="U247" s="82" t="inlineStr">
        <is>
          <t>Original (septembre)</t>
        </is>
      </c>
      <c r="V247" s="82" t="inlineStr"/>
      <c r="W247" s="10" t="n"/>
      <c r="X247" s="10" t="inlineStr"/>
      <c r="Y247" s="64">
        <f>IF($M247="","",IF(SUMPRODUCT(($D$4:$D$863=$D247)*($M$4:$M$863=$M247)*($T$4:$T$863&lt;&gt;$T247)*($F$4:$F$863&lt;$G247)*($G$4:$G$863&gt;$F247))&gt;0,"⚠ CONFLIT",""))</f>
        <v/>
      </c>
      <c r="Z247" s="64">
        <f>IF($J247="","",IF(SUMPRODUCT(($D$4:$D$863=$D247)*($J$4:$J$863=$J247)*($T$4:$T$863&lt;&gt;$T247)*($F$4:$F$863&lt;$G247)*($G$4:$G$863&gt;$F247)*(1-($X$4:$X$863="Oui")*($X247="Oui")))&gt;0,"⚠ CONFLIT",""))</f>
        <v/>
      </c>
      <c r="AA247" s="64">
        <f>IF(COUNTIFS($D$4:$D$863,$D247,$J$4:$J$863,$J247,$F$4:$F$863,$F247,$K$4:$K$863,$K247)&gt;1,"⚠ DOUBLON","")</f>
        <v/>
      </c>
      <c r="AB247" s="64">
        <f>IF(COUNTIF($T$4:$T$863,$T247)&lt;&gt;COUNTIFS($T$4:$T$863,$T247,$D$4:$D$863,$D247,$F$4:$F$863,$F247,$G$4:$G$863,$G247,$K$4:$K$863,$K247,$M$4:$M$863,$M247),"⚠ INCOHÉRENT","")</f>
        <v/>
      </c>
      <c r="AC247" s="64">
        <f>COUNTIFS($A$4:$A247,$A247,$J$4:$J247,$J247,$E$4:$E247,$E247)</f>
        <v/>
      </c>
      <c r="AD247" s="65">
        <f>$A247&amp;"|"&amp;$J247&amp;"|"&amp;$E247&amp;"|"&amp;$AC247</f>
        <v/>
      </c>
      <c r="AE247" s="66">
        <f>IF($W247&lt;&gt;"","⚑ "&amp;$W247&amp;CHAR(10),"")&amp;TEXT($F247,"hh:mm")&amp;"-"&amp;TEXT($G247,"hh:mm")&amp;IF(OR($P247="Quinzaine A",AND($P247="Hebdo · groupes alternés",$C247="A"))," Q-A",IF(OR($P247="Quinzaine B",AND($P247="Hebdo · groupes alternés",$C247="B"))," Q-B",IF($P247="Exception"," PONCT.","")))&amp;IF($X247="Oui"," OPT","")&amp;CHAR(10)&amp;$K247&amp;CHAR(10)&amp;$M247&amp;IF($N247&lt;&gt;"",CHAR(10)&amp;"Salle "&amp;$N247,"")&amp;IF($O247="En ligne",CHAR(10)&amp;"EN LIGNE","")&amp;IF($V247&lt;&gt;"",CHAR(10)&amp;$V247,"")</f>
        <v/>
      </c>
      <c r="AF247" s="65" t="inlineStr">
        <is>
          <t>12h30-14h30 Eco (Rym)</t>
        </is>
      </c>
      <c r="AG247" s="65" t="inlineStr">
        <is>
          <t>du 21-09 jusquà le 27-09!M78</t>
        </is>
      </c>
    </row>
    <row r="248" ht="15" customHeight="1">
      <c r="A248" s="81" t="inlineStr">
        <is>
          <t>S2</t>
        </is>
      </c>
      <c r="B248" s="82" t="inlineStr">
        <is>
          <t>du 21 au 27 septembre 2026</t>
        </is>
      </c>
      <c r="C248" s="81" t="inlineStr">
        <is>
          <t>B</t>
        </is>
      </c>
      <c r="D248" s="83" t="n">
        <v>46292</v>
      </c>
      <c r="E248" s="81" t="inlineStr">
        <is>
          <t>Dimanche</t>
        </is>
      </c>
      <c r="F248" s="84" t="n">
        <v>0.5</v>
      </c>
      <c r="G248" s="84" t="n">
        <v>0.5625</v>
      </c>
      <c r="H248" s="85">
        <f>IF(OR($F248="",$G248=""),"",($G248-$F248)*24)</f>
        <v/>
      </c>
      <c r="I248" s="81" t="inlineStr">
        <is>
          <t>Bac</t>
        </is>
      </c>
      <c r="J248" s="82" t="inlineStr">
        <is>
          <t>Bac INFO</t>
        </is>
      </c>
      <c r="K248" s="79" t="inlineStr">
        <is>
          <t>Math</t>
        </is>
      </c>
      <c r="L248" s="79" t="inlineStr">
        <is>
          <t>Math</t>
        </is>
      </c>
      <c r="M248" s="82" t="inlineStr">
        <is>
          <t>Lotfi</t>
        </is>
      </c>
      <c r="N248" s="81" t="n"/>
      <c r="O248" s="81" t="n"/>
      <c r="P248" s="81" t="inlineStr">
        <is>
          <t>Hebdomadaire</t>
        </is>
      </c>
      <c r="Q248" s="82" t="inlineStr"/>
      <c r="R248" s="81" t="n">
        <v>1</v>
      </c>
      <c r="S248" s="81" t="inlineStr">
        <is>
          <t>Oui</t>
        </is>
      </c>
      <c r="T248" s="81" t="inlineStr">
        <is>
          <t>S2-100</t>
        </is>
      </c>
      <c r="U248" s="82" t="inlineStr">
        <is>
          <t>Original (septembre)</t>
        </is>
      </c>
      <c r="V248" s="82" t="inlineStr"/>
      <c r="W248" s="10" t="n"/>
      <c r="X248" s="10" t="inlineStr"/>
      <c r="Y248" s="64">
        <f>IF($M248="","",IF(SUMPRODUCT(($D$4:$D$863=$D248)*($M$4:$M$863=$M248)*($T$4:$T$863&lt;&gt;$T248)*($F$4:$F$863&lt;$G248)*($G$4:$G$863&gt;$F248))&gt;0,"⚠ CONFLIT",""))</f>
        <v/>
      </c>
      <c r="Z248" s="64">
        <f>IF($J248="","",IF(SUMPRODUCT(($D$4:$D$863=$D248)*($J$4:$J$863=$J248)*($T$4:$T$863&lt;&gt;$T248)*($F$4:$F$863&lt;$G248)*($G$4:$G$863&gt;$F248)*(1-($X$4:$X$863="Oui")*($X248="Oui")))&gt;0,"⚠ CONFLIT",""))</f>
        <v/>
      </c>
      <c r="AA248" s="64">
        <f>IF(COUNTIFS($D$4:$D$863,$D248,$J$4:$J$863,$J248,$F$4:$F$863,$F248,$K$4:$K$863,$K248)&gt;1,"⚠ DOUBLON","")</f>
        <v/>
      </c>
      <c r="AB248" s="64">
        <f>IF(COUNTIF($T$4:$T$863,$T248)&lt;&gt;COUNTIFS($T$4:$T$863,$T248,$D$4:$D$863,$D248,$F$4:$F$863,$F248,$G$4:$G$863,$G248,$K$4:$K$863,$K248,$M$4:$M$863,$M248),"⚠ INCOHÉRENT","")</f>
        <v/>
      </c>
      <c r="AC248" s="64">
        <f>COUNTIFS($A$4:$A248,$A248,$J$4:$J248,$J248,$E$4:$E248,$E248)</f>
        <v/>
      </c>
      <c r="AD248" s="65">
        <f>$A248&amp;"|"&amp;$J248&amp;"|"&amp;$E248&amp;"|"&amp;$AC248</f>
        <v/>
      </c>
      <c r="AE248" s="66">
        <f>IF($W248&lt;&gt;"","⚑ "&amp;$W248&amp;CHAR(10),"")&amp;TEXT($F248,"hh:mm")&amp;"-"&amp;TEXT($G248,"hh:mm")&amp;IF(OR($P248="Quinzaine A",AND($P248="Hebdo · groupes alternés",$C248="A"))," Q-A",IF(OR($P248="Quinzaine B",AND($P248="Hebdo · groupes alternés",$C248="B"))," Q-B",IF($P248="Exception"," PONCT.","")))&amp;IF($X248="Oui"," OPT","")&amp;CHAR(10)&amp;$K248&amp;CHAR(10)&amp;$M248&amp;IF($N248&lt;&gt;"",CHAR(10)&amp;"Salle "&amp;$N248,"")&amp;IF($O248="En ligne",CHAR(10)&amp;"EN LIGNE","")&amp;IF($V248&lt;&gt;"",CHAR(10)&amp;$V248,"")</f>
        <v/>
      </c>
      <c r="AF248" s="65" t="inlineStr">
        <is>
          <t>12h-13h30 Math (Lotfi)</t>
        </is>
      </c>
      <c r="AG248" s="65" t="inlineStr">
        <is>
          <t>du 21-09 jusquà le 27-09!M85</t>
        </is>
      </c>
    </row>
    <row r="249" ht="15" customHeight="1">
      <c r="A249" s="58" t="inlineStr">
        <is>
          <t>S3</t>
        </is>
      </c>
      <c r="B249" s="59" t="inlineStr">
        <is>
          <t>du 28 septembre au 4 octobre 2026</t>
        </is>
      </c>
      <c r="C249" s="58" t="inlineStr">
        <is>
          <t>A</t>
        </is>
      </c>
      <c r="D249" s="60" t="n">
        <v>46293</v>
      </c>
      <c r="E249" s="58" t="inlineStr">
        <is>
          <t>Lundi</t>
        </is>
      </c>
      <c r="F249" s="61" t="n">
        <v>0.7916666666666666</v>
      </c>
      <c r="G249" s="61" t="n">
        <v>0.875</v>
      </c>
      <c r="H249" s="62">
        <f>IF(OR($F249="",$G249=""),"",($G249-$F249)*24)</f>
        <v/>
      </c>
      <c r="I249" s="58" t="inlineStr">
        <is>
          <t>Primaire</t>
        </is>
      </c>
      <c r="J249" s="59" t="inlineStr">
        <is>
          <t>4éme</t>
        </is>
      </c>
      <c r="K249" s="63" t="inlineStr">
        <is>
          <t>عربية</t>
        </is>
      </c>
      <c r="L249" s="63" t="inlineStr">
        <is>
          <t>Arabe</t>
        </is>
      </c>
      <c r="M249" s="59" t="inlineStr">
        <is>
          <t>Lobna</t>
        </is>
      </c>
      <c r="N249" s="58" t="n"/>
      <c r="O249" s="58" t="n"/>
      <c r="P249" s="58" t="inlineStr">
        <is>
          <t>Hebdomadaire</t>
        </is>
      </c>
      <c r="Q249" s="59" t="inlineStr"/>
      <c r="R249" s="58" t="n">
        <v>1</v>
      </c>
      <c r="S249" s="58" t="inlineStr">
        <is>
          <t>Oui</t>
        </is>
      </c>
      <c r="T249" s="58" t="inlineStr">
        <is>
          <t>S3-001</t>
        </is>
      </c>
      <c r="U249" s="59" t="inlineStr">
        <is>
          <t>Original (septembre)</t>
        </is>
      </c>
      <c r="V249" s="59" t="inlineStr"/>
      <c r="W249" s="10" t="n"/>
      <c r="X249" s="10" t="inlineStr"/>
      <c r="Y249" s="64">
        <f>IF($M249="","",IF(SUMPRODUCT(($D$4:$D$863=$D249)*($M$4:$M$863=$M249)*($T$4:$T$863&lt;&gt;$T249)*($F$4:$F$863&lt;$G249)*($G$4:$G$863&gt;$F249))&gt;0,"⚠ CONFLIT",""))</f>
        <v/>
      </c>
      <c r="Z249" s="64">
        <f>IF($J249="","",IF(SUMPRODUCT(($D$4:$D$863=$D249)*($J$4:$J$863=$J249)*($T$4:$T$863&lt;&gt;$T249)*($F$4:$F$863&lt;$G249)*($G$4:$G$863&gt;$F249)*(1-($X$4:$X$863="Oui")*($X249="Oui")))&gt;0,"⚠ CONFLIT",""))</f>
        <v/>
      </c>
      <c r="AA249" s="64">
        <f>IF(COUNTIFS($D$4:$D$863,$D249,$J$4:$J$863,$J249,$F$4:$F$863,$F249,$K$4:$K$863,$K249)&gt;1,"⚠ DOUBLON","")</f>
        <v/>
      </c>
      <c r="AB249" s="64">
        <f>IF(COUNTIF($T$4:$T$863,$T249)&lt;&gt;COUNTIFS($T$4:$T$863,$T249,$D$4:$D$863,$D249,$F$4:$F$863,$F249,$G$4:$G$863,$G249,$K$4:$K$863,$K249,$M$4:$M$863,$M249),"⚠ INCOHÉRENT","")</f>
        <v/>
      </c>
      <c r="AC249" s="64">
        <f>COUNTIFS($A$4:$A249,$A249,$J$4:$J249,$J249,$E$4:$E249,$E249)</f>
        <v/>
      </c>
      <c r="AD249" s="65">
        <f>$A249&amp;"|"&amp;$J249&amp;"|"&amp;$E249&amp;"|"&amp;$AC249</f>
        <v/>
      </c>
      <c r="AE249" s="66">
        <f>IF($W249&lt;&gt;"","⚑ "&amp;$W249&amp;CHAR(10),"")&amp;TEXT($F249,"hh:mm")&amp;"-"&amp;TEXT($G249,"hh:mm")&amp;IF(OR($P249="Quinzaine A",AND($P249="Hebdo · groupes alternés",$C249="A"))," Q-A",IF(OR($P249="Quinzaine B",AND($P249="Hebdo · groupes alternés",$C249="B"))," Q-B",IF($P249="Exception"," PONCT.","")))&amp;IF($X249="Oui"," OPT","")&amp;CHAR(10)&amp;$K249&amp;CHAR(10)&amp;$M249&amp;IF($N249&lt;&gt;"",CHAR(10)&amp;"Salle "&amp;$N249,"")&amp;IF($O249="En ligne",CHAR(10)&amp;"EN LIGNE","")&amp;IF($V249&lt;&gt;"",CHAR(10)&amp;$V249,"")</f>
        <v/>
      </c>
      <c r="AF249" s="65" t="inlineStr">
        <is>
          <t>19h-21h عربية (Lobna)</t>
        </is>
      </c>
      <c r="AG249" s="65" t="inlineStr">
        <is>
          <t>du 28-09 jusquà le 04-10!G3</t>
        </is>
      </c>
    </row>
    <row r="250" ht="15" customHeight="1">
      <c r="A250" s="58" t="inlineStr">
        <is>
          <t>S3</t>
        </is>
      </c>
      <c r="B250" s="59" t="inlineStr">
        <is>
          <t>du 28 septembre au 4 octobre 2026</t>
        </is>
      </c>
      <c r="C250" s="58" t="inlineStr">
        <is>
          <t>A</t>
        </is>
      </c>
      <c r="D250" s="60" t="n">
        <v>46293</v>
      </c>
      <c r="E250" s="58" t="inlineStr">
        <is>
          <t>Lundi</t>
        </is>
      </c>
      <c r="F250" s="61" t="n">
        <v>0.7916666666666666</v>
      </c>
      <c r="G250" s="61" t="n">
        <v>0.8541666666666666</v>
      </c>
      <c r="H250" s="62">
        <f>IF(OR($F250="",$G250=""),"",($G250-$F250)*24)</f>
        <v/>
      </c>
      <c r="I250" s="58" t="inlineStr">
        <is>
          <t>Primaire</t>
        </is>
      </c>
      <c r="J250" s="59" t="inlineStr">
        <is>
          <t>6éme Pilote (A)</t>
        </is>
      </c>
      <c r="K250" s="67" t="inlineStr">
        <is>
          <t>Français</t>
        </is>
      </c>
      <c r="L250" s="67" t="inlineStr">
        <is>
          <t>Français</t>
        </is>
      </c>
      <c r="M250" s="59" t="inlineStr">
        <is>
          <t>Hend</t>
        </is>
      </c>
      <c r="N250" s="58" t="n"/>
      <c r="O250" s="58" t="n"/>
      <c r="P250" s="58" t="inlineStr">
        <is>
          <t>Hebdomadaire</t>
        </is>
      </c>
      <c r="Q250" s="59" t="inlineStr"/>
      <c r="R250" s="58" t="n">
        <v>1</v>
      </c>
      <c r="S250" s="58" t="inlineStr">
        <is>
          <t>Oui</t>
        </is>
      </c>
      <c r="T250" s="58" t="inlineStr">
        <is>
          <t>S3-002</t>
        </is>
      </c>
      <c r="U250" s="59" t="inlineStr">
        <is>
          <t>Original (septembre)</t>
        </is>
      </c>
      <c r="V250" s="59" t="inlineStr"/>
      <c r="W250" s="10" t="n"/>
      <c r="X250" s="10" t="inlineStr"/>
      <c r="Y250" s="64">
        <f>IF($M250="","",IF(SUMPRODUCT(($D$4:$D$863=$D250)*($M$4:$M$863=$M250)*($T$4:$T$863&lt;&gt;$T250)*($F$4:$F$863&lt;$G250)*($G$4:$G$863&gt;$F250))&gt;0,"⚠ CONFLIT",""))</f>
        <v/>
      </c>
      <c r="Z250" s="64">
        <f>IF($J250="","",IF(SUMPRODUCT(($D$4:$D$863=$D250)*($J$4:$J$863=$J250)*($T$4:$T$863&lt;&gt;$T250)*($F$4:$F$863&lt;$G250)*($G$4:$G$863&gt;$F250)*(1-($X$4:$X$863="Oui")*($X250="Oui")))&gt;0,"⚠ CONFLIT",""))</f>
        <v/>
      </c>
      <c r="AA250" s="64">
        <f>IF(COUNTIFS($D$4:$D$863,$D250,$J$4:$J$863,$J250,$F$4:$F$863,$F250,$K$4:$K$863,$K250)&gt;1,"⚠ DOUBLON","")</f>
        <v/>
      </c>
      <c r="AB250" s="64">
        <f>IF(COUNTIF($T$4:$T$863,$T250)&lt;&gt;COUNTIFS($T$4:$T$863,$T250,$D$4:$D$863,$D250,$F$4:$F$863,$F250,$G$4:$G$863,$G250,$K$4:$K$863,$K250,$M$4:$M$863,$M250),"⚠ INCOHÉRENT","")</f>
        <v/>
      </c>
      <c r="AC250" s="64">
        <f>COUNTIFS($A$4:$A250,$A250,$J$4:$J250,$J250,$E$4:$E250,$E250)</f>
        <v/>
      </c>
      <c r="AD250" s="65">
        <f>$A250&amp;"|"&amp;$J250&amp;"|"&amp;$E250&amp;"|"&amp;$AC250</f>
        <v/>
      </c>
      <c r="AE250" s="66">
        <f>IF($W250&lt;&gt;"","⚑ "&amp;$W250&amp;CHAR(10),"")&amp;TEXT($F250,"hh:mm")&amp;"-"&amp;TEXT($G250,"hh:mm")&amp;IF(OR($P250="Quinzaine A",AND($P250="Hebdo · groupes alternés",$C250="A"))," Q-A",IF(OR($P250="Quinzaine B",AND($P250="Hebdo · groupes alternés",$C250="B"))," Q-B",IF($P250="Exception"," PONCT.","")))&amp;IF($X250="Oui"," OPT","")&amp;CHAR(10)&amp;$K250&amp;CHAR(10)&amp;$M250&amp;IF($N250&lt;&gt;"",CHAR(10)&amp;"Salle "&amp;$N250,"")&amp;IF($O250="En ligne",CHAR(10)&amp;"EN LIGNE","")&amp;IF($V250&lt;&gt;"",CHAR(10)&amp;$V250,"")</f>
        <v/>
      </c>
      <c r="AF250" s="65" t="inlineStr">
        <is>
          <t>19h-20h30 Français (Hend)</t>
        </is>
      </c>
      <c r="AG250" s="65" t="inlineStr">
        <is>
          <t>du 28-09 jusquà le 04-10!G12</t>
        </is>
      </c>
    </row>
    <row r="251" ht="15" customHeight="1">
      <c r="A251" s="68" t="inlineStr">
        <is>
          <t>S3</t>
        </is>
      </c>
      <c r="B251" s="69" t="inlineStr">
        <is>
          <t>du 28 septembre au 4 octobre 2026</t>
        </is>
      </c>
      <c r="C251" s="68" t="inlineStr">
        <is>
          <t>A</t>
        </is>
      </c>
      <c r="D251" s="70" t="n">
        <v>46293</v>
      </c>
      <c r="E251" s="68" t="inlineStr">
        <is>
          <t>Lundi</t>
        </is>
      </c>
      <c r="F251" s="71" t="n">
        <v>0.8125</v>
      </c>
      <c r="G251" s="71" t="n">
        <v>0.875</v>
      </c>
      <c r="H251" s="72">
        <f>IF(OR($F251="",$G251=""),"",($G251-$F251)*24)</f>
        <v/>
      </c>
      <c r="I251" s="68" t="inlineStr">
        <is>
          <t>Collège</t>
        </is>
      </c>
      <c r="J251" s="69" t="inlineStr">
        <is>
          <t>7éme (B)</t>
        </is>
      </c>
      <c r="K251" s="63" t="inlineStr">
        <is>
          <t>Arabe</t>
        </is>
      </c>
      <c r="L251" s="63" t="inlineStr">
        <is>
          <t>Arabe</t>
        </is>
      </c>
      <c r="M251" s="69" t="inlineStr">
        <is>
          <t>Yahya</t>
        </is>
      </c>
      <c r="N251" s="68" t="n"/>
      <c r="O251" s="68" t="n"/>
      <c r="P251" s="68" t="inlineStr">
        <is>
          <t>Hebdomadaire</t>
        </is>
      </c>
      <c r="Q251" s="69" t="inlineStr"/>
      <c r="R251" s="68" t="n">
        <v>1</v>
      </c>
      <c r="S251" s="68" t="inlineStr">
        <is>
          <t>Oui</t>
        </is>
      </c>
      <c r="T251" s="68" t="inlineStr">
        <is>
          <t>S3-003</t>
        </is>
      </c>
      <c r="U251" s="69" t="inlineStr">
        <is>
          <t>Original (septembre)</t>
        </is>
      </c>
      <c r="V251" s="69" t="inlineStr"/>
      <c r="W251" s="10" t="n"/>
      <c r="X251" s="10" t="inlineStr"/>
      <c r="Y251" s="64">
        <f>IF($M251="","",IF(SUMPRODUCT(($D$4:$D$863=$D251)*($M$4:$M$863=$M251)*($T$4:$T$863&lt;&gt;$T251)*($F$4:$F$863&lt;$G251)*($G$4:$G$863&gt;$F251))&gt;0,"⚠ CONFLIT",""))</f>
        <v/>
      </c>
      <c r="Z251" s="64">
        <f>IF($J251="","",IF(SUMPRODUCT(($D$4:$D$863=$D251)*($J$4:$J$863=$J251)*($T$4:$T$863&lt;&gt;$T251)*($F$4:$F$863&lt;$G251)*($G$4:$G$863&gt;$F251)*(1-($X$4:$X$863="Oui")*($X251="Oui")))&gt;0,"⚠ CONFLIT",""))</f>
        <v/>
      </c>
      <c r="AA251" s="64">
        <f>IF(COUNTIFS($D$4:$D$863,$D251,$J$4:$J$863,$J251,$F$4:$F$863,$F251,$K$4:$K$863,$K251)&gt;1,"⚠ DOUBLON","")</f>
        <v/>
      </c>
      <c r="AB251" s="64">
        <f>IF(COUNTIF($T$4:$T$863,$T251)&lt;&gt;COUNTIFS($T$4:$T$863,$T251,$D$4:$D$863,$D251,$F$4:$F$863,$F251,$G$4:$G$863,$G251,$K$4:$K$863,$K251,$M$4:$M$863,$M251),"⚠ INCOHÉRENT","")</f>
        <v/>
      </c>
      <c r="AC251" s="64">
        <f>COUNTIFS($A$4:$A251,$A251,$J$4:$J251,$J251,$E$4:$E251,$E251)</f>
        <v/>
      </c>
      <c r="AD251" s="65">
        <f>$A251&amp;"|"&amp;$J251&amp;"|"&amp;$E251&amp;"|"&amp;$AC251</f>
        <v/>
      </c>
      <c r="AE251" s="66">
        <f>IF($W251&lt;&gt;"","⚑ "&amp;$W251&amp;CHAR(10),"")&amp;TEXT($F251,"hh:mm")&amp;"-"&amp;TEXT($G251,"hh:mm")&amp;IF(OR($P251="Quinzaine A",AND($P251="Hebdo · groupes alternés",$C251="A"))," Q-A",IF(OR($P251="Quinzaine B",AND($P251="Hebdo · groupes alternés",$C251="B"))," Q-B",IF($P251="Exception"," PONCT.","")))&amp;IF($X251="Oui"," OPT","")&amp;CHAR(10)&amp;$K251&amp;CHAR(10)&amp;$M251&amp;IF($N251&lt;&gt;"",CHAR(10)&amp;"Salle "&amp;$N251,"")&amp;IF($O251="En ligne",CHAR(10)&amp;"EN LIGNE","")&amp;IF($V251&lt;&gt;"",CHAR(10)&amp;$V251,"")</f>
        <v/>
      </c>
      <c r="AF251" s="65" t="inlineStr">
        <is>
          <t>19h30-21h Arabe (Yahya)</t>
        </is>
      </c>
      <c r="AG251" s="65" t="inlineStr">
        <is>
          <t>du 28-09 jusquà le 04-10!G23</t>
        </is>
      </c>
    </row>
    <row r="252" ht="15" customHeight="1">
      <c r="A252" s="68" t="inlineStr">
        <is>
          <t>S3</t>
        </is>
      </c>
      <c r="B252" s="69" t="inlineStr">
        <is>
          <t>du 28 septembre au 4 octobre 2026</t>
        </is>
      </c>
      <c r="C252" s="68" t="inlineStr">
        <is>
          <t>A</t>
        </is>
      </c>
      <c r="D252" s="70" t="n">
        <v>46293</v>
      </c>
      <c r="E252" s="68" t="inlineStr">
        <is>
          <t>Lundi</t>
        </is>
      </c>
      <c r="F252" s="71" t="n">
        <v>0.8125</v>
      </c>
      <c r="G252" s="71" t="n">
        <v>0.875</v>
      </c>
      <c r="H252" s="72">
        <f>IF(OR($F252="",$G252=""),"",($G252-$F252)*24)</f>
        <v/>
      </c>
      <c r="I252" s="68" t="inlineStr">
        <is>
          <t>Collège</t>
        </is>
      </c>
      <c r="J252" s="69" t="inlineStr">
        <is>
          <t>9éme (A)</t>
        </is>
      </c>
      <c r="K252" s="73" t="inlineStr">
        <is>
          <t>فيزياء</t>
        </is>
      </c>
      <c r="L252" s="73" t="inlineStr">
        <is>
          <t>Physique</t>
        </is>
      </c>
      <c r="M252" s="69" t="inlineStr">
        <is>
          <t>Melek</t>
        </is>
      </c>
      <c r="N252" s="68" t="n"/>
      <c r="O252" s="68" t="n"/>
      <c r="P252" s="68" t="inlineStr">
        <is>
          <t>Hebdomadaire</t>
        </is>
      </c>
      <c r="Q252" s="69" t="inlineStr">
        <is>
          <t>9éme (A) + 9éme (B) + 9éme (C)</t>
        </is>
      </c>
      <c r="R252" s="68" t="n">
        <v>3</v>
      </c>
      <c r="S252" s="68" t="inlineStr">
        <is>
          <t>Oui</t>
        </is>
      </c>
      <c r="T252" s="68" t="inlineStr">
        <is>
          <t>S3-004</t>
        </is>
      </c>
      <c r="U252" s="69" t="inlineStr">
        <is>
          <t>Original (septembre)</t>
        </is>
      </c>
      <c r="V252" s="69" t="inlineStr"/>
      <c r="W252" s="10" t="n"/>
      <c r="X252" s="10" t="inlineStr"/>
      <c r="Y252" s="64">
        <f>IF($M252="","",IF(SUMPRODUCT(($D$4:$D$863=$D252)*($M$4:$M$863=$M252)*($T$4:$T$863&lt;&gt;$T252)*($F$4:$F$863&lt;$G252)*($G$4:$G$863&gt;$F252))&gt;0,"⚠ CONFLIT",""))</f>
        <v/>
      </c>
      <c r="Z252" s="64">
        <f>IF($J252="","",IF(SUMPRODUCT(($D$4:$D$863=$D252)*($J$4:$J$863=$J252)*($T$4:$T$863&lt;&gt;$T252)*($F$4:$F$863&lt;$G252)*($G$4:$G$863&gt;$F252)*(1-($X$4:$X$863="Oui")*($X252="Oui")))&gt;0,"⚠ CONFLIT",""))</f>
        <v/>
      </c>
      <c r="AA252" s="64">
        <f>IF(COUNTIFS($D$4:$D$863,$D252,$J$4:$J$863,$J252,$F$4:$F$863,$F252,$K$4:$K$863,$K252)&gt;1,"⚠ DOUBLON","")</f>
        <v/>
      </c>
      <c r="AB252" s="64">
        <f>IF(COUNTIF($T$4:$T$863,$T252)&lt;&gt;COUNTIFS($T$4:$T$863,$T252,$D$4:$D$863,$D252,$F$4:$F$863,$F252,$G$4:$G$863,$G252,$K$4:$K$863,$K252,$M$4:$M$863,$M252),"⚠ INCOHÉRENT","")</f>
        <v/>
      </c>
      <c r="AC252" s="64">
        <f>COUNTIFS($A$4:$A252,$A252,$J$4:$J252,$J252,$E$4:$E252,$E252)</f>
        <v/>
      </c>
      <c r="AD252" s="65">
        <f>$A252&amp;"|"&amp;$J252&amp;"|"&amp;$E252&amp;"|"&amp;$AC252</f>
        <v/>
      </c>
      <c r="AE252" s="66">
        <f>IF($W252&lt;&gt;"","⚑ "&amp;$W252&amp;CHAR(10),"")&amp;TEXT($F252,"hh:mm")&amp;"-"&amp;TEXT($G252,"hh:mm")&amp;IF(OR($P252="Quinzaine A",AND($P252="Hebdo · groupes alternés",$C252="A"))," Q-A",IF(OR($P252="Quinzaine B",AND($P252="Hebdo · groupes alternés",$C252="B"))," Q-B",IF($P252="Exception"," PONCT.","")))&amp;IF($X252="Oui"," OPT","")&amp;CHAR(10)&amp;$K252&amp;CHAR(10)&amp;$M252&amp;IF($N252&lt;&gt;"",CHAR(10)&amp;"Salle "&amp;$N252,"")&amp;IF($O252="En ligne",CHAR(10)&amp;"EN LIGNE","")&amp;IF($V252&lt;&gt;"",CHAR(10)&amp;$V252,"")</f>
        <v/>
      </c>
      <c r="AF252" s="65" t="inlineStr">
        <is>
          <t>19h30-21h فيزياء /par quinzaine (Melek)</t>
        </is>
      </c>
      <c r="AG252" s="65" t="inlineStr">
        <is>
          <t>du 28-09 jusquà le 04-10!G36</t>
        </is>
      </c>
    </row>
    <row r="253" ht="15" customHeight="1">
      <c r="A253" s="68" t="inlineStr">
        <is>
          <t>S3</t>
        </is>
      </c>
      <c r="B253" s="69" t="inlineStr">
        <is>
          <t>du 28 septembre au 4 octobre 2026</t>
        </is>
      </c>
      <c r="C253" s="68" t="inlineStr">
        <is>
          <t>A</t>
        </is>
      </c>
      <c r="D253" s="70" t="n">
        <v>46293</v>
      </c>
      <c r="E253" s="68" t="inlineStr">
        <is>
          <t>Lundi</t>
        </is>
      </c>
      <c r="F253" s="71" t="n">
        <v>0.8125</v>
      </c>
      <c r="G253" s="71" t="n">
        <v>0.875</v>
      </c>
      <c r="H253" s="72">
        <f>IF(OR($F253="",$G253=""),"",($G253-$F253)*24)</f>
        <v/>
      </c>
      <c r="I253" s="68" t="inlineStr">
        <is>
          <t>Collège</t>
        </is>
      </c>
      <c r="J253" s="69" t="inlineStr">
        <is>
          <t>9éme (B)</t>
        </is>
      </c>
      <c r="K253" s="73" t="inlineStr">
        <is>
          <t>فيزياء</t>
        </is>
      </c>
      <c r="L253" s="73" t="inlineStr">
        <is>
          <t>Physique</t>
        </is>
      </c>
      <c r="M253" s="69" t="inlineStr">
        <is>
          <t>Melek</t>
        </is>
      </c>
      <c r="N253" s="68" t="n"/>
      <c r="O253" s="68" t="n"/>
      <c r="P253" s="68" t="inlineStr">
        <is>
          <t>Hebdomadaire</t>
        </is>
      </c>
      <c r="Q253" s="69" t="inlineStr">
        <is>
          <t>9éme (A) + 9éme (B) + 9éme (C)</t>
        </is>
      </c>
      <c r="R253" s="68" t="n">
        <v>3</v>
      </c>
      <c r="S253" s="68" t="inlineStr"/>
      <c r="T253" s="68" t="inlineStr">
        <is>
          <t>S3-004</t>
        </is>
      </c>
      <c r="U253" s="69" t="inlineStr">
        <is>
          <t>Original (septembre)</t>
        </is>
      </c>
      <c r="V253" s="69" t="inlineStr"/>
      <c r="W253" s="10" t="n"/>
      <c r="X253" s="10" t="inlineStr"/>
      <c r="Y253" s="64">
        <f>IF($M253="","",IF(SUMPRODUCT(($D$4:$D$863=$D253)*($M$4:$M$863=$M253)*($T$4:$T$863&lt;&gt;$T253)*($F$4:$F$863&lt;$G253)*($G$4:$G$863&gt;$F253))&gt;0,"⚠ CONFLIT",""))</f>
        <v/>
      </c>
      <c r="Z253" s="64">
        <f>IF($J253="","",IF(SUMPRODUCT(($D$4:$D$863=$D253)*($J$4:$J$863=$J253)*($T$4:$T$863&lt;&gt;$T253)*($F$4:$F$863&lt;$G253)*($G$4:$G$863&gt;$F253)*(1-($X$4:$X$863="Oui")*($X253="Oui")))&gt;0,"⚠ CONFLIT",""))</f>
        <v/>
      </c>
      <c r="AA253" s="64">
        <f>IF(COUNTIFS($D$4:$D$863,$D253,$J$4:$J$863,$J253,$F$4:$F$863,$F253,$K$4:$K$863,$K253)&gt;1,"⚠ DOUBLON","")</f>
        <v/>
      </c>
      <c r="AB253" s="64">
        <f>IF(COUNTIF($T$4:$T$863,$T253)&lt;&gt;COUNTIFS($T$4:$T$863,$T253,$D$4:$D$863,$D253,$F$4:$F$863,$F253,$G$4:$G$863,$G253,$K$4:$K$863,$K253,$M$4:$M$863,$M253),"⚠ INCOHÉRENT","")</f>
        <v/>
      </c>
      <c r="AC253" s="64">
        <f>COUNTIFS($A$4:$A253,$A253,$J$4:$J253,$J253,$E$4:$E253,$E253)</f>
        <v/>
      </c>
      <c r="AD253" s="65">
        <f>$A253&amp;"|"&amp;$J253&amp;"|"&amp;$E253&amp;"|"&amp;$AC253</f>
        <v/>
      </c>
      <c r="AE253" s="66">
        <f>IF($W253&lt;&gt;"","⚑ "&amp;$W253&amp;CHAR(10),"")&amp;TEXT($F253,"hh:mm")&amp;"-"&amp;TEXT($G253,"hh:mm")&amp;IF(OR($P253="Quinzaine A",AND($P253="Hebdo · groupes alternés",$C253="A"))," Q-A",IF(OR($P253="Quinzaine B",AND($P253="Hebdo · groupes alternés",$C253="B"))," Q-B",IF($P253="Exception"," PONCT.","")))&amp;IF($X253="Oui"," OPT","")&amp;CHAR(10)&amp;$K253&amp;CHAR(10)&amp;$M253&amp;IF($N253&lt;&gt;"",CHAR(10)&amp;"Salle "&amp;$N253,"")&amp;IF($O253="En ligne",CHAR(10)&amp;"EN LIGNE","")&amp;IF($V253&lt;&gt;"",CHAR(10)&amp;$V253,"")</f>
        <v/>
      </c>
      <c r="AF253" s="65" t="inlineStr">
        <is>
          <t>19h30-21h فيزياء /par quinzaine (Melek)</t>
        </is>
      </c>
      <c r="AG253" s="65" t="inlineStr">
        <is>
          <t>du 28-09 jusquà le 04-10!G36</t>
        </is>
      </c>
    </row>
    <row r="254" ht="15" customHeight="1">
      <c r="A254" s="68" t="inlineStr">
        <is>
          <t>S3</t>
        </is>
      </c>
      <c r="B254" s="69" t="inlineStr">
        <is>
          <t>du 28 septembre au 4 octobre 2026</t>
        </is>
      </c>
      <c r="C254" s="68" t="inlineStr">
        <is>
          <t>A</t>
        </is>
      </c>
      <c r="D254" s="70" t="n">
        <v>46293</v>
      </c>
      <c r="E254" s="68" t="inlineStr">
        <is>
          <t>Lundi</t>
        </is>
      </c>
      <c r="F254" s="71" t="n">
        <v>0.8125</v>
      </c>
      <c r="G254" s="71" t="n">
        <v>0.875</v>
      </c>
      <c r="H254" s="72">
        <f>IF(OR($F254="",$G254=""),"",($G254-$F254)*24)</f>
        <v/>
      </c>
      <c r="I254" s="68" t="inlineStr">
        <is>
          <t>Collège</t>
        </is>
      </c>
      <c r="J254" s="69" t="inlineStr">
        <is>
          <t>9éme (C)</t>
        </is>
      </c>
      <c r="K254" s="73" t="inlineStr">
        <is>
          <t>فيزياء</t>
        </is>
      </c>
      <c r="L254" s="73" t="inlineStr">
        <is>
          <t>Physique</t>
        </is>
      </c>
      <c r="M254" s="69" t="inlineStr">
        <is>
          <t>Melek</t>
        </is>
      </c>
      <c r="N254" s="68" t="n"/>
      <c r="O254" s="68" t="n"/>
      <c r="P254" s="68" t="inlineStr">
        <is>
          <t>Hebdomadaire</t>
        </is>
      </c>
      <c r="Q254" s="69" t="inlineStr">
        <is>
          <t>9éme (A) + 9éme (B) + 9éme (C)</t>
        </is>
      </c>
      <c r="R254" s="68" t="n">
        <v>3</v>
      </c>
      <c r="S254" s="68" t="inlineStr"/>
      <c r="T254" s="68" t="inlineStr">
        <is>
          <t>S3-004</t>
        </is>
      </c>
      <c r="U254" s="69" t="inlineStr">
        <is>
          <t>Original (septembre)</t>
        </is>
      </c>
      <c r="V254" s="69" t="inlineStr"/>
      <c r="W254" s="10" t="n"/>
      <c r="X254" s="10" t="inlineStr"/>
      <c r="Y254" s="64">
        <f>IF($M254="","",IF(SUMPRODUCT(($D$4:$D$863=$D254)*($M$4:$M$863=$M254)*($T$4:$T$863&lt;&gt;$T254)*($F$4:$F$863&lt;$G254)*($G$4:$G$863&gt;$F254))&gt;0,"⚠ CONFLIT",""))</f>
        <v/>
      </c>
      <c r="Z254" s="64">
        <f>IF($J254="","",IF(SUMPRODUCT(($D$4:$D$863=$D254)*($J$4:$J$863=$J254)*($T$4:$T$863&lt;&gt;$T254)*($F$4:$F$863&lt;$G254)*($G$4:$G$863&gt;$F254)*(1-($X$4:$X$863="Oui")*($X254="Oui")))&gt;0,"⚠ CONFLIT",""))</f>
        <v/>
      </c>
      <c r="AA254" s="64">
        <f>IF(COUNTIFS($D$4:$D$863,$D254,$J$4:$J$863,$J254,$F$4:$F$863,$F254,$K$4:$K$863,$K254)&gt;1,"⚠ DOUBLON","")</f>
        <v/>
      </c>
      <c r="AB254" s="64">
        <f>IF(COUNTIF($T$4:$T$863,$T254)&lt;&gt;COUNTIFS($T$4:$T$863,$T254,$D$4:$D$863,$D254,$F$4:$F$863,$F254,$G$4:$G$863,$G254,$K$4:$K$863,$K254,$M$4:$M$863,$M254),"⚠ INCOHÉRENT","")</f>
        <v/>
      </c>
      <c r="AC254" s="64">
        <f>COUNTIFS($A$4:$A254,$A254,$J$4:$J254,$J254,$E$4:$E254,$E254)</f>
        <v/>
      </c>
      <c r="AD254" s="65">
        <f>$A254&amp;"|"&amp;$J254&amp;"|"&amp;$E254&amp;"|"&amp;$AC254</f>
        <v/>
      </c>
      <c r="AE254" s="66">
        <f>IF($W254&lt;&gt;"","⚑ "&amp;$W254&amp;CHAR(10),"")&amp;TEXT($F254,"hh:mm")&amp;"-"&amp;TEXT($G254,"hh:mm")&amp;IF(OR($P254="Quinzaine A",AND($P254="Hebdo · groupes alternés",$C254="A"))," Q-A",IF(OR($P254="Quinzaine B",AND($P254="Hebdo · groupes alternés",$C254="B"))," Q-B",IF($P254="Exception"," PONCT.","")))&amp;IF($X254="Oui"," OPT","")&amp;CHAR(10)&amp;$K254&amp;CHAR(10)&amp;$M254&amp;IF($N254&lt;&gt;"",CHAR(10)&amp;"Salle "&amp;$N254,"")&amp;IF($O254="En ligne",CHAR(10)&amp;"EN LIGNE","")&amp;IF($V254&lt;&gt;"",CHAR(10)&amp;$V254,"")</f>
        <v/>
      </c>
      <c r="AF254" s="65" t="inlineStr">
        <is>
          <t>19h30-21h فيزياء /par quinzaine (Melek)</t>
        </is>
      </c>
      <c r="AG254" s="65" t="inlineStr">
        <is>
          <t>du 28-09 jusquà le 04-10!G36</t>
        </is>
      </c>
    </row>
    <row r="255" ht="15" customHeight="1">
      <c r="A255" s="74" t="inlineStr">
        <is>
          <t>S3</t>
        </is>
      </c>
      <c r="B255" s="75" t="inlineStr">
        <is>
          <t>du 28 septembre au 4 octobre 2026</t>
        </is>
      </c>
      <c r="C255" s="74" t="inlineStr">
        <is>
          <t>A</t>
        </is>
      </c>
      <c r="D255" s="76" t="n">
        <v>46293</v>
      </c>
      <c r="E255" s="74" t="inlineStr">
        <is>
          <t>Lundi</t>
        </is>
      </c>
      <c r="F255" s="77" t="n">
        <v>0.8125</v>
      </c>
      <c r="G255" s="77" t="n">
        <v>0.875</v>
      </c>
      <c r="H255" s="78">
        <f>IF(OR($F255="",$G255=""),"",($G255-$F255)*24)</f>
        <v/>
      </c>
      <c r="I255" s="74" t="inlineStr">
        <is>
          <t>Secondaire</t>
        </is>
      </c>
      <c r="J255" s="75" t="inlineStr">
        <is>
          <t>1ére (A)</t>
        </is>
      </c>
      <c r="K255" s="79" t="inlineStr">
        <is>
          <t>Math</t>
        </is>
      </c>
      <c r="L255" s="79" t="inlineStr">
        <is>
          <t>Math</t>
        </is>
      </c>
      <c r="M255" s="75" t="inlineStr">
        <is>
          <t>Haythem</t>
        </is>
      </c>
      <c r="N255" s="74" t="n"/>
      <c r="O255" s="74" t="n"/>
      <c r="P255" s="74" t="inlineStr">
        <is>
          <t>Hebdomadaire</t>
        </is>
      </c>
      <c r="Q255" s="75" t="inlineStr"/>
      <c r="R255" s="74" t="n">
        <v>1</v>
      </c>
      <c r="S255" s="74" t="inlineStr">
        <is>
          <t>Oui</t>
        </is>
      </c>
      <c r="T255" s="74" t="inlineStr">
        <is>
          <t>S3-005</t>
        </is>
      </c>
      <c r="U255" s="75" t="inlineStr">
        <is>
          <t>Original (septembre)</t>
        </is>
      </c>
      <c r="V255" s="75" t="inlineStr"/>
      <c r="W255" s="10" t="n"/>
      <c r="X255" s="10" t="inlineStr"/>
      <c r="Y255" s="64">
        <f>IF($M255="","",IF(SUMPRODUCT(($D$4:$D$863=$D255)*($M$4:$M$863=$M255)*($T$4:$T$863&lt;&gt;$T255)*($F$4:$F$863&lt;$G255)*($G$4:$G$863&gt;$F255))&gt;0,"⚠ CONFLIT",""))</f>
        <v/>
      </c>
      <c r="Z255" s="64">
        <f>IF($J255="","",IF(SUMPRODUCT(($D$4:$D$863=$D255)*($J$4:$J$863=$J255)*($T$4:$T$863&lt;&gt;$T255)*($F$4:$F$863&lt;$G255)*($G$4:$G$863&gt;$F255)*(1-($X$4:$X$863="Oui")*($X255="Oui")))&gt;0,"⚠ CONFLIT",""))</f>
        <v/>
      </c>
      <c r="AA255" s="64">
        <f>IF(COUNTIFS($D$4:$D$863,$D255,$J$4:$J$863,$J255,$F$4:$F$863,$F255,$K$4:$K$863,$K255)&gt;1,"⚠ DOUBLON","")</f>
        <v/>
      </c>
      <c r="AB255" s="64">
        <f>IF(COUNTIF($T$4:$T$863,$T255)&lt;&gt;COUNTIFS($T$4:$T$863,$T255,$D$4:$D$863,$D255,$F$4:$F$863,$F255,$G$4:$G$863,$G255,$K$4:$K$863,$K255,$M$4:$M$863,$M255),"⚠ INCOHÉRENT","")</f>
        <v/>
      </c>
      <c r="AC255" s="64">
        <f>COUNTIFS($A$4:$A255,$A255,$J$4:$J255,$J255,$E$4:$E255,$E255)</f>
        <v/>
      </c>
      <c r="AD255" s="65">
        <f>$A255&amp;"|"&amp;$J255&amp;"|"&amp;$E255&amp;"|"&amp;$AC255</f>
        <v/>
      </c>
      <c r="AE255" s="66">
        <f>IF($W255&lt;&gt;"","⚑ "&amp;$W255&amp;CHAR(10),"")&amp;TEXT($F255,"hh:mm")&amp;"-"&amp;TEXT($G255,"hh:mm")&amp;IF(OR($P255="Quinzaine A",AND($P255="Hebdo · groupes alternés",$C255="A"))," Q-A",IF(OR($P255="Quinzaine B",AND($P255="Hebdo · groupes alternés",$C255="B"))," Q-B",IF($P255="Exception"," PONCT.","")))&amp;IF($X255="Oui"," OPT","")&amp;CHAR(10)&amp;$K255&amp;CHAR(10)&amp;$M255&amp;IF($N255&lt;&gt;"",CHAR(10)&amp;"Salle "&amp;$N255,"")&amp;IF($O255="En ligne",CHAR(10)&amp;"EN LIGNE","")&amp;IF($V255&lt;&gt;"",CHAR(10)&amp;$V255,"")</f>
        <v/>
      </c>
      <c r="AF255" s="65" t="inlineStr">
        <is>
          <t>19h30-21h Math (Haythem)</t>
        </is>
      </c>
      <c r="AG255" s="65" t="inlineStr">
        <is>
          <t>du 28-09 jusquà le 04-10!G48</t>
        </is>
      </c>
    </row>
    <row r="256" ht="15" customHeight="1">
      <c r="A256" s="74" t="inlineStr">
        <is>
          <t>S3</t>
        </is>
      </c>
      <c r="B256" s="75" t="inlineStr">
        <is>
          <t>du 28 septembre au 4 octobre 2026</t>
        </is>
      </c>
      <c r="C256" s="74" t="inlineStr">
        <is>
          <t>A</t>
        </is>
      </c>
      <c r="D256" s="76" t="n">
        <v>46293</v>
      </c>
      <c r="E256" s="74" t="inlineStr">
        <is>
          <t>Lundi</t>
        </is>
      </c>
      <c r="F256" s="77" t="n">
        <v>0.6458333333333334</v>
      </c>
      <c r="G256" s="77" t="n">
        <v>0.7291666666666666</v>
      </c>
      <c r="H256" s="78">
        <f>IF(OR($F256="",$G256=""),"",($G256-$F256)*24)</f>
        <v/>
      </c>
      <c r="I256" s="74" t="inlineStr">
        <is>
          <t>Secondaire</t>
        </is>
      </c>
      <c r="J256" s="75" t="inlineStr">
        <is>
          <t>3éme INFO</t>
        </is>
      </c>
      <c r="K256" s="96" t="inlineStr">
        <is>
          <t>STI</t>
        </is>
      </c>
      <c r="L256" s="96" t="inlineStr">
        <is>
          <t>STI</t>
        </is>
      </c>
      <c r="M256" s="75" t="inlineStr">
        <is>
          <t>Aymen</t>
        </is>
      </c>
      <c r="N256" s="74" t="n"/>
      <c r="O256" s="74" t="n"/>
      <c r="P256" s="74" t="inlineStr">
        <is>
          <t>Hebdomadaire</t>
        </is>
      </c>
      <c r="Q256" s="75" t="inlineStr"/>
      <c r="R256" s="74" t="n">
        <v>1</v>
      </c>
      <c r="S256" s="74" t="inlineStr">
        <is>
          <t>Oui</t>
        </is>
      </c>
      <c r="T256" s="74" t="inlineStr">
        <is>
          <t>S3-006</t>
        </is>
      </c>
      <c r="U256" s="75" t="inlineStr">
        <is>
          <t>Original (septembre)</t>
        </is>
      </c>
      <c r="V256" s="75" t="inlineStr"/>
      <c r="W256" s="10" t="n"/>
      <c r="X256" s="10" t="inlineStr"/>
      <c r="Y256" s="64">
        <f>IF($M256="","",IF(SUMPRODUCT(($D$4:$D$863=$D256)*($M$4:$M$863=$M256)*($T$4:$T$863&lt;&gt;$T256)*($F$4:$F$863&lt;$G256)*($G$4:$G$863&gt;$F256))&gt;0,"⚠ CONFLIT",""))</f>
        <v/>
      </c>
      <c r="Z256" s="64">
        <f>IF($J256="","",IF(SUMPRODUCT(($D$4:$D$863=$D256)*($J$4:$J$863=$J256)*($T$4:$T$863&lt;&gt;$T256)*($F$4:$F$863&lt;$G256)*($G$4:$G$863&gt;$F256)*(1-($X$4:$X$863="Oui")*($X256="Oui")))&gt;0,"⚠ CONFLIT",""))</f>
        <v/>
      </c>
      <c r="AA256" s="64">
        <f>IF(COUNTIFS($D$4:$D$863,$D256,$J$4:$J$863,$J256,$F$4:$F$863,$F256,$K$4:$K$863,$K256)&gt;1,"⚠ DOUBLON","")</f>
        <v/>
      </c>
      <c r="AB256" s="64">
        <f>IF(COUNTIF($T$4:$T$863,$T256)&lt;&gt;COUNTIFS($T$4:$T$863,$T256,$D$4:$D$863,$D256,$F$4:$F$863,$F256,$G$4:$G$863,$G256,$K$4:$K$863,$K256,$M$4:$M$863,$M256),"⚠ INCOHÉRENT","")</f>
        <v/>
      </c>
      <c r="AC256" s="64">
        <f>COUNTIFS($A$4:$A256,$A256,$J$4:$J256,$J256,$E$4:$E256,$E256)</f>
        <v/>
      </c>
      <c r="AD256" s="65">
        <f>$A256&amp;"|"&amp;$J256&amp;"|"&amp;$E256&amp;"|"&amp;$AC256</f>
        <v/>
      </c>
      <c r="AE256" s="66">
        <f>IF($W256&lt;&gt;"","⚑ "&amp;$W256&amp;CHAR(10),"")&amp;TEXT($F256,"hh:mm")&amp;"-"&amp;TEXT($G256,"hh:mm")&amp;IF(OR($P256="Quinzaine A",AND($P256="Hebdo · groupes alternés",$C256="A"))," Q-A",IF(OR($P256="Quinzaine B",AND($P256="Hebdo · groupes alternés",$C256="B"))," Q-B",IF($P256="Exception"," PONCT.","")))&amp;IF($X256="Oui"," OPT","")&amp;CHAR(10)&amp;$K256&amp;CHAR(10)&amp;$M256&amp;IF($N256&lt;&gt;"",CHAR(10)&amp;"Salle "&amp;$N256,"")&amp;IF($O256="En ligne",CHAR(10)&amp;"EN LIGNE","")&amp;IF($V256&lt;&gt;"",CHAR(10)&amp;$V256,"")</f>
        <v/>
      </c>
      <c r="AF256" s="65" t="inlineStr">
        <is>
          <t>15h30-17h30 STI (Aymen)</t>
        </is>
      </c>
      <c r="AG256" s="65" t="inlineStr">
        <is>
          <t>du 28-09 jusquà le 04-10!G64</t>
        </is>
      </c>
    </row>
    <row r="257" ht="15" customHeight="1">
      <c r="A257" s="74" t="inlineStr">
        <is>
          <t>S3</t>
        </is>
      </c>
      <c r="B257" s="75" t="inlineStr">
        <is>
          <t>du 28 septembre au 4 octobre 2026</t>
        </is>
      </c>
      <c r="C257" s="74" t="inlineStr">
        <is>
          <t>A</t>
        </is>
      </c>
      <c r="D257" s="76" t="n">
        <v>46293</v>
      </c>
      <c r="E257" s="74" t="inlineStr">
        <is>
          <t>Lundi</t>
        </is>
      </c>
      <c r="F257" s="77" t="n">
        <v>0.7916666666666666</v>
      </c>
      <c r="G257" s="77" t="n">
        <v>0.8541666666666666</v>
      </c>
      <c r="H257" s="78">
        <f>IF(OR($F257="",$G257=""),"",($G257-$F257)*24)</f>
        <v/>
      </c>
      <c r="I257" s="74" t="inlineStr">
        <is>
          <t>Secondaire</t>
        </is>
      </c>
      <c r="J257" s="75" t="inlineStr">
        <is>
          <t>3éme SCE</t>
        </is>
      </c>
      <c r="K257" s="79" t="inlineStr">
        <is>
          <t>Math</t>
        </is>
      </c>
      <c r="L257" s="79" t="inlineStr">
        <is>
          <t>Math</t>
        </is>
      </c>
      <c r="M257" s="75" t="inlineStr">
        <is>
          <t>Lotfi</t>
        </is>
      </c>
      <c r="N257" s="74" t="n"/>
      <c r="O257" s="74" t="n"/>
      <c r="P257" s="74" t="inlineStr">
        <is>
          <t>Hebdomadaire</t>
        </is>
      </c>
      <c r="Q257" s="75" t="inlineStr"/>
      <c r="R257" s="74" t="n">
        <v>1</v>
      </c>
      <c r="S257" s="74" t="inlineStr">
        <is>
          <t>Oui</t>
        </is>
      </c>
      <c r="T257" s="74" t="inlineStr">
        <is>
          <t>S3-007</t>
        </is>
      </c>
      <c r="U257" s="75" t="inlineStr">
        <is>
          <t>Original (septembre)</t>
        </is>
      </c>
      <c r="V257" s="75" t="inlineStr"/>
      <c r="W257" s="10" t="n"/>
      <c r="X257" s="10" t="inlineStr"/>
      <c r="Y257" s="64">
        <f>IF($M257="","",IF(SUMPRODUCT(($D$4:$D$863=$D257)*($M$4:$M$863=$M257)*($T$4:$T$863&lt;&gt;$T257)*($F$4:$F$863&lt;$G257)*($G$4:$G$863&gt;$F257))&gt;0,"⚠ CONFLIT",""))</f>
        <v/>
      </c>
      <c r="Z257" s="64">
        <f>IF($J257="","",IF(SUMPRODUCT(($D$4:$D$863=$D257)*($J$4:$J$863=$J257)*($T$4:$T$863&lt;&gt;$T257)*($F$4:$F$863&lt;$G257)*($G$4:$G$863&gt;$F257)*(1-($X$4:$X$863="Oui")*($X257="Oui")))&gt;0,"⚠ CONFLIT",""))</f>
        <v/>
      </c>
      <c r="AA257" s="64">
        <f>IF(COUNTIFS($D$4:$D$863,$D257,$J$4:$J$863,$J257,$F$4:$F$863,$F257,$K$4:$K$863,$K257)&gt;1,"⚠ DOUBLON","")</f>
        <v/>
      </c>
      <c r="AB257" s="64">
        <f>IF(COUNTIF($T$4:$T$863,$T257)&lt;&gt;COUNTIFS($T$4:$T$863,$T257,$D$4:$D$863,$D257,$F$4:$F$863,$F257,$G$4:$G$863,$G257,$K$4:$K$863,$K257,$M$4:$M$863,$M257),"⚠ INCOHÉRENT","")</f>
        <v/>
      </c>
      <c r="AC257" s="64">
        <f>COUNTIFS($A$4:$A257,$A257,$J$4:$J257,$J257,$E$4:$E257,$E257)</f>
        <v/>
      </c>
      <c r="AD257" s="65">
        <f>$A257&amp;"|"&amp;$J257&amp;"|"&amp;$E257&amp;"|"&amp;$AC257</f>
        <v/>
      </c>
      <c r="AE257" s="66">
        <f>IF($W257&lt;&gt;"","⚑ "&amp;$W257&amp;CHAR(10),"")&amp;TEXT($F257,"hh:mm")&amp;"-"&amp;TEXT($G257,"hh:mm")&amp;IF(OR($P257="Quinzaine A",AND($P257="Hebdo · groupes alternés",$C257="A"))," Q-A",IF(OR($P257="Quinzaine B",AND($P257="Hebdo · groupes alternés",$C257="B"))," Q-B",IF($P257="Exception"," PONCT.","")))&amp;IF($X257="Oui"," OPT","")&amp;CHAR(10)&amp;$K257&amp;CHAR(10)&amp;$M257&amp;IF($N257&lt;&gt;"",CHAR(10)&amp;"Salle "&amp;$N257,"")&amp;IF($O257="En ligne",CHAR(10)&amp;"EN LIGNE","")&amp;IF($V257&lt;&gt;"",CHAR(10)&amp;$V257,"")</f>
        <v/>
      </c>
      <c r="AF257" s="65" t="inlineStr">
        <is>
          <t>19h-20h30 Math (Lotfi)</t>
        </is>
      </c>
      <c r="AG257" s="65" t="inlineStr">
        <is>
          <t>du 28-09 jusquà le 04-10!G67</t>
        </is>
      </c>
    </row>
    <row r="258" ht="15" customHeight="1">
      <c r="A258" s="81" t="inlineStr">
        <is>
          <t>S3</t>
        </is>
      </c>
      <c r="B258" s="82" t="inlineStr">
        <is>
          <t>du 28 septembre au 4 octobre 2026</t>
        </is>
      </c>
      <c r="C258" s="81" t="inlineStr">
        <is>
          <t>A</t>
        </is>
      </c>
      <c r="D258" s="83" t="n">
        <v>46293</v>
      </c>
      <c r="E258" s="81" t="inlineStr">
        <is>
          <t>Lundi</t>
        </is>
      </c>
      <c r="F258" s="84" t="n">
        <v>0.7916666666666666</v>
      </c>
      <c r="G258" s="84" t="n">
        <v>0.875</v>
      </c>
      <c r="H258" s="85">
        <f>IF(OR($F258="",$G258=""),"",($G258-$F258)*24)</f>
        <v/>
      </c>
      <c r="I258" s="81" t="inlineStr">
        <is>
          <t>Bac</t>
        </is>
      </c>
      <c r="J258" s="82" t="inlineStr">
        <is>
          <t>Bac Eco</t>
        </is>
      </c>
      <c r="K258" s="86" t="inlineStr">
        <is>
          <t>Gestion</t>
        </is>
      </c>
      <c r="L258" s="86" t="inlineStr">
        <is>
          <t>Gestion</t>
        </is>
      </c>
      <c r="M258" s="82" t="inlineStr">
        <is>
          <t>Yassine</t>
        </is>
      </c>
      <c r="N258" s="81" t="n"/>
      <c r="O258" s="81" t="n"/>
      <c r="P258" s="81" t="inlineStr">
        <is>
          <t>Hebdomadaire</t>
        </is>
      </c>
      <c r="Q258" s="82" t="inlineStr"/>
      <c r="R258" s="81" t="n">
        <v>1</v>
      </c>
      <c r="S258" s="81" t="inlineStr">
        <is>
          <t>Oui</t>
        </is>
      </c>
      <c r="T258" s="81" t="inlineStr">
        <is>
          <t>S3-008</t>
        </is>
      </c>
      <c r="U258" s="82" t="inlineStr">
        <is>
          <t>Original (septembre)</t>
        </is>
      </c>
      <c r="V258" s="82" t="inlineStr"/>
      <c r="W258" s="10" t="n"/>
      <c r="X258" s="10" t="inlineStr"/>
      <c r="Y258" s="64">
        <f>IF($M258="","",IF(SUMPRODUCT(($D$4:$D$863=$D258)*($M$4:$M$863=$M258)*($T$4:$T$863&lt;&gt;$T258)*($F$4:$F$863&lt;$G258)*($G$4:$G$863&gt;$F258))&gt;0,"⚠ CONFLIT",""))</f>
        <v/>
      </c>
      <c r="Z258" s="64">
        <f>IF($J258="","",IF(SUMPRODUCT(($D$4:$D$863=$D258)*($J$4:$J$863=$J258)*($T$4:$T$863&lt;&gt;$T258)*($F$4:$F$863&lt;$G258)*($G$4:$G$863&gt;$F258)*(1-($X$4:$X$863="Oui")*($X258="Oui")))&gt;0,"⚠ CONFLIT",""))</f>
        <v/>
      </c>
      <c r="AA258" s="64">
        <f>IF(COUNTIFS($D$4:$D$863,$D258,$J$4:$J$863,$J258,$F$4:$F$863,$F258,$K$4:$K$863,$K258)&gt;1,"⚠ DOUBLON","")</f>
        <v/>
      </c>
      <c r="AB258" s="64">
        <f>IF(COUNTIF($T$4:$T$863,$T258)&lt;&gt;COUNTIFS($T$4:$T$863,$T258,$D$4:$D$863,$D258,$F$4:$F$863,$F258,$G$4:$G$863,$G258,$K$4:$K$863,$K258,$M$4:$M$863,$M258),"⚠ INCOHÉRENT","")</f>
        <v/>
      </c>
      <c r="AC258" s="64">
        <f>COUNTIFS($A$4:$A258,$A258,$J$4:$J258,$J258,$E$4:$E258,$E258)</f>
        <v/>
      </c>
      <c r="AD258" s="65">
        <f>$A258&amp;"|"&amp;$J258&amp;"|"&amp;$E258&amp;"|"&amp;$AC258</f>
        <v/>
      </c>
      <c r="AE258" s="66">
        <f>IF($W258&lt;&gt;"","⚑ "&amp;$W258&amp;CHAR(10),"")&amp;TEXT($F258,"hh:mm")&amp;"-"&amp;TEXT($G258,"hh:mm")&amp;IF(OR($P258="Quinzaine A",AND($P258="Hebdo · groupes alternés",$C258="A"))," Q-A",IF(OR($P258="Quinzaine B",AND($P258="Hebdo · groupes alternés",$C258="B"))," Q-B",IF($P258="Exception"," PONCT.","")))&amp;IF($X258="Oui"," OPT","")&amp;CHAR(10)&amp;$K258&amp;CHAR(10)&amp;$M258&amp;IF($N258&lt;&gt;"",CHAR(10)&amp;"Salle "&amp;$N258,"")&amp;IF($O258="En ligne",CHAR(10)&amp;"EN LIGNE","")&amp;IF($V258&lt;&gt;"",CHAR(10)&amp;$V258,"")</f>
        <v/>
      </c>
      <c r="AF258" s="65" t="inlineStr">
        <is>
          <t>19h-21h Gestion (Yassine)</t>
        </is>
      </c>
      <c r="AG258" s="65" t="inlineStr">
        <is>
          <t>du 28-09 jusquà le 04-10!G69</t>
        </is>
      </c>
    </row>
    <row r="259" ht="15" customHeight="1">
      <c r="A259" s="81" t="inlineStr">
        <is>
          <t>S3</t>
        </is>
      </c>
      <c r="B259" s="82" t="inlineStr">
        <is>
          <t>du 28 septembre au 4 octobre 2026</t>
        </is>
      </c>
      <c r="C259" s="81" t="inlineStr">
        <is>
          <t>A</t>
        </is>
      </c>
      <c r="D259" s="83" t="n">
        <v>46293</v>
      </c>
      <c r="E259" s="81" t="inlineStr">
        <is>
          <t>Lundi</t>
        </is>
      </c>
      <c r="F259" s="84" t="n">
        <v>0.7916666666666666</v>
      </c>
      <c r="G259" s="84" t="n">
        <v>0.875</v>
      </c>
      <c r="H259" s="85">
        <f>IF(OR($F259="",$G259=""),"",($G259-$F259)*24)</f>
        <v/>
      </c>
      <c r="I259" s="81" t="inlineStr">
        <is>
          <t>Bac</t>
        </is>
      </c>
      <c r="J259" s="82" t="inlineStr">
        <is>
          <t>Bac SCE</t>
        </is>
      </c>
      <c r="K259" s="73" t="inlineStr">
        <is>
          <t>Physique</t>
        </is>
      </c>
      <c r="L259" s="73" t="inlineStr">
        <is>
          <t>Physique</t>
        </is>
      </c>
      <c r="M259" s="82" t="inlineStr">
        <is>
          <t>Sondes</t>
        </is>
      </c>
      <c r="N259" s="81" t="n"/>
      <c r="O259" s="81" t="n"/>
      <c r="P259" s="81" t="inlineStr">
        <is>
          <t>Hebdomadaire</t>
        </is>
      </c>
      <c r="Q259" s="82" t="inlineStr"/>
      <c r="R259" s="81" t="n">
        <v>1</v>
      </c>
      <c r="S259" s="81" t="inlineStr">
        <is>
          <t>Oui</t>
        </is>
      </c>
      <c r="T259" s="81" t="inlineStr">
        <is>
          <t>S3-009</t>
        </is>
      </c>
      <c r="U259" s="82" t="inlineStr">
        <is>
          <t>Original (septembre)</t>
        </is>
      </c>
      <c r="V259" s="82" t="inlineStr"/>
      <c r="W259" s="10" t="n"/>
      <c r="X259" s="10" t="inlineStr"/>
      <c r="Y259" s="64">
        <f>IF($M259="","",IF(SUMPRODUCT(($D$4:$D$863=$D259)*($M$4:$M$863=$M259)*($T$4:$T$863&lt;&gt;$T259)*($F$4:$F$863&lt;$G259)*($G$4:$G$863&gt;$F259))&gt;0,"⚠ CONFLIT",""))</f>
        <v/>
      </c>
      <c r="Z259" s="64">
        <f>IF($J259="","",IF(SUMPRODUCT(($D$4:$D$863=$D259)*($J$4:$J$863=$J259)*($T$4:$T$863&lt;&gt;$T259)*($F$4:$F$863&lt;$G259)*($G$4:$G$863&gt;$F259)*(1-($X$4:$X$863="Oui")*($X259="Oui")))&gt;0,"⚠ CONFLIT",""))</f>
        <v/>
      </c>
      <c r="AA259" s="64">
        <f>IF(COUNTIFS($D$4:$D$863,$D259,$J$4:$J$863,$J259,$F$4:$F$863,$F259,$K$4:$K$863,$K259)&gt;1,"⚠ DOUBLON","")</f>
        <v/>
      </c>
      <c r="AB259" s="64">
        <f>IF(COUNTIF($T$4:$T$863,$T259)&lt;&gt;COUNTIFS($T$4:$T$863,$T259,$D$4:$D$863,$D259,$F$4:$F$863,$F259,$G$4:$G$863,$G259,$K$4:$K$863,$K259,$M$4:$M$863,$M259),"⚠ INCOHÉRENT","")</f>
        <v/>
      </c>
      <c r="AC259" s="64">
        <f>COUNTIFS($A$4:$A259,$A259,$J$4:$J259,$J259,$E$4:$E259,$E259)</f>
        <v/>
      </c>
      <c r="AD259" s="65">
        <f>$A259&amp;"|"&amp;$J259&amp;"|"&amp;$E259&amp;"|"&amp;$AC259</f>
        <v/>
      </c>
      <c r="AE259" s="66">
        <f>IF($W259&lt;&gt;"","⚑ "&amp;$W259&amp;CHAR(10),"")&amp;TEXT($F259,"hh:mm")&amp;"-"&amp;TEXT($G259,"hh:mm")&amp;IF(OR($P259="Quinzaine A",AND($P259="Hebdo · groupes alternés",$C259="A"))," Q-A",IF(OR($P259="Quinzaine B",AND($P259="Hebdo · groupes alternés",$C259="B"))," Q-B",IF($P259="Exception"," PONCT.","")))&amp;IF($X259="Oui"," OPT","")&amp;CHAR(10)&amp;$K259&amp;CHAR(10)&amp;$M259&amp;IF($N259&lt;&gt;"",CHAR(10)&amp;"Salle "&amp;$N259,"")&amp;IF($O259="En ligne",CHAR(10)&amp;"EN LIGNE","")&amp;IF($V259&lt;&gt;"",CHAR(10)&amp;$V259,"")</f>
        <v/>
      </c>
      <c r="AF259" s="65" t="inlineStr">
        <is>
          <t>19h-21h Physique (Sondes)</t>
        </is>
      </c>
      <c r="AG259" s="65" t="inlineStr">
        <is>
          <t>du 28-09 jusquà le 04-10!G75</t>
        </is>
      </c>
    </row>
    <row r="260" ht="15" customHeight="1">
      <c r="A260" s="81" t="inlineStr">
        <is>
          <t>S3</t>
        </is>
      </c>
      <c r="B260" s="82" t="inlineStr">
        <is>
          <t>du 28 septembre au 4 octobre 2026</t>
        </is>
      </c>
      <c r="C260" s="81" t="inlineStr">
        <is>
          <t>A</t>
        </is>
      </c>
      <c r="D260" s="83" t="n">
        <v>46293</v>
      </c>
      <c r="E260" s="81" t="inlineStr">
        <is>
          <t>Lundi</t>
        </is>
      </c>
      <c r="F260" s="84" t="n">
        <v>0.8125</v>
      </c>
      <c r="G260" s="84" t="n">
        <v>0.875</v>
      </c>
      <c r="H260" s="85">
        <f>IF(OR($F260="",$G260=""),"",($G260-$F260)*24)</f>
        <v/>
      </c>
      <c r="I260" s="81" t="inlineStr">
        <is>
          <t>Bac</t>
        </is>
      </c>
      <c r="J260" s="82" t="inlineStr">
        <is>
          <t>Bac INFO</t>
        </is>
      </c>
      <c r="K260" s="73" t="inlineStr">
        <is>
          <t>Physique</t>
        </is>
      </c>
      <c r="L260" s="73" t="inlineStr">
        <is>
          <t>Physique</t>
        </is>
      </c>
      <c r="M260" s="82" t="inlineStr">
        <is>
          <t>Samia</t>
        </is>
      </c>
      <c r="N260" s="81" t="n"/>
      <c r="O260" s="81" t="n"/>
      <c r="P260" s="81" t="inlineStr">
        <is>
          <t>Hebdomadaire</t>
        </is>
      </c>
      <c r="Q260" s="82" t="inlineStr"/>
      <c r="R260" s="81" t="n">
        <v>1</v>
      </c>
      <c r="S260" s="81" t="inlineStr">
        <is>
          <t>Oui</t>
        </is>
      </c>
      <c r="T260" s="81" t="inlineStr">
        <is>
          <t>S3-010</t>
        </is>
      </c>
      <c r="U260" s="82" t="inlineStr">
        <is>
          <t>Original (septembre)</t>
        </is>
      </c>
      <c r="V260" s="82" t="inlineStr"/>
      <c r="W260" s="10" t="n"/>
      <c r="X260" s="10" t="inlineStr"/>
      <c r="Y260" s="64">
        <f>IF($M260="","",IF(SUMPRODUCT(($D$4:$D$863=$D260)*($M$4:$M$863=$M260)*($T$4:$T$863&lt;&gt;$T260)*($F$4:$F$863&lt;$G260)*($G$4:$G$863&gt;$F260))&gt;0,"⚠ CONFLIT",""))</f>
        <v/>
      </c>
      <c r="Z260" s="64">
        <f>IF($J260="","",IF(SUMPRODUCT(($D$4:$D$863=$D260)*($J$4:$J$863=$J260)*($T$4:$T$863&lt;&gt;$T260)*($F$4:$F$863&lt;$G260)*($G$4:$G$863&gt;$F260)*(1-($X$4:$X$863="Oui")*($X260="Oui")))&gt;0,"⚠ CONFLIT",""))</f>
        <v/>
      </c>
      <c r="AA260" s="64">
        <f>IF(COUNTIFS($D$4:$D$863,$D260,$J$4:$J$863,$J260,$F$4:$F$863,$F260,$K$4:$K$863,$K260)&gt;1,"⚠ DOUBLON","")</f>
        <v/>
      </c>
      <c r="AB260" s="64">
        <f>IF(COUNTIF($T$4:$T$863,$T260)&lt;&gt;COUNTIFS($T$4:$T$863,$T260,$D$4:$D$863,$D260,$F$4:$F$863,$F260,$G$4:$G$863,$G260,$K$4:$K$863,$K260,$M$4:$M$863,$M260),"⚠ INCOHÉRENT","")</f>
        <v/>
      </c>
      <c r="AC260" s="64">
        <f>COUNTIFS($A$4:$A260,$A260,$J$4:$J260,$J260,$E$4:$E260,$E260)</f>
        <v/>
      </c>
      <c r="AD260" s="65">
        <f>$A260&amp;"|"&amp;$J260&amp;"|"&amp;$E260&amp;"|"&amp;$AC260</f>
        <v/>
      </c>
      <c r="AE260" s="66">
        <f>IF($W260&lt;&gt;"","⚑ "&amp;$W260&amp;CHAR(10),"")&amp;TEXT($F260,"hh:mm")&amp;"-"&amp;TEXT($G260,"hh:mm")&amp;IF(OR($P260="Quinzaine A",AND($P260="Hebdo · groupes alternés",$C260="A"))," Q-A",IF(OR($P260="Quinzaine B",AND($P260="Hebdo · groupes alternés",$C260="B"))," Q-B",IF($P260="Exception"," PONCT.","")))&amp;IF($X260="Oui"," OPT","")&amp;CHAR(10)&amp;$K260&amp;CHAR(10)&amp;$M260&amp;IF($N260&lt;&gt;"",CHAR(10)&amp;"Salle "&amp;$N260,"")&amp;IF($O260="En ligne",CHAR(10)&amp;"EN LIGNE","")&amp;IF($V260&lt;&gt;"",CHAR(10)&amp;$V260,"")</f>
        <v/>
      </c>
      <c r="AF260" s="65" t="inlineStr">
        <is>
          <t>19h30-21h Physique (Samia)</t>
        </is>
      </c>
      <c r="AG260" s="65" t="inlineStr">
        <is>
          <t>du 28-09 jusquà le 04-10!G79</t>
        </is>
      </c>
    </row>
    <row r="261" ht="15" customHeight="1">
      <c r="A261" s="58" t="inlineStr">
        <is>
          <t>S3</t>
        </is>
      </c>
      <c r="B261" s="59" t="inlineStr">
        <is>
          <t>du 28 septembre au 4 octobre 2026</t>
        </is>
      </c>
      <c r="C261" s="58" t="inlineStr">
        <is>
          <t>A</t>
        </is>
      </c>
      <c r="D261" s="60" t="n">
        <v>46294</v>
      </c>
      <c r="E261" s="58" t="inlineStr">
        <is>
          <t>Mardi</t>
        </is>
      </c>
      <c r="F261" s="61" t="n">
        <v>0.7916666666666666</v>
      </c>
      <c r="G261" s="61" t="n">
        <v>0.875</v>
      </c>
      <c r="H261" s="62">
        <f>IF(OR($F261="",$G261=""),"",($G261-$F261)*24)</f>
        <v/>
      </c>
      <c r="I261" s="58" t="inlineStr">
        <is>
          <t>Primaire</t>
        </is>
      </c>
      <c r="J261" s="59" t="inlineStr">
        <is>
          <t>5éme</t>
        </is>
      </c>
      <c r="K261" s="63" t="inlineStr">
        <is>
          <t>عربية</t>
        </is>
      </c>
      <c r="L261" s="63" t="inlineStr">
        <is>
          <t>Arabe</t>
        </is>
      </c>
      <c r="M261" s="59" t="inlineStr">
        <is>
          <t>Lobna</t>
        </is>
      </c>
      <c r="N261" s="58" t="n"/>
      <c r="O261" s="58" t="n"/>
      <c r="P261" s="58" t="inlineStr">
        <is>
          <t>Hebdomadaire</t>
        </is>
      </c>
      <c r="Q261" s="59" t="inlineStr"/>
      <c r="R261" s="58" t="n">
        <v>1</v>
      </c>
      <c r="S261" s="58" t="inlineStr">
        <is>
          <t>Oui</t>
        </is>
      </c>
      <c r="T261" s="58" t="inlineStr">
        <is>
          <t>S3-011</t>
        </is>
      </c>
      <c r="U261" s="59" t="inlineStr">
        <is>
          <t>Original (septembre)</t>
        </is>
      </c>
      <c r="V261" s="59" t="inlineStr"/>
      <c r="W261" s="10" t="n"/>
      <c r="X261" s="10" t="inlineStr"/>
      <c r="Y261" s="64">
        <f>IF($M261="","",IF(SUMPRODUCT(($D$4:$D$863=$D261)*($M$4:$M$863=$M261)*($T$4:$T$863&lt;&gt;$T261)*($F$4:$F$863&lt;$G261)*($G$4:$G$863&gt;$F261))&gt;0,"⚠ CONFLIT",""))</f>
        <v/>
      </c>
      <c r="Z261" s="64">
        <f>IF($J261="","",IF(SUMPRODUCT(($D$4:$D$863=$D261)*($J$4:$J$863=$J261)*($T$4:$T$863&lt;&gt;$T261)*($F$4:$F$863&lt;$G261)*($G$4:$G$863&gt;$F261)*(1-($X$4:$X$863="Oui")*($X261="Oui")))&gt;0,"⚠ CONFLIT",""))</f>
        <v/>
      </c>
      <c r="AA261" s="64">
        <f>IF(COUNTIFS($D$4:$D$863,$D261,$J$4:$J$863,$J261,$F$4:$F$863,$F261,$K$4:$K$863,$K261)&gt;1,"⚠ DOUBLON","")</f>
        <v/>
      </c>
      <c r="AB261" s="64">
        <f>IF(COUNTIF($T$4:$T$863,$T261)&lt;&gt;COUNTIFS($T$4:$T$863,$T261,$D$4:$D$863,$D261,$F$4:$F$863,$F261,$G$4:$G$863,$G261,$K$4:$K$863,$K261,$M$4:$M$863,$M261),"⚠ INCOHÉRENT","")</f>
        <v/>
      </c>
      <c r="AC261" s="64">
        <f>COUNTIFS($A$4:$A261,$A261,$J$4:$J261,$J261,$E$4:$E261,$E261)</f>
        <v/>
      </c>
      <c r="AD261" s="65">
        <f>$A261&amp;"|"&amp;$J261&amp;"|"&amp;$E261&amp;"|"&amp;$AC261</f>
        <v/>
      </c>
      <c r="AE261" s="66">
        <f>IF($W261&lt;&gt;"","⚑ "&amp;$W261&amp;CHAR(10),"")&amp;TEXT($F261,"hh:mm")&amp;"-"&amp;TEXT($G261,"hh:mm")&amp;IF(OR($P261="Quinzaine A",AND($P261="Hebdo · groupes alternés",$C261="A"))," Q-A",IF(OR($P261="Quinzaine B",AND($P261="Hebdo · groupes alternés",$C261="B"))," Q-B",IF($P261="Exception"," PONCT.","")))&amp;IF($X261="Oui"," OPT","")&amp;CHAR(10)&amp;$K261&amp;CHAR(10)&amp;$M261&amp;IF($N261&lt;&gt;"",CHAR(10)&amp;"Salle "&amp;$N261,"")&amp;IF($O261="En ligne",CHAR(10)&amp;"EN LIGNE","")&amp;IF($V261&lt;&gt;"",CHAR(10)&amp;$V261,"")</f>
        <v/>
      </c>
      <c r="AF261" s="65" t="inlineStr">
        <is>
          <t>19h-21h عربية (Lobna)</t>
        </is>
      </c>
      <c r="AG261" s="65" t="inlineStr">
        <is>
          <t>du 28-09 jusquà le 04-10!H6</t>
        </is>
      </c>
    </row>
    <row r="262" ht="15" customHeight="1">
      <c r="A262" s="58" t="inlineStr">
        <is>
          <t>S3</t>
        </is>
      </c>
      <c r="B262" s="59" t="inlineStr">
        <is>
          <t>du 28 septembre au 4 octobre 2026</t>
        </is>
      </c>
      <c r="C262" s="58" t="inlineStr">
        <is>
          <t>A</t>
        </is>
      </c>
      <c r="D262" s="60" t="n">
        <v>46294</v>
      </c>
      <c r="E262" s="58" t="inlineStr">
        <is>
          <t>Mardi</t>
        </is>
      </c>
      <c r="F262" s="61" t="n">
        <v>0.7916666666666666</v>
      </c>
      <c r="G262" s="61" t="n">
        <v>0.8541666666666666</v>
      </c>
      <c r="H262" s="62">
        <f>IF(OR($F262="",$G262=""),"",($G262-$F262)*24)</f>
        <v/>
      </c>
      <c r="I262" s="58" t="inlineStr">
        <is>
          <t>Primaire</t>
        </is>
      </c>
      <c r="J262" s="59" t="inlineStr">
        <is>
          <t>6éme (B)</t>
        </is>
      </c>
      <c r="K262" s="67" t="inlineStr">
        <is>
          <t>Français</t>
        </is>
      </c>
      <c r="L262" s="67" t="inlineStr">
        <is>
          <t>Français</t>
        </is>
      </c>
      <c r="M262" s="59" t="inlineStr">
        <is>
          <t>Hend</t>
        </is>
      </c>
      <c r="N262" s="58" t="n"/>
      <c r="O262" s="58" t="n"/>
      <c r="P262" s="58" t="inlineStr">
        <is>
          <t>Hebdomadaire</t>
        </is>
      </c>
      <c r="Q262" s="59" t="inlineStr"/>
      <c r="R262" s="58" t="n">
        <v>1</v>
      </c>
      <c r="S262" s="58" t="inlineStr">
        <is>
          <t>Oui</t>
        </is>
      </c>
      <c r="T262" s="58" t="inlineStr">
        <is>
          <t>S3-012</t>
        </is>
      </c>
      <c r="U262" s="59" t="inlineStr">
        <is>
          <t>Original (septembre)</t>
        </is>
      </c>
      <c r="V262" s="59" t="inlineStr"/>
      <c r="W262" s="10" t="n"/>
      <c r="X262" s="10" t="inlineStr"/>
      <c r="Y262" s="64">
        <f>IF($M262="","",IF(SUMPRODUCT(($D$4:$D$863=$D262)*($M$4:$M$863=$M262)*($T$4:$T$863&lt;&gt;$T262)*($F$4:$F$863&lt;$G262)*($G$4:$G$863&gt;$F262))&gt;0,"⚠ CONFLIT",""))</f>
        <v/>
      </c>
      <c r="Z262" s="64">
        <f>IF($J262="","",IF(SUMPRODUCT(($D$4:$D$863=$D262)*($J$4:$J$863=$J262)*($T$4:$T$863&lt;&gt;$T262)*($F$4:$F$863&lt;$G262)*($G$4:$G$863&gt;$F262)*(1-($X$4:$X$863="Oui")*($X262="Oui")))&gt;0,"⚠ CONFLIT",""))</f>
        <v/>
      </c>
      <c r="AA262" s="64">
        <f>IF(COUNTIFS($D$4:$D$863,$D262,$J$4:$J$863,$J262,$F$4:$F$863,$F262,$K$4:$K$863,$K262)&gt;1,"⚠ DOUBLON","")</f>
        <v/>
      </c>
      <c r="AB262" s="64">
        <f>IF(COUNTIF($T$4:$T$863,$T262)&lt;&gt;COUNTIFS($T$4:$T$863,$T262,$D$4:$D$863,$D262,$F$4:$F$863,$F262,$G$4:$G$863,$G262,$K$4:$K$863,$K262,$M$4:$M$863,$M262),"⚠ INCOHÉRENT","")</f>
        <v/>
      </c>
      <c r="AC262" s="64">
        <f>COUNTIFS($A$4:$A262,$A262,$J$4:$J262,$J262,$E$4:$E262,$E262)</f>
        <v/>
      </c>
      <c r="AD262" s="65">
        <f>$A262&amp;"|"&amp;$J262&amp;"|"&amp;$E262&amp;"|"&amp;$AC262</f>
        <v/>
      </c>
      <c r="AE262" s="66">
        <f>IF($W262&lt;&gt;"","⚑ "&amp;$W262&amp;CHAR(10),"")&amp;TEXT($F262,"hh:mm")&amp;"-"&amp;TEXT($G262,"hh:mm")&amp;IF(OR($P262="Quinzaine A",AND($P262="Hebdo · groupes alternés",$C262="A"))," Q-A",IF(OR($P262="Quinzaine B",AND($P262="Hebdo · groupes alternés",$C262="B"))," Q-B",IF($P262="Exception"," PONCT.","")))&amp;IF($X262="Oui"," OPT","")&amp;CHAR(10)&amp;$K262&amp;CHAR(10)&amp;$M262&amp;IF($N262&lt;&gt;"",CHAR(10)&amp;"Salle "&amp;$N262,"")&amp;IF($O262="En ligne",CHAR(10)&amp;"EN LIGNE","")&amp;IF($V262&lt;&gt;"",CHAR(10)&amp;$V262,"")</f>
        <v/>
      </c>
      <c r="AF262" s="65" t="inlineStr">
        <is>
          <t>19h-20h30 Français (Hend)</t>
        </is>
      </c>
      <c r="AG262" s="65" t="inlineStr">
        <is>
          <t>du 28-09 jusquà le 04-10!H16</t>
        </is>
      </c>
    </row>
    <row r="263" ht="15" customHeight="1">
      <c r="A263" s="68" t="inlineStr">
        <is>
          <t>S3</t>
        </is>
      </c>
      <c r="B263" s="69" t="inlineStr">
        <is>
          <t>du 28 septembre au 4 octobre 2026</t>
        </is>
      </c>
      <c r="C263" s="68" t="inlineStr">
        <is>
          <t>A</t>
        </is>
      </c>
      <c r="D263" s="70" t="n">
        <v>46294</v>
      </c>
      <c r="E263" s="68" t="inlineStr">
        <is>
          <t>Mardi</t>
        </is>
      </c>
      <c r="F263" s="71" t="n">
        <v>0.7916666666666666</v>
      </c>
      <c r="G263" s="71" t="n">
        <v>0.8541666666666666</v>
      </c>
      <c r="H263" s="72">
        <f>IF(OR($F263="",$G263=""),"",($G263-$F263)*24)</f>
        <v/>
      </c>
      <c r="I263" s="68" t="inlineStr">
        <is>
          <t>Collège</t>
        </is>
      </c>
      <c r="J263" s="69" t="inlineStr">
        <is>
          <t>7éme (A)</t>
        </is>
      </c>
      <c r="K263" s="87" t="inlineStr">
        <is>
          <t>Anglais</t>
        </is>
      </c>
      <c r="L263" s="87" t="inlineStr">
        <is>
          <t>Anglais</t>
        </is>
      </c>
      <c r="M263" s="69" t="inlineStr">
        <is>
          <t>Imen Ben Lazrak</t>
        </is>
      </c>
      <c r="N263" s="68" t="n"/>
      <c r="O263" s="68" t="n"/>
      <c r="P263" s="68" t="inlineStr">
        <is>
          <t>Hebdo · groupes alternés</t>
        </is>
      </c>
      <c r="Q263" s="69" t="inlineStr"/>
      <c r="R263" s="68" t="n">
        <v>1</v>
      </c>
      <c r="S263" s="68" t="inlineStr">
        <is>
          <t>Oui</t>
        </is>
      </c>
      <c r="T263" s="68" t="inlineStr">
        <is>
          <t>S3-013</t>
        </is>
      </c>
      <c r="U263" s="69" t="inlineStr">
        <is>
          <t>Original (septembre)</t>
        </is>
      </c>
      <c r="V263" s="69" t="inlineStr"/>
      <c r="W263" s="10" t="n"/>
      <c r="X263" s="10" t="inlineStr"/>
      <c r="Y263" s="64">
        <f>IF($M263="","",IF(SUMPRODUCT(($D$4:$D$863=$D263)*($M$4:$M$863=$M263)*($T$4:$T$863&lt;&gt;$T263)*($F$4:$F$863&lt;$G263)*($G$4:$G$863&gt;$F263))&gt;0,"⚠ CONFLIT",""))</f>
        <v/>
      </c>
      <c r="Z263" s="64">
        <f>IF($J263="","",IF(SUMPRODUCT(($D$4:$D$863=$D263)*($J$4:$J$863=$J263)*($T$4:$T$863&lt;&gt;$T263)*($F$4:$F$863&lt;$G263)*($G$4:$G$863&gt;$F263)*(1-($X$4:$X$863="Oui")*($X263="Oui")))&gt;0,"⚠ CONFLIT",""))</f>
        <v/>
      </c>
      <c r="AA263" s="64">
        <f>IF(COUNTIFS($D$4:$D$863,$D263,$J$4:$J$863,$J263,$F$4:$F$863,$F263,$K$4:$K$863,$K263)&gt;1,"⚠ DOUBLON","")</f>
        <v/>
      </c>
      <c r="AB263" s="64">
        <f>IF(COUNTIF($T$4:$T$863,$T263)&lt;&gt;COUNTIFS($T$4:$T$863,$T263,$D$4:$D$863,$D263,$F$4:$F$863,$F263,$G$4:$G$863,$G263,$K$4:$K$863,$K263,$M$4:$M$863,$M263),"⚠ INCOHÉRENT","")</f>
        <v/>
      </c>
      <c r="AC263" s="64">
        <f>COUNTIFS($A$4:$A263,$A263,$J$4:$J263,$J263,$E$4:$E263,$E263)</f>
        <v/>
      </c>
      <c r="AD263" s="65">
        <f>$A263&amp;"|"&amp;$J263&amp;"|"&amp;$E263&amp;"|"&amp;$AC263</f>
        <v/>
      </c>
      <c r="AE263" s="66">
        <f>IF($W263&lt;&gt;"","⚑ "&amp;$W263&amp;CHAR(10),"")&amp;TEXT($F263,"hh:mm")&amp;"-"&amp;TEXT($G263,"hh:mm")&amp;IF(OR($P263="Quinzaine A",AND($P263="Hebdo · groupes alternés",$C263="A"))," Q-A",IF(OR($P263="Quinzaine B",AND($P263="Hebdo · groupes alternés",$C263="B"))," Q-B",IF($P263="Exception"," PONCT.","")))&amp;IF($X263="Oui"," OPT","")&amp;CHAR(10)&amp;$K263&amp;CHAR(10)&amp;$M263&amp;IF($N263&lt;&gt;"",CHAR(10)&amp;"Salle "&amp;$N263,"")&amp;IF($O263="En ligne",CHAR(10)&amp;"EN LIGNE","")&amp;IF($V263&lt;&gt;"",CHAR(10)&amp;$V263,"")</f>
        <v/>
      </c>
      <c r="AF263" s="65" t="inlineStr">
        <is>
          <t>19h-20h30 Anglais /par quinzaine (Imen Ben Lazrak)</t>
        </is>
      </c>
      <c r="AG263" s="65" t="inlineStr">
        <is>
          <t>du 28-09 jusquà le 04-10!H19</t>
        </is>
      </c>
    </row>
    <row r="264" ht="15" customHeight="1">
      <c r="A264" s="68" t="inlineStr">
        <is>
          <t>S3</t>
        </is>
      </c>
      <c r="B264" s="69" t="inlineStr">
        <is>
          <t>du 28 septembre au 4 octobre 2026</t>
        </is>
      </c>
      <c r="C264" s="68" t="inlineStr">
        <is>
          <t>A</t>
        </is>
      </c>
      <c r="D264" s="70" t="n">
        <v>46294</v>
      </c>
      <c r="E264" s="68" t="inlineStr">
        <is>
          <t>Mardi</t>
        </is>
      </c>
      <c r="F264" s="71" t="n">
        <v>0.8125</v>
      </c>
      <c r="G264" s="71" t="n">
        <v>0.875</v>
      </c>
      <c r="H264" s="72">
        <f>IF(OR($F264="",$G264=""),"",($G264-$F264)*24)</f>
        <v/>
      </c>
      <c r="I264" s="68" t="inlineStr">
        <is>
          <t>Collège</t>
        </is>
      </c>
      <c r="J264" s="69" t="inlineStr">
        <is>
          <t>8éme (B)</t>
        </is>
      </c>
      <c r="K264" s="63" t="inlineStr">
        <is>
          <t>Arabe</t>
        </is>
      </c>
      <c r="L264" s="63" t="inlineStr">
        <is>
          <t>Arabe</t>
        </is>
      </c>
      <c r="M264" s="69" t="inlineStr">
        <is>
          <t>Yahya</t>
        </is>
      </c>
      <c r="N264" s="68" t="n"/>
      <c r="O264" s="68" t="n"/>
      <c r="P264" s="68" t="inlineStr">
        <is>
          <t>Hebdomadaire</t>
        </is>
      </c>
      <c r="Q264" s="69" t="inlineStr">
        <is>
          <t>8éme (B) + 8éme (C)</t>
        </is>
      </c>
      <c r="R264" s="68" t="n">
        <v>2</v>
      </c>
      <c r="S264" s="68" t="inlineStr">
        <is>
          <t>Oui</t>
        </is>
      </c>
      <c r="T264" s="68" t="inlineStr">
        <is>
          <t>S3-014</t>
        </is>
      </c>
      <c r="U264" s="69" t="inlineStr">
        <is>
          <t>Original (septembre)</t>
        </is>
      </c>
      <c r="V264" s="69" t="inlineStr"/>
      <c r="W264" s="10" t="n"/>
      <c r="X264" s="10" t="inlineStr"/>
      <c r="Y264" s="64">
        <f>IF($M264="","",IF(SUMPRODUCT(($D$4:$D$863=$D264)*($M$4:$M$863=$M264)*($T$4:$T$863&lt;&gt;$T264)*($F$4:$F$863&lt;$G264)*($G$4:$G$863&gt;$F264))&gt;0,"⚠ CONFLIT",""))</f>
        <v/>
      </c>
      <c r="Z264" s="64">
        <f>IF($J264="","",IF(SUMPRODUCT(($D$4:$D$863=$D264)*($J$4:$J$863=$J264)*($T$4:$T$863&lt;&gt;$T264)*($F$4:$F$863&lt;$G264)*($G$4:$G$863&gt;$F264)*(1-($X$4:$X$863="Oui")*($X264="Oui")))&gt;0,"⚠ CONFLIT",""))</f>
        <v/>
      </c>
      <c r="AA264" s="64">
        <f>IF(COUNTIFS($D$4:$D$863,$D264,$J$4:$J$863,$J264,$F$4:$F$863,$F264,$K$4:$K$863,$K264)&gt;1,"⚠ DOUBLON","")</f>
        <v/>
      </c>
      <c r="AB264" s="64">
        <f>IF(COUNTIF($T$4:$T$863,$T264)&lt;&gt;COUNTIFS($T$4:$T$863,$T264,$D$4:$D$863,$D264,$F$4:$F$863,$F264,$G$4:$G$863,$G264,$K$4:$K$863,$K264,$M$4:$M$863,$M264),"⚠ INCOHÉRENT","")</f>
        <v/>
      </c>
      <c r="AC264" s="64">
        <f>COUNTIFS($A$4:$A264,$A264,$J$4:$J264,$J264,$E$4:$E264,$E264)</f>
        <v/>
      </c>
      <c r="AD264" s="65">
        <f>$A264&amp;"|"&amp;$J264&amp;"|"&amp;$E264&amp;"|"&amp;$AC264</f>
        <v/>
      </c>
      <c r="AE264" s="66">
        <f>IF($W264&lt;&gt;"","⚑ "&amp;$W264&amp;CHAR(10),"")&amp;TEXT($F264,"hh:mm")&amp;"-"&amp;TEXT($G264,"hh:mm")&amp;IF(OR($P264="Quinzaine A",AND($P264="Hebdo · groupes alternés",$C264="A"))," Q-A",IF(OR($P264="Quinzaine B",AND($P264="Hebdo · groupes alternés",$C264="B"))," Q-B",IF($P264="Exception"," PONCT.","")))&amp;IF($X264="Oui"," OPT","")&amp;CHAR(10)&amp;$K264&amp;CHAR(10)&amp;$M264&amp;IF($N264&lt;&gt;"",CHAR(10)&amp;"Salle "&amp;$N264,"")&amp;IF($O264="En ligne",CHAR(10)&amp;"EN LIGNE","")&amp;IF($V264&lt;&gt;"",CHAR(10)&amp;$V264,"")</f>
        <v/>
      </c>
      <c r="AF264" s="65" t="inlineStr">
        <is>
          <t>19h30-21h Arabe (Yahya)</t>
        </is>
      </c>
      <c r="AG264" s="65" t="inlineStr">
        <is>
          <t>du 28-09 jusquà le 04-10!H31</t>
        </is>
      </c>
    </row>
    <row r="265" ht="15" customHeight="1">
      <c r="A265" s="68" t="inlineStr">
        <is>
          <t>S3</t>
        </is>
      </c>
      <c r="B265" s="69" t="inlineStr">
        <is>
          <t>du 28 septembre au 4 octobre 2026</t>
        </is>
      </c>
      <c r="C265" s="68" t="inlineStr">
        <is>
          <t>A</t>
        </is>
      </c>
      <c r="D265" s="70" t="n">
        <v>46294</v>
      </c>
      <c r="E265" s="68" t="inlineStr">
        <is>
          <t>Mardi</t>
        </is>
      </c>
      <c r="F265" s="71" t="n">
        <v>0.8125</v>
      </c>
      <c r="G265" s="71" t="n">
        <v>0.875</v>
      </c>
      <c r="H265" s="72">
        <f>IF(OR($F265="",$G265=""),"",($G265-$F265)*24)</f>
        <v/>
      </c>
      <c r="I265" s="68" t="inlineStr">
        <is>
          <t>Collège</t>
        </is>
      </c>
      <c r="J265" s="69" t="inlineStr">
        <is>
          <t>8éme (C)</t>
        </is>
      </c>
      <c r="K265" s="63" t="inlineStr">
        <is>
          <t>Arabe</t>
        </is>
      </c>
      <c r="L265" s="63" t="inlineStr">
        <is>
          <t>Arabe</t>
        </is>
      </c>
      <c r="M265" s="69" t="inlineStr">
        <is>
          <t>Yahya</t>
        </is>
      </c>
      <c r="N265" s="68" t="n"/>
      <c r="O265" s="68" t="n"/>
      <c r="P265" s="68" t="inlineStr">
        <is>
          <t>Hebdomadaire</t>
        </is>
      </c>
      <c r="Q265" s="69" t="inlineStr">
        <is>
          <t>8éme (B) + 8éme (C)</t>
        </is>
      </c>
      <c r="R265" s="68" t="n">
        <v>2</v>
      </c>
      <c r="S265" s="68" t="inlineStr"/>
      <c r="T265" s="68" t="inlineStr">
        <is>
          <t>S3-014</t>
        </is>
      </c>
      <c r="U265" s="69" t="inlineStr">
        <is>
          <t>Original (septembre)</t>
        </is>
      </c>
      <c r="V265" s="69" t="inlineStr"/>
      <c r="W265" s="10" t="n"/>
      <c r="X265" s="10" t="inlineStr"/>
      <c r="Y265" s="64">
        <f>IF($M265="","",IF(SUMPRODUCT(($D$4:$D$863=$D265)*($M$4:$M$863=$M265)*($T$4:$T$863&lt;&gt;$T265)*($F$4:$F$863&lt;$G265)*($G$4:$G$863&gt;$F265))&gt;0,"⚠ CONFLIT",""))</f>
        <v/>
      </c>
      <c r="Z265" s="64">
        <f>IF($J265="","",IF(SUMPRODUCT(($D$4:$D$863=$D265)*($J$4:$J$863=$J265)*($T$4:$T$863&lt;&gt;$T265)*($F$4:$F$863&lt;$G265)*($G$4:$G$863&gt;$F265)*(1-($X$4:$X$863="Oui")*($X265="Oui")))&gt;0,"⚠ CONFLIT",""))</f>
        <v/>
      </c>
      <c r="AA265" s="64">
        <f>IF(COUNTIFS($D$4:$D$863,$D265,$J$4:$J$863,$J265,$F$4:$F$863,$F265,$K$4:$K$863,$K265)&gt;1,"⚠ DOUBLON","")</f>
        <v/>
      </c>
      <c r="AB265" s="64">
        <f>IF(COUNTIF($T$4:$T$863,$T265)&lt;&gt;COUNTIFS($T$4:$T$863,$T265,$D$4:$D$863,$D265,$F$4:$F$863,$F265,$G$4:$G$863,$G265,$K$4:$K$863,$K265,$M$4:$M$863,$M265),"⚠ INCOHÉRENT","")</f>
        <v/>
      </c>
      <c r="AC265" s="64">
        <f>COUNTIFS($A$4:$A265,$A265,$J$4:$J265,$J265,$E$4:$E265,$E265)</f>
        <v/>
      </c>
      <c r="AD265" s="65">
        <f>$A265&amp;"|"&amp;$J265&amp;"|"&amp;$E265&amp;"|"&amp;$AC265</f>
        <v/>
      </c>
      <c r="AE265" s="66">
        <f>IF($W265&lt;&gt;"","⚑ "&amp;$W265&amp;CHAR(10),"")&amp;TEXT($F265,"hh:mm")&amp;"-"&amp;TEXT($G265,"hh:mm")&amp;IF(OR($P265="Quinzaine A",AND($P265="Hebdo · groupes alternés",$C265="A"))," Q-A",IF(OR($P265="Quinzaine B",AND($P265="Hebdo · groupes alternés",$C265="B"))," Q-B",IF($P265="Exception"," PONCT.","")))&amp;IF($X265="Oui"," OPT","")&amp;CHAR(10)&amp;$K265&amp;CHAR(10)&amp;$M265&amp;IF($N265&lt;&gt;"",CHAR(10)&amp;"Salle "&amp;$N265,"")&amp;IF($O265="En ligne",CHAR(10)&amp;"EN LIGNE","")&amp;IF($V265&lt;&gt;"",CHAR(10)&amp;$V265,"")</f>
        <v/>
      </c>
      <c r="AF265" s="65" t="inlineStr">
        <is>
          <t>19h30-21h Arabe (Yahya)</t>
        </is>
      </c>
      <c r="AG265" s="65" t="inlineStr">
        <is>
          <t>du 28-09 jusquà le 04-10!H31</t>
        </is>
      </c>
    </row>
    <row r="266" ht="15" customHeight="1">
      <c r="A266" s="68" t="inlineStr">
        <is>
          <t>S3</t>
        </is>
      </c>
      <c r="B266" s="69" t="inlineStr">
        <is>
          <t>du 28 septembre au 4 octobre 2026</t>
        </is>
      </c>
      <c r="C266" s="68" t="inlineStr">
        <is>
          <t>A</t>
        </is>
      </c>
      <c r="D266" s="70" t="n">
        <v>46294</v>
      </c>
      <c r="E266" s="68" t="inlineStr">
        <is>
          <t>Mardi</t>
        </is>
      </c>
      <c r="F266" s="71" t="n">
        <v>0.7916666666666666</v>
      </c>
      <c r="G266" s="71" t="n">
        <v>0.8541666666666666</v>
      </c>
      <c r="H266" s="72">
        <f>IF(OR($F266="",$G266=""),"",($G266-$F266)*24)</f>
        <v/>
      </c>
      <c r="I266" s="68" t="inlineStr">
        <is>
          <t>Collège</t>
        </is>
      </c>
      <c r="J266" s="69" t="inlineStr">
        <is>
          <t>9éme (A)</t>
        </is>
      </c>
      <c r="K266" s="79" t="inlineStr">
        <is>
          <t>Math</t>
        </is>
      </c>
      <c r="L266" s="79" t="inlineStr">
        <is>
          <t>Math</t>
        </is>
      </c>
      <c r="M266" s="69" t="inlineStr">
        <is>
          <t>Faouzi</t>
        </is>
      </c>
      <c r="N266" s="68" t="n"/>
      <c r="O266" s="68" t="n"/>
      <c r="P266" s="68" t="inlineStr">
        <is>
          <t>Hebdomadaire</t>
        </is>
      </c>
      <c r="Q266" s="69" t="inlineStr"/>
      <c r="R266" s="68" t="n">
        <v>1</v>
      </c>
      <c r="S266" s="68" t="inlineStr">
        <is>
          <t>Oui</t>
        </is>
      </c>
      <c r="T266" s="68" t="inlineStr">
        <is>
          <t>S3-015</t>
        </is>
      </c>
      <c r="U266" s="69" t="inlineStr">
        <is>
          <t>Original (septembre)</t>
        </is>
      </c>
      <c r="V266" s="69" t="inlineStr"/>
      <c r="W266" s="10" t="n"/>
      <c r="X266" s="10" t="inlineStr"/>
      <c r="Y266" s="64">
        <f>IF($M266="","",IF(SUMPRODUCT(($D$4:$D$863=$D266)*($M$4:$M$863=$M266)*($T$4:$T$863&lt;&gt;$T266)*($F$4:$F$863&lt;$G266)*($G$4:$G$863&gt;$F266))&gt;0,"⚠ CONFLIT",""))</f>
        <v/>
      </c>
      <c r="Z266" s="64">
        <f>IF($J266="","",IF(SUMPRODUCT(($D$4:$D$863=$D266)*($J$4:$J$863=$J266)*($T$4:$T$863&lt;&gt;$T266)*($F$4:$F$863&lt;$G266)*($G$4:$G$863&gt;$F266)*(1-($X$4:$X$863="Oui")*($X266="Oui")))&gt;0,"⚠ CONFLIT",""))</f>
        <v/>
      </c>
      <c r="AA266" s="64">
        <f>IF(COUNTIFS($D$4:$D$863,$D266,$J$4:$J$863,$J266,$F$4:$F$863,$F266,$K$4:$K$863,$K266)&gt;1,"⚠ DOUBLON","")</f>
        <v/>
      </c>
      <c r="AB266" s="64">
        <f>IF(COUNTIF($T$4:$T$863,$T266)&lt;&gt;COUNTIFS($T$4:$T$863,$T266,$D$4:$D$863,$D266,$F$4:$F$863,$F266,$G$4:$G$863,$G266,$K$4:$K$863,$K266,$M$4:$M$863,$M266),"⚠ INCOHÉRENT","")</f>
        <v/>
      </c>
      <c r="AC266" s="64">
        <f>COUNTIFS($A$4:$A266,$A266,$J$4:$J266,$J266,$E$4:$E266,$E266)</f>
        <v/>
      </c>
      <c r="AD266" s="65">
        <f>$A266&amp;"|"&amp;$J266&amp;"|"&amp;$E266&amp;"|"&amp;$AC266</f>
        <v/>
      </c>
      <c r="AE266" s="66">
        <f>IF($W266&lt;&gt;"","⚑ "&amp;$W266&amp;CHAR(10),"")&amp;TEXT($F266,"hh:mm")&amp;"-"&amp;TEXT($G266,"hh:mm")&amp;IF(OR($P266="Quinzaine A",AND($P266="Hebdo · groupes alternés",$C266="A"))," Q-A",IF(OR($P266="Quinzaine B",AND($P266="Hebdo · groupes alternés",$C266="B"))," Q-B",IF($P266="Exception"," PONCT.","")))&amp;IF($X266="Oui"," OPT","")&amp;CHAR(10)&amp;$K266&amp;CHAR(10)&amp;$M266&amp;IF($N266&lt;&gt;"",CHAR(10)&amp;"Salle "&amp;$N266,"")&amp;IF($O266="En ligne",CHAR(10)&amp;"EN LIGNE","")&amp;IF($V266&lt;&gt;"",CHAR(10)&amp;$V266,"")</f>
        <v/>
      </c>
      <c r="AF266" s="65" t="inlineStr">
        <is>
          <t>19h-20h30 Math (Faouzi)</t>
        </is>
      </c>
      <c r="AG266" s="65" t="inlineStr">
        <is>
          <t>du 28-09 jusquà le 04-10!H36</t>
        </is>
      </c>
    </row>
    <row r="267" ht="15" customHeight="1">
      <c r="A267" s="68" t="inlineStr">
        <is>
          <t>S3</t>
        </is>
      </c>
      <c r="B267" s="69" t="inlineStr">
        <is>
          <t>du 28 septembre au 4 octobre 2026</t>
        </is>
      </c>
      <c r="C267" s="68" t="inlineStr">
        <is>
          <t>A</t>
        </is>
      </c>
      <c r="D267" s="70" t="n">
        <v>46294</v>
      </c>
      <c r="E267" s="68" t="inlineStr">
        <is>
          <t>Mardi</t>
        </is>
      </c>
      <c r="F267" s="71" t="n">
        <v>0.8020833333333334</v>
      </c>
      <c r="G267" s="71" t="n">
        <v>0.8645833333333334</v>
      </c>
      <c r="H267" s="72">
        <f>IF(OR($F267="",$G267=""),"",($G267-$F267)*24)</f>
        <v/>
      </c>
      <c r="I267" s="68" t="inlineStr">
        <is>
          <t>Collège</t>
        </is>
      </c>
      <c r="J267" s="69" t="inlineStr">
        <is>
          <t>9éme (B)</t>
        </is>
      </c>
      <c r="K267" s="88" t="inlineStr">
        <is>
          <t>SVT</t>
        </is>
      </c>
      <c r="L267" s="88" t="inlineStr">
        <is>
          <t>SVT</t>
        </is>
      </c>
      <c r="M267" s="69" t="inlineStr">
        <is>
          <t>Imen Jribi</t>
        </is>
      </c>
      <c r="N267" s="68" t="n"/>
      <c r="O267" s="68" t="n"/>
      <c r="P267" s="68" t="inlineStr">
        <is>
          <t>Hebdomadaire</t>
        </is>
      </c>
      <c r="Q267" s="69" t="inlineStr"/>
      <c r="R267" s="68" t="n">
        <v>1</v>
      </c>
      <c r="S267" s="68" t="inlineStr">
        <is>
          <t>Oui</t>
        </is>
      </c>
      <c r="T267" s="68" t="inlineStr">
        <is>
          <t>S3-016</t>
        </is>
      </c>
      <c r="U267" s="69" t="inlineStr">
        <is>
          <t>Original (septembre)</t>
        </is>
      </c>
      <c r="V267" s="69" t="inlineStr"/>
      <c r="W267" s="10" t="n"/>
      <c r="X267" s="10" t="inlineStr"/>
      <c r="Y267" s="64">
        <f>IF($M267="","",IF(SUMPRODUCT(($D$4:$D$863=$D267)*($M$4:$M$863=$M267)*($T$4:$T$863&lt;&gt;$T267)*($F$4:$F$863&lt;$G267)*($G$4:$G$863&gt;$F267))&gt;0,"⚠ CONFLIT",""))</f>
        <v/>
      </c>
      <c r="Z267" s="64">
        <f>IF($J267="","",IF(SUMPRODUCT(($D$4:$D$863=$D267)*($J$4:$J$863=$J267)*($T$4:$T$863&lt;&gt;$T267)*($F$4:$F$863&lt;$G267)*($G$4:$G$863&gt;$F267)*(1-($X$4:$X$863="Oui")*($X267="Oui")))&gt;0,"⚠ CONFLIT",""))</f>
        <v/>
      </c>
      <c r="AA267" s="64">
        <f>IF(COUNTIFS($D$4:$D$863,$D267,$J$4:$J$863,$J267,$F$4:$F$863,$F267,$K$4:$K$863,$K267)&gt;1,"⚠ DOUBLON","")</f>
        <v/>
      </c>
      <c r="AB267" s="64">
        <f>IF(COUNTIF($T$4:$T$863,$T267)&lt;&gt;COUNTIFS($T$4:$T$863,$T267,$D$4:$D$863,$D267,$F$4:$F$863,$F267,$G$4:$G$863,$G267,$K$4:$K$863,$K267,$M$4:$M$863,$M267),"⚠ INCOHÉRENT","")</f>
        <v/>
      </c>
      <c r="AC267" s="64">
        <f>COUNTIFS($A$4:$A267,$A267,$J$4:$J267,$J267,$E$4:$E267,$E267)</f>
        <v/>
      </c>
      <c r="AD267" s="65">
        <f>$A267&amp;"|"&amp;$J267&amp;"|"&amp;$E267&amp;"|"&amp;$AC267</f>
        <v/>
      </c>
      <c r="AE267" s="66">
        <f>IF($W267&lt;&gt;"","⚑ "&amp;$W267&amp;CHAR(10),"")&amp;TEXT($F267,"hh:mm")&amp;"-"&amp;TEXT($G267,"hh:mm")&amp;IF(OR($P267="Quinzaine A",AND($P267="Hebdo · groupes alternés",$C267="A"))," Q-A",IF(OR($P267="Quinzaine B",AND($P267="Hebdo · groupes alternés",$C267="B"))," Q-B",IF($P267="Exception"," PONCT.","")))&amp;IF($X267="Oui"," OPT","")&amp;CHAR(10)&amp;$K267&amp;CHAR(10)&amp;$M267&amp;IF($N267&lt;&gt;"",CHAR(10)&amp;"Salle "&amp;$N267,"")&amp;IF($O267="En ligne",CHAR(10)&amp;"EN LIGNE","")&amp;IF($V267&lt;&gt;"",CHAR(10)&amp;$V267,"")</f>
        <v/>
      </c>
      <c r="AF267" s="65" t="inlineStr">
        <is>
          <t>19h15-20h45 SVT (Imen Jribi)</t>
        </is>
      </c>
      <c r="AG267" s="65" t="inlineStr">
        <is>
          <t>du 28-09 jusquà le 04-10!H43</t>
        </is>
      </c>
    </row>
    <row r="268" ht="15" customHeight="1">
      <c r="A268" s="74" t="inlineStr">
        <is>
          <t>S3</t>
        </is>
      </c>
      <c r="B268" s="75" t="inlineStr">
        <is>
          <t>du 28 septembre au 4 octobre 2026</t>
        </is>
      </c>
      <c r="C268" s="74" t="inlineStr">
        <is>
          <t>A</t>
        </is>
      </c>
      <c r="D268" s="76" t="n">
        <v>46294</v>
      </c>
      <c r="E268" s="74" t="inlineStr">
        <is>
          <t>Mardi</t>
        </is>
      </c>
      <c r="F268" s="77" t="n">
        <v>0.8020833333333334</v>
      </c>
      <c r="G268" s="77" t="n">
        <v>0.8645833333333334</v>
      </c>
      <c r="H268" s="78">
        <f>IF(OR($F268="",$G268=""),"",($G268-$F268)*24)</f>
        <v/>
      </c>
      <c r="I268" s="74" t="inlineStr">
        <is>
          <t>Secondaire</t>
        </is>
      </c>
      <c r="J268" s="75" t="inlineStr">
        <is>
          <t>1ére (A)</t>
        </is>
      </c>
      <c r="K268" s="67" t="inlineStr">
        <is>
          <t>Français</t>
        </is>
      </c>
      <c r="L268" s="67" t="inlineStr">
        <is>
          <t>Français</t>
        </is>
      </c>
      <c r="M268" s="75" t="inlineStr">
        <is>
          <t>Nassima</t>
        </is>
      </c>
      <c r="N268" s="74" t="n"/>
      <c r="O268" s="74" t="n"/>
      <c r="P268" s="74" t="inlineStr">
        <is>
          <t>Hebdomadaire</t>
        </is>
      </c>
      <c r="Q268" s="75" t="inlineStr"/>
      <c r="R268" s="74" t="n">
        <v>1</v>
      </c>
      <c r="S268" s="74" t="inlineStr">
        <is>
          <t>Oui</t>
        </is>
      </c>
      <c r="T268" s="74" t="inlineStr">
        <is>
          <t>S3-017</t>
        </is>
      </c>
      <c r="U268" s="75" t="inlineStr">
        <is>
          <t>Original (septembre)</t>
        </is>
      </c>
      <c r="V268" s="75" t="inlineStr"/>
      <c r="W268" s="10" t="n"/>
      <c r="X268" s="10" t="inlineStr"/>
      <c r="Y268" s="64">
        <f>IF($M268="","",IF(SUMPRODUCT(($D$4:$D$863=$D268)*($M$4:$M$863=$M268)*($T$4:$T$863&lt;&gt;$T268)*($F$4:$F$863&lt;$G268)*($G$4:$G$863&gt;$F268))&gt;0,"⚠ CONFLIT",""))</f>
        <v/>
      </c>
      <c r="Z268" s="64">
        <f>IF($J268="","",IF(SUMPRODUCT(($D$4:$D$863=$D268)*($J$4:$J$863=$J268)*($T$4:$T$863&lt;&gt;$T268)*($F$4:$F$863&lt;$G268)*($G$4:$G$863&gt;$F268)*(1-($X$4:$X$863="Oui")*($X268="Oui")))&gt;0,"⚠ CONFLIT",""))</f>
        <v/>
      </c>
      <c r="AA268" s="64">
        <f>IF(COUNTIFS($D$4:$D$863,$D268,$J$4:$J$863,$J268,$F$4:$F$863,$F268,$K$4:$K$863,$K268)&gt;1,"⚠ DOUBLON","")</f>
        <v/>
      </c>
      <c r="AB268" s="64">
        <f>IF(COUNTIF($T$4:$T$863,$T268)&lt;&gt;COUNTIFS($T$4:$T$863,$T268,$D$4:$D$863,$D268,$F$4:$F$863,$F268,$G$4:$G$863,$G268,$K$4:$K$863,$K268,$M$4:$M$863,$M268),"⚠ INCOHÉRENT","")</f>
        <v/>
      </c>
      <c r="AC268" s="64">
        <f>COUNTIFS($A$4:$A268,$A268,$J$4:$J268,$J268,$E$4:$E268,$E268)</f>
        <v/>
      </c>
      <c r="AD268" s="65">
        <f>$A268&amp;"|"&amp;$J268&amp;"|"&amp;$E268&amp;"|"&amp;$AC268</f>
        <v/>
      </c>
      <c r="AE268" s="66">
        <f>IF($W268&lt;&gt;"","⚑ "&amp;$W268&amp;CHAR(10),"")&amp;TEXT($F268,"hh:mm")&amp;"-"&amp;TEXT($G268,"hh:mm")&amp;IF(OR($P268="Quinzaine A",AND($P268="Hebdo · groupes alternés",$C268="A"))," Q-A",IF(OR($P268="Quinzaine B",AND($P268="Hebdo · groupes alternés",$C268="B"))," Q-B",IF($P268="Exception"," PONCT.","")))&amp;IF($X268="Oui"," OPT","")&amp;CHAR(10)&amp;$K268&amp;CHAR(10)&amp;$M268&amp;IF($N268&lt;&gt;"",CHAR(10)&amp;"Salle "&amp;$N268,"")&amp;IF($O268="En ligne",CHAR(10)&amp;"EN LIGNE","")&amp;IF($V268&lt;&gt;"",CHAR(10)&amp;$V268,"")</f>
        <v/>
      </c>
      <c r="AF268" s="65" t="inlineStr">
        <is>
          <t>19h15-20h45 Français (Nassima)</t>
        </is>
      </c>
      <c r="AG268" s="65" t="inlineStr">
        <is>
          <t>du 28-09 jusquà le 04-10!H48</t>
        </is>
      </c>
    </row>
    <row r="269" ht="15" customHeight="1">
      <c r="A269" s="74" t="inlineStr">
        <is>
          <t>S3</t>
        </is>
      </c>
      <c r="B269" s="75" t="inlineStr">
        <is>
          <t>du 28 septembre au 4 octobre 2026</t>
        </is>
      </c>
      <c r="C269" s="74" t="inlineStr">
        <is>
          <t>A</t>
        </is>
      </c>
      <c r="D269" s="76" t="n">
        <v>46294</v>
      </c>
      <c r="E269" s="74" t="inlineStr">
        <is>
          <t>Mardi</t>
        </is>
      </c>
      <c r="F269" s="77" t="n">
        <v>0.8125</v>
      </c>
      <c r="G269" s="77" t="n">
        <v>0.875</v>
      </c>
      <c r="H269" s="78">
        <f>IF(OR($F269="",$G269=""),"",($G269-$F269)*24)</f>
        <v/>
      </c>
      <c r="I269" s="74" t="inlineStr">
        <is>
          <t>Secondaire</t>
        </is>
      </c>
      <c r="J269" s="75" t="inlineStr">
        <is>
          <t>1ére (B)</t>
        </is>
      </c>
      <c r="K269" s="79" t="inlineStr">
        <is>
          <t>Math</t>
        </is>
      </c>
      <c r="L269" s="79" t="inlineStr">
        <is>
          <t>Math</t>
        </is>
      </c>
      <c r="M269" s="75" t="inlineStr">
        <is>
          <t>Haythem</t>
        </is>
      </c>
      <c r="N269" s="74" t="n"/>
      <c r="O269" s="74" t="n"/>
      <c r="P269" s="74" t="inlineStr">
        <is>
          <t>Hebdomadaire</t>
        </is>
      </c>
      <c r="Q269" s="75" t="inlineStr"/>
      <c r="R269" s="74" t="n">
        <v>1</v>
      </c>
      <c r="S269" s="74" t="inlineStr">
        <is>
          <t>Oui</t>
        </is>
      </c>
      <c r="T269" s="74" t="inlineStr">
        <is>
          <t>S3-018</t>
        </is>
      </c>
      <c r="U269" s="75" t="inlineStr">
        <is>
          <t>Original (septembre)</t>
        </is>
      </c>
      <c r="V269" s="75" t="inlineStr"/>
      <c r="W269" s="10" t="n"/>
      <c r="X269" s="10" t="inlineStr"/>
      <c r="Y269" s="64">
        <f>IF($M269="","",IF(SUMPRODUCT(($D$4:$D$863=$D269)*($M$4:$M$863=$M269)*($T$4:$T$863&lt;&gt;$T269)*($F$4:$F$863&lt;$G269)*($G$4:$G$863&gt;$F269))&gt;0,"⚠ CONFLIT",""))</f>
        <v/>
      </c>
      <c r="Z269" s="64">
        <f>IF($J269="","",IF(SUMPRODUCT(($D$4:$D$863=$D269)*($J$4:$J$863=$J269)*($T$4:$T$863&lt;&gt;$T269)*($F$4:$F$863&lt;$G269)*($G$4:$G$863&gt;$F269)*(1-($X$4:$X$863="Oui")*($X269="Oui")))&gt;0,"⚠ CONFLIT",""))</f>
        <v/>
      </c>
      <c r="AA269" s="64">
        <f>IF(COUNTIFS($D$4:$D$863,$D269,$J$4:$J$863,$J269,$F$4:$F$863,$F269,$K$4:$K$863,$K269)&gt;1,"⚠ DOUBLON","")</f>
        <v/>
      </c>
      <c r="AB269" s="64">
        <f>IF(COUNTIF($T$4:$T$863,$T269)&lt;&gt;COUNTIFS($T$4:$T$863,$T269,$D$4:$D$863,$D269,$F$4:$F$863,$F269,$G$4:$G$863,$G269,$K$4:$K$863,$K269,$M$4:$M$863,$M269),"⚠ INCOHÉRENT","")</f>
        <v/>
      </c>
      <c r="AC269" s="64">
        <f>COUNTIFS($A$4:$A269,$A269,$J$4:$J269,$J269,$E$4:$E269,$E269)</f>
        <v/>
      </c>
      <c r="AD269" s="65">
        <f>$A269&amp;"|"&amp;$J269&amp;"|"&amp;$E269&amp;"|"&amp;$AC269</f>
        <v/>
      </c>
      <c r="AE269" s="66">
        <f>IF($W269&lt;&gt;"","⚑ "&amp;$W269&amp;CHAR(10),"")&amp;TEXT($F269,"hh:mm")&amp;"-"&amp;TEXT($G269,"hh:mm")&amp;IF(OR($P269="Quinzaine A",AND($P269="Hebdo · groupes alternés",$C269="A"))," Q-A",IF(OR($P269="Quinzaine B",AND($P269="Hebdo · groupes alternés",$C269="B"))," Q-B",IF($P269="Exception"," PONCT.","")))&amp;IF($X269="Oui"," OPT","")&amp;CHAR(10)&amp;$K269&amp;CHAR(10)&amp;$M269&amp;IF($N269&lt;&gt;"",CHAR(10)&amp;"Salle "&amp;$N269,"")&amp;IF($O269="En ligne",CHAR(10)&amp;"EN LIGNE","")&amp;IF($V269&lt;&gt;"",CHAR(10)&amp;$V269,"")</f>
        <v/>
      </c>
      <c r="AF269" s="65" t="inlineStr">
        <is>
          <t>19h30-21h Math (Haythem)</t>
        </is>
      </c>
      <c r="AG269" s="65" t="inlineStr">
        <is>
          <t>du 28-09 jusquà le 04-10!H52</t>
        </is>
      </c>
    </row>
    <row r="270" ht="15" customHeight="1">
      <c r="A270" s="74" t="inlineStr">
        <is>
          <t>S3</t>
        </is>
      </c>
      <c r="B270" s="75" t="inlineStr">
        <is>
          <t>du 28 septembre au 4 octobre 2026</t>
        </is>
      </c>
      <c r="C270" s="74" t="inlineStr">
        <is>
          <t>A</t>
        </is>
      </c>
      <c r="D270" s="76" t="n">
        <v>46294</v>
      </c>
      <c r="E270" s="74" t="inlineStr">
        <is>
          <t>Mardi</t>
        </is>
      </c>
      <c r="F270" s="77" t="n">
        <v>0.8020833333333334</v>
      </c>
      <c r="G270" s="77" t="n">
        <v>0.8645833333333334</v>
      </c>
      <c r="H270" s="78">
        <f>IF(OR($F270="",$G270=""),"",($G270-$F270)*24)</f>
        <v/>
      </c>
      <c r="I270" s="74" t="inlineStr">
        <is>
          <t>Secondaire</t>
        </is>
      </c>
      <c r="J270" s="75" t="inlineStr">
        <is>
          <t>2éme Eco</t>
        </is>
      </c>
      <c r="K270" s="87" t="inlineStr">
        <is>
          <t>Anglais</t>
        </is>
      </c>
      <c r="L270" s="87" t="inlineStr">
        <is>
          <t>Anglais</t>
        </is>
      </c>
      <c r="M270" s="75" t="inlineStr">
        <is>
          <t>Imen Bennour</t>
        </is>
      </c>
      <c r="N270" s="74" t="n"/>
      <c r="O270" s="74" t="n"/>
      <c r="P270" s="74" t="inlineStr">
        <is>
          <t>Quinzaine A</t>
        </is>
      </c>
      <c r="Q270" s="75" t="inlineStr">
        <is>
          <t>2éme Eco + 2éme SCE + 2éme INFO</t>
        </is>
      </c>
      <c r="R270" s="74" t="n">
        <v>3</v>
      </c>
      <c r="S270" s="74" t="inlineStr">
        <is>
          <t>Oui</t>
        </is>
      </c>
      <c r="T270" s="74" t="inlineStr">
        <is>
          <t>S3-019</t>
        </is>
      </c>
      <c r="U270" s="75" t="inlineStr">
        <is>
          <t>Original (septembre)</t>
        </is>
      </c>
      <c r="V270" s="75" t="inlineStr"/>
      <c r="W270" s="10" t="n"/>
      <c r="X270" s="10" t="inlineStr"/>
      <c r="Y270" s="64">
        <f>IF($M270="","",IF(SUMPRODUCT(($D$4:$D$863=$D270)*($M$4:$M$863=$M270)*($T$4:$T$863&lt;&gt;$T270)*($F$4:$F$863&lt;$G270)*($G$4:$G$863&gt;$F270))&gt;0,"⚠ CONFLIT",""))</f>
        <v/>
      </c>
      <c r="Z270" s="64">
        <f>IF($J270="","",IF(SUMPRODUCT(($D$4:$D$863=$D270)*($J$4:$J$863=$J270)*($T$4:$T$863&lt;&gt;$T270)*($F$4:$F$863&lt;$G270)*($G$4:$G$863&gt;$F270)*(1-($X$4:$X$863="Oui")*($X270="Oui")))&gt;0,"⚠ CONFLIT",""))</f>
        <v/>
      </c>
      <c r="AA270" s="64">
        <f>IF(COUNTIFS($D$4:$D$863,$D270,$J$4:$J$863,$J270,$F$4:$F$863,$F270,$K$4:$K$863,$K270)&gt;1,"⚠ DOUBLON","")</f>
        <v/>
      </c>
      <c r="AB270" s="64">
        <f>IF(COUNTIF($T$4:$T$863,$T270)&lt;&gt;COUNTIFS($T$4:$T$863,$T270,$D$4:$D$863,$D270,$F$4:$F$863,$F270,$G$4:$G$863,$G270,$K$4:$K$863,$K270,$M$4:$M$863,$M270),"⚠ INCOHÉRENT","")</f>
        <v/>
      </c>
      <c r="AC270" s="64">
        <f>COUNTIFS($A$4:$A270,$A270,$J$4:$J270,$J270,$E$4:$E270,$E270)</f>
        <v/>
      </c>
      <c r="AD270" s="65">
        <f>$A270&amp;"|"&amp;$J270&amp;"|"&amp;$E270&amp;"|"&amp;$AC270</f>
        <v/>
      </c>
      <c r="AE270" s="66">
        <f>IF($W270&lt;&gt;"","⚑ "&amp;$W270&amp;CHAR(10),"")&amp;TEXT($F270,"hh:mm")&amp;"-"&amp;TEXT($G270,"hh:mm")&amp;IF(OR($P270="Quinzaine A",AND($P270="Hebdo · groupes alternés",$C270="A"))," Q-A",IF(OR($P270="Quinzaine B",AND($P270="Hebdo · groupes alternés",$C270="B"))," Q-B",IF($P270="Exception"," PONCT.","")))&amp;IF($X270="Oui"," OPT","")&amp;CHAR(10)&amp;$K270&amp;CHAR(10)&amp;$M270&amp;IF($N270&lt;&gt;"",CHAR(10)&amp;"Salle "&amp;$N270,"")&amp;IF($O270="En ligne",CHAR(10)&amp;"EN LIGNE","")&amp;IF($V270&lt;&gt;"",CHAR(10)&amp;$V270,"")</f>
        <v/>
      </c>
      <c r="AF270" s="65" t="inlineStr">
        <is>
          <t>19h15-20h45 Anglais /par quinzaine (Imen Bennour)</t>
        </is>
      </c>
      <c r="AG270" s="65" t="inlineStr">
        <is>
          <t>du 28-09 jusquà le 04-10!H56</t>
        </is>
      </c>
    </row>
    <row r="271" ht="15" customHeight="1">
      <c r="A271" s="74" t="inlineStr">
        <is>
          <t>S3</t>
        </is>
      </c>
      <c r="B271" s="75" t="inlineStr">
        <is>
          <t>du 28 septembre au 4 octobre 2026</t>
        </is>
      </c>
      <c r="C271" s="74" t="inlineStr">
        <is>
          <t>A</t>
        </is>
      </c>
      <c r="D271" s="76" t="n">
        <v>46294</v>
      </c>
      <c r="E271" s="74" t="inlineStr">
        <is>
          <t>Mardi</t>
        </is>
      </c>
      <c r="F271" s="77" t="n">
        <v>0.8020833333333334</v>
      </c>
      <c r="G271" s="77" t="n">
        <v>0.8645833333333334</v>
      </c>
      <c r="H271" s="78">
        <f>IF(OR($F271="",$G271=""),"",($G271-$F271)*24)</f>
        <v/>
      </c>
      <c r="I271" s="74" t="inlineStr">
        <is>
          <t>Secondaire</t>
        </is>
      </c>
      <c r="J271" s="75" t="inlineStr">
        <is>
          <t>2éme SCE</t>
        </is>
      </c>
      <c r="K271" s="87" t="inlineStr">
        <is>
          <t>Anglais</t>
        </is>
      </c>
      <c r="L271" s="87" t="inlineStr">
        <is>
          <t>Anglais</t>
        </is>
      </c>
      <c r="M271" s="75" t="inlineStr">
        <is>
          <t>Imen Bennour</t>
        </is>
      </c>
      <c r="N271" s="74" t="n"/>
      <c r="O271" s="74" t="n"/>
      <c r="P271" s="74" t="inlineStr">
        <is>
          <t>Quinzaine A</t>
        </is>
      </c>
      <c r="Q271" s="75" t="inlineStr">
        <is>
          <t>2éme Eco + 2éme SCE + 2éme INFO</t>
        </is>
      </c>
      <c r="R271" s="74" t="n">
        <v>3</v>
      </c>
      <c r="S271" s="74" t="inlineStr"/>
      <c r="T271" s="74" t="inlineStr">
        <is>
          <t>S3-019</t>
        </is>
      </c>
      <c r="U271" s="75" t="inlineStr">
        <is>
          <t>Original (septembre)</t>
        </is>
      </c>
      <c r="V271" s="75" t="inlineStr"/>
      <c r="W271" s="10" t="n"/>
      <c r="X271" s="10" t="inlineStr"/>
      <c r="Y271" s="64">
        <f>IF($M271="","",IF(SUMPRODUCT(($D$4:$D$863=$D271)*($M$4:$M$863=$M271)*($T$4:$T$863&lt;&gt;$T271)*($F$4:$F$863&lt;$G271)*($G$4:$G$863&gt;$F271))&gt;0,"⚠ CONFLIT",""))</f>
        <v/>
      </c>
      <c r="Z271" s="64">
        <f>IF($J271="","",IF(SUMPRODUCT(($D$4:$D$863=$D271)*($J$4:$J$863=$J271)*($T$4:$T$863&lt;&gt;$T271)*($F$4:$F$863&lt;$G271)*($G$4:$G$863&gt;$F271)*(1-($X$4:$X$863="Oui")*($X271="Oui")))&gt;0,"⚠ CONFLIT",""))</f>
        <v/>
      </c>
      <c r="AA271" s="64">
        <f>IF(COUNTIFS($D$4:$D$863,$D271,$J$4:$J$863,$J271,$F$4:$F$863,$F271,$K$4:$K$863,$K271)&gt;1,"⚠ DOUBLON","")</f>
        <v/>
      </c>
      <c r="AB271" s="64">
        <f>IF(COUNTIF($T$4:$T$863,$T271)&lt;&gt;COUNTIFS($T$4:$T$863,$T271,$D$4:$D$863,$D271,$F$4:$F$863,$F271,$G$4:$G$863,$G271,$K$4:$K$863,$K271,$M$4:$M$863,$M271),"⚠ INCOHÉRENT","")</f>
        <v/>
      </c>
      <c r="AC271" s="64">
        <f>COUNTIFS($A$4:$A271,$A271,$J$4:$J271,$J271,$E$4:$E271,$E271)</f>
        <v/>
      </c>
      <c r="AD271" s="65">
        <f>$A271&amp;"|"&amp;$J271&amp;"|"&amp;$E271&amp;"|"&amp;$AC271</f>
        <v/>
      </c>
      <c r="AE271" s="66">
        <f>IF($W271&lt;&gt;"","⚑ "&amp;$W271&amp;CHAR(10),"")&amp;TEXT($F271,"hh:mm")&amp;"-"&amp;TEXT($G271,"hh:mm")&amp;IF(OR($P271="Quinzaine A",AND($P271="Hebdo · groupes alternés",$C271="A"))," Q-A",IF(OR($P271="Quinzaine B",AND($P271="Hebdo · groupes alternés",$C271="B"))," Q-B",IF($P271="Exception"," PONCT.","")))&amp;IF($X271="Oui"," OPT","")&amp;CHAR(10)&amp;$K271&amp;CHAR(10)&amp;$M271&amp;IF($N271&lt;&gt;"",CHAR(10)&amp;"Salle "&amp;$N271,"")&amp;IF($O271="En ligne",CHAR(10)&amp;"EN LIGNE","")&amp;IF($V271&lt;&gt;"",CHAR(10)&amp;$V271,"")</f>
        <v/>
      </c>
      <c r="AF271" s="65" t="inlineStr">
        <is>
          <t>19h15-20h45 Anglais /par quinzaine (Imen Bennour)</t>
        </is>
      </c>
      <c r="AG271" s="65" t="inlineStr">
        <is>
          <t>du 28-09 jusquà le 04-10!H56</t>
        </is>
      </c>
    </row>
    <row r="272" ht="15" customHeight="1">
      <c r="A272" s="74" t="inlineStr">
        <is>
          <t>S3</t>
        </is>
      </c>
      <c r="B272" s="75" t="inlineStr">
        <is>
          <t>du 28 septembre au 4 octobre 2026</t>
        </is>
      </c>
      <c r="C272" s="74" t="inlineStr">
        <is>
          <t>A</t>
        </is>
      </c>
      <c r="D272" s="76" t="n">
        <v>46294</v>
      </c>
      <c r="E272" s="74" t="inlineStr">
        <is>
          <t>Mardi</t>
        </is>
      </c>
      <c r="F272" s="77" t="n">
        <v>0.8020833333333334</v>
      </c>
      <c r="G272" s="77" t="n">
        <v>0.8645833333333334</v>
      </c>
      <c r="H272" s="78">
        <f>IF(OR($F272="",$G272=""),"",($G272-$F272)*24)</f>
        <v/>
      </c>
      <c r="I272" s="74" t="inlineStr">
        <is>
          <t>Secondaire</t>
        </is>
      </c>
      <c r="J272" s="75" t="inlineStr">
        <is>
          <t>2éme INFO</t>
        </is>
      </c>
      <c r="K272" s="87" t="inlineStr">
        <is>
          <t>Anglais</t>
        </is>
      </c>
      <c r="L272" s="87" t="inlineStr">
        <is>
          <t>Anglais</t>
        </is>
      </c>
      <c r="M272" s="75" t="inlineStr">
        <is>
          <t>Imen Bennour</t>
        </is>
      </c>
      <c r="N272" s="74" t="n"/>
      <c r="O272" s="74" t="n"/>
      <c r="P272" s="74" t="inlineStr">
        <is>
          <t>Quinzaine A</t>
        </is>
      </c>
      <c r="Q272" s="75" t="inlineStr">
        <is>
          <t>2éme Eco + 2éme SCE + 2éme INFO</t>
        </is>
      </c>
      <c r="R272" s="74" t="n">
        <v>3</v>
      </c>
      <c r="S272" s="74" t="inlineStr"/>
      <c r="T272" s="74" t="inlineStr">
        <is>
          <t>S3-019</t>
        </is>
      </c>
      <c r="U272" s="75" t="inlineStr">
        <is>
          <t>Original (septembre)</t>
        </is>
      </c>
      <c r="V272" s="75" t="inlineStr"/>
      <c r="W272" s="10" t="n"/>
      <c r="X272" s="10" t="inlineStr"/>
      <c r="Y272" s="64">
        <f>IF($M272="","",IF(SUMPRODUCT(($D$4:$D$863=$D272)*($M$4:$M$863=$M272)*($T$4:$T$863&lt;&gt;$T272)*($F$4:$F$863&lt;$G272)*($G$4:$G$863&gt;$F272))&gt;0,"⚠ CONFLIT",""))</f>
        <v/>
      </c>
      <c r="Z272" s="64">
        <f>IF($J272="","",IF(SUMPRODUCT(($D$4:$D$863=$D272)*($J$4:$J$863=$J272)*($T$4:$T$863&lt;&gt;$T272)*($F$4:$F$863&lt;$G272)*($G$4:$G$863&gt;$F272)*(1-($X$4:$X$863="Oui")*($X272="Oui")))&gt;0,"⚠ CONFLIT",""))</f>
        <v/>
      </c>
      <c r="AA272" s="64">
        <f>IF(COUNTIFS($D$4:$D$863,$D272,$J$4:$J$863,$J272,$F$4:$F$863,$F272,$K$4:$K$863,$K272)&gt;1,"⚠ DOUBLON","")</f>
        <v/>
      </c>
      <c r="AB272" s="64">
        <f>IF(COUNTIF($T$4:$T$863,$T272)&lt;&gt;COUNTIFS($T$4:$T$863,$T272,$D$4:$D$863,$D272,$F$4:$F$863,$F272,$G$4:$G$863,$G272,$K$4:$K$863,$K272,$M$4:$M$863,$M272),"⚠ INCOHÉRENT","")</f>
        <v/>
      </c>
      <c r="AC272" s="64">
        <f>COUNTIFS($A$4:$A272,$A272,$J$4:$J272,$J272,$E$4:$E272,$E272)</f>
        <v/>
      </c>
      <c r="AD272" s="65">
        <f>$A272&amp;"|"&amp;$J272&amp;"|"&amp;$E272&amp;"|"&amp;$AC272</f>
        <v/>
      </c>
      <c r="AE272" s="66">
        <f>IF($W272&lt;&gt;"","⚑ "&amp;$W272&amp;CHAR(10),"")&amp;TEXT($F272,"hh:mm")&amp;"-"&amp;TEXT($G272,"hh:mm")&amp;IF(OR($P272="Quinzaine A",AND($P272="Hebdo · groupes alternés",$C272="A"))," Q-A",IF(OR($P272="Quinzaine B",AND($P272="Hebdo · groupes alternés",$C272="B"))," Q-B",IF($P272="Exception"," PONCT.","")))&amp;IF($X272="Oui"," OPT","")&amp;CHAR(10)&amp;$K272&amp;CHAR(10)&amp;$M272&amp;IF($N272&lt;&gt;"",CHAR(10)&amp;"Salle "&amp;$N272,"")&amp;IF($O272="En ligne",CHAR(10)&amp;"EN LIGNE","")&amp;IF($V272&lt;&gt;"",CHAR(10)&amp;$V272,"")</f>
        <v/>
      </c>
      <c r="AF272" s="65" t="inlineStr">
        <is>
          <t>19h15-20h45 Anglais /par quinzaine (Imen Bennour)</t>
        </is>
      </c>
      <c r="AG272" s="65" t="inlineStr">
        <is>
          <t>du 28-09 jusquà le 04-10!H56</t>
        </is>
      </c>
    </row>
    <row r="273" ht="15" customHeight="1">
      <c r="A273" s="81" t="inlineStr">
        <is>
          <t>S3</t>
        </is>
      </c>
      <c r="B273" s="82" t="inlineStr">
        <is>
          <t>du 28 septembre au 4 octobre 2026</t>
        </is>
      </c>
      <c r="C273" s="81" t="inlineStr">
        <is>
          <t>A</t>
        </is>
      </c>
      <c r="D273" s="83" t="n">
        <v>46294</v>
      </c>
      <c r="E273" s="81" t="inlineStr">
        <is>
          <t>Mardi</t>
        </is>
      </c>
      <c r="F273" s="84" t="n">
        <v>0.8020833333333334</v>
      </c>
      <c r="G273" s="84" t="n">
        <v>0.8645833333333334</v>
      </c>
      <c r="H273" s="85">
        <f>IF(OR($F273="",$G273=""),"",($G273-$F273)*24)</f>
        <v/>
      </c>
      <c r="I273" s="81" t="inlineStr">
        <is>
          <t>Bac</t>
        </is>
      </c>
      <c r="J273" s="82" t="inlineStr">
        <is>
          <t>Bac Eco</t>
        </is>
      </c>
      <c r="K273" s="89" t="inlineStr">
        <is>
          <t>Espagnol</t>
        </is>
      </c>
      <c r="L273" s="89" t="inlineStr">
        <is>
          <t>Espagnol</t>
        </is>
      </c>
      <c r="M273" s="82" t="inlineStr">
        <is>
          <t>Imen</t>
        </is>
      </c>
      <c r="N273" s="81" t="n"/>
      <c r="O273" s="81" t="n"/>
      <c r="P273" s="81" t="inlineStr">
        <is>
          <t>Hebdo · groupes alternés</t>
        </is>
      </c>
      <c r="Q273" s="82" t="inlineStr">
        <is>
          <t>Bac Eco + Bac SCE</t>
        </is>
      </c>
      <c r="R273" s="81" t="n">
        <v>2</v>
      </c>
      <c r="S273" s="81" t="inlineStr">
        <is>
          <t>Oui</t>
        </is>
      </c>
      <c r="T273" s="81" t="inlineStr">
        <is>
          <t>S3-020</t>
        </is>
      </c>
      <c r="U273" s="82" t="inlineStr">
        <is>
          <t>Original (septembre)</t>
        </is>
      </c>
      <c r="V273" s="82" t="inlineStr"/>
      <c r="W273" s="10" t="n"/>
      <c r="X273" s="10" t="inlineStr">
        <is>
          <t>Oui</t>
        </is>
      </c>
      <c r="Y273" s="64">
        <f>IF($M273="","",IF(SUMPRODUCT(($D$4:$D$863=$D273)*($M$4:$M$863=$M273)*($T$4:$T$863&lt;&gt;$T273)*($F$4:$F$863&lt;$G273)*($G$4:$G$863&gt;$F273))&gt;0,"⚠ CONFLIT",""))</f>
        <v/>
      </c>
      <c r="Z273" s="64">
        <f>IF($J273="","",IF(SUMPRODUCT(($D$4:$D$863=$D273)*($J$4:$J$863=$J273)*($T$4:$T$863&lt;&gt;$T273)*($F$4:$F$863&lt;$G273)*($G$4:$G$863&gt;$F273)*(1-($X$4:$X$863="Oui")*($X273="Oui")))&gt;0,"⚠ CONFLIT",""))</f>
        <v/>
      </c>
      <c r="AA273" s="64">
        <f>IF(COUNTIFS($D$4:$D$863,$D273,$J$4:$J$863,$J273,$F$4:$F$863,$F273,$K$4:$K$863,$K273)&gt;1,"⚠ DOUBLON","")</f>
        <v/>
      </c>
      <c r="AB273" s="64">
        <f>IF(COUNTIF($T$4:$T$863,$T273)&lt;&gt;COUNTIFS($T$4:$T$863,$T273,$D$4:$D$863,$D273,$F$4:$F$863,$F273,$G$4:$G$863,$G273,$K$4:$K$863,$K273,$M$4:$M$863,$M273),"⚠ INCOHÉRENT","")</f>
        <v/>
      </c>
      <c r="AC273" s="64">
        <f>COUNTIFS($A$4:$A273,$A273,$J$4:$J273,$J273,$E$4:$E273,$E273)</f>
        <v/>
      </c>
      <c r="AD273" s="65">
        <f>$A273&amp;"|"&amp;$J273&amp;"|"&amp;$E273&amp;"|"&amp;$AC273</f>
        <v/>
      </c>
      <c r="AE273" s="66">
        <f>IF($W273&lt;&gt;"","⚑ "&amp;$W273&amp;CHAR(10),"")&amp;TEXT($F273,"hh:mm")&amp;"-"&amp;TEXT($G273,"hh:mm")&amp;IF(OR($P273="Quinzaine A",AND($P273="Hebdo · groupes alternés",$C273="A"))," Q-A",IF(OR($P273="Quinzaine B",AND($P273="Hebdo · groupes alternés",$C273="B"))," Q-B",IF($P273="Exception"," PONCT.","")))&amp;IF($X273="Oui"," OPT","")&amp;CHAR(10)&amp;$K273&amp;CHAR(10)&amp;$M273&amp;IF($N273&lt;&gt;"",CHAR(10)&amp;"Salle "&amp;$N273,"")&amp;IF($O273="En ligne",CHAR(10)&amp;"EN LIGNE","")&amp;IF($V273&lt;&gt;"",CHAR(10)&amp;$V273,"")</f>
        <v/>
      </c>
      <c r="AF273" s="65" t="inlineStr">
        <is>
          <t>19h15-20h45 Espagnol (Imen)</t>
        </is>
      </c>
      <c r="AG273" s="65" t="inlineStr">
        <is>
          <t>du 28-09 jusquà le 04-10!H69</t>
        </is>
      </c>
    </row>
    <row r="274" ht="15" customHeight="1">
      <c r="A274" s="81" t="inlineStr">
        <is>
          <t>S3</t>
        </is>
      </c>
      <c r="B274" s="82" t="inlineStr">
        <is>
          <t>du 28 septembre au 4 octobre 2026</t>
        </is>
      </c>
      <c r="C274" s="81" t="inlineStr">
        <is>
          <t>A</t>
        </is>
      </c>
      <c r="D274" s="83" t="n">
        <v>46294</v>
      </c>
      <c r="E274" s="81" t="inlineStr">
        <is>
          <t>Mardi</t>
        </is>
      </c>
      <c r="F274" s="84" t="n">
        <v>0.8020833333333334</v>
      </c>
      <c r="G274" s="84" t="n">
        <v>0.8645833333333334</v>
      </c>
      <c r="H274" s="85">
        <f>IF(OR($F274="",$G274=""),"",($G274-$F274)*24)</f>
        <v/>
      </c>
      <c r="I274" s="81" t="inlineStr">
        <is>
          <t>Bac</t>
        </is>
      </c>
      <c r="J274" s="82" t="inlineStr">
        <is>
          <t>Bac SCE</t>
        </is>
      </c>
      <c r="K274" s="89" t="inlineStr">
        <is>
          <t>Espagnol</t>
        </is>
      </c>
      <c r="L274" s="89" t="inlineStr">
        <is>
          <t>Espagnol</t>
        </is>
      </c>
      <c r="M274" s="82" t="inlineStr">
        <is>
          <t>Imen</t>
        </is>
      </c>
      <c r="N274" s="81" t="n"/>
      <c r="O274" s="81" t="n"/>
      <c r="P274" s="81" t="inlineStr">
        <is>
          <t>Hebdo · groupes alternés</t>
        </is>
      </c>
      <c r="Q274" s="82" t="inlineStr">
        <is>
          <t>Bac Eco + Bac SCE</t>
        </is>
      </c>
      <c r="R274" s="81" t="n">
        <v>2</v>
      </c>
      <c r="S274" s="81" t="inlineStr"/>
      <c r="T274" s="81" t="inlineStr">
        <is>
          <t>S3-020</t>
        </is>
      </c>
      <c r="U274" s="82" t="inlineStr">
        <is>
          <t>Original (septembre)</t>
        </is>
      </c>
      <c r="V274" s="82" t="inlineStr"/>
      <c r="W274" s="10" t="n"/>
      <c r="X274" s="10" t="inlineStr">
        <is>
          <t>Oui</t>
        </is>
      </c>
      <c r="Y274" s="64">
        <f>IF($M274="","",IF(SUMPRODUCT(($D$4:$D$863=$D274)*($M$4:$M$863=$M274)*($T$4:$T$863&lt;&gt;$T274)*($F$4:$F$863&lt;$G274)*($G$4:$G$863&gt;$F274))&gt;0,"⚠ CONFLIT",""))</f>
        <v/>
      </c>
      <c r="Z274" s="64">
        <f>IF($J274="","",IF(SUMPRODUCT(($D$4:$D$863=$D274)*($J$4:$J$863=$J274)*($T$4:$T$863&lt;&gt;$T274)*($F$4:$F$863&lt;$G274)*($G$4:$G$863&gt;$F274)*(1-($X$4:$X$863="Oui")*($X274="Oui")))&gt;0,"⚠ CONFLIT",""))</f>
        <v/>
      </c>
      <c r="AA274" s="64">
        <f>IF(COUNTIFS($D$4:$D$863,$D274,$J$4:$J$863,$J274,$F$4:$F$863,$F274,$K$4:$K$863,$K274)&gt;1,"⚠ DOUBLON","")</f>
        <v/>
      </c>
      <c r="AB274" s="64">
        <f>IF(COUNTIF($T$4:$T$863,$T274)&lt;&gt;COUNTIFS($T$4:$T$863,$T274,$D$4:$D$863,$D274,$F$4:$F$863,$F274,$G$4:$G$863,$G274,$K$4:$K$863,$K274,$M$4:$M$863,$M274),"⚠ INCOHÉRENT","")</f>
        <v/>
      </c>
      <c r="AC274" s="64">
        <f>COUNTIFS($A$4:$A274,$A274,$J$4:$J274,$J274,$E$4:$E274,$E274)</f>
        <v/>
      </c>
      <c r="AD274" s="65">
        <f>$A274&amp;"|"&amp;$J274&amp;"|"&amp;$E274&amp;"|"&amp;$AC274</f>
        <v/>
      </c>
      <c r="AE274" s="66">
        <f>IF($W274&lt;&gt;"","⚑ "&amp;$W274&amp;CHAR(10),"")&amp;TEXT($F274,"hh:mm")&amp;"-"&amp;TEXT($G274,"hh:mm")&amp;IF(OR($P274="Quinzaine A",AND($P274="Hebdo · groupes alternés",$C274="A"))," Q-A",IF(OR($P274="Quinzaine B",AND($P274="Hebdo · groupes alternés",$C274="B"))," Q-B",IF($P274="Exception"," PONCT.","")))&amp;IF($X274="Oui"," OPT","")&amp;CHAR(10)&amp;$K274&amp;CHAR(10)&amp;$M274&amp;IF($N274&lt;&gt;"",CHAR(10)&amp;"Salle "&amp;$N274,"")&amp;IF($O274="En ligne",CHAR(10)&amp;"EN LIGNE","")&amp;IF($V274&lt;&gt;"",CHAR(10)&amp;$V274,"")</f>
        <v/>
      </c>
      <c r="AF274" s="65" t="inlineStr">
        <is>
          <t>19h15-20h45 Espagnol (Imen)</t>
        </is>
      </c>
      <c r="AG274" s="65" t="inlineStr">
        <is>
          <t>du 28-09 jusquà le 04-10!H69</t>
        </is>
      </c>
    </row>
    <row r="275" ht="15" customHeight="1">
      <c r="A275" s="81" t="inlineStr">
        <is>
          <t>S3</t>
        </is>
      </c>
      <c r="B275" s="82" t="inlineStr">
        <is>
          <t>du 28 septembre au 4 octobre 2026</t>
        </is>
      </c>
      <c r="C275" s="81" t="inlineStr">
        <is>
          <t>A</t>
        </is>
      </c>
      <c r="D275" s="83" t="n">
        <v>46294</v>
      </c>
      <c r="E275" s="81" t="inlineStr">
        <is>
          <t>Mardi</t>
        </is>
      </c>
      <c r="F275" s="84" t="n">
        <v>0.8020833333333334</v>
      </c>
      <c r="G275" s="84" t="n">
        <v>0.8645833333333334</v>
      </c>
      <c r="H275" s="85">
        <f>IF(OR($F275="",$G275=""),"",($G275-$F275)*24)</f>
        <v/>
      </c>
      <c r="I275" s="81" t="inlineStr">
        <is>
          <t>Bac</t>
        </is>
      </c>
      <c r="J275" s="82" t="inlineStr">
        <is>
          <t>Bac SCE</t>
        </is>
      </c>
      <c r="K275" s="90" t="inlineStr">
        <is>
          <t>Italien</t>
        </is>
      </c>
      <c r="L275" s="90" t="inlineStr">
        <is>
          <t>Italien</t>
        </is>
      </c>
      <c r="M275" s="82" t="inlineStr">
        <is>
          <t>Amel</t>
        </is>
      </c>
      <c r="N275" s="81" t="n"/>
      <c r="O275" s="81" t="n"/>
      <c r="P275" s="81" t="inlineStr">
        <is>
          <t>Hebdo · groupes alternés</t>
        </is>
      </c>
      <c r="Q275" s="82" t="inlineStr">
        <is>
          <t>Bac SCE + Bac INFO</t>
        </is>
      </c>
      <c r="R275" s="81" t="n">
        <v>2</v>
      </c>
      <c r="S275" s="81" t="inlineStr">
        <is>
          <t>Oui</t>
        </is>
      </c>
      <c r="T275" s="81" t="inlineStr">
        <is>
          <t>S3-021</t>
        </is>
      </c>
      <c r="U275" s="82" t="inlineStr">
        <is>
          <t>Original (septembre)</t>
        </is>
      </c>
      <c r="V275" s="82" t="inlineStr"/>
      <c r="W275" s="10" t="n"/>
      <c r="X275" s="10" t="inlineStr">
        <is>
          <t>Oui</t>
        </is>
      </c>
      <c r="Y275" s="64">
        <f>IF($M275="","",IF(SUMPRODUCT(($D$4:$D$863=$D275)*($M$4:$M$863=$M275)*($T$4:$T$863&lt;&gt;$T275)*($F$4:$F$863&lt;$G275)*($G$4:$G$863&gt;$F275))&gt;0,"⚠ CONFLIT",""))</f>
        <v/>
      </c>
      <c r="Z275" s="64">
        <f>IF($J275="","",IF(SUMPRODUCT(($D$4:$D$863=$D275)*($J$4:$J$863=$J275)*($T$4:$T$863&lt;&gt;$T275)*($F$4:$F$863&lt;$G275)*($G$4:$G$863&gt;$F275)*(1-($X$4:$X$863="Oui")*($X275="Oui")))&gt;0,"⚠ CONFLIT",""))</f>
        <v/>
      </c>
      <c r="AA275" s="64">
        <f>IF(COUNTIFS($D$4:$D$863,$D275,$J$4:$J$863,$J275,$F$4:$F$863,$F275,$K$4:$K$863,$K275)&gt;1,"⚠ DOUBLON","")</f>
        <v/>
      </c>
      <c r="AB275" s="64">
        <f>IF(COUNTIF($T$4:$T$863,$T275)&lt;&gt;COUNTIFS($T$4:$T$863,$T275,$D$4:$D$863,$D275,$F$4:$F$863,$F275,$G$4:$G$863,$G275,$K$4:$K$863,$K275,$M$4:$M$863,$M275),"⚠ INCOHÉRENT","")</f>
        <v/>
      </c>
      <c r="AC275" s="64">
        <f>COUNTIFS($A$4:$A275,$A275,$J$4:$J275,$J275,$E$4:$E275,$E275)</f>
        <v/>
      </c>
      <c r="AD275" s="65">
        <f>$A275&amp;"|"&amp;$J275&amp;"|"&amp;$E275&amp;"|"&amp;$AC275</f>
        <v/>
      </c>
      <c r="AE275" s="66">
        <f>IF($W275&lt;&gt;"","⚑ "&amp;$W275&amp;CHAR(10),"")&amp;TEXT($F275,"hh:mm")&amp;"-"&amp;TEXT($G275,"hh:mm")&amp;IF(OR($P275="Quinzaine A",AND($P275="Hebdo · groupes alternés",$C275="A"))," Q-A",IF(OR($P275="Quinzaine B",AND($P275="Hebdo · groupes alternés",$C275="B"))," Q-B",IF($P275="Exception"," PONCT.","")))&amp;IF($X275="Oui"," OPT","")&amp;CHAR(10)&amp;$K275&amp;CHAR(10)&amp;$M275&amp;IF($N275&lt;&gt;"",CHAR(10)&amp;"Salle "&amp;$N275,"")&amp;IF($O275="En ligne",CHAR(10)&amp;"EN LIGNE","")&amp;IF($V275&lt;&gt;"",CHAR(10)&amp;$V275,"")</f>
        <v/>
      </c>
      <c r="AF275" s="65" t="inlineStr">
        <is>
          <t>19h15-20h45 Italien (Amel)</t>
        </is>
      </c>
      <c r="AG275" s="65" t="inlineStr">
        <is>
          <t>du 28-09 jusquà le 04-10!H77</t>
        </is>
      </c>
    </row>
    <row r="276" ht="15" customHeight="1">
      <c r="A276" s="81" t="inlineStr">
        <is>
          <t>S3</t>
        </is>
      </c>
      <c r="B276" s="82" t="inlineStr">
        <is>
          <t>du 28 septembre au 4 octobre 2026</t>
        </is>
      </c>
      <c r="C276" s="81" t="inlineStr">
        <is>
          <t>A</t>
        </is>
      </c>
      <c r="D276" s="83" t="n">
        <v>46294</v>
      </c>
      <c r="E276" s="81" t="inlineStr">
        <is>
          <t>Mardi</t>
        </is>
      </c>
      <c r="F276" s="84" t="n">
        <v>0.8020833333333334</v>
      </c>
      <c r="G276" s="84" t="n">
        <v>0.8645833333333334</v>
      </c>
      <c r="H276" s="85">
        <f>IF(OR($F276="",$G276=""),"",($G276-$F276)*24)</f>
        <v/>
      </c>
      <c r="I276" s="81" t="inlineStr">
        <is>
          <t>Bac</t>
        </is>
      </c>
      <c r="J276" s="82" t="inlineStr">
        <is>
          <t>Bac INFO</t>
        </is>
      </c>
      <c r="K276" s="90" t="inlineStr">
        <is>
          <t>Italien</t>
        </is>
      </c>
      <c r="L276" s="90" t="inlineStr">
        <is>
          <t>Italien</t>
        </is>
      </c>
      <c r="M276" s="82" t="inlineStr">
        <is>
          <t>Amel</t>
        </is>
      </c>
      <c r="N276" s="81" t="n"/>
      <c r="O276" s="81" t="n"/>
      <c r="P276" s="81" t="inlineStr">
        <is>
          <t>Hebdo · groupes alternés</t>
        </is>
      </c>
      <c r="Q276" s="82" t="inlineStr">
        <is>
          <t>Bac SCE + Bac INFO</t>
        </is>
      </c>
      <c r="R276" s="81" t="n">
        <v>2</v>
      </c>
      <c r="S276" s="81" t="inlineStr"/>
      <c r="T276" s="81" t="inlineStr">
        <is>
          <t>S3-021</t>
        </is>
      </c>
      <c r="U276" s="82" t="inlineStr">
        <is>
          <t>Original (septembre)</t>
        </is>
      </c>
      <c r="V276" s="82" t="inlineStr"/>
      <c r="W276" s="10" t="n"/>
      <c r="X276" s="10" t="inlineStr">
        <is>
          <t>Oui</t>
        </is>
      </c>
      <c r="Y276" s="64">
        <f>IF($M276="","",IF(SUMPRODUCT(($D$4:$D$863=$D276)*($M$4:$M$863=$M276)*($T$4:$T$863&lt;&gt;$T276)*($F$4:$F$863&lt;$G276)*($G$4:$G$863&gt;$F276))&gt;0,"⚠ CONFLIT",""))</f>
        <v/>
      </c>
      <c r="Z276" s="64">
        <f>IF($J276="","",IF(SUMPRODUCT(($D$4:$D$863=$D276)*($J$4:$J$863=$J276)*($T$4:$T$863&lt;&gt;$T276)*($F$4:$F$863&lt;$G276)*($G$4:$G$863&gt;$F276)*(1-($X$4:$X$863="Oui")*($X276="Oui")))&gt;0,"⚠ CONFLIT",""))</f>
        <v/>
      </c>
      <c r="AA276" s="64">
        <f>IF(COUNTIFS($D$4:$D$863,$D276,$J$4:$J$863,$J276,$F$4:$F$863,$F276,$K$4:$K$863,$K276)&gt;1,"⚠ DOUBLON","")</f>
        <v/>
      </c>
      <c r="AB276" s="64">
        <f>IF(COUNTIF($T$4:$T$863,$T276)&lt;&gt;COUNTIFS($T$4:$T$863,$T276,$D$4:$D$863,$D276,$F$4:$F$863,$F276,$G$4:$G$863,$G276,$K$4:$K$863,$K276,$M$4:$M$863,$M276),"⚠ INCOHÉRENT","")</f>
        <v/>
      </c>
      <c r="AC276" s="64">
        <f>COUNTIFS($A$4:$A276,$A276,$J$4:$J276,$J276,$E$4:$E276,$E276)</f>
        <v/>
      </c>
      <c r="AD276" s="65">
        <f>$A276&amp;"|"&amp;$J276&amp;"|"&amp;$E276&amp;"|"&amp;$AC276</f>
        <v/>
      </c>
      <c r="AE276" s="66">
        <f>IF($W276&lt;&gt;"","⚑ "&amp;$W276&amp;CHAR(10),"")&amp;TEXT($F276,"hh:mm")&amp;"-"&amp;TEXT($G276,"hh:mm")&amp;IF(OR($P276="Quinzaine A",AND($P276="Hebdo · groupes alternés",$C276="A"))," Q-A",IF(OR($P276="Quinzaine B",AND($P276="Hebdo · groupes alternés",$C276="B"))," Q-B",IF($P276="Exception"," PONCT.","")))&amp;IF($X276="Oui"," OPT","")&amp;CHAR(10)&amp;$K276&amp;CHAR(10)&amp;$M276&amp;IF($N276&lt;&gt;"",CHAR(10)&amp;"Salle "&amp;$N276,"")&amp;IF($O276="En ligne",CHAR(10)&amp;"EN LIGNE","")&amp;IF($V276&lt;&gt;"",CHAR(10)&amp;$V276,"")</f>
        <v/>
      </c>
      <c r="AF276" s="65" t="inlineStr">
        <is>
          <t>19h15-20h45 Italien (Amel)</t>
        </is>
      </c>
      <c r="AG276" s="65" t="inlineStr">
        <is>
          <t>du 28-09 jusquà le 04-10!H77</t>
        </is>
      </c>
    </row>
    <row r="277" ht="15" customHeight="1">
      <c r="A277" s="58" t="inlineStr">
        <is>
          <t>S3</t>
        </is>
      </c>
      <c r="B277" s="59" t="inlineStr">
        <is>
          <t>du 28 septembre au 4 octobre 2026</t>
        </is>
      </c>
      <c r="C277" s="58" t="inlineStr">
        <is>
          <t>A</t>
        </is>
      </c>
      <c r="D277" s="60" t="n">
        <v>46295</v>
      </c>
      <c r="E277" s="58" t="inlineStr">
        <is>
          <t>Mercredi</t>
        </is>
      </c>
      <c r="F277" s="61" t="n">
        <v>0.7916666666666666</v>
      </c>
      <c r="G277" s="61" t="n">
        <v>0.875</v>
      </c>
      <c r="H277" s="62">
        <f>IF(OR($F277="",$G277=""),"",($G277-$F277)*24)</f>
        <v/>
      </c>
      <c r="I277" s="58" t="inlineStr">
        <is>
          <t>Primaire</t>
        </is>
      </c>
      <c r="J277" s="59" t="inlineStr">
        <is>
          <t>4éme</t>
        </is>
      </c>
      <c r="K277" s="79" t="inlineStr">
        <is>
          <t>رياضيات</t>
        </is>
      </c>
      <c r="L277" s="79" t="inlineStr">
        <is>
          <t>Math</t>
        </is>
      </c>
      <c r="M277" s="59" t="inlineStr">
        <is>
          <t>Bassma</t>
        </is>
      </c>
      <c r="N277" s="58" t="n"/>
      <c r="O277" s="58" t="n"/>
      <c r="P277" s="58" t="inlineStr">
        <is>
          <t>Hebdomadaire</t>
        </is>
      </c>
      <c r="Q277" s="59" t="inlineStr"/>
      <c r="R277" s="58" t="n">
        <v>1</v>
      </c>
      <c r="S277" s="58" t="inlineStr">
        <is>
          <t>Oui</t>
        </is>
      </c>
      <c r="T277" s="58" t="inlineStr">
        <is>
          <t>S3-022</t>
        </is>
      </c>
      <c r="U277" s="59" t="inlineStr">
        <is>
          <t>Original (septembre)</t>
        </is>
      </c>
      <c r="V277" s="59" t="inlineStr"/>
      <c r="W277" s="10" t="n"/>
      <c r="X277" s="10" t="inlineStr"/>
      <c r="Y277" s="64">
        <f>IF($M277="","",IF(SUMPRODUCT(($D$4:$D$863=$D277)*($M$4:$M$863=$M277)*($T$4:$T$863&lt;&gt;$T277)*($F$4:$F$863&lt;$G277)*($G$4:$G$863&gt;$F277))&gt;0,"⚠ CONFLIT",""))</f>
        <v/>
      </c>
      <c r="Z277" s="64">
        <f>IF($J277="","",IF(SUMPRODUCT(($D$4:$D$863=$D277)*($J$4:$J$863=$J277)*($T$4:$T$863&lt;&gt;$T277)*($F$4:$F$863&lt;$G277)*($G$4:$G$863&gt;$F277)*(1-($X$4:$X$863="Oui")*($X277="Oui")))&gt;0,"⚠ CONFLIT",""))</f>
        <v/>
      </c>
      <c r="AA277" s="64">
        <f>IF(COUNTIFS($D$4:$D$863,$D277,$J$4:$J$863,$J277,$F$4:$F$863,$F277,$K$4:$K$863,$K277)&gt;1,"⚠ DOUBLON","")</f>
        <v/>
      </c>
      <c r="AB277" s="64">
        <f>IF(COUNTIF($T$4:$T$863,$T277)&lt;&gt;COUNTIFS($T$4:$T$863,$T277,$D$4:$D$863,$D277,$F$4:$F$863,$F277,$G$4:$G$863,$G277,$K$4:$K$863,$K277,$M$4:$M$863,$M277),"⚠ INCOHÉRENT","")</f>
        <v/>
      </c>
      <c r="AC277" s="64">
        <f>COUNTIFS($A$4:$A277,$A277,$J$4:$J277,$J277,$E$4:$E277,$E277)</f>
        <v/>
      </c>
      <c r="AD277" s="65">
        <f>$A277&amp;"|"&amp;$J277&amp;"|"&amp;$E277&amp;"|"&amp;$AC277</f>
        <v/>
      </c>
      <c r="AE277" s="66">
        <f>IF($W277&lt;&gt;"","⚑ "&amp;$W277&amp;CHAR(10),"")&amp;TEXT($F277,"hh:mm")&amp;"-"&amp;TEXT($G277,"hh:mm")&amp;IF(OR($P277="Quinzaine A",AND($P277="Hebdo · groupes alternés",$C277="A"))," Q-A",IF(OR($P277="Quinzaine B",AND($P277="Hebdo · groupes alternés",$C277="B"))," Q-B",IF($P277="Exception"," PONCT.","")))&amp;IF($X277="Oui"," OPT","")&amp;CHAR(10)&amp;$K277&amp;CHAR(10)&amp;$M277&amp;IF($N277&lt;&gt;"",CHAR(10)&amp;"Salle "&amp;$N277,"")&amp;IF($O277="En ligne",CHAR(10)&amp;"EN LIGNE","")&amp;IF($V277&lt;&gt;"",CHAR(10)&amp;$V277,"")</f>
        <v/>
      </c>
      <c r="AF277" s="65" t="inlineStr">
        <is>
          <t>19h-21h رياضيات (Bassma)</t>
        </is>
      </c>
      <c r="AG277" s="65" t="inlineStr">
        <is>
          <t>du 28-09 jusquà le 04-10!I3</t>
        </is>
      </c>
    </row>
    <row r="278" ht="15" customHeight="1">
      <c r="A278" s="58" t="inlineStr">
        <is>
          <t>S3</t>
        </is>
      </c>
      <c r="B278" s="59" t="inlineStr">
        <is>
          <t>du 28 septembre au 4 octobre 2026</t>
        </is>
      </c>
      <c r="C278" s="58" t="inlineStr">
        <is>
          <t>A</t>
        </is>
      </c>
      <c r="D278" s="60" t="n">
        <v>46295</v>
      </c>
      <c r="E278" s="58" t="inlineStr">
        <is>
          <t>Mercredi</t>
        </is>
      </c>
      <c r="F278" s="61" t="n">
        <v>0.7916666666666666</v>
      </c>
      <c r="G278" s="61" t="n">
        <v>0.875</v>
      </c>
      <c r="H278" s="62">
        <f>IF(OR($F278="",$G278=""),"",($G278-$F278)*24)</f>
        <v/>
      </c>
      <c r="I278" s="58" t="inlineStr">
        <is>
          <t>Primaire</t>
        </is>
      </c>
      <c r="J278" s="59" t="inlineStr">
        <is>
          <t>6éme Pilote (A)</t>
        </is>
      </c>
      <c r="K278" s="79" t="inlineStr">
        <is>
          <t>رياضيات</t>
        </is>
      </c>
      <c r="L278" s="79" t="inlineStr">
        <is>
          <t>Math</t>
        </is>
      </c>
      <c r="M278" s="59" t="inlineStr">
        <is>
          <t>Noura</t>
        </is>
      </c>
      <c r="N278" s="58" t="n"/>
      <c r="O278" s="58" t="n"/>
      <c r="P278" s="58" t="inlineStr">
        <is>
          <t>Hebdomadaire</t>
        </is>
      </c>
      <c r="Q278" s="59" t="inlineStr"/>
      <c r="R278" s="58" t="n">
        <v>1</v>
      </c>
      <c r="S278" s="58" t="inlineStr">
        <is>
          <t>Oui</t>
        </is>
      </c>
      <c r="T278" s="58" t="inlineStr">
        <is>
          <t>S3-023</t>
        </is>
      </c>
      <c r="U278" s="59" t="inlineStr">
        <is>
          <t>Original (septembre)</t>
        </is>
      </c>
      <c r="V278" s="59" t="inlineStr"/>
      <c r="W278" s="10" t="n"/>
      <c r="X278" s="10" t="inlineStr"/>
      <c r="Y278" s="64">
        <f>IF($M278="","",IF(SUMPRODUCT(($D$4:$D$863=$D278)*($M$4:$M$863=$M278)*($T$4:$T$863&lt;&gt;$T278)*($F$4:$F$863&lt;$G278)*($G$4:$G$863&gt;$F278))&gt;0,"⚠ CONFLIT",""))</f>
        <v/>
      </c>
      <c r="Z278" s="64">
        <f>IF($J278="","",IF(SUMPRODUCT(($D$4:$D$863=$D278)*($J$4:$J$863=$J278)*($T$4:$T$863&lt;&gt;$T278)*($F$4:$F$863&lt;$G278)*($G$4:$G$863&gt;$F278)*(1-($X$4:$X$863="Oui")*($X278="Oui")))&gt;0,"⚠ CONFLIT",""))</f>
        <v/>
      </c>
      <c r="AA278" s="64">
        <f>IF(COUNTIFS($D$4:$D$863,$D278,$J$4:$J$863,$J278,$F$4:$F$863,$F278,$K$4:$K$863,$K278)&gt;1,"⚠ DOUBLON","")</f>
        <v/>
      </c>
      <c r="AB278" s="64">
        <f>IF(COUNTIF($T$4:$T$863,$T278)&lt;&gt;COUNTIFS($T$4:$T$863,$T278,$D$4:$D$863,$D278,$F$4:$F$863,$F278,$G$4:$G$863,$G278,$K$4:$K$863,$K278,$M$4:$M$863,$M278),"⚠ INCOHÉRENT","")</f>
        <v/>
      </c>
      <c r="AC278" s="64">
        <f>COUNTIFS($A$4:$A278,$A278,$J$4:$J278,$J278,$E$4:$E278,$E278)</f>
        <v/>
      </c>
      <c r="AD278" s="65">
        <f>$A278&amp;"|"&amp;$J278&amp;"|"&amp;$E278&amp;"|"&amp;$AC278</f>
        <v/>
      </c>
      <c r="AE278" s="66">
        <f>IF($W278&lt;&gt;"","⚑ "&amp;$W278&amp;CHAR(10),"")&amp;TEXT($F278,"hh:mm")&amp;"-"&amp;TEXT($G278,"hh:mm")&amp;IF(OR($P278="Quinzaine A",AND($P278="Hebdo · groupes alternés",$C278="A"))," Q-A",IF(OR($P278="Quinzaine B",AND($P278="Hebdo · groupes alternés",$C278="B"))," Q-B",IF($P278="Exception"," PONCT.","")))&amp;IF($X278="Oui"," OPT","")&amp;CHAR(10)&amp;$K278&amp;CHAR(10)&amp;$M278&amp;IF($N278&lt;&gt;"",CHAR(10)&amp;"Salle "&amp;$N278,"")&amp;IF($O278="En ligne",CHAR(10)&amp;"EN LIGNE","")&amp;IF($V278&lt;&gt;"",CHAR(10)&amp;$V278,"")</f>
        <v/>
      </c>
      <c r="AF278" s="65" t="inlineStr">
        <is>
          <t>19h-21h رياضيات (Noura)</t>
        </is>
      </c>
      <c r="AG278" s="65" t="inlineStr">
        <is>
          <t>du 28-09 jusquà le 04-10!I12</t>
        </is>
      </c>
    </row>
    <row r="279" ht="15" customHeight="1">
      <c r="A279" s="68" t="inlineStr">
        <is>
          <t>S3</t>
        </is>
      </c>
      <c r="B279" s="69" t="inlineStr">
        <is>
          <t>du 28 septembre au 4 octobre 2026</t>
        </is>
      </c>
      <c r="C279" s="68" t="inlineStr">
        <is>
          <t>A</t>
        </is>
      </c>
      <c r="D279" s="70" t="n">
        <v>46295</v>
      </c>
      <c r="E279" s="68" t="inlineStr">
        <is>
          <t>Mercredi</t>
        </is>
      </c>
      <c r="F279" s="71" t="n">
        <v>0.8125</v>
      </c>
      <c r="G279" s="71" t="n">
        <v>0.875</v>
      </c>
      <c r="H279" s="72">
        <f>IF(OR($F279="",$G279=""),"",($G279-$F279)*24)</f>
        <v/>
      </c>
      <c r="I279" s="68" t="inlineStr">
        <is>
          <t>Collège</t>
        </is>
      </c>
      <c r="J279" s="69" t="inlineStr">
        <is>
          <t>7éme (A)</t>
        </is>
      </c>
      <c r="K279" s="73" t="inlineStr">
        <is>
          <t>فيزياء</t>
        </is>
      </c>
      <c r="L279" s="73" t="inlineStr">
        <is>
          <t>Physique</t>
        </is>
      </c>
      <c r="M279" s="69" t="inlineStr">
        <is>
          <t>Melek</t>
        </is>
      </c>
      <c r="N279" s="68" t="n"/>
      <c r="O279" s="68" t="n"/>
      <c r="P279" s="68" t="inlineStr">
        <is>
          <t>Hebdomadaire</t>
        </is>
      </c>
      <c r="Q279" s="69" t="inlineStr">
        <is>
          <t>7éme (A) + 7éme (B)</t>
        </is>
      </c>
      <c r="R279" s="68" t="n">
        <v>2</v>
      </c>
      <c r="S279" s="68" t="inlineStr">
        <is>
          <t>Oui</t>
        </is>
      </c>
      <c r="T279" s="68" t="inlineStr">
        <is>
          <t>S3-024</t>
        </is>
      </c>
      <c r="U279" s="69" t="inlineStr">
        <is>
          <t>Original (septembre)</t>
        </is>
      </c>
      <c r="V279" s="69" t="inlineStr"/>
      <c r="W279" s="10" t="n"/>
      <c r="X279" s="10" t="inlineStr"/>
      <c r="Y279" s="64">
        <f>IF($M279="","",IF(SUMPRODUCT(($D$4:$D$863=$D279)*($M$4:$M$863=$M279)*($T$4:$T$863&lt;&gt;$T279)*($F$4:$F$863&lt;$G279)*($G$4:$G$863&gt;$F279))&gt;0,"⚠ CONFLIT",""))</f>
        <v/>
      </c>
      <c r="Z279" s="64">
        <f>IF($J279="","",IF(SUMPRODUCT(($D$4:$D$863=$D279)*($J$4:$J$863=$J279)*($T$4:$T$863&lt;&gt;$T279)*($F$4:$F$863&lt;$G279)*($G$4:$G$863&gt;$F279)*(1-($X$4:$X$863="Oui")*($X279="Oui")))&gt;0,"⚠ CONFLIT",""))</f>
        <v/>
      </c>
      <c r="AA279" s="64">
        <f>IF(COUNTIFS($D$4:$D$863,$D279,$J$4:$J$863,$J279,$F$4:$F$863,$F279,$K$4:$K$863,$K279)&gt;1,"⚠ DOUBLON","")</f>
        <v/>
      </c>
      <c r="AB279" s="64">
        <f>IF(COUNTIF($T$4:$T$863,$T279)&lt;&gt;COUNTIFS($T$4:$T$863,$T279,$D$4:$D$863,$D279,$F$4:$F$863,$F279,$G$4:$G$863,$G279,$K$4:$K$863,$K279,$M$4:$M$863,$M279),"⚠ INCOHÉRENT","")</f>
        <v/>
      </c>
      <c r="AC279" s="64">
        <f>COUNTIFS($A$4:$A279,$A279,$J$4:$J279,$J279,$E$4:$E279,$E279)</f>
        <v/>
      </c>
      <c r="AD279" s="65">
        <f>$A279&amp;"|"&amp;$J279&amp;"|"&amp;$E279&amp;"|"&amp;$AC279</f>
        <v/>
      </c>
      <c r="AE279" s="66">
        <f>IF($W279&lt;&gt;"","⚑ "&amp;$W279&amp;CHAR(10),"")&amp;TEXT($F279,"hh:mm")&amp;"-"&amp;TEXT($G279,"hh:mm")&amp;IF(OR($P279="Quinzaine A",AND($P279="Hebdo · groupes alternés",$C279="A"))," Q-A",IF(OR($P279="Quinzaine B",AND($P279="Hebdo · groupes alternés",$C279="B"))," Q-B",IF($P279="Exception"," PONCT.","")))&amp;IF($X279="Oui"," OPT","")&amp;CHAR(10)&amp;$K279&amp;CHAR(10)&amp;$M279&amp;IF($N279&lt;&gt;"",CHAR(10)&amp;"Salle "&amp;$N279,"")&amp;IF($O279="En ligne",CHAR(10)&amp;"EN LIGNE","")&amp;IF($V279&lt;&gt;"",CHAR(10)&amp;$V279,"")</f>
        <v/>
      </c>
      <c r="AF279" s="65" t="inlineStr">
        <is>
          <t>19h30-21h فيزياء /par quinzaine (Melek)</t>
        </is>
      </c>
      <c r="AG279" s="65" t="inlineStr">
        <is>
          <t>du 28-09 jusquà le 04-10!I19</t>
        </is>
      </c>
    </row>
    <row r="280" ht="15" customHeight="1">
      <c r="A280" s="68" t="inlineStr">
        <is>
          <t>S3</t>
        </is>
      </c>
      <c r="B280" s="69" t="inlineStr">
        <is>
          <t>du 28 septembre au 4 octobre 2026</t>
        </is>
      </c>
      <c r="C280" s="68" t="inlineStr">
        <is>
          <t>A</t>
        </is>
      </c>
      <c r="D280" s="70" t="n">
        <v>46295</v>
      </c>
      <c r="E280" s="68" t="inlineStr">
        <is>
          <t>Mercredi</t>
        </is>
      </c>
      <c r="F280" s="71" t="n">
        <v>0.8125</v>
      </c>
      <c r="G280" s="71" t="n">
        <v>0.875</v>
      </c>
      <c r="H280" s="72">
        <f>IF(OR($F280="",$G280=""),"",($G280-$F280)*24)</f>
        <v/>
      </c>
      <c r="I280" s="68" t="inlineStr">
        <is>
          <t>Collège</t>
        </is>
      </c>
      <c r="J280" s="69" t="inlineStr">
        <is>
          <t>7éme (B)</t>
        </is>
      </c>
      <c r="K280" s="73" t="inlineStr">
        <is>
          <t>فيزياء</t>
        </is>
      </c>
      <c r="L280" s="73" t="inlineStr">
        <is>
          <t>Physique</t>
        </is>
      </c>
      <c r="M280" s="69" t="inlineStr">
        <is>
          <t>Melek</t>
        </is>
      </c>
      <c r="N280" s="68" t="n"/>
      <c r="O280" s="68" t="n"/>
      <c r="P280" s="68" t="inlineStr">
        <is>
          <t>Hebdomadaire</t>
        </is>
      </c>
      <c r="Q280" s="69" t="inlineStr">
        <is>
          <t>7éme (A) + 7éme (B)</t>
        </is>
      </c>
      <c r="R280" s="68" t="n">
        <v>2</v>
      </c>
      <c r="S280" s="68" t="inlineStr"/>
      <c r="T280" s="68" t="inlineStr">
        <is>
          <t>S3-024</t>
        </is>
      </c>
      <c r="U280" s="69" t="inlineStr">
        <is>
          <t>Original (septembre)</t>
        </is>
      </c>
      <c r="V280" s="69" t="inlineStr"/>
      <c r="W280" s="10" t="n"/>
      <c r="X280" s="10" t="inlineStr"/>
      <c r="Y280" s="64">
        <f>IF($M280="","",IF(SUMPRODUCT(($D$4:$D$863=$D280)*($M$4:$M$863=$M280)*($T$4:$T$863&lt;&gt;$T280)*($F$4:$F$863&lt;$G280)*($G$4:$G$863&gt;$F280))&gt;0,"⚠ CONFLIT",""))</f>
        <v/>
      </c>
      <c r="Z280" s="64">
        <f>IF($J280="","",IF(SUMPRODUCT(($D$4:$D$863=$D280)*($J$4:$J$863=$J280)*($T$4:$T$863&lt;&gt;$T280)*($F$4:$F$863&lt;$G280)*($G$4:$G$863&gt;$F280)*(1-($X$4:$X$863="Oui")*($X280="Oui")))&gt;0,"⚠ CONFLIT",""))</f>
        <v/>
      </c>
      <c r="AA280" s="64">
        <f>IF(COUNTIFS($D$4:$D$863,$D280,$J$4:$J$863,$J280,$F$4:$F$863,$F280,$K$4:$K$863,$K280)&gt;1,"⚠ DOUBLON","")</f>
        <v/>
      </c>
      <c r="AB280" s="64">
        <f>IF(COUNTIF($T$4:$T$863,$T280)&lt;&gt;COUNTIFS($T$4:$T$863,$T280,$D$4:$D$863,$D280,$F$4:$F$863,$F280,$G$4:$G$863,$G280,$K$4:$K$863,$K280,$M$4:$M$863,$M280),"⚠ INCOHÉRENT","")</f>
        <v/>
      </c>
      <c r="AC280" s="64">
        <f>COUNTIFS($A$4:$A280,$A280,$J$4:$J280,$J280,$E$4:$E280,$E280)</f>
        <v/>
      </c>
      <c r="AD280" s="65">
        <f>$A280&amp;"|"&amp;$J280&amp;"|"&amp;$E280&amp;"|"&amp;$AC280</f>
        <v/>
      </c>
      <c r="AE280" s="66">
        <f>IF($W280&lt;&gt;"","⚑ "&amp;$W280&amp;CHAR(10),"")&amp;TEXT($F280,"hh:mm")&amp;"-"&amp;TEXT($G280,"hh:mm")&amp;IF(OR($P280="Quinzaine A",AND($P280="Hebdo · groupes alternés",$C280="A"))," Q-A",IF(OR($P280="Quinzaine B",AND($P280="Hebdo · groupes alternés",$C280="B"))," Q-B",IF($P280="Exception"," PONCT.","")))&amp;IF($X280="Oui"," OPT","")&amp;CHAR(10)&amp;$K280&amp;CHAR(10)&amp;$M280&amp;IF($N280&lt;&gt;"",CHAR(10)&amp;"Salle "&amp;$N280,"")&amp;IF($O280="En ligne",CHAR(10)&amp;"EN LIGNE","")&amp;IF($V280&lt;&gt;"",CHAR(10)&amp;$V280,"")</f>
        <v/>
      </c>
      <c r="AF280" s="65" t="inlineStr">
        <is>
          <t>19h30-21h فيزياء /par quinzaine (Melek)</t>
        </is>
      </c>
      <c r="AG280" s="65" t="inlineStr">
        <is>
          <t>du 28-09 jusquà le 04-10!I19</t>
        </is>
      </c>
    </row>
    <row r="281" ht="15" customHeight="1">
      <c r="A281" s="68" t="inlineStr">
        <is>
          <t>S3</t>
        </is>
      </c>
      <c r="B281" s="69" t="inlineStr">
        <is>
          <t>du 28 septembre au 4 octobre 2026</t>
        </is>
      </c>
      <c r="C281" s="68" t="inlineStr">
        <is>
          <t>A</t>
        </is>
      </c>
      <c r="D281" s="70" t="n">
        <v>46295</v>
      </c>
      <c r="E281" s="68" t="inlineStr">
        <is>
          <t>Mercredi</t>
        </is>
      </c>
      <c r="F281" s="71" t="n">
        <v>0.7916666666666666</v>
      </c>
      <c r="G281" s="71" t="n">
        <v>0.8541666666666666</v>
      </c>
      <c r="H281" s="72">
        <f>IF(OR($F281="",$G281=""),"",($G281-$F281)*24)</f>
        <v/>
      </c>
      <c r="I281" s="68" t="inlineStr">
        <is>
          <t>Collège</t>
        </is>
      </c>
      <c r="J281" s="69" t="inlineStr">
        <is>
          <t>8éme (A)</t>
        </is>
      </c>
      <c r="K281" s="63" t="inlineStr">
        <is>
          <t>Arabe</t>
        </is>
      </c>
      <c r="L281" s="63" t="inlineStr">
        <is>
          <t>Arabe</t>
        </is>
      </c>
      <c r="M281" s="69" t="inlineStr">
        <is>
          <t>Awatef</t>
        </is>
      </c>
      <c r="N281" s="68" t="n"/>
      <c r="O281" s="68" t="n"/>
      <c r="P281" s="68" t="inlineStr">
        <is>
          <t>Hebdomadaire</t>
        </is>
      </c>
      <c r="Q281" s="69" t="inlineStr"/>
      <c r="R281" s="68" t="n">
        <v>1</v>
      </c>
      <c r="S281" s="68" t="inlineStr">
        <is>
          <t>Oui</t>
        </is>
      </c>
      <c r="T281" s="68" t="inlineStr">
        <is>
          <t>S3-025</t>
        </is>
      </c>
      <c r="U281" s="69" t="inlineStr">
        <is>
          <t>Original (septembre)</t>
        </is>
      </c>
      <c r="V281" s="69" t="inlineStr"/>
      <c r="W281" s="10" t="n"/>
      <c r="X281" s="10" t="inlineStr"/>
      <c r="Y281" s="64">
        <f>IF($M281="","",IF(SUMPRODUCT(($D$4:$D$863=$D281)*($M$4:$M$863=$M281)*($T$4:$T$863&lt;&gt;$T281)*($F$4:$F$863&lt;$G281)*($G$4:$G$863&gt;$F281))&gt;0,"⚠ CONFLIT",""))</f>
        <v/>
      </c>
      <c r="Z281" s="64">
        <f>IF($J281="","",IF(SUMPRODUCT(($D$4:$D$863=$D281)*($J$4:$J$863=$J281)*($T$4:$T$863&lt;&gt;$T281)*($F$4:$F$863&lt;$G281)*($G$4:$G$863&gt;$F281)*(1-($X$4:$X$863="Oui")*($X281="Oui")))&gt;0,"⚠ CONFLIT",""))</f>
        <v/>
      </c>
      <c r="AA281" s="64">
        <f>IF(COUNTIFS($D$4:$D$863,$D281,$J$4:$J$863,$J281,$F$4:$F$863,$F281,$K$4:$K$863,$K281)&gt;1,"⚠ DOUBLON","")</f>
        <v/>
      </c>
      <c r="AB281" s="64">
        <f>IF(COUNTIF($T$4:$T$863,$T281)&lt;&gt;COUNTIFS($T$4:$T$863,$T281,$D$4:$D$863,$D281,$F$4:$F$863,$F281,$G$4:$G$863,$G281,$K$4:$K$863,$K281,$M$4:$M$863,$M281),"⚠ INCOHÉRENT","")</f>
        <v/>
      </c>
      <c r="AC281" s="64">
        <f>COUNTIFS($A$4:$A281,$A281,$J$4:$J281,$J281,$E$4:$E281,$E281)</f>
        <v/>
      </c>
      <c r="AD281" s="65">
        <f>$A281&amp;"|"&amp;$J281&amp;"|"&amp;$E281&amp;"|"&amp;$AC281</f>
        <v/>
      </c>
      <c r="AE281" s="66">
        <f>IF($W281&lt;&gt;"","⚑ "&amp;$W281&amp;CHAR(10),"")&amp;TEXT($F281,"hh:mm")&amp;"-"&amp;TEXT($G281,"hh:mm")&amp;IF(OR($P281="Quinzaine A",AND($P281="Hebdo · groupes alternés",$C281="A"))," Q-A",IF(OR($P281="Quinzaine B",AND($P281="Hebdo · groupes alternés",$C281="B"))," Q-B",IF($P281="Exception"," PONCT.","")))&amp;IF($X281="Oui"," OPT","")&amp;CHAR(10)&amp;$K281&amp;CHAR(10)&amp;$M281&amp;IF($N281&lt;&gt;"",CHAR(10)&amp;"Salle "&amp;$N281,"")&amp;IF($O281="En ligne",CHAR(10)&amp;"EN LIGNE","")&amp;IF($V281&lt;&gt;"",CHAR(10)&amp;$V281,"")</f>
        <v/>
      </c>
      <c r="AF281" s="65" t="inlineStr">
        <is>
          <t>19h-20h30 Arabe (Awatef)</t>
        </is>
      </c>
      <c r="AG281" s="65" t="inlineStr">
        <is>
          <t>du 28-09 jusquà le 04-10!I27</t>
        </is>
      </c>
    </row>
    <row r="282" ht="15" customHeight="1">
      <c r="A282" s="68" t="inlineStr">
        <is>
          <t>S3</t>
        </is>
      </c>
      <c r="B282" s="69" t="inlineStr">
        <is>
          <t>du 28 septembre au 4 octobre 2026</t>
        </is>
      </c>
      <c r="C282" s="68" t="inlineStr">
        <is>
          <t>A</t>
        </is>
      </c>
      <c r="D282" s="70" t="n">
        <v>46295</v>
      </c>
      <c r="E282" s="68" t="inlineStr">
        <is>
          <t>Mercredi</t>
        </is>
      </c>
      <c r="F282" s="71" t="n">
        <v>0.8020833333333334</v>
      </c>
      <c r="G282" s="71" t="n">
        <v>0.8645833333333334</v>
      </c>
      <c r="H282" s="72">
        <f>IF(OR($F282="",$G282=""),"",($G282-$F282)*24)</f>
        <v/>
      </c>
      <c r="I282" s="68" t="inlineStr">
        <is>
          <t>Collège</t>
        </is>
      </c>
      <c r="J282" s="69" t="inlineStr">
        <is>
          <t>8éme (B)</t>
        </is>
      </c>
      <c r="K282" s="79" t="inlineStr">
        <is>
          <t>Math</t>
        </is>
      </c>
      <c r="L282" s="79" t="inlineStr">
        <is>
          <t>Math</t>
        </is>
      </c>
      <c r="M282" s="69" t="inlineStr">
        <is>
          <t>Khouloud</t>
        </is>
      </c>
      <c r="N282" s="68" t="n"/>
      <c r="O282" s="68" t="n"/>
      <c r="P282" s="68" t="inlineStr">
        <is>
          <t>Hebdomadaire</t>
        </is>
      </c>
      <c r="Q282" s="69" t="inlineStr"/>
      <c r="R282" s="68" t="n">
        <v>1</v>
      </c>
      <c r="S282" s="68" t="inlineStr">
        <is>
          <t>Oui</t>
        </is>
      </c>
      <c r="T282" s="68" t="inlineStr">
        <is>
          <t>S3-026</t>
        </is>
      </c>
      <c r="U282" s="69" t="inlineStr">
        <is>
          <t>Original (septembre)</t>
        </is>
      </c>
      <c r="V282" s="69" t="inlineStr"/>
      <c r="W282" s="10" t="n"/>
      <c r="X282" s="10" t="inlineStr"/>
      <c r="Y282" s="64">
        <f>IF($M282="","",IF(SUMPRODUCT(($D$4:$D$863=$D282)*($M$4:$M$863=$M282)*($T$4:$T$863&lt;&gt;$T282)*($F$4:$F$863&lt;$G282)*($G$4:$G$863&gt;$F282))&gt;0,"⚠ CONFLIT",""))</f>
        <v/>
      </c>
      <c r="Z282" s="64">
        <f>IF($J282="","",IF(SUMPRODUCT(($D$4:$D$863=$D282)*($J$4:$J$863=$J282)*($T$4:$T$863&lt;&gt;$T282)*($F$4:$F$863&lt;$G282)*($G$4:$G$863&gt;$F282)*(1-($X$4:$X$863="Oui")*($X282="Oui")))&gt;0,"⚠ CONFLIT",""))</f>
        <v/>
      </c>
      <c r="AA282" s="64">
        <f>IF(COUNTIFS($D$4:$D$863,$D282,$J$4:$J$863,$J282,$F$4:$F$863,$F282,$K$4:$K$863,$K282)&gt;1,"⚠ DOUBLON","")</f>
        <v/>
      </c>
      <c r="AB282" s="64">
        <f>IF(COUNTIF($T$4:$T$863,$T282)&lt;&gt;COUNTIFS($T$4:$T$863,$T282,$D$4:$D$863,$D282,$F$4:$F$863,$F282,$G$4:$G$863,$G282,$K$4:$K$863,$K282,$M$4:$M$863,$M282),"⚠ INCOHÉRENT","")</f>
        <v/>
      </c>
      <c r="AC282" s="64">
        <f>COUNTIFS($A$4:$A282,$A282,$J$4:$J282,$J282,$E$4:$E282,$E282)</f>
        <v/>
      </c>
      <c r="AD282" s="65">
        <f>$A282&amp;"|"&amp;$J282&amp;"|"&amp;$E282&amp;"|"&amp;$AC282</f>
        <v/>
      </c>
      <c r="AE282" s="66">
        <f>IF($W282&lt;&gt;"","⚑ "&amp;$W282&amp;CHAR(10),"")&amp;TEXT($F282,"hh:mm")&amp;"-"&amp;TEXT($G282,"hh:mm")&amp;IF(OR($P282="Quinzaine A",AND($P282="Hebdo · groupes alternés",$C282="A"))," Q-A",IF(OR($P282="Quinzaine B",AND($P282="Hebdo · groupes alternés",$C282="B"))," Q-B",IF($P282="Exception"," PONCT.","")))&amp;IF($X282="Oui"," OPT","")&amp;CHAR(10)&amp;$K282&amp;CHAR(10)&amp;$M282&amp;IF($N282&lt;&gt;"",CHAR(10)&amp;"Salle "&amp;$N282,"")&amp;IF($O282="En ligne",CHAR(10)&amp;"EN LIGNE","")&amp;IF($V282&lt;&gt;"",CHAR(10)&amp;$V282,"")</f>
        <v/>
      </c>
      <c r="AF282" s="65" t="inlineStr">
        <is>
          <t>19h15-20h45 Math (Khouloud)</t>
        </is>
      </c>
      <c r="AG282" s="65" t="inlineStr">
        <is>
          <t>du 28-09 jusquà le 04-10!I31</t>
        </is>
      </c>
    </row>
    <row r="283" ht="15" customHeight="1">
      <c r="A283" s="68" t="inlineStr">
        <is>
          <t>S3</t>
        </is>
      </c>
      <c r="B283" s="69" t="inlineStr">
        <is>
          <t>du 28 septembre au 4 octobre 2026</t>
        </is>
      </c>
      <c r="C283" s="68" t="inlineStr">
        <is>
          <t>A</t>
        </is>
      </c>
      <c r="D283" s="70" t="n">
        <v>46295</v>
      </c>
      <c r="E283" s="68" t="inlineStr">
        <is>
          <t>Mercredi</t>
        </is>
      </c>
      <c r="F283" s="71" t="n">
        <v>0.8125</v>
      </c>
      <c r="G283" s="71" t="n">
        <v>0.875</v>
      </c>
      <c r="H283" s="72">
        <f>IF(OR($F283="",$G283=""),"",($G283-$F283)*24)</f>
        <v/>
      </c>
      <c r="I283" s="68" t="inlineStr">
        <is>
          <t>Collège</t>
        </is>
      </c>
      <c r="J283" s="69" t="inlineStr">
        <is>
          <t>8éme (C)</t>
        </is>
      </c>
      <c r="K283" s="67" t="inlineStr">
        <is>
          <t>Français</t>
        </is>
      </c>
      <c r="L283" s="67" t="inlineStr">
        <is>
          <t>Français</t>
        </is>
      </c>
      <c r="M283" s="69" t="inlineStr">
        <is>
          <t>Nabil</t>
        </is>
      </c>
      <c r="N283" s="68" t="n"/>
      <c r="O283" s="68" t="n"/>
      <c r="P283" s="68" t="inlineStr">
        <is>
          <t>Hebdomadaire</t>
        </is>
      </c>
      <c r="Q283" s="69" t="inlineStr"/>
      <c r="R283" s="68" t="n">
        <v>1</v>
      </c>
      <c r="S283" s="68" t="inlineStr">
        <is>
          <t>Oui</t>
        </is>
      </c>
      <c r="T283" s="68" t="inlineStr">
        <is>
          <t>S3-027</t>
        </is>
      </c>
      <c r="U283" s="69" t="inlineStr">
        <is>
          <t>Original (septembre)</t>
        </is>
      </c>
      <c r="V283" s="69" t="inlineStr"/>
      <c r="W283" s="10" t="n"/>
      <c r="X283" s="10" t="inlineStr"/>
      <c r="Y283" s="64">
        <f>IF($M283="","",IF(SUMPRODUCT(($D$4:$D$863=$D283)*($M$4:$M$863=$M283)*($T$4:$T$863&lt;&gt;$T283)*($F$4:$F$863&lt;$G283)*($G$4:$G$863&gt;$F283))&gt;0,"⚠ CONFLIT",""))</f>
        <v/>
      </c>
      <c r="Z283" s="64">
        <f>IF($J283="","",IF(SUMPRODUCT(($D$4:$D$863=$D283)*($J$4:$J$863=$J283)*($T$4:$T$863&lt;&gt;$T283)*($F$4:$F$863&lt;$G283)*($G$4:$G$863&gt;$F283)*(1-($X$4:$X$863="Oui")*($X283="Oui")))&gt;0,"⚠ CONFLIT",""))</f>
        <v/>
      </c>
      <c r="AA283" s="64">
        <f>IF(COUNTIFS($D$4:$D$863,$D283,$J$4:$J$863,$J283,$F$4:$F$863,$F283,$K$4:$K$863,$K283)&gt;1,"⚠ DOUBLON","")</f>
        <v/>
      </c>
      <c r="AB283" s="64">
        <f>IF(COUNTIF($T$4:$T$863,$T283)&lt;&gt;COUNTIFS($T$4:$T$863,$T283,$D$4:$D$863,$D283,$F$4:$F$863,$F283,$G$4:$G$863,$G283,$K$4:$K$863,$K283,$M$4:$M$863,$M283),"⚠ INCOHÉRENT","")</f>
        <v/>
      </c>
      <c r="AC283" s="64">
        <f>COUNTIFS($A$4:$A283,$A283,$J$4:$J283,$J283,$E$4:$E283,$E283)</f>
        <v/>
      </c>
      <c r="AD283" s="65">
        <f>$A283&amp;"|"&amp;$J283&amp;"|"&amp;$E283&amp;"|"&amp;$AC283</f>
        <v/>
      </c>
      <c r="AE283" s="66">
        <f>IF($W283&lt;&gt;"","⚑ "&amp;$W283&amp;CHAR(10),"")&amp;TEXT($F283,"hh:mm")&amp;"-"&amp;TEXT($G283,"hh:mm")&amp;IF(OR($P283="Quinzaine A",AND($P283="Hebdo · groupes alternés",$C283="A"))," Q-A",IF(OR($P283="Quinzaine B",AND($P283="Hebdo · groupes alternés",$C283="B"))," Q-B",IF($P283="Exception"," PONCT.","")))&amp;IF($X283="Oui"," OPT","")&amp;CHAR(10)&amp;$K283&amp;CHAR(10)&amp;$M283&amp;IF($N283&lt;&gt;"",CHAR(10)&amp;"Salle "&amp;$N283,"")&amp;IF($O283="En ligne",CHAR(10)&amp;"EN LIGNE","")&amp;IF($V283&lt;&gt;"",CHAR(10)&amp;$V283,"")</f>
        <v/>
      </c>
      <c r="AF283" s="65" t="inlineStr">
        <is>
          <t>19h30-21h Français (Nabil)</t>
        </is>
      </c>
      <c r="AG283" s="65" t="inlineStr">
        <is>
          <t>du 28-09 jusquà le 04-10!I34</t>
        </is>
      </c>
    </row>
    <row r="284" ht="15" customHeight="1">
      <c r="A284" s="68" t="inlineStr">
        <is>
          <t>S3</t>
        </is>
      </c>
      <c r="B284" s="69" t="inlineStr">
        <is>
          <t>du 28 septembre au 4 octobre 2026</t>
        </is>
      </c>
      <c r="C284" s="68" t="inlineStr">
        <is>
          <t>A</t>
        </is>
      </c>
      <c r="D284" s="70" t="n">
        <v>46295</v>
      </c>
      <c r="E284" s="68" t="inlineStr">
        <is>
          <t>Mercredi</t>
        </is>
      </c>
      <c r="F284" s="71" t="n">
        <v>0.8125</v>
      </c>
      <c r="G284" s="71" t="n">
        <v>0.875</v>
      </c>
      <c r="H284" s="72">
        <f>IF(OR($F284="",$G284=""),"",($G284-$F284)*24)</f>
        <v/>
      </c>
      <c r="I284" s="68" t="inlineStr">
        <is>
          <t>Collège</t>
        </is>
      </c>
      <c r="J284" s="69" t="inlineStr">
        <is>
          <t>9éme (B)</t>
        </is>
      </c>
      <c r="K284" s="63" t="inlineStr">
        <is>
          <t>Arabe</t>
        </is>
      </c>
      <c r="L284" s="63" t="inlineStr">
        <is>
          <t>Arabe</t>
        </is>
      </c>
      <c r="M284" s="69" t="inlineStr">
        <is>
          <t>Yahya</t>
        </is>
      </c>
      <c r="N284" s="68" t="n"/>
      <c r="O284" s="68" t="n"/>
      <c r="P284" s="68" t="inlineStr">
        <is>
          <t>Hebdomadaire</t>
        </is>
      </c>
      <c r="Q284" s="69" t="inlineStr"/>
      <c r="R284" s="68" t="n">
        <v>1</v>
      </c>
      <c r="S284" s="68" t="inlineStr">
        <is>
          <t>Oui</t>
        </is>
      </c>
      <c r="T284" s="68" t="inlineStr">
        <is>
          <t>S3-028</t>
        </is>
      </c>
      <c r="U284" s="69" t="inlineStr">
        <is>
          <t>Original (septembre)</t>
        </is>
      </c>
      <c r="V284" s="69" t="inlineStr"/>
      <c r="W284" s="10" t="n"/>
      <c r="X284" s="10" t="inlineStr"/>
      <c r="Y284" s="64">
        <f>IF($M284="","",IF(SUMPRODUCT(($D$4:$D$863=$D284)*($M$4:$M$863=$M284)*($T$4:$T$863&lt;&gt;$T284)*($F$4:$F$863&lt;$G284)*($G$4:$G$863&gt;$F284))&gt;0,"⚠ CONFLIT",""))</f>
        <v/>
      </c>
      <c r="Z284" s="64">
        <f>IF($J284="","",IF(SUMPRODUCT(($D$4:$D$863=$D284)*($J$4:$J$863=$J284)*($T$4:$T$863&lt;&gt;$T284)*($F$4:$F$863&lt;$G284)*($G$4:$G$863&gt;$F284)*(1-($X$4:$X$863="Oui")*($X284="Oui")))&gt;0,"⚠ CONFLIT",""))</f>
        <v/>
      </c>
      <c r="AA284" s="64">
        <f>IF(COUNTIFS($D$4:$D$863,$D284,$J$4:$J$863,$J284,$F$4:$F$863,$F284,$K$4:$K$863,$K284)&gt;1,"⚠ DOUBLON","")</f>
        <v/>
      </c>
      <c r="AB284" s="64">
        <f>IF(COUNTIF($T$4:$T$863,$T284)&lt;&gt;COUNTIFS($T$4:$T$863,$T284,$D$4:$D$863,$D284,$F$4:$F$863,$F284,$G$4:$G$863,$G284,$K$4:$K$863,$K284,$M$4:$M$863,$M284),"⚠ INCOHÉRENT","")</f>
        <v/>
      </c>
      <c r="AC284" s="64">
        <f>COUNTIFS($A$4:$A284,$A284,$J$4:$J284,$J284,$E$4:$E284,$E284)</f>
        <v/>
      </c>
      <c r="AD284" s="65">
        <f>$A284&amp;"|"&amp;$J284&amp;"|"&amp;$E284&amp;"|"&amp;$AC284</f>
        <v/>
      </c>
      <c r="AE284" s="66">
        <f>IF($W284&lt;&gt;"","⚑ "&amp;$W284&amp;CHAR(10),"")&amp;TEXT($F284,"hh:mm")&amp;"-"&amp;TEXT($G284,"hh:mm")&amp;IF(OR($P284="Quinzaine A",AND($P284="Hebdo · groupes alternés",$C284="A"))," Q-A",IF(OR($P284="Quinzaine B",AND($P284="Hebdo · groupes alternés",$C284="B"))," Q-B",IF($P284="Exception"," PONCT.","")))&amp;IF($X284="Oui"," OPT","")&amp;CHAR(10)&amp;$K284&amp;CHAR(10)&amp;$M284&amp;IF($N284&lt;&gt;"",CHAR(10)&amp;"Salle "&amp;$N284,"")&amp;IF($O284="En ligne",CHAR(10)&amp;"EN LIGNE","")&amp;IF($V284&lt;&gt;"",CHAR(10)&amp;$V284,"")</f>
        <v/>
      </c>
      <c r="AF284" s="65" t="inlineStr">
        <is>
          <t>19h30-21h Arabe (Yahya)</t>
        </is>
      </c>
      <c r="AG284" s="65" t="inlineStr">
        <is>
          <t>du 28-09 jusquà le 04-10!I43</t>
        </is>
      </c>
    </row>
    <row r="285" ht="15" customHeight="1">
      <c r="A285" s="68" t="inlineStr">
        <is>
          <t>S3</t>
        </is>
      </c>
      <c r="B285" s="69" t="inlineStr">
        <is>
          <t>du 28 septembre au 4 octobre 2026</t>
        </is>
      </c>
      <c r="C285" s="68" t="inlineStr">
        <is>
          <t>A</t>
        </is>
      </c>
      <c r="D285" s="70" t="n">
        <v>46295</v>
      </c>
      <c r="E285" s="68" t="inlineStr">
        <is>
          <t>Mercredi</t>
        </is>
      </c>
      <c r="F285" s="71" t="n">
        <v>0.8020833333333334</v>
      </c>
      <c r="G285" s="71" t="n">
        <v>0.8645833333333334</v>
      </c>
      <c r="H285" s="72">
        <f>IF(OR($F285="",$G285=""),"",($G285-$F285)*24)</f>
        <v/>
      </c>
      <c r="I285" s="68" t="inlineStr">
        <is>
          <t>Collège</t>
        </is>
      </c>
      <c r="J285" s="69" t="inlineStr">
        <is>
          <t>9éme (C)</t>
        </is>
      </c>
      <c r="K285" s="88" t="inlineStr">
        <is>
          <t>SVT</t>
        </is>
      </c>
      <c r="L285" s="88" t="inlineStr">
        <is>
          <t>SVT</t>
        </is>
      </c>
      <c r="M285" s="69" t="inlineStr">
        <is>
          <t>Imen Jribi</t>
        </is>
      </c>
      <c r="N285" s="68" t="n"/>
      <c r="O285" s="68" t="n"/>
      <c r="P285" s="68" t="inlineStr">
        <is>
          <t>Hebdomadaire</t>
        </is>
      </c>
      <c r="Q285" s="69" t="inlineStr"/>
      <c r="R285" s="68" t="n">
        <v>1</v>
      </c>
      <c r="S285" s="68" t="inlineStr">
        <is>
          <t>Oui</t>
        </is>
      </c>
      <c r="T285" s="68" t="inlineStr">
        <is>
          <t>S3-029</t>
        </is>
      </c>
      <c r="U285" s="69" t="inlineStr">
        <is>
          <t>Original (septembre)</t>
        </is>
      </c>
      <c r="V285" s="69" t="inlineStr"/>
      <c r="W285" s="10" t="n"/>
      <c r="X285" s="10" t="inlineStr"/>
      <c r="Y285" s="64">
        <f>IF($M285="","",IF(SUMPRODUCT(($D$4:$D$863=$D285)*($M$4:$M$863=$M285)*($T$4:$T$863&lt;&gt;$T285)*($F$4:$F$863&lt;$G285)*($G$4:$G$863&gt;$F285))&gt;0,"⚠ CONFLIT",""))</f>
        <v/>
      </c>
      <c r="Z285" s="64">
        <f>IF($J285="","",IF(SUMPRODUCT(($D$4:$D$863=$D285)*($J$4:$J$863=$J285)*($T$4:$T$863&lt;&gt;$T285)*($F$4:$F$863&lt;$G285)*($G$4:$G$863&gt;$F285)*(1-($X$4:$X$863="Oui")*($X285="Oui")))&gt;0,"⚠ CONFLIT",""))</f>
        <v/>
      </c>
      <c r="AA285" s="64">
        <f>IF(COUNTIFS($D$4:$D$863,$D285,$J$4:$J$863,$J285,$F$4:$F$863,$F285,$K$4:$K$863,$K285)&gt;1,"⚠ DOUBLON","")</f>
        <v/>
      </c>
      <c r="AB285" s="64">
        <f>IF(COUNTIF($T$4:$T$863,$T285)&lt;&gt;COUNTIFS($T$4:$T$863,$T285,$D$4:$D$863,$D285,$F$4:$F$863,$F285,$G$4:$G$863,$G285,$K$4:$K$863,$K285,$M$4:$M$863,$M285),"⚠ INCOHÉRENT","")</f>
        <v/>
      </c>
      <c r="AC285" s="64">
        <f>COUNTIFS($A$4:$A285,$A285,$J$4:$J285,$J285,$E$4:$E285,$E285)</f>
        <v/>
      </c>
      <c r="AD285" s="65">
        <f>$A285&amp;"|"&amp;$J285&amp;"|"&amp;$E285&amp;"|"&amp;$AC285</f>
        <v/>
      </c>
      <c r="AE285" s="66">
        <f>IF($W285&lt;&gt;"","⚑ "&amp;$W285&amp;CHAR(10),"")&amp;TEXT($F285,"hh:mm")&amp;"-"&amp;TEXT($G285,"hh:mm")&amp;IF(OR($P285="Quinzaine A",AND($P285="Hebdo · groupes alternés",$C285="A"))," Q-A",IF(OR($P285="Quinzaine B",AND($P285="Hebdo · groupes alternés",$C285="B"))," Q-B",IF($P285="Exception"," PONCT.","")))&amp;IF($X285="Oui"," OPT","")&amp;CHAR(10)&amp;$K285&amp;CHAR(10)&amp;$M285&amp;IF($N285&lt;&gt;"",CHAR(10)&amp;"Salle "&amp;$N285,"")&amp;IF($O285="En ligne",CHAR(10)&amp;"EN LIGNE","")&amp;IF($V285&lt;&gt;"",CHAR(10)&amp;$V285,"")</f>
        <v/>
      </c>
      <c r="AF285" s="65" t="inlineStr">
        <is>
          <t>19h15-20h45 SVT (Imen Jribi)</t>
        </is>
      </c>
      <c r="AG285" s="65" t="inlineStr">
        <is>
          <t>du 28-09 jusquà le 04-10!I46</t>
        </is>
      </c>
    </row>
    <row r="286" ht="15" customHeight="1">
      <c r="A286" s="74" t="inlineStr">
        <is>
          <t>S3</t>
        </is>
      </c>
      <c r="B286" s="75" t="inlineStr">
        <is>
          <t>du 28 septembre au 4 octobre 2026</t>
        </is>
      </c>
      <c r="C286" s="74" t="inlineStr">
        <is>
          <t>A</t>
        </is>
      </c>
      <c r="D286" s="76" t="n">
        <v>46295</v>
      </c>
      <c r="E286" s="74" t="inlineStr">
        <is>
          <t>Mercredi</t>
        </is>
      </c>
      <c r="F286" s="77" t="n">
        <v>0.8020833333333334</v>
      </c>
      <c r="G286" s="77" t="n">
        <v>0.8645833333333334</v>
      </c>
      <c r="H286" s="78">
        <f>IF(OR($F286="",$G286=""),"",($G286-$F286)*24)</f>
        <v/>
      </c>
      <c r="I286" s="74" t="inlineStr">
        <is>
          <t>Secondaire</t>
        </is>
      </c>
      <c r="J286" s="75" t="inlineStr">
        <is>
          <t>1ére (B)</t>
        </is>
      </c>
      <c r="K286" s="67" t="inlineStr">
        <is>
          <t>Français</t>
        </is>
      </c>
      <c r="L286" s="67" t="inlineStr">
        <is>
          <t>Français</t>
        </is>
      </c>
      <c r="M286" s="75" t="inlineStr">
        <is>
          <t>Nassima</t>
        </is>
      </c>
      <c r="N286" s="74" t="n"/>
      <c r="O286" s="74" t="n"/>
      <c r="P286" s="74" t="inlineStr">
        <is>
          <t>Hebdomadaire</t>
        </is>
      </c>
      <c r="Q286" s="75" t="inlineStr"/>
      <c r="R286" s="74" t="n">
        <v>1</v>
      </c>
      <c r="S286" s="74" t="inlineStr">
        <is>
          <t>Oui</t>
        </is>
      </c>
      <c r="T286" s="74" t="inlineStr">
        <is>
          <t>S3-030</t>
        </is>
      </c>
      <c r="U286" s="75" t="inlineStr">
        <is>
          <t>Original (septembre)</t>
        </is>
      </c>
      <c r="V286" s="75" t="inlineStr"/>
      <c r="W286" s="10" t="n"/>
      <c r="X286" s="10" t="inlineStr"/>
      <c r="Y286" s="64">
        <f>IF($M286="","",IF(SUMPRODUCT(($D$4:$D$863=$D286)*($M$4:$M$863=$M286)*($T$4:$T$863&lt;&gt;$T286)*($F$4:$F$863&lt;$G286)*($G$4:$G$863&gt;$F286))&gt;0,"⚠ CONFLIT",""))</f>
        <v/>
      </c>
      <c r="Z286" s="64">
        <f>IF($J286="","",IF(SUMPRODUCT(($D$4:$D$863=$D286)*($J$4:$J$863=$J286)*($T$4:$T$863&lt;&gt;$T286)*($F$4:$F$863&lt;$G286)*($G$4:$G$863&gt;$F286)*(1-($X$4:$X$863="Oui")*($X286="Oui")))&gt;0,"⚠ CONFLIT",""))</f>
        <v/>
      </c>
      <c r="AA286" s="64">
        <f>IF(COUNTIFS($D$4:$D$863,$D286,$J$4:$J$863,$J286,$F$4:$F$863,$F286,$K$4:$K$863,$K286)&gt;1,"⚠ DOUBLON","")</f>
        <v/>
      </c>
      <c r="AB286" s="64">
        <f>IF(COUNTIF($T$4:$T$863,$T286)&lt;&gt;COUNTIFS($T$4:$T$863,$T286,$D$4:$D$863,$D286,$F$4:$F$863,$F286,$G$4:$G$863,$G286,$K$4:$K$863,$K286,$M$4:$M$863,$M286),"⚠ INCOHÉRENT","")</f>
        <v/>
      </c>
      <c r="AC286" s="64">
        <f>COUNTIFS($A$4:$A286,$A286,$J$4:$J286,$J286,$E$4:$E286,$E286)</f>
        <v/>
      </c>
      <c r="AD286" s="65">
        <f>$A286&amp;"|"&amp;$J286&amp;"|"&amp;$E286&amp;"|"&amp;$AC286</f>
        <v/>
      </c>
      <c r="AE286" s="66">
        <f>IF($W286&lt;&gt;"","⚑ "&amp;$W286&amp;CHAR(10),"")&amp;TEXT($F286,"hh:mm")&amp;"-"&amp;TEXT($G286,"hh:mm")&amp;IF(OR($P286="Quinzaine A",AND($P286="Hebdo · groupes alternés",$C286="A"))," Q-A",IF(OR($P286="Quinzaine B",AND($P286="Hebdo · groupes alternés",$C286="B"))," Q-B",IF($P286="Exception"," PONCT.","")))&amp;IF($X286="Oui"," OPT","")&amp;CHAR(10)&amp;$K286&amp;CHAR(10)&amp;$M286&amp;IF($N286&lt;&gt;"",CHAR(10)&amp;"Salle "&amp;$N286,"")&amp;IF($O286="En ligne",CHAR(10)&amp;"EN LIGNE","")&amp;IF($V286&lt;&gt;"",CHAR(10)&amp;$V286,"")</f>
        <v/>
      </c>
      <c r="AF286" s="65" t="inlineStr">
        <is>
          <t>19h15-20h45 Français (Nassima)</t>
        </is>
      </c>
      <c r="AG286" s="65" t="inlineStr">
        <is>
          <t>du 28-09 jusquà le 04-10!I52</t>
        </is>
      </c>
    </row>
    <row r="287" ht="15" customHeight="1">
      <c r="A287" s="74" t="inlineStr">
        <is>
          <t>S3</t>
        </is>
      </c>
      <c r="B287" s="75" t="inlineStr">
        <is>
          <t>du 28 septembre au 4 octobre 2026</t>
        </is>
      </c>
      <c r="C287" s="74" t="inlineStr">
        <is>
          <t>A</t>
        </is>
      </c>
      <c r="D287" s="76" t="n">
        <v>46295</v>
      </c>
      <c r="E287" s="74" t="inlineStr">
        <is>
          <t>Mercredi</t>
        </is>
      </c>
      <c r="F287" s="77" t="n">
        <v>0.8125</v>
      </c>
      <c r="G287" s="77" t="n">
        <v>0.875</v>
      </c>
      <c r="H287" s="78">
        <f>IF(OR($F287="",$G287=""),"",($G287-$F287)*24)</f>
        <v/>
      </c>
      <c r="I287" s="74" t="inlineStr">
        <is>
          <t>Secondaire</t>
        </is>
      </c>
      <c r="J287" s="75" t="inlineStr">
        <is>
          <t>2éme Eco</t>
        </is>
      </c>
      <c r="K287" s="79" t="inlineStr">
        <is>
          <t>Math</t>
        </is>
      </c>
      <c r="L287" s="79" t="inlineStr">
        <is>
          <t>Math</t>
        </is>
      </c>
      <c r="M287" s="75" t="inlineStr">
        <is>
          <t>Haythem</t>
        </is>
      </c>
      <c r="N287" s="74" t="n"/>
      <c r="O287" s="74" t="n"/>
      <c r="P287" s="74" t="inlineStr">
        <is>
          <t>Hebdomadaire</t>
        </is>
      </c>
      <c r="Q287" s="75" t="inlineStr"/>
      <c r="R287" s="74" t="n">
        <v>1</v>
      </c>
      <c r="S287" s="74" t="inlineStr">
        <is>
          <t>Oui</t>
        </is>
      </c>
      <c r="T287" s="74" t="inlineStr">
        <is>
          <t>S3-031</t>
        </is>
      </c>
      <c r="U287" s="75" t="inlineStr">
        <is>
          <t>Original (septembre)</t>
        </is>
      </c>
      <c r="V287" s="75" t="inlineStr"/>
      <c r="W287" s="10" t="n"/>
      <c r="X287" s="10" t="inlineStr"/>
      <c r="Y287" s="64">
        <f>IF($M287="","",IF(SUMPRODUCT(($D$4:$D$863=$D287)*($M$4:$M$863=$M287)*($T$4:$T$863&lt;&gt;$T287)*($F$4:$F$863&lt;$G287)*($G$4:$G$863&gt;$F287))&gt;0,"⚠ CONFLIT",""))</f>
        <v/>
      </c>
      <c r="Z287" s="64">
        <f>IF($J287="","",IF(SUMPRODUCT(($D$4:$D$863=$D287)*($J$4:$J$863=$J287)*($T$4:$T$863&lt;&gt;$T287)*($F$4:$F$863&lt;$G287)*($G$4:$G$863&gt;$F287)*(1-($X$4:$X$863="Oui")*($X287="Oui")))&gt;0,"⚠ CONFLIT",""))</f>
        <v/>
      </c>
      <c r="AA287" s="64">
        <f>IF(COUNTIFS($D$4:$D$863,$D287,$J$4:$J$863,$J287,$F$4:$F$863,$F287,$K$4:$K$863,$K287)&gt;1,"⚠ DOUBLON","")</f>
        <v/>
      </c>
      <c r="AB287" s="64">
        <f>IF(COUNTIF($T$4:$T$863,$T287)&lt;&gt;COUNTIFS($T$4:$T$863,$T287,$D$4:$D$863,$D287,$F$4:$F$863,$F287,$G$4:$G$863,$G287,$K$4:$K$863,$K287,$M$4:$M$863,$M287),"⚠ INCOHÉRENT","")</f>
        <v/>
      </c>
      <c r="AC287" s="64">
        <f>COUNTIFS($A$4:$A287,$A287,$J$4:$J287,$J287,$E$4:$E287,$E287)</f>
        <v/>
      </c>
      <c r="AD287" s="65">
        <f>$A287&amp;"|"&amp;$J287&amp;"|"&amp;$E287&amp;"|"&amp;$AC287</f>
        <v/>
      </c>
      <c r="AE287" s="66">
        <f>IF($W287&lt;&gt;"","⚑ "&amp;$W287&amp;CHAR(10),"")&amp;TEXT($F287,"hh:mm")&amp;"-"&amp;TEXT($G287,"hh:mm")&amp;IF(OR($P287="Quinzaine A",AND($P287="Hebdo · groupes alternés",$C287="A"))," Q-A",IF(OR($P287="Quinzaine B",AND($P287="Hebdo · groupes alternés",$C287="B"))," Q-B",IF($P287="Exception"," PONCT.","")))&amp;IF($X287="Oui"," OPT","")&amp;CHAR(10)&amp;$K287&amp;CHAR(10)&amp;$M287&amp;IF($N287&lt;&gt;"",CHAR(10)&amp;"Salle "&amp;$N287,"")&amp;IF($O287="En ligne",CHAR(10)&amp;"EN LIGNE","")&amp;IF($V287&lt;&gt;"",CHAR(10)&amp;$V287,"")</f>
        <v/>
      </c>
      <c r="AF287" s="65" t="inlineStr">
        <is>
          <t>19h30-21h Math (Haythem)</t>
        </is>
      </c>
      <c r="AG287" s="65" t="inlineStr">
        <is>
          <t>du 28-09 jusquà le 04-10!I56</t>
        </is>
      </c>
    </row>
    <row r="288" ht="15" customHeight="1">
      <c r="A288" s="74" t="inlineStr">
        <is>
          <t>S3</t>
        </is>
      </c>
      <c r="B288" s="75" t="inlineStr">
        <is>
          <t>du 28 septembre au 4 octobre 2026</t>
        </is>
      </c>
      <c r="C288" s="74" t="inlineStr">
        <is>
          <t>A</t>
        </is>
      </c>
      <c r="D288" s="76" t="n">
        <v>46295</v>
      </c>
      <c r="E288" s="74" t="inlineStr">
        <is>
          <t>Mercredi</t>
        </is>
      </c>
      <c r="F288" s="77" t="n">
        <v>0.7916666666666666</v>
      </c>
      <c r="G288" s="77" t="n">
        <v>0.8541666666666666</v>
      </c>
      <c r="H288" s="78">
        <f>IF(OR($F288="",$G288=""),"",($G288-$F288)*24)</f>
        <v/>
      </c>
      <c r="I288" s="74" t="inlineStr">
        <is>
          <t>Secondaire</t>
        </is>
      </c>
      <c r="J288" s="75" t="inlineStr">
        <is>
          <t>3éme Eco</t>
        </is>
      </c>
      <c r="K288" s="86" t="inlineStr">
        <is>
          <t>Gestion</t>
        </is>
      </c>
      <c r="L288" s="86" t="inlineStr">
        <is>
          <t>Gestion</t>
        </is>
      </c>
      <c r="M288" s="75" t="inlineStr">
        <is>
          <t>Yassine</t>
        </is>
      </c>
      <c r="N288" s="74" t="n"/>
      <c r="O288" s="74" t="n"/>
      <c r="P288" s="74" t="inlineStr">
        <is>
          <t>Hebdomadaire</t>
        </is>
      </c>
      <c r="Q288" s="75" t="inlineStr"/>
      <c r="R288" s="74" t="n">
        <v>1</v>
      </c>
      <c r="S288" s="74" t="inlineStr">
        <is>
          <t>Oui</t>
        </is>
      </c>
      <c r="T288" s="74" t="inlineStr">
        <is>
          <t>S3-032</t>
        </is>
      </c>
      <c r="U288" s="75" t="inlineStr">
        <is>
          <t>Original (septembre)</t>
        </is>
      </c>
      <c r="V288" s="75" t="inlineStr"/>
      <c r="W288" s="10" t="n"/>
      <c r="X288" s="10" t="inlineStr"/>
      <c r="Y288" s="64">
        <f>IF($M288="","",IF(SUMPRODUCT(($D$4:$D$863=$D288)*($M$4:$M$863=$M288)*($T$4:$T$863&lt;&gt;$T288)*($F$4:$F$863&lt;$G288)*($G$4:$G$863&gt;$F288))&gt;0,"⚠ CONFLIT",""))</f>
        <v/>
      </c>
      <c r="Z288" s="64">
        <f>IF($J288="","",IF(SUMPRODUCT(($D$4:$D$863=$D288)*($J$4:$J$863=$J288)*($T$4:$T$863&lt;&gt;$T288)*($F$4:$F$863&lt;$G288)*($G$4:$G$863&gt;$F288)*(1-($X$4:$X$863="Oui")*($X288="Oui")))&gt;0,"⚠ CONFLIT",""))</f>
        <v/>
      </c>
      <c r="AA288" s="64">
        <f>IF(COUNTIFS($D$4:$D$863,$D288,$J$4:$J$863,$J288,$F$4:$F$863,$F288,$K$4:$K$863,$K288)&gt;1,"⚠ DOUBLON","")</f>
        <v/>
      </c>
      <c r="AB288" s="64">
        <f>IF(COUNTIF($T$4:$T$863,$T288)&lt;&gt;COUNTIFS($T$4:$T$863,$T288,$D$4:$D$863,$D288,$F$4:$F$863,$F288,$G$4:$G$863,$G288,$K$4:$K$863,$K288,$M$4:$M$863,$M288),"⚠ INCOHÉRENT","")</f>
        <v/>
      </c>
      <c r="AC288" s="64">
        <f>COUNTIFS($A$4:$A288,$A288,$J$4:$J288,$J288,$E$4:$E288,$E288)</f>
        <v/>
      </c>
      <c r="AD288" s="65">
        <f>$A288&amp;"|"&amp;$J288&amp;"|"&amp;$E288&amp;"|"&amp;$AC288</f>
        <v/>
      </c>
      <c r="AE288" s="66">
        <f>IF($W288&lt;&gt;"","⚑ "&amp;$W288&amp;CHAR(10),"")&amp;TEXT($F288,"hh:mm")&amp;"-"&amp;TEXT($G288,"hh:mm")&amp;IF(OR($P288="Quinzaine A",AND($P288="Hebdo · groupes alternés",$C288="A"))," Q-A",IF(OR($P288="Quinzaine B",AND($P288="Hebdo · groupes alternés",$C288="B"))," Q-B",IF($P288="Exception"," PONCT.","")))&amp;IF($X288="Oui"," OPT","")&amp;CHAR(10)&amp;$K288&amp;CHAR(10)&amp;$M288&amp;IF($N288&lt;&gt;"",CHAR(10)&amp;"Salle "&amp;$N288,"")&amp;IF($O288="En ligne",CHAR(10)&amp;"EN LIGNE","")&amp;IF($V288&lt;&gt;"",CHAR(10)&amp;$V288,"")</f>
        <v/>
      </c>
      <c r="AF288" s="65" t="inlineStr">
        <is>
          <t>19h-20h30 Gestion (Yassine)</t>
        </is>
      </c>
      <c r="AG288" s="65" t="inlineStr">
        <is>
          <t>du 28-09 jusquà le 04-10!I62</t>
        </is>
      </c>
    </row>
    <row r="289" ht="15" customHeight="1">
      <c r="A289" s="74" t="inlineStr">
        <is>
          <t>S3</t>
        </is>
      </c>
      <c r="B289" s="75" t="inlineStr">
        <is>
          <t>du 28 septembre au 4 octobre 2026</t>
        </is>
      </c>
      <c r="C289" s="74" t="inlineStr">
        <is>
          <t>A</t>
        </is>
      </c>
      <c r="D289" s="76" t="n">
        <v>46295</v>
      </c>
      <c r="E289" s="74" t="inlineStr">
        <is>
          <t>Mercredi</t>
        </is>
      </c>
      <c r="F289" s="77" t="n">
        <v>0.8125</v>
      </c>
      <c r="G289" s="77" t="n">
        <v>0.875</v>
      </c>
      <c r="H289" s="78">
        <f>IF(OR($F289="",$G289=""),"",($G289-$F289)*24)</f>
        <v/>
      </c>
      <c r="I289" s="74" t="inlineStr">
        <is>
          <t>Secondaire</t>
        </is>
      </c>
      <c r="J289" s="75" t="inlineStr">
        <is>
          <t>3éme INFO</t>
        </is>
      </c>
      <c r="K289" s="73" t="inlineStr">
        <is>
          <t>Physique</t>
        </is>
      </c>
      <c r="L289" s="73" t="inlineStr">
        <is>
          <t>Physique</t>
        </is>
      </c>
      <c r="M289" s="75" t="inlineStr">
        <is>
          <t>Samia</t>
        </is>
      </c>
      <c r="N289" s="74" t="n"/>
      <c r="O289" s="74" t="n"/>
      <c r="P289" s="74" t="inlineStr">
        <is>
          <t>Hebdomadaire</t>
        </is>
      </c>
      <c r="Q289" s="75" t="inlineStr"/>
      <c r="R289" s="74" t="n">
        <v>1</v>
      </c>
      <c r="S289" s="74" t="inlineStr">
        <is>
          <t>Oui</t>
        </is>
      </c>
      <c r="T289" s="74" t="inlineStr">
        <is>
          <t>S3-033</t>
        </is>
      </c>
      <c r="U289" s="75" t="inlineStr">
        <is>
          <t>Original (septembre)</t>
        </is>
      </c>
      <c r="V289" s="75" t="inlineStr"/>
      <c r="W289" s="10" t="n"/>
      <c r="X289" s="10" t="inlineStr"/>
      <c r="Y289" s="64">
        <f>IF($M289="","",IF(SUMPRODUCT(($D$4:$D$863=$D289)*($M$4:$M$863=$M289)*($T$4:$T$863&lt;&gt;$T289)*($F$4:$F$863&lt;$G289)*($G$4:$G$863&gt;$F289))&gt;0,"⚠ CONFLIT",""))</f>
        <v/>
      </c>
      <c r="Z289" s="64">
        <f>IF($J289="","",IF(SUMPRODUCT(($D$4:$D$863=$D289)*($J$4:$J$863=$J289)*($T$4:$T$863&lt;&gt;$T289)*($F$4:$F$863&lt;$G289)*($G$4:$G$863&gt;$F289)*(1-($X$4:$X$863="Oui")*($X289="Oui")))&gt;0,"⚠ CONFLIT",""))</f>
        <v/>
      </c>
      <c r="AA289" s="64">
        <f>IF(COUNTIFS($D$4:$D$863,$D289,$J$4:$J$863,$J289,$F$4:$F$863,$F289,$K$4:$K$863,$K289)&gt;1,"⚠ DOUBLON","")</f>
        <v/>
      </c>
      <c r="AB289" s="64">
        <f>IF(COUNTIF($T$4:$T$863,$T289)&lt;&gt;COUNTIFS($T$4:$T$863,$T289,$D$4:$D$863,$D289,$F$4:$F$863,$F289,$G$4:$G$863,$G289,$K$4:$K$863,$K289,$M$4:$M$863,$M289),"⚠ INCOHÉRENT","")</f>
        <v/>
      </c>
      <c r="AC289" s="64">
        <f>COUNTIFS($A$4:$A289,$A289,$J$4:$J289,$J289,$E$4:$E289,$E289)</f>
        <v/>
      </c>
      <c r="AD289" s="65">
        <f>$A289&amp;"|"&amp;$J289&amp;"|"&amp;$E289&amp;"|"&amp;$AC289</f>
        <v/>
      </c>
      <c r="AE289" s="66">
        <f>IF($W289&lt;&gt;"","⚑ "&amp;$W289&amp;CHAR(10),"")&amp;TEXT($F289,"hh:mm")&amp;"-"&amp;TEXT($G289,"hh:mm")&amp;IF(OR($P289="Quinzaine A",AND($P289="Hebdo · groupes alternés",$C289="A"))," Q-A",IF(OR($P289="Quinzaine B",AND($P289="Hebdo · groupes alternés",$C289="B"))," Q-B",IF($P289="Exception"," PONCT.","")))&amp;IF($X289="Oui"," OPT","")&amp;CHAR(10)&amp;$K289&amp;CHAR(10)&amp;$M289&amp;IF($N289&lt;&gt;"",CHAR(10)&amp;"Salle "&amp;$N289,"")&amp;IF($O289="En ligne",CHAR(10)&amp;"EN LIGNE","")&amp;IF($V289&lt;&gt;"",CHAR(10)&amp;$V289,"")</f>
        <v/>
      </c>
      <c r="AF289" s="65" t="inlineStr">
        <is>
          <t>19h30-21h Physique (Samia)</t>
        </is>
      </c>
      <c r="AG289" s="65" t="inlineStr">
        <is>
          <t>du 28-09 jusquà le 04-10!I64</t>
        </is>
      </c>
    </row>
    <row r="290" ht="15" customHeight="1">
      <c r="A290" s="81" t="inlineStr">
        <is>
          <t>S3</t>
        </is>
      </c>
      <c r="B290" s="82" t="inlineStr">
        <is>
          <t>du 28 septembre au 4 octobre 2026</t>
        </is>
      </c>
      <c r="C290" s="81" t="inlineStr">
        <is>
          <t>A</t>
        </is>
      </c>
      <c r="D290" s="83" t="n">
        <v>46295</v>
      </c>
      <c r="E290" s="81" t="inlineStr">
        <is>
          <t>Mercredi</t>
        </is>
      </c>
      <c r="F290" s="84" t="n">
        <v>0.7916666666666666</v>
      </c>
      <c r="G290" s="84" t="n">
        <v>0.875</v>
      </c>
      <c r="H290" s="85">
        <f>IF(OR($F290="",$G290=""),"",($G290-$F290)*24)</f>
        <v/>
      </c>
      <c r="I290" s="81" t="inlineStr">
        <is>
          <t>Bac</t>
        </is>
      </c>
      <c r="J290" s="82" t="inlineStr">
        <is>
          <t>Bac SCE</t>
        </is>
      </c>
      <c r="K290" s="79" t="inlineStr">
        <is>
          <t>Math</t>
        </is>
      </c>
      <c r="L290" s="79" t="inlineStr">
        <is>
          <t>Math</t>
        </is>
      </c>
      <c r="M290" s="82" t="inlineStr">
        <is>
          <t>Ahmed</t>
        </is>
      </c>
      <c r="N290" s="81" t="n"/>
      <c r="O290" s="81" t="n"/>
      <c r="P290" s="81" t="inlineStr">
        <is>
          <t>Hebdomadaire</t>
        </is>
      </c>
      <c r="Q290" s="82" t="inlineStr"/>
      <c r="R290" s="81" t="n">
        <v>1</v>
      </c>
      <c r="S290" s="81" t="inlineStr">
        <is>
          <t>Oui</t>
        </is>
      </c>
      <c r="T290" s="81" t="inlineStr">
        <is>
          <t>S3-034</t>
        </is>
      </c>
      <c r="U290" s="82" t="inlineStr">
        <is>
          <t>Original (septembre)</t>
        </is>
      </c>
      <c r="V290" s="82" t="inlineStr"/>
      <c r="W290" s="10" t="n"/>
      <c r="X290" s="10" t="inlineStr"/>
      <c r="Y290" s="64">
        <f>IF($M290="","",IF(SUMPRODUCT(($D$4:$D$863=$D290)*($M$4:$M$863=$M290)*($T$4:$T$863&lt;&gt;$T290)*($F$4:$F$863&lt;$G290)*($G$4:$G$863&gt;$F290))&gt;0,"⚠ CONFLIT",""))</f>
        <v/>
      </c>
      <c r="Z290" s="64">
        <f>IF($J290="","",IF(SUMPRODUCT(($D$4:$D$863=$D290)*($J$4:$J$863=$J290)*($T$4:$T$863&lt;&gt;$T290)*($F$4:$F$863&lt;$G290)*($G$4:$G$863&gt;$F290)*(1-($X$4:$X$863="Oui")*($X290="Oui")))&gt;0,"⚠ CONFLIT",""))</f>
        <v/>
      </c>
      <c r="AA290" s="64">
        <f>IF(COUNTIFS($D$4:$D$863,$D290,$J$4:$J$863,$J290,$F$4:$F$863,$F290,$K$4:$K$863,$K290)&gt;1,"⚠ DOUBLON","")</f>
        <v/>
      </c>
      <c r="AB290" s="64">
        <f>IF(COUNTIF($T$4:$T$863,$T290)&lt;&gt;COUNTIFS($T$4:$T$863,$T290,$D$4:$D$863,$D290,$F$4:$F$863,$F290,$G$4:$G$863,$G290,$K$4:$K$863,$K290,$M$4:$M$863,$M290),"⚠ INCOHÉRENT","")</f>
        <v/>
      </c>
      <c r="AC290" s="64">
        <f>COUNTIFS($A$4:$A290,$A290,$J$4:$J290,$J290,$E$4:$E290,$E290)</f>
        <v/>
      </c>
      <c r="AD290" s="65">
        <f>$A290&amp;"|"&amp;$J290&amp;"|"&amp;$E290&amp;"|"&amp;$AC290</f>
        <v/>
      </c>
      <c r="AE290" s="66">
        <f>IF($W290&lt;&gt;"","⚑ "&amp;$W290&amp;CHAR(10),"")&amp;TEXT($F290,"hh:mm")&amp;"-"&amp;TEXT($G290,"hh:mm")&amp;IF(OR($P290="Quinzaine A",AND($P290="Hebdo · groupes alternés",$C290="A"))," Q-A",IF(OR($P290="Quinzaine B",AND($P290="Hebdo · groupes alternés",$C290="B"))," Q-B",IF($P290="Exception"," PONCT.","")))&amp;IF($X290="Oui"," OPT","")&amp;CHAR(10)&amp;$K290&amp;CHAR(10)&amp;$M290&amp;IF($N290&lt;&gt;"",CHAR(10)&amp;"Salle "&amp;$N290,"")&amp;IF($O290="En ligne",CHAR(10)&amp;"EN LIGNE","")&amp;IF($V290&lt;&gt;"",CHAR(10)&amp;$V290,"")</f>
        <v/>
      </c>
      <c r="AF290" s="65" t="inlineStr">
        <is>
          <t>19h-21h Math (Ahmed)</t>
        </is>
      </c>
      <c r="AG290" s="65" t="inlineStr">
        <is>
          <t>du 28-09 jusquà le 04-10!I75</t>
        </is>
      </c>
    </row>
    <row r="291" ht="15" customHeight="1">
      <c r="A291" s="81" t="inlineStr">
        <is>
          <t>S3</t>
        </is>
      </c>
      <c r="B291" s="82" t="inlineStr">
        <is>
          <t>du 28 septembre au 4 octobre 2026</t>
        </is>
      </c>
      <c r="C291" s="81" t="inlineStr">
        <is>
          <t>A</t>
        </is>
      </c>
      <c r="D291" s="83" t="n">
        <v>46295</v>
      </c>
      <c r="E291" s="81" t="inlineStr">
        <is>
          <t>Mercredi</t>
        </is>
      </c>
      <c r="F291" s="84" t="n">
        <v>0.7916666666666666</v>
      </c>
      <c r="G291" s="84" t="n">
        <v>0.875</v>
      </c>
      <c r="H291" s="85">
        <f>IF(OR($F291="",$G291=""),"",($G291-$F291)*24)</f>
        <v/>
      </c>
      <c r="I291" s="81" t="inlineStr">
        <is>
          <t>Bac</t>
        </is>
      </c>
      <c r="J291" s="82" t="inlineStr">
        <is>
          <t>Bac INFO</t>
        </is>
      </c>
      <c r="K291" s="96" t="inlineStr">
        <is>
          <t>STI</t>
        </is>
      </c>
      <c r="L291" s="96" t="inlineStr">
        <is>
          <t>STI</t>
        </is>
      </c>
      <c r="M291" s="82" t="inlineStr">
        <is>
          <t>Aymen</t>
        </is>
      </c>
      <c r="N291" s="81" t="n"/>
      <c r="O291" s="81" t="n"/>
      <c r="P291" s="81" t="inlineStr">
        <is>
          <t>Hebdomadaire</t>
        </is>
      </c>
      <c r="Q291" s="82" t="inlineStr"/>
      <c r="R291" s="81" t="n">
        <v>1</v>
      </c>
      <c r="S291" s="81" t="inlineStr">
        <is>
          <t>Oui</t>
        </is>
      </c>
      <c r="T291" s="81" t="inlineStr">
        <is>
          <t>S3-035</t>
        </is>
      </c>
      <c r="U291" s="82" t="inlineStr">
        <is>
          <t>Original (septembre)</t>
        </is>
      </c>
      <c r="V291" s="82" t="inlineStr"/>
      <c r="W291" s="10" t="n"/>
      <c r="X291" s="10" t="inlineStr"/>
      <c r="Y291" s="64">
        <f>IF($M291="","",IF(SUMPRODUCT(($D$4:$D$863=$D291)*($M$4:$M$863=$M291)*($T$4:$T$863&lt;&gt;$T291)*($F$4:$F$863&lt;$G291)*($G$4:$G$863&gt;$F291))&gt;0,"⚠ CONFLIT",""))</f>
        <v/>
      </c>
      <c r="Z291" s="64">
        <f>IF($J291="","",IF(SUMPRODUCT(($D$4:$D$863=$D291)*($J$4:$J$863=$J291)*($T$4:$T$863&lt;&gt;$T291)*($F$4:$F$863&lt;$G291)*($G$4:$G$863&gt;$F291)*(1-($X$4:$X$863="Oui")*($X291="Oui")))&gt;0,"⚠ CONFLIT",""))</f>
        <v/>
      </c>
      <c r="AA291" s="64">
        <f>IF(COUNTIFS($D$4:$D$863,$D291,$J$4:$J$863,$J291,$F$4:$F$863,$F291,$K$4:$K$863,$K291)&gt;1,"⚠ DOUBLON","")</f>
        <v/>
      </c>
      <c r="AB291" s="64">
        <f>IF(COUNTIF($T$4:$T$863,$T291)&lt;&gt;COUNTIFS($T$4:$T$863,$T291,$D$4:$D$863,$D291,$F$4:$F$863,$F291,$G$4:$G$863,$G291,$K$4:$K$863,$K291,$M$4:$M$863,$M291),"⚠ INCOHÉRENT","")</f>
        <v/>
      </c>
      <c r="AC291" s="64">
        <f>COUNTIFS($A$4:$A291,$A291,$J$4:$J291,$J291,$E$4:$E291,$E291)</f>
        <v/>
      </c>
      <c r="AD291" s="65">
        <f>$A291&amp;"|"&amp;$J291&amp;"|"&amp;$E291&amp;"|"&amp;$AC291</f>
        <v/>
      </c>
      <c r="AE291" s="66">
        <f>IF($W291&lt;&gt;"","⚑ "&amp;$W291&amp;CHAR(10),"")&amp;TEXT($F291,"hh:mm")&amp;"-"&amp;TEXT($G291,"hh:mm")&amp;IF(OR($P291="Quinzaine A",AND($P291="Hebdo · groupes alternés",$C291="A"))," Q-A",IF(OR($P291="Quinzaine B",AND($P291="Hebdo · groupes alternés",$C291="B"))," Q-B",IF($P291="Exception"," PONCT.","")))&amp;IF($X291="Oui"," OPT","")&amp;CHAR(10)&amp;$K291&amp;CHAR(10)&amp;$M291&amp;IF($N291&lt;&gt;"",CHAR(10)&amp;"Salle "&amp;$N291,"")&amp;IF($O291="En ligne",CHAR(10)&amp;"EN LIGNE","")&amp;IF($V291&lt;&gt;"",CHAR(10)&amp;$V291,"")</f>
        <v/>
      </c>
      <c r="AF291" s="65" t="inlineStr">
        <is>
          <t>19h-21h STI (Aymen)</t>
        </is>
      </c>
      <c r="AG291" s="65" t="inlineStr">
        <is>
          <t>du 28-09 jusquà le 04-10!I79</t>
        </is>
      </c>
    </row>
    <row r="292" ht="15" customHeight="1">
      <c r="A292" s="58" t="inlineStr">
        <is>
          <t>S3</t>
        </is>
      </c>
      <c r="B292" s="59" t="inlineStr">
        <is>
          <t>du 28 septembre au 4 octobre 2026</t>
        </is>
      </c>
      <c r="C292" s="58" t="inlineStr">
        <is>
          <t>A</t>
        </is>
      </c>
      <c r="D292" s="60" t="n">
        <v>46296</v>
      </c>
      <c r="E292" s="58" t="inlineStr">
        <is>
          <t>Jeudi</t>
        </is>
      </c>
      <c r="F292" s="61" t="n">
        <v>0.7916666666666666</v>
      </c>
      <c r="G292" s="61" t="n">
        <v>0.875</v>
      </c>
      <c r="H292" s="62">
        <f>IF(OR($F292="",$G292=""),"",($G292-$F292)*24)</f>
        <v/>
      </c>
      <c r="I292" s="58" t="inlineStr">
        <is>
          <t>Primaire</t>
        </is>
      </c>
      <c r="J292" s="59" t="inlineStr">
        <is>
          <t>5éme</t>
        </is>
      </c>
      <c r="K292" s="79" t="inlineStr">
        <is>
          <t>رياضيات</t>
        </is>
      </c>
      <c r="L292" s="79" t="inlineStr">
        <is>
          <t>Math</t>
        </is>
      </c>
      <c r="M292" s="59" t="inlineStr">
        <is>
          <t>Bassma</t>
        </is>
      </c>
      <c r="N292" s="58" t="n"/>
      <c r="O292" s="58" t="n"/>
      <c r="P292" s="58" t="inlineStr">
        <is>
          <t>Hebdomadaire</t>
        </is>
      </c>
      <c r="Q292" s="59" t="inlineStr"/>
      <c r="R292" s="58" t="n">
        <v>1</v>
      </c>
      <c r="S292" s="58" t="inlineStr">
        <is>
          <t>Oui</t>
        </is>
      </c>
      <c r="T292" s="58" t="inlineStr">
        <is>
          <t>S3-036</t>
        </is>
      </c>
      <c r="U292" s="59" t="inlineStr">
        <is>
          <t>Original (septembre)</t>
        </is>
      </c>
      <c r="V292" s="59" t="inlineStr"/>
      <c r="W292" s="10" t="n"/>
      <c r="X292" s="10" t="inlineStr"/>
      <c r="Y292" s="64">
        <f>IF($M292="","",IF(SUMPRODUCT(($D$4:$D$863=$D292)*($M$4:$M$863=$M292)*($T$4:$T$863&lt;&gt;$T292)*($F$4:$F$863&lt;$G292)*($G$4:$G$863&gt;$F292))&gt;0,"⚠ CONFLIT",""))</f>
        <v/>
      </c>
      <c r="Z292" s="64">
        <f>IF($J292="","",IF(SUMPRODUCT(($D$4:$D$863=$D292)*($J$4:$J$863=$J292)*($T$4:$T$863&lt;&gt;$T292)*($F$4:$F$863&lt;$G292)*($G$4:$G$863&gt;$F292)*(1-($X$4:$X$863="Oui")*($X292="Oui")))&gt;0,"⚠ CONFLIT",""))</f>
        <v/>
      </c>
      <c r="AA292" s="64">
        <f>IF(COUNTIFS($D$4:$D$863,$D292,$J$4:$J$863,$J292,$F$4:$F$863,$F292,$K$4:$K$863,$K292)&gt;1,"⚠ DOUBLON","")</f>
        <v/>
      </c>
      <c r="AB292" s="64">
        <f>IF(COUNTIF($T$4:$T$863,$T292)&lt;&gt;COUNTIFS($T$4:$T$863,$T292,$D$4:$D$863,$D292,$F$4:$F$863,$F292,$G$4:$G$863,$G292,$K$4:$K$863,$K292,$M$4:$M$863,$M292),"⚠ INCOHÉRENT","")</f>
        <v/>
      </c>
      <c r="AC292" s="64">
        <f>COUNTIFS($A$4:$A292,$A292,$J$4:$J292,$J292,$E$4:$E292,$E292)</f>
        <v/>
      </c>
      <c r="AD292" s="65">
        <f>$A292&amp;"|"&amp;$J292&amp;"|"&amp;$E292&amp;"|"&amp;$AC292</f>
        <v/>
      </c>
      <c r="AE292" s="66">
        <f>IF($W292&lt;&gt;"","⚑ "&amp;$W292&amp;CHAR(10),"")&amp;TEXT($F292,"hh:mm")&amp;"-"&amp;TEXT($G292,"hh:mm")&amp;IF(OR($P292="Quinzaine A",AND($P292="Hebdo · groupes alternés",$C292="A"))," Q-A",IF(OR($P292="Quinzaine B",AND($P292="Hebdo · groupes alternés",$C292="B"))," Q-B",IF($P292="Exception"," PONCT.","")))&amp;IF($X292="Oui"," OPT","")&amp;CHAR(10)&amp;$K292&amp;CHAR(10)&amp;$M292&amp;IF($N292&lt;&gt;"",CHAR(10)&amp;"Salle "&amp;$N292,"")&amp;IF($O292="En ligne",CHAR(10)&amp;"EN LIGNE","")&amp;IF($V292&lt;&gt;"",CHAR(10)&amp;$V292,"")</f>
        <v/>
      </c>
      <c r="AF292" s="65" t="inlineStr">
        <is>
          <t>19h-21h رياضيات (Bassma)</t>
        </is>
      </c>
      <c r="AG292" s="65" t="inlineStr">
        <is>
          <t>du 28-09 jusquà le 04-10!J6</t>
        </is>
      </c>
    </row>
    <row r="293" ht="15" customHeight="1">
      <c r="A293" s="58" t="inlineStr">
        <is>
          <t>S3</t>
        </is>
      </c>
      <c r="B293" s="59" t="inlineStr">
        <is>
          <t>du 28 septembre au 4 octobre 2026</t>
        </is>
      </c>
      <c r="C293" s="58" t="inlineStr">
        <is>
          <t>A</t>
        </is>
      </c>
      <c r="D293" s="60" t="n">
        <v>46296</v>
      </c>
      <c r="E293" s="58" t="inlineStr">
        <is>
          <t>Jeudi</t>
        </is>
      </c>
      <c r="F293" s="61" t="n">
        <v>0.7916666666666666</v>
      </c>
      <c r="G293" s="61" t="n">
        <v>0.875</v>
      </c>
      <c r="H293" s="62">
        <f>IF(OR($F293="",$G293=""),"",($G293-$F293)*24)</f>
        <v/>
      </c>
      <c r="I293" s="58" t="inlineStr">
        <is>
          <t>Primaire</t>
        </is>
      </c>
      <c r="J293" s="59" t="inlineStr">
        <is>
          <t>6éme (B)</t>
        </is>
      </c>
      <c r="K293" s="79" t="inlineStr">
        <is>
          <t>رياضيات</t>
        </is>
      </c>
      <c r="L293" s="79" t="inlineStr">
        <is>
          <t>Math</t>
        </is>
      </c>
      <c r="M293" s="59" t="inlineStr">
        <is>
          <t>Noura</t>
        </is>
      </c>
      <c r="N293" s="58" t="n"/>
      <c r="O293" s="58" t="n"/>
      <c r="P293" s="58" t="inlineStr">
        <is>
          <t>Hebdomadaire</t>
        </is>
      </c>
      <c r="Q293" s="59" t="inlineStr"/>
      <c r="R293" s="58" t="n">
        <v>1</v>
      </c>
      <c r="S293" s="58" t="inlineStr">
        <is>
          <t>Oui</t>
        </is>
      </c>
      <c r="T293" s="58" t="inlineStr">
        <is>
          <t>S3-037</t>
        </is>
      </c>
      <c r="U293" s="59" t="inlineStr">
        <is>
          <t>Original (septembre)</t>
        </is>
      </c>
      <c r="V293" s="59" t="inlineStr"/>
      <c r="W293" s="10" t="n"/>
      <c r="X293" s="10" t="inlineStr"/>
      <c r="Y293" s="64">
        <f>IF($M293="","",IF(SUMPRODUCT(($D$4:$D$863=$D293)*($M$4:$M$863=$M293)*($T$4:$T$863&lt;&gt;$T293)*($F$4:$F$863&lt;$G293)*($G$4:$G$863&gt;$F293))&gt;0,"⚠ CONFLIT",""))</f>
        <v/>
      </c>
      <c r="Z293" s="64">
        <f>IF($J293="","",IF(SUMPRODUCT(($D$4:$D$863=$D293)*($J$4:$J$863=$J293)*($T$4:$T$863&lt;&gt;$T293)*($F$4:$F$863&lt;$G293)*($G$4:$G$863&gt;$F293)*(1-($X$4:$X$863="Oui")*($X293="Oui")))&gt;0,"⚠ CONFLIT",""))</f>
        <v/>
      </c>
      <c r="AA293" s="64">
        <f>IF(COUNTIFS($D$4:$D$863,$D293,$J$4:$J$863,$J293,$F$4:$F$863,$F293,$K$4:$K$863,$K293)&gt;1,"⚠ DOUBLON","")</f>
        <v/>
      </c>
      <c r="AB293" s="64">
        <f>IF(COUNTIF($T$4:$T$863,$T293)&lt;&gt;COUNTIFS($T$4:$T$863,$T293,$D$4:$D$863,$D293,$F$4:$F$863,$F293,$G$4:$G$863,$G293,$K$4:$K$863,$K293,$M$4:$M$863,$M293),"⚠ INCOHÉRENT","")</f>
        <v/>
      </c>
      <c r="AC293" s="64">
        <f>COUNTIFS($A$4:$A293,$A293,$J$4:$J293,$J293,$E$4:$E293,$E293)</f>
        <v/>
      </c>
      <c r="AD293" s="65">
        <f>$A293&amp;"|"&amp;$J293&amp;"|"&amp;$E293&amp;"|"&amp;$AC293</f>
        <v/>
      </c>
      <c r="AE293" s="66">
        <f>IF($W293&lt;&gt;"","⚑ "&amp;$W293&amp;CHAR(10),"")&amp;TEXT($F293,"hh:mm")&amp;"-"&amp;TEXT($G293,"hh:mm")&amp;IF(OR($P293="Quinzaine A",AND($P293="Hebdo · groupes alternés",$C293="A"))," Q-A",IF(OR($P293="Quinzaine B",AND($P293="Hebdo · groupes alternés",$C293="B"))," Q-B",IF($P293="Exception"," PONCT.","")))&amp;IF($X293="Oui"," OPT","")&amp;CHAR(10)&amp;$K293&amp;CHAR(10)&amp;$M293&amp;IF($N293&lt;&gt;"",CHAR(10)&amp;"Salle "&amp;$N293,"")&amp;IF($O293="En ligne",CHAR(10)&amp;"EN LIGNE","")&amp;IF($V293&lt;&gt;"",CHAR(10)&amp;$V293,"")</f>
        <v/>
      </c>
      <c r="AF293" s="65" t="inlineStr">
        <is>
          <t>19h-21h رياضيات (Noura)</t>
        </is>
      </c>
      <c r="AG293" s="65" t="inlineStr">
        <is>
          <t>du 28-09 jusquà le 04-10!J16</t>
        </is>
      </c>
    </row>
    <row r="294" ht="15" customHeight="1">
      <c r="A294" s="68" t="inlineStr">
        <is>
          <t>S3</t>
        </is>
      </c>
      <c r="B294" s="69" t="inlineStr">
        <is>
          <t>du 28 septembre au 4 octobre 2026</t>
        </is>
      </c>
      <c r="C294" s="68" t="inlineStr">
        <is>
          <t>A</t>
        </is>
      </c>
      <c r="D294" s="70" t="n">
        <v>46296</v>
      </c>
      <c r="E294" s="68" t="inlineStr">
        <is>
          <t>Jeudi</t>
        </is>
      </c>
      <c r="F294" s="71" t="n">
        <v>0.8020833333333334</v>
      </c>
      <c r="G294" s="71" t="n">
        <v>0.8645833333333334</v>
      </c>
      <c r="H294" s="72">
        <f>IF(OR($F294="",$G294=""),"",($G294-$F294)*24)</f>
        <v/>
      </c>
      <c r="I294" s="68" t="inlineStr">
        <is>
          <t>Collège</t>
        </is>
      </c>
      <c r="J294" s="69" t="inlineStr">
        <is>
          <t>8éme (A)</t>
        </is>
      </c>
      <c r="K294" s="67" t="inlineStr">
        <is>
          <t>Français</t>
        </is>
      </c>
      <c r="L294" s="67" t="inlineStr">
        <is>
          <t>Français</t>
        </is>
      </c>
      <c r="M294" s="69" t="inlineStr">
        <is>
          <t>Nassima</t>
        </is>
      </c>
      <c r="N294" s="68" t="n"/>
      <c r="O294" s="68" t="n"/>
      <c r="P294" s="68" t="inlineStr">
        <is>
          <t>Hebdomadaire</t>
        </is>
      </c>
      <c r="Q294" s="69" t="inlineStr"/>
      <c r="R294" s="68" t="n">
        <v>1</v>
      </c>
      <c r="S294" s="68" t="inlineStr">
        <is>
          <t>Oui</t>
        </is>
      </c>
      <c r="T294" s="68" t="inlineStr">
        <is>
          <t>S3-038</t>
        </is>
      </c>
      <c r="U294" s="69" t="inlineStr">
        <is>
          <t>Original (septembre)</t>
        </is>
      </c>
      <c r="V294" s="69" t="inlineStr"/>
      <c r="W294" s="10" t="n"/>
      <c r="X294" s="10" t="inlineStr"/>
      <c r="Y294" s="64">
        <f>IF($M294="","",IF(SUMPRODUCT(($D$4:$D$863=$D294)*($M$4:$M$863=$M294)*($T$4:$T$863&lt;&gt;$T294)*($F$4:$F$863&lt;$G294)*($G$4:$G$863&gt;$F294))&gt;0,"⚠ CONFLIT",""))</f>
        <v/>
      </c>
      <c r="Z294" s="64">
        <f>IF($J294="","",IF(SUMPRODUCT(($D$4:$D$863=$D294)*($J$4:$J$863=$J294)*($T$4:$T$863&lt;&gt;$T294)*($F$4:$F$863&lt;$G294)*($G$4:$G$863&gt;$F294)*(1-($X$4:$X$863="Oui")*($X294="Oui")))&gt;0,"⚠ CONFLIT",""))</f>
        <v/>
      </c>
      <c r="AA294" s="64">
        <f>IF(COUNTIFS($D$4:$D$863,$D294,$J$4:$J$863,$J294,$F$4:$F$863,$F294,$K$4:$K$863,$K294)&gt;1,"⚠ DOUBLON","")</f>
        <v/>
      </c>
      <c r="AB294" s="64">
        <f>IF(COUNTIF($T$4:$T$863,$T294)&lt;&gt;COUNTIFS($T$4:$T$863,$T294,$D$4:$D$863,$D294,$F$4:$F$863,$F294,$G$4:$G$863,$G294,$K$4:$K$863,$K294,$M$4:$M$863,$M294),"⚠ INCOHÉRENT","")</f>
        <v/>
      </c>
      <c r="AC294" s="64">
        <f>COUNTIFS($A$4:$A294,$A294,$J$4:$J294,$J294,$E$4:$E294,$E294)</f>
        <v/>
      </c>
      <c r="AD294" s="65">
        <f>$A294&amp;"|"&amp;$J294&amp;"|"&amp;$E294&amp;"|"&amp;$AC294</f>
        <v/>
      </c>
      <c r="AE294" s="66">
        <f>IF($W294&lt;&gt;"","⚑ "&amp;$W294&amp;CHAR(10),"")&amp;TEXT($F294,"hh:mm")&amp;"-"&amp;TEXT($G294,"hh:mm")&amp;IF(OR($P294="Quinzaine A",AND($P294="Hebdo · groupes alternés",$C294="A"))," Q-A",IF(OR($P294="Quinzaine B",AND($P294="Hebdo · groupes alternés",$C294="B"))," Q-B",IF($P294="Exception"," PONCT.","")))&amp;IF($X294="Oui"," OPT","")&amp;CHAR(10)&amp;$K294&amp;CHAR(10)&amp;$M294&amp;IF($N294&lt;&gt;"",CHAR(10)&amp;"Salle "&amp;$N294,"")&amp;IF($O294="En ligne",CHAR(10)&amp;"EN LIGNE","")&amp;IF($V294&lt;&gt;"",CHAR(10)&amp;$V294,"")</f>
        <v/>
      </c>
      <c r="AF294" s="65" t="inlineStr">
        <is>
          <t>19h15-20h45 Français (Nassima)</t>
        </is>
      </c>
      <c r="AG294" s="65" t="inlineStr">
        <is>
          <t>du 28-09 jusquà le 04-10!J27</t>
        </is>
      </c>
    </row>
    <row r="295" ht="15" customHeight="1">
      <c r="A295" s="68" t="inlineStr">
        <is>
          <t>S3</t>
        </is>
      </c>
      <c r="B295" s="69" t="inlineStr">
        <is>
          <t>du 28 septembre au 4 octobre 2026</t>
        </is>
      </c>
      <c r="C295" s="68" t="inlineStr">
        <is>
          <t>A</t>
        </is>
      </c>
      <c r="D295" s="70" t="n">
        <v>46296</v>
      </c>
      <c r="E295" s="68" t="inlineStr">
        <is>
          <t>Jeudi</t>
        </is>
      </c>
      <c r="F295" s="71" t="n">
        <v>0.8020833333333334</v>
      </c>
      <c r="G295" s="71" t="n">
        <v>0.8645833333333334</v>
      </c>
      <c r="H295" s="72">
        <f>IF(OR($F295="",$G295=""),"",($G295-$F295)*24)</f>
        <v/>
      </c>
      <c r="I295" s="68" t="inlineStr">
        <is>
          <t>Collège</t>
        </is>
      </c>
      <c r="J295" s="69" t="inlineStr">
        <is>
          <t>8éme (C)</t>
        </is>
      </c>
      <c r="K295" s="79" t="inlineStr">
        <is>
          <t>Math</t>
        </is>
      </c>
      <c r="L295" s="79" t="inlineStr">
        <is>
          <t>Math</t>
        </is>
      </c>
      <c r="M295" s="69" t="inlineStr">
        <is>
          <t>Khouloud</t>
        </is>
      </c>
      <c r="N295" s="68" t="n"/>
      <c r="O295" s="68" t="n"/>
      <c r="P295" s="68" t="inlineStr">
        <is>
          <t>Hebdomadaire</t>
        </is>
      </c>
      <c r="Q295" s="69" t="inlineStr"/>
      <c r="R295" s="68" t="n">
        <v>1</v>
      </c>
      <c r="S295" s="68" t="inlineStr">
        <is>
          <t>Oui</t>
        </is>
      </c>
      <c r="T295" s="68" t="inlineStr">
        <is>
          <t>S3-039</t>
        </is>
      </c>
      <c r="U295" s="69" t="inlineStr">
        <is>
          <t>Original (septembre)</t>
        </is>
      </c>
      <c r="V295" s="69" t="inlineStr"/>
      <c r="W295" s="10" t="n"/>
      <c r="X295" s="10" t="inlineStr"/>
      <c r="Y295" s="64">
        <f>IF($M295="","",IF(SUMPRODUCT(($D$4:$D$863=$D295)*($M$4:$M$863=$M295)*($T$4:$T$863&lt;&gt;$T295)*($F$4:$F$863&lt;$G295)*($G$4:$G$863&gt;$F295))&gt;0,"⚠ CONFLIT",""))</f>
        <v/>
      </c>
      <c r="Z295" s="64">
        <f>IF($J295="","",IF(SUMPRODUCT(($D$4:$D$863=$D295)*($J$4:$J$863=$J295)*($T$4:$T$863&lt;&gt;$T295)*($F$4:$F$863&lt;$G295)*($G$4:$G$863&gt;$F295)*(1-($X$4:$X$863="Oui")*($X295="Oui")))&gt;0,"⚠ CONFLIT",""))</f>
        <v/>
      </c>
      <c r="AA295" s="64">
        <f>IF(COUNTIFS($D$4:$D$863,$D295,$J$4:$J$863,$J295,$F$4:$F$863,$F295,$K$4:$K$863,$K295)&gt;1,"⚠ DOUBLON","")</f>
        <v/>
      </c>
      <c r="AB295" s="64">
        <f>IF(COUNTIF($T$4:$T$863,$T295)&lt;&gt;COUNTIFS($T$4:$T$863,$T295,$D$4:$D$863,$D295,$F$4:$F$863,$F295,$G$4:$G$863,$G295,$K$4:$K$863,$K295,$M$4:$M$863,$M295),"⚠ INCOHÉRENT","")</f>
        <v/>
      </c>
      <c r="AC295" s="64">
        <f>COUNTIFS($A$4:$A295,$A295,$J$4:$J295,$J295,$E$4:$E295,$E295)</f>
        <v/>
      </c>
      <c r="AD295" s="65">
        <f>$A295&amp;"|"&amp;$J295&amp;"|"&amp;$E295&amp;"|"&amp;$AC295</f>
        <v/>
      </c>
      <c r="AE295" s="66">
        <f>IF($W295&lt;&gt;"","⚑ "&amp;$W295&amp;CHAR(10),"")&amp;TEXT($F295,"hh:mm")&amp;"-"&amp;TEXT($G295,"hh:mm")&amp;IF(OR($P295="Quinzaine A",AND($P295="Hebdo · groupes alternés",$C295="A"))," Q-A",IF(OR($P295="Quinzaine B",AND($P295="Hebdo · groupes alternés",$C295="B"))," Q-B",IF($P295="Exception"," PONCT.","")))&amp;IF($X295="Oui"," OPT","")&amp;CHAR(10)&amp;$K295&amp;CHAR(10)&amp;$M295&amp;IF($N295&lt;&gt;"",CHAR(10)&amp;"Salle "&amp;$N295,"")&amp;IF($O295="En ligne",CHAR(10)&amp;"EN LIGNE","")&amp;IF($V295&lt;&gt;"",CHAR(10)&amp;$V295,"")</f>
        <v/>
      </c>
      <c r="AF295" s="65" t="inlineStr">
        <is>
          <t>19h15-20h45 Math (Khouloud)</t>
        </is>
      </c>
      <c r="AG295" s="65" t="inlineStr">
        <is>
          <t>du 28-09 jusquà le 04-10!J34</t>
        </is>
      </c>
    </row>
    <row r="296" ht="15" customHeight="1">
      <c r="A296" s="68" t="inlineStr">
        <is>
          <t>S3</t>
        </is>
      </c>
      <c r="B296" s="69" t="inlineStr">
        <is>
          <t>du 28 septembre au 4 octobre 2026</t>
        </is>
      </c>
      <c r="C296" s="68" t="inlineStr">
        <is>
          <t>A</t>
        </is>
      </c>
      <c r="D296" s="70" t="n">
        <v>46296</v>
      </c>
      <c r="E296" s="68" t="inlineStr">
        <is>
          <t>Jeudi</t>
        </is>
      </c>
      <c r="F296" s="71" t="n">
        <v>0.8020833333333334</v>
      </c>
      <c r="G296" s="71" t="n">
        <v>0.8645833333333334</v>
      </c>
      <c r="H296" s="72">
        <f>IF(OR($F296="",$G296=""),"",($G296-$F296)*24)</f>
        <v/>
      </c>
      <c r="I296" s="68" t="inlineStr">
        <is>
          <t>Collège</t>
        </is>
      </c>
      <c r="J296" s="69" t="inlineStr">
        <is>
          <t>9éme (A)</t>
        </is>
      </c>
      <c r="K296" s="88" t="inlineStr">
        <is>
          <t>SVT</t>
        </is>
      </c>
      <c r="L296" s="88" t="inlineStr">
        <is>
          <t>SVT</t>
        </is>
      </c>
      <c r="M296" s="69" t="inlineStr">
        <is>
          <t>Imen Jribi</t>
        </is>
      </c>
      <c r="N296" s="68" t="n"/>
      <c r="O296" s="68" t="n"/>
      <c r="P296" s="68" t="inlineStr">
        <is>
          <t>Hebdomadaire</t>
        </is>
      </c>
      <c r="Q296" s="69" t="inlineStr"/>
      <c r="R296" s="68" t="n">
        <v>1</v>
      </c>
      <c r="S296" s="68" t="inlineStr">
        <is>
          <t>Oui</t>
        </is>
      </c>
      <c r="T296" s="68" t="inlineStr">
        <is>
          <t>S3-040</t>
        </is>
      </c>
      <c r="U296" s="69" t="inlineStr">
        <is>
          <t>Original (septembre)</t>
        </is>
      </c>
      <c r="V296" s="69" t="inlineStr"/>
      <c r="W296" s="10" t="n"/>
      <c r="X296" s="10" t="inlineStr"/>
      <c r="Y296" s="64">
        <f>IF($M296="","",IF(SUMPRODUCT(($D$4:$D$863=$D296)*($M$4:$M$863=$M296)*($T$4:$T$863&lt;&gt;$T296)*($F$4:$F$863&lt;$G296)*($G$4:$G$863&gt;$F296))&gt;0,"⚠ CONFLIT",""))</f>
        <v/>
      </c>
      <c r="Z296" s="64">
        <f>IF($J296="","",IF(SUMPRODUCT(($D$4:$D$863=$D296)*($J$4:$J$863=$J296)*($T$4:$T$863&lt;&gt;$T296)*($F$4:$F$863&lt;$G296)*($G$4:$G$863&gt;$F296)*(1-($X$4:$X$863="Oui")*($X296="Oui")))&gt;0,"⚠ CONFLIT",""))</f>
        <v/>
      </c>
      <c r="AA296" s="64">
        <f>IF(COUNTIFS($D$4:$D$863,$D296,$J$4:$J$863,$J296,$F$4:$F$863,$F296,$K$4:$K$863,$K296)&gt;1,"⚠ DOUBLON","")</f>
        <v/>
      </c>
      <c r="AB296" s="64">
        <f>IF(COUNTIF($T$4:$T$863,$T296)&lt;&gt;COUNTIFS($T$4:$T$863,$T296,$D$4:$D$863,$D296,$F$4:$F$863,$F296,$G$4:$G$863,$G296,$K$4:$K$863,$K296,$M$4:$M$863,$M296),"⚠ INCOHÉRENT","")</f>
        <v/>
      </c>
      <c r="AC296" s="64">
        <f>COUNTIFS($A$4:$A296,$A296,$J$4:$J296,$J296,$E$4:$E296,$E296)</f>
        <v/>
      </c>
      <c r="AD296" s="65">
        <f>$A296&amp;"|"&amp;$J296&amp;"|"&amp;$E296&amp;"|"&amp;$AC296</f>
        <v/>
      </c>
      <c r="AE296" s="66">
        <f>IF($W296&lt;&gt;"","⚑ "&amp;$W296&amp;CHAR(10),"")&amp;TEXT($F296,"hh:mm")&amp;"-"&amp;TEXT($G296,"hh:mm")&amp;IF(OR($P296="Quinzaine A",AND($P296="Hebdo · groupes alternés",$C296="A"))," Q-A",IF(OR($P296="Quinzaine B",AND($P296="Hebdo · groupes alternés",$C296="B"))," Q-B",IF($P296="Exception"," PONCT.","")))&amp;IF($X296="Oui"," OPT","")&amp;CHAR(10)&amp;$K296&amp;CHAR(10)&amp;$M296&amp;IF($N296&lt;&gt;"",CHAR(10)&amp;"Salle "&amp;$N296,"")&amp;IF($O296="En ligne",CHAR(10)&amp;"EN LIGNE","")&amp;IF($V296&lt;&gt;"",CHAR(10)&amp;$V296,"")</f>
        <v/>
      </c>
      <c r="AF296" s="65" t="inlineStr">
        <is>
          <t>19h15-20h45 SVT (Imen Jribi)</t>
        </is>
      </c>
      <c r="AG296" s="65" t="inlineStr">
        <is>
          <t>du 28-09 jusquà le 04-10!J36</t>
        </is>
      </c>
    </row>
    <row r="297" ht="15" customHeight="1">
      <c r="A297" s="68" t="inlineStr">
        <is>
          <t>S3</t>
        </is>
      </c>
      <c r="B297" s="69" t="inlineStr">
        <is>
          <t>du 28 septembre au 4 octobre 2026</t>
        </is>
      </c>
      <c r="C297" s="68" t="inlineStr">
        <is>
          <t>A</t>
        </is>
      </c>
      <c r="D297" s="70" t="n">
        <v>46296</v>
      </c>
      <c r="E297" s="68" t="inlineStr">
        <is>
          <t>Jeudi</t>
        </is>
      </c>
      <c r="F297" s="71" t="n">
        <v>0.8125</v>
      </c>
      <c r="G297" s="71" t="n">
        <v>0.875</v>
      </c>
      <c r="H297" s="72">
        <f>IF(OR($F297="",$G297=""),"",($G297-$F297)*24)</f>
        <v/>
      </c>
      <c r="I297" s="68" t="inlineStr">
        <is>
          <t>Collège</t>
        </is>
      </c>
      <c r="J297" s="69" t="inlineStr">
        <is>
          <t>9éme (C)</t>
        </is>
      </c>
      <c r="K297" s="87" t="inlineStr">
        <is>
          <t>Anglais</t>
        </is>
      </c>
      <c r="L297" s="87" t="inlineStr">
        <is>
          <t>Anglais</t>
        </is>
      </c>
      <c r="M297" s="69" t="inlineStr">
        <is>
          <t>Saber</t>
        </is>
      </c>
      <c r="N297" s="68" t="n"/>
      <c r="O297" s="68" t="n"/>
      <c r="P297" s="68" t="inlineStr">
        <is>
          <t>Hebdomadaire</t>
        </is>
      </c>
      <c r="Q297" s="69" t="inlineStr"/>
      <c r="R297" s="68" t="n">
        <v>1</v>
      </c>
      <c r="S297" s="68" t="inlineStr">
        <is>
          <t>Oui</t>
        </is>
      </c>
      <c r="T297" s="68" t="inlineStr">
        <is>
          <t>S3-041</t>
        </is>
      </c>
      <c r="U297" s="69" t="inlineStr">
        <is>
          <t>Original (septembre)</t>
        </is>
      </c>
      <c r="V297" s="69" t="inlineStr"/>
      <c r="W297" s="10" t="n"/>
      <c r="X297" s="10" t="inlineStr"/>
      <c r="Y297" s="64">
        <f>IF($M297="","",IF(SUMPRODUCT(($D$4:$D$863=$D297)*($M$4:$M$863=$M297)*($T$4:$T$863&lt;&gt;$T297)*($F$4:$F$863&lt;$G297)*($G$4:$G$863&gt;$F297))&gt;0,"⚠ CONFLIT",""))</f>
        <v/>
      </c>
      <c r="Z297" s="64">
        <f>IF($J297="","",IF(SUMPRODUCT(($D$4:$D$863=$D297)*($J$4:$J$863=$J297)*($T$4:$T$863&lt;&gt;$T297)*($F$4:$F$863&lt;$G297)*($G$4:$G$863&gt;$F297)*(1-($X$4:$X$863="Oui")*($X297="Oui")))&gt;0,"⚠ CONFLIT",""))</f>
        <v/>
      </c>
      <c r="AA297" s="64">
        <f>IF(COUNTIFS($D$4:$D$863,$D297,$J$4:$J$863,$J297,$F$4:$F$863,$F297,$K$4:$K$863,$K297)&gt;1,"⚠ DOUBLON","")</f>
        <v/>
      </c>
      <c r="AB297" s="64">
        <f>IF(COUNTIF($T$4:$T$863,$T297)&lt;&gt;COUNTIFS($T$4:$T$863,$T297,$D$4:$D$863,$D297,$F$4:$F$863,$F297,$G$4:$G$863,$G297,$K$4:$K$863,$K297,$M$4:$M$863,$M297),"⚠ INCOHÉRENT","")</f>
        <v/>
      </c>
      <c r="AC297" s="64">
        <f>COUNTIFS($A$4:$A297,$A297,$J$4:$J297,$J297,$E$4:$E297,$E297)</f>
        <v/>
      </c>
      <c r="AD297" s="65">
        <f>$A297&amp;"|"&amp;$J297&amp;"|"&amp;$E297&amp;"|"&amp;$AC297</f>
        <v/>
      </c>
      <c r="AE297" s="66">
        <f>IF($W297&lt;&gt;"","⚑ "&amp;$W297&amp;CHAR(10),"")&amp;TEXT($F297,"hh:mm")&amp;"-"&amp;TEXT($G297,"hh:mm")&amp;IF(OR($P297="Quinzaine A",AND($P297="Hebdo · groupes alternés",$C297="A"))," Q-A",IF(OR($P297="Quinzaine B",AND($P297="Hebdo · groupes alternés",$C297="B"))," Q-B",IF($P297="Exception"," PONCT.","")))&amp;IF($X297="Oui"," OPT","")&amp;CHAR(10)&amp;$K297&amp;CHAR(10)&amp;$M297&amp;IF($N297&lt;&gt;"",CHAR(10)&amp;"Salle "&amp;$N297,"")&amp;IF($O297="En ligne",CHAR(10)&amp;"EN LIGNE","")&amp;IF($V297&lt;&gt;"",CHAR(10)&amp;$V297,"")</f>
        <v/>
      </c>
      <c r="AF297" s="65" t="inlineStr">
        <is>
          <t>19h30-21h Anglais (Saber)</t>
        </is>
      </c>
      <c r="AG297" s="65" t="inlineStr">
        <is>
          <t>du 28-09 jusquà le 04-10!J46</t>
        </is>
      </c>
    </row>
    <row r="298" ht="15" customHeight="1">
      <c r="A298" s="74" t="inlineStr">
        <is>
          <t>S3</t>
        </is>
      </c>
      <c r="B298" s="75" t="inlineStr">
        <is>
          <t>du 28 septembre au 4 octobre 2026</t>
        </is>
      </c>
      <c r="C298" s="74" t="inlineStr">
        <is>
          <t>A</t>
        </is>
      </c>
      <c r="D298" s="76" t="n">
        <v>46296</v>
      </c>
      <c r="E298" s="74" t="inlineStr">
        <is>
          <t>Jeudi</t>
        </is>
      </c>
      <c r="F298" s="77" t="n">
        <v>0.8020833333333334</v>
      </c>
      <c r="G298" s="77" t="n">
        <v>0.8645833333333334</v>
      </c>
      <c r="H298" s="78">
        <f>IF(OR($F298="",$G298=""),"",($G298-$F298)*24)</f>
        <v/>
      </c>
      <c r="I298" s="74" t="inlineStr">
        <is>
          <t>Secondaire</t>
        </is>
      </c>
      <c r="J298" s="75" t="inlineStr">
        <is>
          <t>1ére (A)</t>
        </is>
      </c>
      <c r="K298" s="87" t="inlineStr">
        <is>
          <t>Anglais</t>
        </is>
      </c>
      <c r="L298" s="87" t="inlineStr">
        <is>
          <t>Anglais</t>
        </is>
      </c>
      <c r="M298" s="75" t="inlineStr">
        <is>
          <t>Imen Bennour</t>
        </is>
      </c>
      <c r="N298" s="74" t="n"/>
      <c r="O298" s="74" t="n"/>
      <c r="P298" s="74" t="inlineStr">
        <is>
          <t>Hebdo · groupes alternés</t>
        </is>
      </c>
      <c r="Q298" s="75" t="inlineStr"/>
      <c r="R298" s="74" t="n">
        <v>1</v>
      </c>
      <c r="S298" s="74" t="inlineStr">
        <is>
          <t>Oui</t>
        </is>
      </c>
      <c r="T298" s="74" t="inlineStr">
        <is>
          <t>S3-042</t>
        </is>
      </c>
      <c r="U298" s="75" t="inlineStr">
        <is>
          <t>Original (septembre)</t>
        </is>
      </c>
      <c r="V298" s="75" t="inlineStr"/>
      <c r="W298" s="10" t="n"/>
      <c r="X298" s="10" t="inlineStr"/>
      <c r="Y298" s="64">
        <f>IF($M298="","",IF(SUMPRODUCT(($D$4:$D$863=$D298)*($M$4:$M$863=$M298)*($T$4:$T$863&lt;&gt;$T298)*($F$4:$F$863&lt;$G298)*($G$4:$G$863&gt;$F298))&gt;0,"⚠ CONFLIT",""))</f>
        <v/>
      </c>
      <c r="Z298" s="64">
        <f>IF($J298="","",IF(SUMPRODUCT(($D$4:$D$863=$D298)*($J$4:$J$863=$J298)*($T$4:$T$863&lt;&gt;$T298)*($F$4:$F$863&lt;$G298)*($G$4:$G$863&gt;$F298)*(1-($X$4:$X$863="Oui")*($X298="Oui")))&gt;0,"⚠ CONFLIT",""))</f>
        <v/>
      </c>
      <c r="AA298" s="64">
        <f>IF(COUNTIFS($D$4:$D$863,$D298,$J$4:$J$863,$J298,$F$4:$F$863,$F298,$K$4:$K$863,$K298)&gt;1,"⚠ DOUBLON","")</f>
        <v/>
      </c>
      <c r="AB298" s="64">
        <f>IF(COUNTIF($T$4:$T$863,$T298)&lt;&gt;COUNTIFS($T$4:$T$863,$T298,$D$4:$D$863,$D298,$F$4:$F$863,$F298,$G$4:$G$863,$G298,$K$4:$K$863,$K298,$M$4:$M$863,$M298),"⚠ INCOHÉRENT","")</f>
        <v/>
      </c>
      <c r="AC298" s="64">
        <f>COUNTIFS($A$4:$A298,$A298,$J$4:$J298,$J298,$E$4:$E298,$E298)</f>
        <v/>
      </c>
      <c r="AD298" s="65">
        <f>$A298&amp;"|"&amp;$J298&amp;"|"&amp;$E298&amp;"|"&amp;$AC298</f>
        <v/>
      </c>
      <c r="AE298" s="66">
        <f>IF($W298&lt;&gt;"","⚑ "&amp;$W298&amp;CHAR(10),"")&amp;TEXT($F298,"hh:mm")&amp;"-"&amp;TEXT($G298,"hh:mm")&amp;IF(OR($P298="Quinzaine A",AND($P298="Hebdo · groupes alternés",$C298="A"))," Q-A",IF(OR($P298="Quinzaine B",AND($P298="Hebdo · groupes alternés",$C298="B"))," Q-B",IF($P298="Exception"," PONCT.","")))&amp;IF($X298="Oui"," OPT","")&amp;CHAR(10)&amp;$K298&amp;CHAR(10)&amp;$M298&amp;IF($N298&lt;&gt;"",CHAR(10)&amp;"Salle "&amp;$N298,"")&amp;IF($O298="En ligne",CHAR(10)&amp;"EN LIGNE","")&amp;IF($V298&lt;&gt;"",CHAR(10)&amp;$V298,"")</f>
        <v/>
      </c>
      <c r="AF298" s="65" t="inlineStr">
        <is>
          <t>19h15-20h45 Anglais /par quinzaine (Imen Bennour)</t>
        </is>
      </c>
      <c r="AG298" s="65" t="inlineStr">
        <is>
          <t>du 28-09 jusquà le 04-10!J48</t>
        </is>
      </c>
    </row>
    <row r="299" ht="15" customHeight="1">
      <c r="A299" s="74" t="inlineStr">
        <is>
          <t>S3</t>
        </is>
      </c>
      <c r="B299" s="75" t="inlineStr">
        <is>
          <t>du 28 septembre au 4 octobre 2026</t>
        </is>
      </c>
      <c r="C299" s="74" t="inlineStr">
        <is>
          <t>A</t>
        </is>
      </c>
      <c r="D299" s="76" t="n">
        <v>46296</v>
      </c>
      <c r="E299" s="74" t="inlineStr">
        <is>
          <t>Jeudi</t>
        </is>
      </c>
      <c r="F299" s="77" t="n">
        <v>0.7916666666666666</v>
      </c>
      <c r="G299" s="77" t="n">
        <v>0.8541666666666666</v>
      </c>
      <c r="H299" s="78">
        <f>IF(OR($F299="",$G299=""),"",($G299-$F299)*24)</f>
        <v/>
      </c>
      <c r="I299" s="74" t="inlineStr">
        <is>
          <t>Secondaire</t>
        </is>
      </c>
      <c r="J299" s="75" t="inlineStr">
        <is>
          <t>2éme Eco</t>
        </is>
      </c>
      <c r="K299" s="86" t="inlineStr">
        <is>
          <t>Gestion</t>
        </is>
      </c>
      <c r="L299" s="86" t="inlineStr">
        <is>
          <t>Gestion</t>
        </is>
      </c>
      <c r="M299" s="75" t="inlineStr">
        <is>
          <t>Yassine</t>
        </is>
      </c>
      <c r="N299" s="74" t="n"/>
      <c r="O299" s="74" t="n"/>
      <c r="P299" s="74" t="inlineStr">
        <is>
          <t>Hebdomadaire</t>
        </is>
      </c>
      <c r="Q299" s="75" t="inlineStr"/>
      <c r="R299" s="74" t="n">
        <v>1</v>
      </c>
      <c r="S299" s="74" t="inlineStr">
        <is>
          <t>Oui</t>
        </is>
      </c>
      <c r="T299" s="74" t="inlineStr">
        <is>
          <t>S3-043</t>
        </is>
      </c>
      <c r="U299" s="75" t="inlineStr">
        <is>
          <t>Original (septembre)</t>
        </is>
      </c>
      <c r="V299" s="75" t="inlineStr"/>
      <c r="W299" s="10" t="n"/>
      <c r="X299" s="10" t="inlineStr"/>
      <c r="Y299" s="64">
        <f>IF($M299="","",IF(SUMPRODUCT(($D$4:$D$863=$D299)*($M$4:$M$863=$M299)*($T$4:$T$863&lt;&gt;$T299)*($F$4:$F$863&lt;$G299)*($G$4:$G$863&gt;$F299))&gt;0,"⚠ CONFLIT",""))</f>
        <v/>
      </c>
      <c r="Z299" s="64">
        <f>IF($J299="","",IF(SUMPRODUCT(($D$4:$D$863=$D299)*($J$4:$J$863=$J299)*($T$4:$T$863&lt;&gt;$T299)*($F$4:$F$863&lt;$G299)*($G$4:$G$863&gt;$F299)*(1-($X$4:$X$863="Oui")*($X299="Oui")))&gt;0,"⚠ CONFLIT",""))</f>
        <v/>
      </c>
      <c r="AA299" s="64">
        <f>IF(COUNTIFS($D$4:$D$863,$D299,$J$4:$J$863,$J299,$F$4:$F$863,$F299,$K$4:$K$863,$K299)&gt;1,"⚠ DOUBLON","")</f>
        <v/>
      </c>
      <c r="AB299" s="64">
        <f>IF(COUNTIF($T$4:$T$863,$T299)&lt;&gt;COUNTIFS($T$4:$T$863,$T299,$D$4:$D$863,$D299,$F$4:$F$863,$F299,$G$4:$G$863,$G299,$K$4:$K$863,$K299,$M$4:$M$863,$M299),"⚠ INCOHÉRENT","")</f>
        <v/>
      </c>
      <c r="AC299" s="64">
        <f>COUNTIFS($A$4:$A299,$A299,$J$4:$J299,$J299,$E$4:$E299,$E299)</f>
        <v/>
      </c>
      <c r="AD299" s="65">
        <f>$A299&amp;"|"&amp;$J299&amp;"|"&amp;$E299&amp;"|"&amp;$AC299</f>
        <v/>
      </c>
      <c r="AE299" s="66">
        <f>IF($W299&lt;&gt;"","⚑ "&amp;$W299&amp;CHAR(10),"")&amp;TEXT($F299,"hh:mm")&amp;"-"&amp;TEXT($G299,"hh:mm")&amp;IF(OR($P299="Quinzaine A",AND($P299="Hebdo · groupes alternés",$C299="A"))," Q-A",IF(OR($P299="Quinzaine B",AND($P299="Hebdo · groupes alternés",$C299="B"))," Q-B",IF($P299="Exception"," PONCT.","")))&amp;IF($X299="Oui"," OPT","")&amp;CHAR(10)&amp;$K299&amp;CHAR(10)&amp;$M299&amp;IF($N299&lt;&gt;"",CHAR(10)&amp;"Salle "&amp;$N299,"")&amp;IF($O299="En ligne",CHAR(10)&amp;"EN LIGNE","")&amp;IF($V299&lt;&gt;"",CHAR(10)&amp;$V299,"")</f>
        <v/>
      </c>
      <c r="AF299" s="65" t="inlineStr">
        <is>
          <t>19h-20h30 Gestion (Yassine)</t>
        </is>
      </c>
      <c r="AG299" s="65" t="inlineStr">
        <is>
          <t>du 28-09 jusquà le 04-10!J56</t>
        </is>
      </c>
    </row>
    <row r="300" ht="15" customHeight="1">
      <c r="A300" s="74" t="inlineStr">
        <is>
          <t>S3</t>
        </is>
      </c>
      <c r="B300" s="75" t="inlineStr">
        <is>
          <t>du 28 septembre au 4 octobre 2026</t>
        </is>
      </c>
      <c r="C300" s="74" t="inlineStr">
        <is>
          <t>A</t>
        </is>
      </c>
      <c r="D300" s="76" t="n">
        <v>46296</v>
      </c>
      <c r="E300" s="74" t="inlineStr">
        <is>
          <t>Jeudi</t>
        </is>
      </c>
      <c r="F300" s="77" t="n">
        <v>0.8125</v>
      </c>
      <c r="G300" s="77" t="n">
        <v>0.875</v>
      </c>
      <c r="H300" s="78">
        <f>IF(OR($F300="",$G300=""),"",($G300-$F300)*24)</f>
        <v/>
      </c>
      <c r="I300" s="74" t="inlineStr">
        <is>
          <t>Secondaire</t>
        </is>
      </c>
      <c r="J300" s="75" t="inlineStr">
        <is>
          <t>2éme SCE</t>
        </is>
      </c>
      <c r="K300" s="79" t="inlineStr">
        <is>
          <t>Math</t>
        </is>
      </c>
      <c r="L300" s="79" t="inlineStr">
        <is>
          <t>Math</t>
        </is>
      </c>
      <c r="M300" s="75" t="inlineStr">
        <is>
          <t>Haythem</t>
        </is>
      </c>
      <c r="N300" s="74" t="n"/>
      <c r="O300" s="74" t="n"/>
      <c r="P300" s="74" t="inlineStr">
        <is>
          <t>Hebdomadaire</t>
        </is>
      </c>
      <c r="Q300" s="75" t="inlineStr"/>
      <c r="R300" s="74" t="n">
        <v>1</v>
      </c>
      <c r="S300" s="74" t="inlineStr">
        <is>
          <t>Oui</t>
        </is>
      </c>
      <c r="T300" s="74" t="inlineStr">
        <is>
          <t>S3-044</t>
        </is>
      </c>
      <c r="U300" s="75" t="inlineStr">
        <is>
          <t>Original (septembre)</t>
        </is>
      </c>
      <c r="V300" s="75" t="inlineStr"/>
      <c r="W300" s="10" t="n"/>
      <c r="X300" s="10" t="inlineStr"/>
      <c r="Y300" s="64">
        <f>IF($M300="","",IF(SUMPRODUCT(($D$4:$D$863=$D300)*($M$4:$M$863=$M300)*($T$4:$T$863&lt;&gt;$T300)*($F$4:$F$863&lt;$G300)*($G$4:$G$863&gt;$F300))&gt;0,"⚠ CONFLIT",""))</f>
        <v/>
      </c>
      <c r="Z300" s="64">
        <f>IF($J300="","",IF(SUMPRODUCT(($D$4:$D$863=$D300)*($J$4:$J$863=$J300)*($T$4:$T$863&lt;&gt;$T300)*($F$4:$F$863&lt;$G300)*($G$4:$G$863&gt;$F300)*(1-($X$4:$X$863="Oui")*($X300="Oui")))&gt;0,"⚠ CONFLIT",""))</f>
        <v/>
      </c>
      <c r="AA300" s="64">
        <f>IF(COUNTIFS($D$4:$D$863,$D300,$J$4:$J$863,$J300,$F$4:$F$863,$F300,$K$4:$K$863,$K300)&gt;1,"⚠ DOUBLON","")</f>
        <v/>
      </c>
      <c r="AB300" s="64">
        <f>IF(COUNTIF($T$4:$T$863,$T300)&lt;&gt;COUNTIFS($T$4:$T$863,$T300,$D$4:$D$863,$D300,$F$4:$F$863,$F300,$G$4:$G$863,$G300,$K$4:$K$863,$K300,$M$4:$M$863,$M300),"⚠ INCOHÉRENT","")</f>
        <v/>
      </c>
      <c r="AC300" s="64">
        <f>COUNTIFS($A$4:$A300,$A300,$J$4:$J300,$J300,$E$4:$E300,$E300)</f>
        <v/>
      </c>
      <c r="AD300" s="65">
        <f>$A300&amp;"|"&amp;$J300&amp;"|"&amp;$E300&amp;"|"&amp;$AC300</f>
        <v/>
      </c>
      <c r="AE300" s="66">
        <f>IF($W300&lt;&gt;"","⚑ "&amp;$W300&amp;CHAR(10),"")&amp;TEXT($F300,"hh:mm")&amp;"-"&amp;TEXT($G300,"hh:mm")&amp;IF(OR($P300="Quinzaine A",AND($P300="Hebdo · groupes alternés",$C300="A"))," Q-A",IF(OR($P300="Quinzaine B",AND($P300="Hebdo · groupes alternés",$C300="B"))," Q-B",IF($P300="Exception"," PONCT.","")))&amp;IF($X300="Oui"," OPT","")&amp;CHAR(10)&amp;$K300&amp;CHAR(10)&amp;$M300&amp;IF($N300&lt;&gt;"",CHAR(10)&amp;"Salle "&amp;$N300,"")&amp;IF($O300="En ligne",CHAR(10)&amp;"EN LIGNE","")&amp;IF($V300&lt;&gt;"",CHAR(10)&amp;$V300,"")</f>
        <v/>
      </c>
      <c r="AF300" s="65" t="inlineStr">
        <is>
          <t>19h30-21h Math (Haythem)</t>
        </is>
      </c>
      <c r="AG300" s="65" t="inlineStr">
        <is>
          <t>du 28-09 jusquà le 04-10!J58</t>
        </is>
      </c>
    </row>
    <row r="301" ht="15" customHeight="1">
      <c r="A301" s="74" t="inlineStr">
        <is>
          <t>S3</t>
        </is>
      </c>
      <c r="B301" s="75" t="inlineStr">
        <is>
          <t>du 28 septembre au 4 octobre 2026</t>
        </is>
      </c>
      <c r="C301" s="74" t="inlineStr">
        <is>
          <t>A</t>
        </is>
      </c>
      <c r="D301" s="76" t="n">
        <v>46296</v>
      </c>
      <c r="E301" s="74" t="inlineStr">
        <is>
          <t>Jeudi</t>
        </is>
      </c>
      <c r="F301" s="77" t="n">
        <v>0.8125</v>
      </c>
      <c r="G301" s="77" t="n">
        <v>0.875</v>
      </c>
      <c r="H301" s="78">
        <f>IF(OR($F301="",$G301=""),"",($G301-$F301)*24)</f>
        <v/>
      </c>
      <c r="I301" s="74" t="inlineStr">
        <is>
          <t>Secondaire</t>
        </is>
      </c>
      <c r="J301" s="75" t="inlineStr">
        <is>
          <t>2éme INFO</t>
        </is>
      </c>
      <c r="K301" s="73" t="inlineStr">
        <is>
          <t>Physique</t>
        </is>
      </c>
      <c r="L301" s="73" t="inlineStr">
        <is>
          <t>Physique</t>
        </is>
      </c>
      <c r="M301" s="75" t="inlineStr">
        <is>
          <t>Samia</t>
        </is>
      </c>
      <c r="N301" s="74" t="n"/>
      <c r="O301" s="74" t="n"/>
      <c r="P301" s="74" t="inlineStr">
        <is>
          <t>Hebdomadaire</t>
        </is>
      </c>
      <c r="Q301" s="75" t="inlineStr"/>
      <c r="R301" s="74" t="n">
        <v>1</v>
      </c>
      <c r="S301" s="74" t="inlineStr">
        <is>
          <t>Oui</t>
        </is>
      </c>
      <c r="T301" s="74" t="inlineStr">
        <is>
          <t>S3-045</t>
        </is>
      </c>
      <c r="U301" s="75" t="inlineStr">
        <is>
          <t>Original (septembre)</t>
        </is>
      </c>
      <c r="V301" s="75" t="inlineStr"/>
      <c r="W301" s="10" t="n"/>
      <c r="X301" s="10" t="inlineStr"/>
      <c r="Y301" s="64">
        <f>IF($M301="","",IF(SUMPRODUCT(($D$4:$D$863=$D301)*($M$4:$M$863=$M301)*($T$4:$T$863&lt;&gt;$T301)*($F$4:$F$863&lt;$G301)*($G$4:$G$863&gt;$F301))&gt;0,"⚠ CONFLIT",""))</f>
        <v/>
      </c>
      <c r="Z301" s="64">
        <f>IF($J301="","",IF(SUMPRODUCT(($D$4:$D$863=$D301)*($J$4:$J$863=$J301)*($T$4:$T$863&lt;&gt;$T301)*($F$4:$F$863&lt;$G301)*($G$4:$G$863&gt;$F301)*(1-($X$4:$X$863="Oui")*($X301="Oui")))&gt;0,"⚠ CONFLIT",""))</f>
        <v/>
      </c>
      <c r="AA301" s="64">
        <f>IF(COUNTIFS($D$4:$D$863,$D301,$J$4:$J$863,$J301,$F$4:$F$863,$F301,$K$4:$K$863,$K301)&gt;1,"⚠ DOUBLON","")</f>
        <v/>
      </c>
      <c r="AB301" s="64">
        <f>IF(COUNTIF($T$4:$T$863,$T301)&lt;&gt;COUNTIFS($T$4:$T$863,$T301,$D$4:$D$863,$D301,$F$4:$F$863,$F301,$G$4:$G$863,$G301,$K$4:$K$863,$K301,$M$4:$M$863,$M301),"⚠ INCOHÉRENT","")</f>
        <v/>
      </c>
      <c r="AC301" s="64">
        <f>COUNTIFS($A$4:$A301,$A301,$J$4:$J301,$J301,$E$4:$E301,$E301)</f>
        <v/>
      </c>
      <c r="AD301" s="65">
        <f>$A301&amp;"|"&amp;$J301&amp;"|"&amp;$E301&amp;"|"&amp;$AC301</f>
        <v/>
      </c>
      <c r="AE301" s="66">
        <f>IF($W301&lt;&gt;"","⚑ "&amp;$W301&amp;CHAR(10),"")&amp;TEXT($F301,"hh:mm")&amp;"-"&amp;TEXT($G301,"hh:mm")&amp;IF(OR($P301="Quinzaine A",AND($P301="Hebdo · groupes alternés",$C301="A"))," Q-A",IF(OR($P301="Quinzaine B",AND($P301="Hebdo · groupes alternés",$C301="B"))," Q-B",IF($P301="Exception"," PONCT.","")))&amp;IF($X301="Oui"," OPT","")&amp;CHAR(10)&amp;$K301&amp;CHAR(10)&amp;$M301&amp;IF($N301&lt;&gt;"",CHAR(10)&amp;"Salle "&amp;$N301,"")&amp;IF($O301="En ligne",CHAR(10)&amp;"EN LIGNE","")&amp;IF($V301&lt;&gt;"",CHAR(10)&amp;$V301,"")</f>
        <v/>
      </c>
      <c r="AF301" s="65" t="inlineStr">
        <is>
          <t>19h30-21h Physique (Samia)</t>
        </is>
      </c>
      <c r="AG301" s="65" t="inlineStr">
        <is>
          <t>du 28-09 jusquà le 04-10!J60</t>
        </is>
      </c>
    </row>
    <row r="302" ht="15" customHeight="1">
      <c r="A302" s="74" t="inlineStr">
        <is>
          <t>S3</t>
        </is>
      </c>
      <c r="B302" s="75" t="inlineStr">
        <is>
          <t>du 28 septembre au 4 octobre 2026</t>
        </is>
      </c>
      <c r="C302" s="74" t="inlineStr">
        <is>
          <t>A</t>
        </is>
      </c>
      <c r="D302" s="76" t="n">
        <v>46296</v>
      </c>
      <c r="E302" s="74" t="inlineStr">
        <is>
          <t>Jeudi</t>
        </is>
      </c>
      <c r="F302" s="77" t="n">
        <v>0.8125</v>
      </c>
      <c r="G302" s="77" t="n">
        <v>0.875</v>
      </c>
      <c r="H302" s="78">
        <f>IF(OR($F302="",$G302=""),"",($G302-$F302)*24)</f>
        <v/>
      </c>
      <c r="I302" s="74" t="inlineStr">
        <is>
          <t>Secondaire</t>
        </is>
      </c>
      <c r="J302" s="75" t="inlineStr">
        <is>
          <t>3éme Eco</t>
        </is>
      </c>
      <c r="K302" s="63" t="inlineStr">
        <is>
          <t>Arabe</t>
        </is>
      </c>
      <c r="L302" s="63" t="inlineStr">
        <is>
          <t>Arabe</t>
        </is>
      </c>
      <c r="M302" s="75" t="inlineStr">
        <is>
          <t>Najet</t>
        </is>
      </c>
      <c r="N302" s="74" t="n"/>
      <c r="O302" s="74" t="n"/>
      <c r="P302" s="74" t="inlineStr">
        <is>
          <t>Hebdo · groupes alternés</t>
        </is>
      </c>
      <c r="Q302" s="75" t="inlineStr">
        <is>
          <t>3éme Eco + 3éme INFO + 3éme SCE</t>
        </is>
      </c>
      <c r="R302" s="74" t="n">
        <v>3</v>
      </c>
      <c r="S302" s="74" t="inlineStr">
        <is>
          <t>Oui</t>
        </is>
      </c>
      <c r="T302" s="74" t="inlineStr">
        <is>
          <t>S3-046</t>
        </is>
      </c>
      <c r="U302" s="75" t="inlineStr">
        <is>
          <t>Original (septembre)</t>
        </is>
      </c>
      <c r="V302" s="75" t="inlineStr"/>
      <c r="W302" s="10" t="n"/>
      <c r="X302" s="10" t="inlineStr"/>
      <c r="Y302" s="64">
        <f>IF($M302="","",IF(SUMPRODUCT(($D$4:$D$863=$D302)*($M$4:$M$863=$M302)*($T$4:$T$863&lt;&gt;$T302)*($F$4:$F$863&lt;$G302)*($G$4:$G$863&gt;$F302))&gt;0,"⚠ CONFLIT",""))</f>
        <v/>
      </c>
      <c r="Z302" s="64">
        <f>IF($J302="","",IF(SUMPRODUCT(($D$4:$D$863=$D302)*($J$4:$J$863=$J302)*($T$4:$T$863&lt;&gt;$T302)*($F$4:$F$863&lt;$G302)*($G$4:$G$863&gt;$F302)*(1-($X$4:$X$863="Oui")*($X302="Oui")))&gt;0,"⚠ CONFLIT",""))</f>
        <v/>
      </c>
      <c r="AA302" s="64">
        <f>IF(COUNTIFS($D$4:$D$863,$D302,$J$4:$J$863,$J302,$F$4:$F$863,$F302,$K$4:$K$863,$K302)&gt;1,"⚠ DOUBLON","")</f>
        <v/>
      </c>
      <c r="AB302" s="64">
        <f>IF(COUNTIF($T$4:$T$863,$T302)&lt;&gt;COUNTIFS($T$4:$T$863,$T302,$D$4:$D$863,$D302,$F$4:$F$863,$F302,$G$4:$G$863,$G302,$K$4:$K$863,$K302,$M$4:$M$863,$M302),"⚠ INCOHÉRENT","")</f>
        <v/>
      </c>
      <c r="AC302" s="64">
        <f>COUNTIFS($A$4:$A302,$A302,$J$4:$J302,$J302,$E$4:$E302,$E302)</f>
        <v/>
      </c>
      <c r="AD302" s="65">
        <f>$A302&amp;"|"&amp;$J302&amp;"|"&amp;$E302&amp;"|"&amp;$AC302</f>
        <v/>
      </c>
      <c r="AE302" s="66">
        <f>IF($W302&lt;&gt;"","⚑ "&amp;$W302&amp;CHAR(10),"")&amp;TEXT($F302,"hh:mm")&amp;"-"&amp;TEXT($G302,"hh:mm")&amp;IF(OR($P302="Quinzaine A",AND($P302="Hebdo · groupes alternés",$C302="A"))," Q-A",IF(OR($P302="Quinzaine B",AND($P302="Hebdo · groupes alternés",$C302="B"))," Q-B",IF($P302="Exception"," PONCT.","")))&amp;IF($X302="Oui"," OPT","")&amp;CHAR(10)&amp;$K302&amp;CHAR(10)&amp;$M302&amp;IF($N302&lt;&gt;"",CHAR(10)&amp;"Salle "&amp;$N302,"")&amp;IF($O302="En ligne",CHAR(10)&amp;"EN LIGNE","")&amp;IF($V302&lt;&gt;"",CHAR(10)&amp;$V302,"")</f>
        <v/>
      </c>
      <c r="AF302" s="65" t="inlineStr">
        <is>
          <t>19h30-21h Arabe (Najet) /par quinzaine</t>
        </is>
      </c>
      <c r="AG302" s="65" t="inlineStr">
        <is>
          <t>du 28-09 jusquà le 04-10!J62</t>
        </is>
      </c>
    </row>
    <row r="303" ht="15" customHeight="1">
      <c r="A303" s="74" t="inlineStr">
        <is>
          <t>S3</t>
        </is>
      </c>
      <c r="B303" s="75" t="inlineStr">
        <is>
          <t>du 28 septembre au 4 octobre 2026</t>
        </is>
      </c>
      <c r="C303" s="74" t="inlineStr">
        <is>
          <t>A</t>
        </is>
      </c>
      <c r="D303" s="76" t="n">
        <v>46296</v>
      </c>
      <c r="E303" s="74" t="inlineStr">
        <is>
          <t>Jeudi</t>
        </is>
      </c>
      <c r="F303" s="77" t="n">
        <v>0.8125</v>
      </c>
      <c r="G303" s="77" t="n">
        <v>0.875</v>
      </c>
      <c r="H303" s="78">
        <f>IF(OR($F303="",$G303=""),"",($G303-$F303)*24)</f>
        <v/>
      </c>
      <c r="I303" s="74" t="inlineStr">
        <is>
          <t>Secondaire</t>
        </is>
      </c>
      <c r="J303" s="75" t="inlineStr">
        <is>
          <t>3éme INFO</t>
        </is>
      </c>
      <c r="K303" s="63" t="inlineStr">
        <is>
          <t>Arabe</t>
        </is>
      </c>
      <c r="L303" s="63" t="inlineStr">
        <is>
          <t>Arabe</t>
        </is>
      </c>
      <c r="M303" s="75" t="inlineStr">
        <is>
          <t>Najet</t>
        </is>
      </c>
      <c r="N303" s="74" t="n"/>
      <c r="O303" s="74" t="n"/>
      <c r="P303" s="74" t="inlineStr">
        <is>
          <t>Hebdo · groupes alternés</t>
        </is>
      </c>
      <c r="Q303" s="75" t="inlineStr">
        <is>
          <t>3éme Eco + 3éme INFO + 3éme SCE</t>
        </is>
      </c>
      <c r="R303" s="74" t="n">
        <v>3</v>
      </c>
      <c r="S303" s="74" t="inlineStr"/>
      <c r="T303" s="74" t="inlineStr">
        <is>
          <t>S3-046</t>
        </is>
      </c>
      <c r="U303" s="75" t="inlineStr">
        <is>
          <t>Original (septembre)</t>
        </is>
      </c>
      <c r="V303" s="75" t="inlineStr"/>
      <c r="W303" s="10" t="n"/>
      <c r="X303" s="10" t="inlineStr"/>
      <c r="Y303" s="64">
        <f>IF($M303="","",IF(SUMPRODUCT(($D$4:$D$863=$D303)*($M$4:$M$863=$M303)*($T$4:$T$863&lt;&gt;$T303)*($F$4:$F$863&lt;$G303)*($G$4:$G$863&gt;$F303))&gt;0,"⚠ CONFLIT",""))</f>
        <v/>
      </c>
      <c r="Z303" s="64">
        <f>IF($J303="","",IF(SUMPRODUCT(($D$4:$D$863=$D303)*($J$4:$J$863=$J303)*($T$4:$T$863&lt;&gt;$T303)*($F$4:$F$863&lt;$G303)*($G$4:$G$863&gt;$F303)*(1-($X$4:$X$863="Oui")*($X303="Oui")))&gt;0,"⚠ CONFLIT",""))</f>
        <v/>
      </c>
      <c r="AA303" s="64">
        <f>IF(COUNTIFS($D$4:$D$863,$D303,$J$4:$J$863,$J303,$F$4:$F$863,$F303,$K$4:$K$863,$K303)&gt;1,"⚠ DOUBLON","")</f>
        <v/>
      </c>
      <c r="AB303" s="64">
        <f>IF(COUNTIF($T$4:$T$863,$T303)&lt;&gt;COUNTIFS($T$4:$T$863,$T303,$D$4:$D$863,$D303,$F$4:$F$863,$F303,$G$4:$G$863,$G303,$K$4:$K$863,$K303,$M$4:$M$863,$M303),"⚠ INCOHÉRENT","")</f>
        <v/>
      </c>
      <c r="AC303" s="64">
        <f>COUNTIFS($A$4:$A303,$A303,$J$4:$J303,$J303,$E$4:$E303,$E303)</f>
        <v/>
      </c>
      <c r="AD303" s="65">
        <f>$A303&amp;"|"&amp;$J303&amp;"|"&amp;$E303&amp;"|"&amp;$AC303</f>
        <v/>
      </c>
      <c r="AE303" s="66">
        <f>IF($W303&lt;&gt;"","⚑ "&amp;$W303&amp;CHAR(10),"")&amp;TEXT($F303,"hh:mm")&amp;"-"&amp;TEXT($G303,"hh:mm")&amp;IF(OR($P303="Quinzaine A",AND($P303="Hebdo · groupes alternés",$C303="A"))," Q-A",IF(OR($P303="Quinzaine B",AND($P303="Hebdo · groupes alternés",$C303="B"))," Q-B",IF($P303="Exception"," PONCT.","")))&amp;IF($X303="Oui"," OPT","")&amp;CHAR(10)&amp;$K303&amp;CHAR(10)&amp;$M303&amp;IF($N303&lt;&gt;"",CHAR(10)&amp;"Salle "&amp;$N303,"")&amp;IF($O303="En ligne",CHAR(10)&amp;"EN LIGNE","")&amp;IF($V303&lt;&gt;"",CHAR(10)&amp;$V303,"")</f>
        <v/>
      </c>
      <c r="AF303" s="65" t="inlineStr">
        <is>
          <t>19h30-21h Arabe (Najet) /par quinzaine</t>
        </is>
      </c>
      <c r="AG303" s="65" t="inlineStr">
        <is>
          <t>du 28-09 jusquà le 04-10!J62</t>
        </is>
      </c>
    </row>
    <row r="304" ht="15" customHeight="1">
      <c r="A304" s="74" t="inlineStr">
        <is>
          <t>S3</t>
        </is>
      </c>
      <c r="B304" s="75" t="inlineStr">
        <is>
          <t>du 28 septembre au 4 octobre 2026</t>
        </is>
      </c>
      <c r="C304" s="74" t="inlineStr">
        <is>
          <t>A</t>
        </is>
      </c>
      <c r="D304" s="76" t="n">
        <v>46296</v>
      </c>
      <c r="E304" s="74" t="inlineStr">
        <is>
          <t>Jeudi</t>
        </is>
      </c>
      <c r="F304" s="77" t="n">
        <v>0.8125</v>
      </c>
      <c r="G304" s="77" t="n">
        <v>0.875</v>
      </c>
      <c r="H304" s="78">
        <f>IF(OR($F304="",$G304=""),"",($G304-$F304)*24)</f>
        <v/>
      </c>
      <c r="I304" s="74" t="inlineStr">
        <is>
          <t>Secondaire</t>
        </is>
      </c>
      <c r="J304" s="75" t="inlineStr">
        <is>
          <t>3éme SCE</t>
        </is>
      </c>
      <c r="K304" s="63" t="inlineStr">
        <is>
          <t>Arabe</t>
        </is>
      </c>
      <c r="L304" s="63" t="inlineStr">
        <is>
          <t>Arabe</t>
        </is>
      </c>
      <c r="M304" s="75" t="inlineStr">
        <is>
          <t>Najet</t>
        </is>
      </c>
      <c r="N304" s="74" t="n"/>
      <c r="O304" s="74" t="n"/>
      <c r="P304" s="74" t="inlineStr">
        <is>
          <t>Hebdo · groupes alternés</t>
        </is>
      </c>
      <c r="Q304" s="75" t="inlineStr">
        <is>
          <t>3éme Eco + 3éme INFO + 3éme SCE</t>
        </is>
      </c>
      <c r="R304" s="74" t="n">
        <v>3</v>
      </c>
      <c r="S304" s="74" t="inlineStr"/>
      <c r="T304" s="74" t="inlineStr">
        <is>
          <t>S3-046</t>
        </is>
      </c>
      <c r="U304" s="75" t="inlineStr">
        <is>
          <t>Original (septembre)</t>
        </is>
      </c>
      <c r="V304" s="75" t="inlineStr"/>
      <c r="W304" s="10" t="n"/>
      <c r="X304" s="10" t="inlineStr"/>
      <c r="Y304" s="64">
        <f>IF($M304="","",IF(SUMPRODUCT(($D$4:$D$863=$D304)*($M$4:$M$863=$M304)*($T$4:$T$863&lt;&gt;$T304)*($F$4:$F$863&lt;$G304)*($G$4:$G$863&gt;$F304))&gt;0,"⚠ CONFLIT",""))</f>
        <v/>
      </c>
      <c r="Z304" s="64">
        <f>IF($J304="","",IF(SUMPRODUCT(($D$4:$D$863=$D304)*($J$4:$J$863=$J304)*($T$4:$T$863&lt;&gt;$T304)*($F$4:$F$863&lt;$G304)*($G$4:$G$863&gt;$F304)*(1-($X$4:$X$863="Oui")*($X304="Oui")))&gt;0,"⚠ CONFLIT",""))</f>
        <v/>
      </c>
      <c r="AA304" s="64">
        <f>IF(COUNTIFS($D$4:$D$863,$D304,$J$4:$J$863,$J304,$F$4:$F$863,$F304,$K$4:$K$863,$K304)&gt;1,"⚠ DOUBLON","")</f>
        <v/>
      </c>
      <c r="AB304" s="64">
        <f>IF(COUNTIF($T$4:$T$863,$T304)&lt;&gt;COUNTIFS($T$4:$T$863,$T304,$D$4:$D$863,$D304,$F$4:$F$863,$F304,$G$4:$G$863,$G304,$K$4:$K$863,$K304,$M$4:$M$863,$M304),"⚠ INCOHÉRENT","")</f>
        <v/>
      </c>
      <c r="AC304" s="64">
        <f>COUNTIFS($A$4:$A304,$A304,$J$4:$J304,$J304,$E$4:$E304,$E304)</f>
        <v/>
      </c>
      <c r="AD304" s="65">
        <f>$A304&amp;"|"&amp;$J304&amp;"|"&amp;$E304&amp;"|"&amp;$AC304</f>
        <v/>
      </c>
      <c r="AE304" s="66">
        <f>IF($W304&lt;&gt;"","⚑ "&amp;$W304&amp;CHAR(10),"")&amp;TEXT($F304,"hh:mm")&amp;"-"&amp;TEXT($G304,"hh:mm")&amp;IF(OR($P304="Quinzaine A",AND($P304="Hebdo · groupes alternés",$C304="A"))," Q-A",IF(OR($P304="Quinzaine B",AND($P304="Hebdo · groupes alternés",$C304="B"))," Q-B",IF($P304="Exception"," PONCT.","")))&amp;IF($X304="Oui"," OPT","")&amp;CHAR(10)&amp;$K304&amp;CHAR(10)&amp;$M304&amp;IF($N304&lt;&gt;"",CHAR(10)&amp;"Salle "&amp;$N304,"")&amp;IF($O304="En ligne",CHAR(10)&amp;"EN LIGNE","")&amp;IF($V304&lt;&gt;"",CHAR(10)&amp;$V304,"")</f>
        <v/>
      </c>
      <c r="AF304" s="65" t="inlineStr">
        <is>
          <t>19h30-21h Arabe (Najet) /par quinzaine</t>
        </is>
      </c>
      <c r="AG304" s="65" t="inlineStr">
        <is>
          <t>du 28-09 jusquà le 04-10!J62</t>
        </is>
      </c>
    </row>
    <row r="305" ht="15" customHeight="1">
      <c r="A305" s="81" t="inlineStr">
        <is>
          <t>S3</t>
        </is>
      </c>
      <c r="B305" s="82" t="inlineStr">
        <is>
          <t>du 28 septembre au 4 octobre 2026</t>
        </is>
      </c>
      <c r="C305" s="81" t="inlineStr">
        <is>
          <t>A</t>
        </is>
      </c>
      <c r="D305" s="83" t="n">
        <v>46296</v>
      </c>
      <c r="E305" s="81" t="inlineStr">
        <is>
          <t>Jeudi</t>
        </is>
      </c>
      <c r="F305" s="84" t="n">
        <v>0.7916666666666666</v>
      </c>
      <c r="G305" s="84" t="n">
        <v>0.8541666666666666</v>
      </c>
      <c r="H305" s="85">
        <f>IF(OR($F305="",$G305=""),"",($G305-$F305)*24)</f>
        <v/>
      </c>
      <c r="I305" s="81" t="inlineStr">
        <is>
          <t>Bac</t>
        </is>
      </c>
      <c r="J305" s="82" t="inlineStr">
        <is>
          <t>Bac Eco</t>
        </is>
      </c>
      <c r="K305" s="91" t="inlineStr">
        <is>
          <t>Philo</t>
        </is>
      </c>
      <c r="L305" s="91" t="inlineStr">
        <is>
          <t>Philo</t>
        </is>
      </c>
      <c r="M305" s="82" t="inlineStr">
        <is>
          <t>Fayssel</t>
        </is>
      </c>
      <c r="N305" s="81" t="n"/>
      <c r="O305" s="81" t="n"/>
      <c r="P305" s="81" t="inlineStr">
        <is>
          <t>Hebdo · groupes alternés</t>
        </is>
      </c>
      <c r="Q305" s="82" t="inlineStr">
        <is>
          <t>Bac Eco + Bac SCE + Bac INFO</t>
        </is>
      </c>
      <c r="R305" s="81" t="n">
        <v>3</v>
      </c>
      <c r="S305" s="81" t="inlineStr">
        <is>
          <t>Oui</t>
        </is>
      </c>
      <c r="T305" s="81" t="inlineStr">
        <is>
          <t>S3-047</t>
        </is>
      </c>
      <c r="U305" s="82" t="inlineStr">
        <is>
          <t>Original (septembre)</t>
        </is>
      </c>
      <c r="V305" s="82" t="inlineStr"/>
      <c r="W305" s="10" t="n"/>
      <c r="X305" s="10" t="inlineStr"/>
      <c r="Y305" s="64">
        <f>IF($M305="","",IF(SUMPRODUCT(($D$4:$D$863=$D305)*($M$4:$M$863=$M305)*($T$4:$T$863&lt;&gt;$T305)*($F$4:$F$863&lt;$G305)*($G$4:$G$863&gt;$F305))&gt;0,"⚠ CONFLIT",""))</f>
        <v/>
      </c>
      <c r="Z305" s="64">
        <f>IF($J305="","",IF(SUMPRODUCT(($D$4:$D$863=$D305)*($J$4:$J$863=$J305)*($T$4:$T$863&lt;&gt;$T305)*($F$4:$F$863&lt;$G305)*($G$4:$G$863&gt;$F305)*(1-($X$4:$X$863="Oui")*($X305="Oui")))&gt;0,"⚠ CONFLIT",""))</f>
        <v/>
      </c>
      <c r="AA305" s="64">
        <f>IF(COUNTIFS($D$4:$D$863,$D305,$J$4:$J$863,$J305,$F$4:$F$863,$F305,$K$4:$K$863,$K305)&gt;1,"⚠ DOUBLON","")</f>
        <v/>
      </c>
      <c r="AB305" s="64">
        <f>IF(COUNTIF($T$4:$T$863,$T305)&lt;&gt;COUNTIFS($T$4:$T$863,$T305,$D$4:$D$863,$D305,$F$4:$F$863,$F305,$G$4:$G$863,$G305,$K$4:$K$863,$K305,$M$4:$M$863,$M305),"⚠ INCOHÉRENT","")</f>
        <v/>
      </c>
      <c r="AC305" s="64">
        <f>COUNTIFS($A$4:$A305,$A305,$J$4:$J305,$J305,$E$4:$E305,$E305)</f>
        <v/>
      </c>
      <c r="AD305" s="65">
        <f>$A305&amp;"|"&amp;$J305&amp;"|"&amp;$E305&amp;"|"&amp;$AC305</f>
        <v/>
      </c>
      <c r="AE305" s="66">
        <f>IF($W305&lt;&gt;"","⚑ "&amp;$W305&amp;CHAR(10),"")&amp;TEXT($F305,"hh:mm")&amp;"-"&amp;TEXT($G305,"hh:mm")&amp;IF(OR($P305="Quinzaine A",AND($P305="Hebdo · groupes alternés",$C305="A"))," Q-A",IF(OR($P305="Quinzaine B",AND($P305="Hebdo · groupes alternés",$C305="B"))," Q-B",IF($P305="Exception"," PONCT.","")))&amp;IF($X305="Oui"," OPT","")&amp;CHAR(10)&amp;$K305&amp;CHAR(10)&amp;$M305&amp;IF($N305&lt;&gt;"",CHAR(10)&amp;"Salle "&amp;$N305,"")&amp;IF($O305="En ligne",CHAR(10)&amp;"EN LIGNE","")&amp;IF($V305&lt;&gt;"",CHAR(10)&amp;$V305,"")</f>
        <v/>
      </c>
      <c r="AF305" s="65" t="inlineStr">
        <is>
          <t>19h-20h30 Philo (Fayssel) /par quizaine</t>
        </is>
      </c>
      <c r="AG305" s="65" t="inlineStr">
        <is>
          <t>du 28-09 jusquà le 04-10!J69</t>
        </is>
      </c>
    </row>
    <row r="306" ht="15" customHeight="1">
      <c r="A306" s="81" t="inlineStr">
        <is>
          <t>S3</t>
        </is>
      </c>
      <c r="B306" s="82" t="inlineStr">
        <is>
          <t>du 28 septembre au 4 octobre 2026</t>
        </is>
      </c>
      <c r="C306" s="81" t="inlineStr">
        <is>
          <t>A</t>
        </is>
      </c>
      <c r="D306" s="83" t="n">
        <v>46296</v>
      </c>
      <c r="E306" s="81" t="inlineStr">
        <is>
          <t>Jeudi</t>
        </is>
      </c>
      <c r="F306" s="84" t="n">
        <v>0.7916666666666666</v>
      </c>
      <c r="G306" s="84" t="n">
        <v>0.8541666666666666</v>
      </c>
      <c r="H306" s="85">
        <f>IF(OR($F306="",$G306=""),"",($G306-$F306)*24)</f>
        <v/>
      </c>
      <c r="I306" s="81" t="inlineStr">
        <is>
          <t>Bac</t>
        </is>
      </c>
      <c r="J306" s="82" t="inlineStr">
        <is>
          <t>Bac SCE</t>
        </is>
      </c>
      <c r="K306" s="91" t="inlineStr">
        <is>
          <t>Philo</t>
        </is>
      </c>
      <c r="L306" s="91" t="inlineStr">
        <is>
          <t>Philo</t>
        </is>
      </c>
      <c r="M306" s="82" t="inlineStr">
        <is>
          <t>Fayssel</t>
        </is>
      </c>
      <c r="N306" s="81" t="n"/>
      <c r="O306" s="81" t="n"/>
      <c r="P306" s="81" t="inlineStr">
        <is>
          <t>Hebdo · groupes alternés</t>
        </is>
      </c>
      <c r="Q306" s="82" t="inlineStr">
        <is>
          <t>Bac Eco + Bac SCE + Bac INFO</t>
        </is>
      </c>
      <c r="R306" s="81" t="n">
        <v>3</v>
      </c>
      <c r="S306" s="81" t="inlineStr"/>
      <c r="T306" s="81" t="inlineStr">
        <is>
          <t>S3-047</t>
        </is>
      </c>
      <c r="U306" s="82" t="inlineStr">
        <is>
          <t>Original (septembre)</t>
        </is>
      </c>
      <c r="V306" s="82" t="inlineStr"/>
      <c r="W306" s="10" t="n"/>
      <c r="X306" s="10" t="inlineStr"/>
      <c r="Y306" s="64">
        <f>IF($M306="","",IF(SUMPRODUCT(($D$4:$D$863=$D306)*($M$4:$M$863=$M306)*($T$4:$T$863&lt;&gt;$T306)*($F$4:$F$863&lt;$G306)*($G$4:$G$863&gt;$F306))&gt;0,"⚠ CONFLIT",""))</f>
        <v/>
      </c>
      <c r="Z306" s="64">
        <f>IF($J306="","",IF(SUMPRODUCT(($D$4:$D$863=$D306)*($J$4:$J$863=$J306)*($T$4:$T$863&lt;&gt;$T306)*($F$4:$F$863&lt;$G306)*($G$4:$G$863&gt;$F306)*(1-($X$4:$X$863="Oui")*($X306="Oui")))&gt;0,"⚠ CONFLIT",""))</f>
        <v/>
      </c>
      <c r="AA306" s="64">
        <f>IF(COUNTIFS($D$4:$D$863,$D306,$J$4:$J$863,$J306,$F$4:$F$863,$F306,$K$4:$K$863,$K306)&gt;1,"⚠ DOUBLON","")</f>
        <v/>
      </c>
      <c r="AB306" s="64">
        <f>IF(COUNTIF($T$4:$T$863,$T306)&lt;&gt;COUNTIFS($T$4:$T$863,$T306,$D$4:$D$863,$D306,$F$4:$F$863,$F306,$G$4:$G$863,$G306,$K$4:$K$863,$K306,$M$4:$M$863,$M306),"⚠ INCOHÉRENT","")</f>
        <v/>
      </c>
      <c r="AC306" s="64">
        <f>COUNTIFS($A$4:$A306,$A306,$J$4:$J306,$J306,$E$4:$E306,$E306)</f>
        <v/>
      </c>
      <c r="AD306" s="65">
        <f>$A306&amp;"|"&amp;$J306&amp;"|"&amp;$E306&amp;"|"&amp;$AC306</f>
        <v/>
      </c>
      <c r="AE306" s="66">
        <f>IF($W306&lt;&gt;"","⚑ "&amp;$W306&amp;CHAR(10),"")&amp;TEXT($F306,"hh:mm")&amp;"-"&amp;TEXT($G306,"hh:mm")&amp;IF(OR($P306="Quinzaine A",AND($P306="Hebdo · groupes alternés",$C306="A"))," Q-A",IF(OR($P306="Quinzaine B",AND($P306="Hebdo · groupes alternés",$C306="B"))," Q-B",IF($P306="Exception"," PONCT.","")))&amp;IF($X306="Oui"," OPT","")&amp;CHAR(10)&amp;$K306&amp;CHAR(10)&amp;$M306&amp;IF($N306&lt;&gt;"",CHAR(10)&amp;"Salle "&amp;$N306,"")&amp;IF($O306="En ligne",CHAR(10)&amp;"EN LIGNE","")&amp;IF($V306&lt;&gt;"",CHAR(10)&amp;$V306,"")</f>
        <v/>
      </c>
      <c r="AF306" s="65" t="inlineStr">
        <is>
          <t>19h-20h30 Philo (Fayssel) /par quizaine</t>
        </is>
      </c>
      <c r="AG306" s="65" t="inlineStr">
        <is>
          <t>du 28-09 jusquà le 04-10!J69</t>
        </is>
      </c>
    </row>
    <row r="307" ht="15" customHeight="1">
      <c r="A307" s="81" t="inlineStr">
        <is>
          <t>S3</t>
        </is>
      </c>
      <c r="B307" s="82" t="inlineStr">
        <is>
          <t>du 28 septembre au 4 octobre 2026</t>
        </is>
      </c>
      <c r="C307" s="81" t="inlineStr">
        <is>
          <t>A</t>
        </is>
      </c>
      <c r="D307" s="83" t="n">
        <v>46296</v>
      </c>
      <c r="E307" s="81" t="inlineStr">
        <is>
          <t>Jeudi</t>
        </is>
      </c>
      <c r="F307" s="84" t="n">
        <v>0.7916666666666666</v>
      </c>
      <c r="G307" s="84" t="n">
        <v>0.8541666666666666</v>
      </c>
      <c r="H307" s="85">
        <f>IF(OR($F307="",$G307=""),"",($G307-$F307)*24)</f>
        <v/>
      </c>
      <c r="I307" s="81" t="inlineStr">
        <is>
          <t>Bac</t>
        </is>
      </c>
      <c r="J307" s="82" t="inlineStr">
        <is>
          <t>Bac INFO</t>
        </is>
      </c>
      <c r="K307" s="91" t="inlineStr">
        <is>
          <t>Philo</t>
        </is>
      </c>
      <c r="L307" s="91" t="inlineStr">
        <is>
          <t>Philo</t>
        </is>
      </c>
      <c r="M307" s="82" t="inlineStr">
        <is>
          <t>Fayssel</t>
        </is>
      </c>
      <c r="N307" s="81" t="n"/>
      <c r="O307" s="81" t="n"/>
      <c r="P307" s="81" t="inlineStr">
        <is>
          <t>Hebdo · groupes alternés</t>
        </is>
      </c>
      <c r="Q307" s="82" t="inlineStr">
        <is>
          <t>Bac Eco + Bac SCE + Bac INFO</t>
        </is>
      </c>
      <c r="R307" s="81" t="n">
        <v>3</v>
      </c>
      <c r="S307" s="81" t="inlineStr"/>
      <c r="T307" s="81" t="inlineStr">
        <is>
          <t>S3-047</t>
        </is>
      </c>
      <c r="U307" s="82" t="inlineStr">
        <is>
          <t>Original (septembre)</t>
        </is>
      </c>
      <c r="V307" s="82" t="inlineStr"/>
      <c r="W307" s="10" t="n"/>
      <c r="X307" s="10" t="inlineStr"/>
      <c r="Y307" s="64">
        <f>IF($M307="","",IF(SUMPRODUCT(($D$4:$D$863=$D307)*($M$4:$M$863=$M307)*($T$4:$T$863&lt;&gt;$T307)*($F$4:$F$863&lt;$G307)*($G$4:$G$863&gt;$F307))&gt;0,"⚠ CONFLIT",""))</f>
        <v/>
      </c>
      <c r="Z307" s="64">
        <f>IF($J307="","",IF(SUMPRODUCT(($D$4:$D$863=$D307)*($J$4:$J$863=$J307)*($T$4:$T$863&lt;&gt;$T307)*($F$4:$F$863&lt;$G307)*($G$4:$G$863&gt;$F307)*(1-($X$4:$X$863="Oui")*($X307="Oui")))&gt;0,"⚠ CONFLIT",""))</f>
        <v/>
      </c>
      <c r="AA307" s="64">
        <f>IF(COUNTIFS($D$4:$D$863,$D307,$J$4:$J$863,$J307,$F$4:$F$863,$F307,$K$4:$K$863,$K307)&gt;1,"⚠ DOUBLON","")</f>
        <v/>
      </c>
      <c r="AB307" s="64">
        <f>IF(COUNTIF($T$4:$T$863,$T307)&lt;&gt;COUNTIFS($T$4:$T$863,$T307,$D$4:$D$863,$D307,$F$4:$F$863,$F307,$G$4:$G$863,$G307,$K$4:$K$863,$K307,$M$4:$M$863,$M307),"⚠ INCOHÉRENT","")</f>
        <v/>
      </c>
      <c r="AC307" s="64">
        <f>COUNTIFS($A$4:$A307,$A307,$J$4:$J307,$J307,$E$4:$E307,$E307)</f>
        <v/>
      </c>
      <c r="AD307" s="65">
        <f>$A307&amp;"|"&amp;$J307&amp;"|"&amp;$E307&amp;"|"&amp;$AC307</f>
        <v/>
      </c>
      <c r="AE307" s="66">
        <f>IF($W307&lt;&gt;"","⚑ "&amp;$W307&amp;CHAR(10),"")&amp;TEXT($F307,"hh:mm")&amp;"-"&amp;TEXT($G307,"hh:mm")&amp;IF(OR($P307="Quinzaine A",AND($P307="Hebdo · groupes alternés",$C307="A"))," Q-A",IF(OR($P307="Quinzaine B",AND($P307="Hebdo · groupes alternés",$C307="B"))," Q-B",IF($P307="Exception"," PONCT.","")))&amp;IF($X307="Oui"," OPT","")&amp;CHAR(10)&amp;$K307&amp;CHAR(10)&amp;$M307&amp;IF($N307&lt;&gt;"",CHAR(10)&amp;"Salle "&amp;$N307,"")&amp;IF($O307="En ligne",CHAR(10)&amp;"EN LIGNE","")&amp;IF($V307&lt;&gt;"",CHAR(10)&amp;$V307,"")</f>
        <v/>
      </c>
      <c r="AF307" s="65" t="inlineStr">
        <is>
          <t>19h-20h30 Philo (Fayssel) /par quizaine</t>
        </is>
      </c>
      <c r="AG307" s="65" t="inlineStr">
        <is>
          <t>du 28-09 jusquà le 04-10!J69</t>
        </is>
      </c>
    </row>
    <row r="308" ht="15" customHeight="1">
      <c r="A308" s="58" t="inlineStr">
        <is>
          <t>S3</t>
        </is>
      </c>
      <c r="B308" s="59" t="inlineStr">
        <is>
          <t>du 28 septembre au 4 octobre 2026</t>
        </is>
      </c>
      <c r="C308" s="58" t="inlineStr">
        <is>
          <t>A</t>
        </is>
      </c>
      <c r="D308" s="60" t="n">
        <v>46297</v>
      </c>
      <c r="E308" s="58" t="inlineStr">
        <is>
          <t>Vendredi</t>
        </is>
      </c>
      <c r="F308" s="61" t="n">
        <v>0.7916666666666666</v>
      </c>
      <c r="G308" s="61" t="n">
        <v>0.8541666666666666</v>
      </c>
      <c r="H308" s="62">
        <f>IF(OR($F308="",$G308=""),"",($G308-$F308)*24)</f>
        <v/>
      </c>
      <c r="I308" s="58" t="inlineStr">
        <is>
          <t>Primaire</t>
        </is>
      </c>
      <c r="J308" s="59" t="inlineStr">
        <is>
          <t>4éme</t>
        </is>
      </c>
      <c r="K308" s="92" t="inlineStr">
        <is>
          <t>إيقاظ علمي</t>
        </is>
      </c>
      <c r="L308" s="92" t="inlineStr">
        <is>
          <t>Éveil scientifique</t>
        </is>
      </c>
      <c r="M308" s="59" t="inlineStr">
        <is>
          <t>Bassma</t>
        </is>
      </c>
      <c r="N308" s="58" t="n"/>
      <c r="O308" s="58" t="n"/>
      <c r="P308" s="58" t="inlineStr">
        <is>
          <t>Hebdo · groupes alternés</t>
        </is>
      </c>
      <c r="Q308" s="59" t="inlineStr"/>
      <c r="R308" s="58" t="n">
        <v>1</v>
      </c>
      <c r="S308" s="58" t="inlineStr">
        <is>
          <t>Oui</t>
        </is>
      </c>
      <c r="T308" s="58" t="inlineStr">
        <is>
          <t>S3-048</t>
        </is>
      </c>
      <c r="U308" s="59" t="inlineStr">
        <is>
          <t>Original (septembre)</t>
        </is>
      </c>
      <c r="V308" s="59" t="inlineStr"/>
      <c r="W308" s="10" t="n"/>
      <c r="X308" s="10" t="inlineStr"/>
      <c r="Y308" s="64">
        <f>IF($M308="","",IF(SUMPRODUCT(($D$4:$D$863=$D308)*($M$4:$M$863=$M308)*($T$4:$T$863&lt;&gt;$T308)*($F$4:$F$863&lt;$G308)*($G$4:$G$863&gt;$F308))&gt;0,"⚠ CONFLIT",""))</f>
        <v/>
      </c>
      <c r="Z308" s="64">
        <f>IF($J308="","",IF(SUMPRODUCT(($D$4:$D$863=$D308)*($J$4:$J$863=$J308)*($T$4:$T$863&lt;&gt;$T308)*($F$4:$F$863&lt;$G308)*($G$4:$G$863&gt;$F308)*(1-($X$4:$X$863="Oui")*($X308="Oui")))&gt;0,"⚠ CONFLIT",""))</f>
        <v/>
      </c>
      <c r="AA308" s="64">
        <f>IF(COUNTIFS($D$4:$D$863,$D308,$J$4:$J$863,$J308,$F$4:$F$863,$F308,$K$4:$K$863,$K308)&gt;1,"⚠ DOUBLON","")</f>
        <v/>
      </c>
      <c r="AB308" s="64">
        <f>IF(COUNTIF($T$4:$T$863,$T308)&lt;&gt;COUNTIFS($T$4:$T$863,$T308,$D$4:$D$863,$D308,$F$4:$F$863,$F308,$G$4:$G$863,$G308,$K$4:$K$863,$K308,$M$4:$M$863,$M308),"⚠ INCOHÉRENT","")</f>
        <v/>
      </c>
      <c r="AC308" s="64">
        <f>COUNTIFS($A$4:$A308,$A308,$J$4:$J308,$J308,$E$4:$E308,$E308)</f>
        <v/>
      </c>
      <c r="AD308" s="65">
        <f>$A308&amp;"|"&amp;$J308&amp;"|"&amp;$E308&amp;"|"&amp;$AC308</f>
        <v/>
      </c>
      <c r="AE308" s="66">
        <f>IF($W308&lt;&gt;"","⚑ "&amp;$W308&amp;CHAR(10),"")&amp;TEXT($F308,"hh:mm")&amp;"-"&amp;TEXT($G308,"hh:mm")&amp;IF(OR($P308="Quinzaine A",AND($P308="Hebdo · groupes alternés",$C308="A"))," Q-A",IF(OR($P308="Quinzaine B",AND($P308="Hebdo · groupes alternés",$C308="B"))," Q-B",IF($P308="Exception"," PONCT.","")))&amp;IF($X308="Oui"," OPT","")&amp;CHAR(10)&amp;$K308&amp;CHAR(10)&amp;$M308&amp;IF($N308&lt;&gt;"",CHAR(10)&amp;"Salle "&amp;$N308,"")&amp;IF($O308="En ligne",CHAR(10)&amp;"EN LIGNE","")&amp;IF($V308&lt;&gt;"",CHAR(10)&amp;$V308,"")</f>
        <v/>
      </c>
      <c r="AF308" s="65" t="inlineStr">
        <is>
          <t>19h-20h30 إيقاظ علمي /par quinzaine (Bassma)</t>
        </is>
      </c>
      <c r="AG308" s="65" t="inlineStr">
        <is>
          <t>du 28-09 jusquà le 04-10!K3</t>
        </is>
      </c>
    </row>
    <row r="309" ht="15" customHeight="1">
      <c r="A309" s="58" t="inlineStr">
        <is>
          <t>S3</t>
        </is>
      </c>
      <c r="B309" s="59" t="inlineStr">
        <is>
          <t>du 28 septembre au 4 octobre 2026</t>
        </is>
      </c>
      <c r="C309" s="58" t="inlineStr">
        <is>
          <t>A</t>
        </is>
      </c>
      <c r="D309" s="60" t="n">
        <v>46297</v>
      </c>
      <c r="E309" s="58" t="inlineStr">
        <is>
          <t>Vendredi</t>
        </is>
      </c>
      <c r="F309" s="61" t="n">
        <v>0.8125</v>
      </c>
      <c r="G309" s="61" t="n">
        <v>0.875</v>
      </c>
      <c r="H309" s="62">
        <f>IF(OR($F309="",$G309=""),"",($G309-$F309)*24)</f>
        <v/>
      </c>
      <c r="I309" s="58" t="inlineStr">
        <is>
          <t>Primaire</t>
        </is>
      </c>
      <c r="J309" s="59" t="inlineStr">
        <is>
          <t>6éme Pilote (A)</t>
        </is>
      </c>
      <c r="K309" s="92" t="inlineStr">
        <is>
          <t>إيقاظ علمي</t>
        </is>
      </c>
      <c r="L309" s="92" t="inlineStr">
        <is>
          <t>Éveil scientifique</t>
        </is>
      </c>
      <c r="M309" s="59" t="inlineStr">
        <is>
          <t>Noura</t>
        </is>
      </c>
      <c r="N309" s="58" t="n"/>
      <c r="O309" s="58" t="n"/>
      <c r="P309" s="58" t="inlineStr">
        <is>
          <t>Hebdomadaire</t>
        </is>
      </c>
      <c r="Q309" s="59" t="inlineStr">
        <is>
          <t>6éme Pilote (A) + 6éme (B)</t>
        </is>
      </c>
      <c r="R309" s="58" t="n">
        <v>2</v>
      </c>
      <c r="S309" s="58" t="inlineStr">
        <is>
          <t>Oui</t>
        </is>
      </c>
      <c r="T309" s="58" t="inlineStr">
        <is>
          <t>S3-049</t>
        </is>
      </c>
      <c r="U309" s="59" t="inlineStr">
        <is>
          <t>Original (septembre)</t>
        </is>
      </c>
      <c r="V309" s="59" t="inlineStr"/>
      <c r="W309" s="10" t="n"/>
      <c r="X309" s="10" t="inlineStr"/>
      <c r="Y309" s="64">
        <f>IF($M309="","",IF(SUMPRODUCT(($D$4:$D$863=$D309)*($M$4:$M$863=$M309)*($T$4:$T$863&lt;&gt;$T309)*($F$4:$F$863&lt;$G309)*($G$4:$G$863&gt;$F309))&gt;0,"⚠ CONFLIT",""))</f>
        <v/>
      </c>
      <c r="Z309" s="64">
        <f>IF($J309="","",IF(SUMPRODUCT(($D$4:$D$863=$D309)*($J$4:$J$863=$J309)*($T$4:$T$863&lt;&gt;$T309)*($F$4:$F$863&lt;$G309)*($G$4:$G$863&gt;$F309)*(1-($X$4:$X$863="Oui")*($X309="Oui")))&gt;0,"⚠ CONFLIT",""))</f>
        <v/>
      </c>
      <c r="AA309" s="64">
        <f>IF(COUNTIFS($D$4:$D$863,$D309,$J$4:$J$863,$J309,$F$4:$F$863,$F309,$K$4:$K$863,$K309)&gt;1,"⚠ DOUBLON","")</f>
        <v/>
      </c>
      <c r="AB309" s="64">
        <f>IF(COUNTIF($T$4:$T$863,$T309)&lt;&gt;COUNTIFS($T$4:$T$863,$T309,$D$4:$D$863,$D309,$F$4:$F$863,$F309,$G$4:$G$863,$G309,$K$4:$K$863,$K309,$M$4:$M$863,$M309),"⚠ INCOHÉRENT","")</f>
        <v/>
      </c>
      <c r="AC309" s="64">
        <f>COUNTIFS($A$4:$A309,$A309,$J$4:$J309,$J309,$E$4:$E309,$E309)</f>
        <v/>
      </c>
      <c r="AD309" s="65">
        <f>$A309&amp;"|"&amp;$J309&amp;"|"&amp;$E309&amp;"|"&amp;$AC309</f>
        <v/>
      </c>
      <c r="AE309" s="66">
        <f>IF($W309&lt;&gt;"","⚑ "&amp;$W309&amp;CHAR(10),"")&amp;TEXT($F309,"hh:mm")&amp;"-"&amp;TEXT($G309,"hh:mm")&amp;IF(OR($P309="Quinzaine A",AND($P309="Hebdo · groupes alternés",$C309="A"))," Q-A",IF(OR($P309="Quinzaine B",AND($P309="Hebdo · groupes alternés",$C309="B"))," Q-B",IF($P309="Exception"," PONCT.","")))&amp;IF($X309="Oui"," OPT","")&amp;CHAR(10)&amp;$K309&amp;CHAR(10)&amp;$M309&amp;IF($N309&lt;&gt;"",CHAR(10)&amp;"Salle "&amp;$N309,"")&amp;IF($O309="En ligne",CHAR(10)&amp;"EN LIGNE","")&amp;IF($V309&lt;&gt;"",CHAR(10)&amp;$V309,"")</f>
        <v/>
      </c>
      <c r="AF309" s="65" t="inlineStr">
        <is>
          <t>19h30-21h إيقاظ علمي (Noura)</t>
        </is>
      </c>
      <c r="AG309" s="65" t="inlineStr">
        <is>
          <t>du 28-09 jusquà le 04-10!K12</t>
        </is>
      </c>
    </row>
    <row r="310" ht="15" customHeight="1">
      <c r="A310" s="58" t="inlineStr">
        <is>
          <t>S3</t>
        </is>
      </c>
      <c r="B310" s="59" t="inlineStr">
        <is>
          <t>du 28 septembre au 4 octobre 2026</t>
        </is>
      </c>
      <c r="C310" s="58" t="inlineStr">
        <is>
          <t>A</t>
        </is>
      </c>
      <c r="D310" s="60" t="n">
        <v>46297</v>
      </c>
      <c r="E310" s="58" t="inlineStr">
        <is>
          <t>Vendredi</t>
        </is>
      </c>
      <c r="F310" s="61" t="n">
        <v>0.8125</v>
      </c>
      <c r="G310" s="61" t="n">
        <v>0.875</v>
      </c>
      <c r="H310" s="62">
        <f>IF(OR($F310="",$G310=""),"",($G310-$F310)*24)</f>
        <v/>
      </c>
      <c r="I310" s="58" t="inlineStr">
        <is>
          <t>Primaire</t>
        </is>
      </c>
      <c r="J310" s="59" t="inlineStr">
        <is>
          <t>6éme (B)</t>
        </is>
      </c>
      <c r="K310" s="92" t="inlineStr">
        <is>
          <t>إيقاظ علمي</t>
        </is>
      </c>
      <c r="L310" s="92" t="inlineStr">
        <is>
          <t>Éveil scientifique</t>
        </is>
      </c>
      <c r="M310" s="59" t="inlineStr">
        <is>
          <t>Noura</t>
        </is>
      </c>
      <c r="N310" s="58" t="n"/>
      <c r="O310" s="58" t="n"/>
      <c r="P310" s="58" t="inlineStr">
        <is>
          <t>Hebdomadaire</t>
        </is>
      </c>
      <c r="Q310" s="59" t="inlineStr">
        <is>
          <t>6éme Pilote (A) + 6éme (B)</t>
        </is>
      </c>
      <c r="R310" s="58" t="n">
        <v>2</v>
      </c>
      <c r="S310" s="58" t="inlineStr"/>
      <c r="T310" s="58" t="inlineStr">
        <is>
          <t>S3-049</t>
        </is>
      </c>
      <c r="U310" s="59" t="inlineStr">
        <is>
          <t>Original (septembre)</t>
        </is>
      </c>
      <c r="V310" s="59" t="inlineStr"/>
      <c r="W310" s="10" t="n"/>
      <c r="X310" s="10" t="inlineStr"/>
      <c r="Y310" s="64">
        <f>IF($M310="","",IF(SUMPRODUCT(($D$4:$D$863=$D310)*($M$4:$M$863=$M310)*($T$4:$T$863&lt;&gt;$T310)*($F$4:$F$863&lt;$G310)*($G$4:$G$863&gt;$F310))&gt;0,"⚠ CONFLIT",""))</f>
        <v/>
      </c>
      <c r="Z310" s="64">
        <f>IF($J310="","",IF(SUMPRODUCT(($D$4:$D$863=$D310)*($J$4:$J$863=$J310)*($T$4:$T$863&lt;&gt;$T310)*($F$4:$F$863&lt;$G310)*($G$4:$G$863&gt;$F310)*(1-($X$4:$X$863="Oui")*($X310="Oui")))&gt;0,"⚠ CONFLIT",""))</f>
        <v/>
      </c>
      <c r="AA310" s="64">
        <f>IF(COUNTIFS($D$4:$D$863,$D310,$J$4:$J$863,$J310,$F$4:$F$863,$F310,$K$4:$K$863,$K310)&gt;1,"⚠ DOUBLON","")</f>
        <v/>
      </c>
      <c r="AB310" s="64">
        <f>IF(COUNTIF($T$4:$T$863,$T310)&lt;&gt;COUNTIFS($T$4:$T$863,$T310,$D$4:$D$863,$D310,$F$4:$F$863,$F310,$G$4:$G$863,$G310,$K$4:$K$863,$K310,$M$4:$M$863,$M310),"⚠ INCOHÉRENT","")</f>
        <v/>
      </c>
      <c r="AC310" s="64">
        <f>COUNTIFS($A$4:$A310,$A310,$J$4:$J310,$J310,$E$4:$E310,$E310)</f>
        <v/>
      </c>
      <c r="AD310" s="65">
        <f>$A310&amp;"|"&amp;$J310&amp;"|"&amp;$E310&amp;"|"&amp;$AC310</f>
        <v/>
      </c>
      <c r="AE310" s="66">
        <f>IF($W310&lt;&gt;"","⚑ "&amp;$W310&amp;CHAR(10),"")&amp;TEXT($F310,"hh:mm")&amp;"-"&amp;TEXT($G310,"hh:mm")&amp;IF(OR($P310="Quinzaine A",AND($P310="Hebdo · groupes alternés",$C310="A"))," Q-A",IF(OR($P310="Quinzaine B",AND($P310="Hebdo · groupes alternés",$C310="B"))," Q-B",IF($P310="Exception"," PONCT.","")))&amp;IF($X310="Oui"," OPT","")&amp;CHAR(10)&amp;$K310&amp;CHAR(10)&amp;$M310&amp;IF($N310&lt;&gt;"",CHAR(10)&amp;"Salle "&amp;$N310,"")&amp;IF($O310="En ligne",CHAR(10)&amp;"EN LIGNE","")&amp;IF($V310&lt;&gt;"",CHAR(10)&amp;$V310,"")</f>
        <v/>
      </c>
      <c r="AF310" s="65" t="inlineStr">
        <is>
          <t>19h30-21h إيقاظ علمي (Noura)</t>
        </is>
      </c>
      <c r="AG310" s="65" t="inlineStr">
        <is>
          <t>du 28-09 jusquà le 04-10!K12</t>
        </is>
      </c>
    </row>
    <row r="311" ht="15" customHeight="1">
      <c r="A311" s="68" t="inlineStr">
        <is>
          <t>S3</t>
        </is>
      </c>
      <c r="B311" s="69" t="inlineStr">
        <is>
          <t>du 28 septembre au 4 octobre 2026</t>
        </is>
      </c>
      <c r="C311" s="68" t="inlineStr">
        <is>
          <t>A</t>
        </is>
      </c>
      <c r="D311" s="70" t="n">
        <v>46297</v>
      </c>
      <c r="E311" s="68" t="inlineStr">
        <is>
          <t>Vendredi</t>
        </is>
      </c>
      <c r="F311" s="71" t="n">
        <v>0.75</v>
      </c>
      <c r="G311" s="71" t="n">
        <v>0.8125</v>
      </c>
      <c r="H311" s="72">
        <f>IF(OR($F311="",$G311=""),"",($G311-$F311)*24)</f>
        <v/>
      </c>
      <c r="I311" s="68" t="inlineStr">
        <is>
          <t>Collège</t>
        </is>
      </c>
      <c r="J311" s="69" t="inlineStr">
        <is>
          <t>7éme (A)</t>
        </is>
      </c>
      <c r="K311" s="79" t="inlineStr">
        <is>
          <t>Math</t>
        </is>
      </c>
      <c r="L311" s="79" t="inlineStr">
        <is>
          <t>Math</t>
        </is>
      </c>
      <c r="M311" s="69" t="inlineStr">
        <is>
          <t>Khouloud</t>
        </is>
      </c>
      <c r="N311" s="68" t="n"/>
      <c r="O311" s="68" t="n"/>
      <c r="P311" s="68" t="inlineStr">
        <is>
          <t>Hebdomadaire</t>
        </is>
      </c>
      <c r="Q311" s="69" t="inlineStr"/>
      <c r="R311" s="68" t="n">
        <v>1</v>
      </c>
      <c r="S311" s="68" t="inlineStr">
        <is>
          <t>Oui</t>
        </is>
      </c>
      <c r="T311" s="68" t="inlineStr">
        <is>
          <t>S3-050</t>
        </is>
      </c>
      <c r="U311" s="69" t="inlineStr">
        <is>
          <t>Original (septembre)</t>
        </is>
      </c>
      <c r="V311" s="69" t="inlineStr"/>
      <c r="W311" s="10" t="n"/>
      <c r="X311" s="10" t="inlineStr"/>
      <c r="Y311" s="64">
        <f>IF($M311="","",IF(SUMPRODUCT(($D$4:$D$863=$D311)*($M$4:$M$863=$M311)*($T$4:$T$863&lt;&gt;$T311)*($F$4:$F$863&lt;$G311)*($G$4:$G$863&gt;$F311))&gt;0,"⚠ CONFLIT",""))</f>
        <v/>
      </c>
      <c r="Z311" s="64">
        <f>IF($J311="","",IF(SUMPRODUCT(($D$4:$D$863=$D311)*($J$4:$J$863=$J311)*($T$4:$T$863&lt;&gt;$T311)*($F$4:$F$863&lt;$G311)*($G$4:$G$863&gt;$F311)*(1-($X$4:$X$863="Oui")*($X311="Oui")))&gt;0,"⚠ CONFLIT",""))</f>
        <v/>
      </c>
      <c r="AA311" s="64">
        <f>IF(COUNTIFS($D$4:$D$863,$D311,$J$4:$J$863,$J311,$F$4:$F$863,$F311,$K$4:$K$863,$K311)&gt;1,"⚠ DOUBLON","")</f>
        <v/>
      </c>
      <c r="AB311" s="64">
        <f>IF(COUNTIF($T$4:$T$863,$T311)&lt;&gt;COUNTIFS($T$4:$T$863,$T311,$D$4:$D$863,$D311,$F$4:$F$863,$F311,$G$4:$G$863,$G311,$K$4:$K$863,$K311,$M$4:$M$863,$M311),"⚠ INCOHÉRENT","")</f>
        <v/>
      </c>
      <c r="AC311" s="64">
        <f>COUNTIFS($A$4:$A311,$A311,$J$4:$J311,$J311,$E$4:$E311,$E311)</f>
        <v/>
      </c>
      <c r="AD311" s="65">
        <f>$A311&amp;"|"&amp;$J311&amp;"|"&amp;$E311&amp;"|"&amp;$AC311</f>
        <v/>
      </c>
      <c r="AE311" s="66">
        <f>IF($W311&lt;&gt;"","⚑ "&amp;$W311&amp;CHAR(10),"")&amp;TEXT($F311,"hh:mm")&amp;"-"&amp;TEXT($G311,"hh:mm")&amp;IF(OR($P311="Quinzaine A",AND($P311="Hebdo · groupes alternés",$C311="A"))," Q-A",IF(OR($P311="Quinzaine B",AND($P311="Hebdo · groupes alternés",$C311="B"))," Q-B",IF($P311="Exception"," PONCT.","")))&amp;IF($X311="Oui"," OPT","")&amp;CHAR(10)&amp;$K311&amp;CHAR(10)&amp;$M311&amp;IF($N311&lt;&gt;"",CHAR(10)&amp;"Salle "&amp;$N311,"")&amp;IF($O311="En ligne",CHAR(10)&amp;"EN LIGNE","")&amp;IF($V311&lt;&gt;"",CHAR(10)&amp;$V311,"")</f>
        <v/>
      </c>
      <c r="AF311" s="65" t="inlineStr">
        <is>
          <t>18h-19h30 Math (Khouloud)</t>
        </is>
      </c>
      <c r="AG311" s="65" t="inlineStr">
        <is>
          <t>du 28-09 jusquà le 04-10!K19</t>
        </is>
      </c>
    </row>
    <row r="312" ht="15" customHeight="1">
      <c r="A312" s="68" t="inlineStr">
        <is>
          <t>S3</t>
        </is>
      </c>
      <c r="B312" s="69" t="inlineStr">
        <is>
          <t>du 28 septembre au 4 octobre 2026</t>
        </is>
      </c>
      <c r="C312" s="68" t="inlineStr">
        <is>
          <t>A</t>
        </is>
      </c>
      <c r="D312" s="70" t="n">
        <v>46297</v>
      </c>
      <c r="E312" s="68" t="inlineStr">
        <is>
          <t>Vendredi</t>
        </is>
      </c>
      <c r="F312" s="71" t="n">
        <v>0.8125</v>
      </c>
      <c r="G312" s="71" t="n">
        <v>0.875</v>
      </c>
      <c r="H312" s="72">
        <f>IF(OR($F312="",$G312=""),"",($G312-$F312)*24)</f>
        <v/>
      </c>
      <c r="I312" s="68" t="inlineStr">
        <is>
          <t>Collège</t>
        </is>
      </c>
      <c r="J312" s="69" t="inlineStr">
        <is>
          <t>7éme (B)</t>
        </is>
      </c>
      <c r="K312" s="79" t="inlineStr">
        <is>
          <t>Math</t>
        </is>
      </c>
      <c r="L312" s="79" t="inlineStr">
        <is>
          <t>Math</t>
        </is>
      </c>
      <c r="M312" s="69" t="inlineStr">
        <is>
          <t>Khouloud</t>
        </is>
      </c>
      <c r="N312" s="68" t="n"/>
      <c r="O312" s="68" t="n"/>
      <c r="P312" s="68" t="inlineStr">
        <is>
          <t>Hebdomadaire</t>
        </is>
      </c>
      <c r="Q312" s="69" t="inlineStr"/>
      <c r="R312" s="68" t="n">
        <v>1</v>
      </c>
      <c r="S312" s="68" t="inlineStr">
        <is>
          <t>Oui</t>
        </is>
      </c>
      <c r="T312" s="68" t="inlineStr">
        <is>
          <t>S3-051</t>
        </is>
      </c>
      <c r="U312" s="69" t="inlineStr">
        <is>
          <t>Original (septembre)</t>
        </is>
      </c>
      <c r="V312" s="69" t="inlineStr"/>
      <c r="W312" s="10" t="n"/>
      <c r="X312" s="10" t="inlineStr"/>
      <c r="Y312" s="64">
        <f>IF($M312="","",IF(SUMPRODUCT(($D$4:$D$863=$D312)*($M$4:$M$863=$M312)*($T$4:$T$863&lt;&gt;$T312)*($F$4:$F$863&lt;$G312)*($G$4:$G$863&gt;$F312))&gt;0,"⚠ CONFLIT",""))</f>
        <v/>
      </c>
      <c r="Z312" s="64">
        <f>IF($J312="","",IF(SUMPRODUCT(($D$4:$D$863=$D312)*($J$4:$J$863=$J312)*($T$4:$T$863&lt;&gt;$T312)*($F$4:$F$863&lt;$G312)*($G$4:$G$863&gt;$F312)*(1-($X$4:$X$863="Oui")*($X312="Oui")))&gt;0,"⚠ CONFLIT",""))</f>
        <v/>
      </c>
      <c r="AA312" s="64">
        <f>IF(COUNTIFS($D$4:$D$863,$D312,$J$4:$J$863,$J312,$F$4:$F$863,$F312,$K$4:$K$863,$K312)&gt;1,"⚠ DOUBLON","")</f>
        <v/>
      </c>
      <c r="AB312" s="64">
        <f>IF(COUNTIF($T$4:$T$863,$T312)&lt;&gt;COUNTIFS($T$4:$T$863,$T312,$D$4:$D$863,$D312,$F$4:$F$863,$F312,$G$4:$G$863,$G312,$K$4:$K$863,$K312,$M$4:$M$863,$M312),"⚠ INCOHÉRENT","")</f>
        <v/>
      </c>
      <c r="AC312" s="64">
        <f>COUNTIFS($A$4:$A312,$A312,$J$4:$J312,$J312,$E$4:$E312,$E312)</f>
        <v/>
      </c>
      <c r="AD312" s="65">
        <f>$A312&amp;"|"&amp;$J312&amp;"|"&amp;$E312&amp;"|"&amp;$AC312</f>
        <v/>
      </c>
      <c r="AE312" s="66">
        <f>IF($W312&lt;&gt;"","⚑ "&amp;$W312&amp;CHAR(10),"")&amp;TEXT($F312,"hh:mm")&amp;"-"&amp;TEXT($G312,"hh:mm")&amp;IF(OR($P312="Quinzaine A",AND($P312="Hebdo · groupes alternés",$C312="A"))," Q-A",IF(OR($P312="Quinzaine B",AND($P312="Hebdo · groupes alternés",$C312="B"))," Q-B",IF($P312="Exception"," PONCT.","")))&amp;IF($X312="Oui"," OPT","")&amp;CHAR(10)&amp;$K312&amp;CHAR(10)&amp;$M312&amp;IF($N312&lt;&gt;"",CHAR(10)&amp;"Salle "&amp;$N312,"")&amp;IF($O312="En ligne",CHAR(10)&amp;"EN LIGNE","")&amp;IF($V312&lt;&gt;"",CHAR(10)&amp;$V312,"")</f>
        <v/>
      </c>
      <c r="AF312" s="65" t="inlineStr">
        <is>
          <t>19h30-21h Math (Khouloud)</t>
        </is>
      </c>
      <c r="AG312" s="65" t="inlineStr">
        <is>
          <t>du 28-09 jusquà le 04-10!K23</t>
        </is>
      </c>
    </row>
    <row r="313" ht="15" customHeight="1">
      <c r="A313" s="68" t="inlineStr">
        <is>
          <t>S3</t>
        </is>
      </c>
      <c r="B313" s="69" t="inlineStr">
        <is>
          <t>du 28 septembre au 4 octobre 2026</t>
        </is>
      </c>
      <c r="C313" s="68" t="inlineStr">
        <is>
          <t>A</t>
        </is>
      </c>
      <c r="D313" s="70" t="n">
        <v>46297</v>
      </c>
      <c r="E313" s="68" t="inlineStr">
        <is>
          <t>Vendredi</t>
        </is>
      </c>
      <c r="F313" s="71" t="n">
        <v>0.8125</v>
      </c>
      <c r="G313" s="71" t="n">
        <v>0.875</v>
      </c>
      <c r="H313" s="72">
        <f>IF(OR($F313="",$G313=""),"",($G313-$F313)*24)</f>
        <v/>
      </c>
      <c r="I313" s="68" t="inlineStr">
        <is>
          <t>Collège</t>
        </is>
      </c>
      <c r="J313" s="69" t="inlineStr">
        <is>
          <t>8éme (A)</t>
        </is>
      </c>
      <c r="K313" s="73" t="inlineStr">
        <is>
          <t>فيزياء</t>
        </is>
      </c>
      <c r="L313" s="73" t="inlineStr">
        <is>
          <t>Physique</t>
        </is>
      </c>
      <c r="M313" s="69" t="inlineStr">
        <is>
          <t>Melek</t>
        </is>
      </c>
      <c r="N313" s="68" t="n"/>
      <c r="O313" s="68" t="n"/>
      <c r="P313" s="68" t="inlineStr">
        <is>
          <t>Hebdomadaire</t>
        </is>
      </c>
      <c r="Q313" s="69" t="inlineStr">
        <is>
          <t>8éme (A) + 8éme (B) + 8éme (C)</t>
        </is>
      </c>
      <c r="R313" s="68" t="n">
        <v>3</v>
      </c>
      <c r="S313" s="68" t="inlineStr">
        <is>
          <t>Oui</t>
        </is>
      </c>
      <c r="T313" s="68" t="inlineStr">
        <is>
          <t>S3-052</t>
        </is>
      </c>
      <c r="U313" s="69" t="inlineStr">
        <is>
          <t>Original (septembre)</t>
        </is>
      </c>
      <c r="V313" s="69" t="inlineStr"/>
      <c r="W313" s="10" t="n"/>
      <c r="X313" s="10" t="inlineStr"/>
      <c r="Y313" s="64">
        <f>IF($M313="","",IF(SUMPRODUCT(($D$4:$D$863=$D313)*($M$4:$M$863=$M313)*($T$4:$T$863&lt;&gt;$T313)*($F$4:$F$863&lt;$G313)*($G$4:$G$863&gt;$F313))&gt;0,"⚠ CONFLIT",""))</f>
        <v/>
      </c>
      <c r="Z313" s="64">
        <f>IF($J313="","",IF(SUMPRODUCT(($D$4:$D$863=$D313)*($J$4:$J$863=$J313)*($T$4:$T$863&lt;&gt;$T313)*($F$4:$F$863&lt;$G313)*($G$4:$G$863&gt;$F313)*(1-($X$4:$X$863="Oui")*($X313="Oui")))&gt;0,"⚠ CONFLIT",""))</f>
        <v/>
      </c>
      <c r="AA313" s="64">
        <f>IF(COUNTIFS($D$4:$D$863,$D313,$J$4:$J$863,$J313,$F$4:$F$863,$F313,$K$4:$K$863,$K313)&gt;1,"⚠ DOUBLON","")</f>
        <v/>
      </c>
      <c r="AB313" s="64">
        <f>IF(COUNTIF($T$4:$T$863,$T313)&lt;&gt;COUNTIFS($T$4:$T$863,$T313,$D$4:$D$863,$D313,$F$4:$F$863,$F313,$G$4:$G$863,$G313,$K$4:$K$863,$K313,$M$4:$M$863,$M313),"⚠ INCOHÉRENT","")</f>
        <v/>
      </c>
      <c r="AC313" s="64">
        <f>COUNTIFS($A$4:$A313,$A313,$J$4:$J313,$J313,$E$4:$E313,$E313)</f>
        <v/>
      </c>
      <c r="AD313" s="65">
        <f>$A313&amp;"|"&amp;$J313&amp;"|"&amp;$E313&amp;"|"&amp;$AC313</f>
        <v/>
      </c>
      <c r="AE313" s="66">
        <f>IF($W313&lt;&gt;"","⚑ "&amp;$W313&amp;CHAR(10),"")&amp;TEXT($F313,"hh:mm")&amp;"-"&amp;TEXT($G313,"hh:mm")&amp;IF(OR($P313="Quinzaine A",AND($P313="Hebdo · groupes alternés",$C313="A"))," Q-A",IF(OR($P313="Quinzaine B",AND($P313="Hebdo · groupes alternés",$C313="B"))," Q-B",IF($P313="Exception"," PONCT.","")))&amp;IF($X313="Oui"," OPT","")&amp;CHAR(10)&amp;$K313&amp;CHAR(10)&amp;$M313&amp;IF($N313&lt;&gt;"",CHAR(10)&amp;"Salle "&amp;$N313,"")&amp;IF($O313="En ligne",CHAR(10)&amp;"EN LIGNE","")&amp;IF($V313&lt;&gt;"",CHAR(10)&amp;$V313,"")</f>
        <v/>
      </c>
      <c r="AF313" s="65" t="inlineStr">
        <is>
          <t>19h30-21h فيزياء /par quinzaine (Melek)</t>
        </is>
      </c>
      <c r="AG313" s="65" t="inlineStr">
        <is>
          <t>du 28-09 jusquà le 04-10!K27</t>
        </is>
      </c>
    </row>
    <row r="314" ht="15" customHeight="1">
      <c r="A314" s="68" t="inlineStr">
        <is>
          <t>S3</t>
        </is>
      </c>
      <c r="B314" s="69" t="inlineStr">
        <is>
          <t>du 28 septembre au 4 octobre 2026</t>
        </is>
      </c>
      <c r="C314" s="68" t="inlineStr">
        <is>
          <t>A</t>
        </is>
      </c>
      <c r="D314" s="70" t="n">
        <v>46297</v>
      </c>
      <c r="E314" s="68" t="inlineStr">
        <is>
          <t>Vendredi</t>
        </is>
      </c>
      <c r="F314" s="71" t="n">
        <v>0.8125</v>
      </c>
      <c r="G314" s="71" t="n">
        <v>0.875</v>
      </c>
      <c r="H314" s="72">
        <f>IF(OR($F314="",$G314=""),"",($G314-$F314)*24)</f>
        <v/>
      </c>
      <c r="I314" s="68" t="inlineStr">
        <is>
          <t>Collège</t>
        </is>
      </c>
      <c r="J314" s="69" t="inlineStr">
        <is>
          <t>8éme (B)</t>
        </is>
      </c>
      <c r="K314" s="73" t="inlineStr">
        <is>
          <t>فيزياء</t>
        </is>
      </c>
      <c r="L314" s="73" t="inlineStr">
        <is>
          <t>Physique</t>
        </is>
      </c>
      <c r="M314" s="69" t="inlineStr">
        <is>
          <t>Melek</t>
        </is>
      </c>
      <c r="N314" s="68" t="n"/>
      <c r="O314" s="68" t="n"/>
      <c r="P314" s="68" t="inlineStr">
        <is>
          <t>Hebdomadaire</t>
        </is>
      </c>
      <c r="Q314" s="69" t="inlineStr">
        <is>
          <t>8éme (A) + 8éme (B) + 8éme (C)</t>
        </is>
      </c>
      <c r="R314" s="68" t="n">
        <v>3</v>
      </c>
      <c r="S314" s="68" t="inlineStr"/>
      <c r="T314" s="68" t="inlineStr">
        <is>
          <t>S3-052</t>
        </is>
      </c>
      <c r="U314" s="69" t="inlineStr">
        <is>
          <t>Original (septembre)</t>
        </is>
      </c>
      <c r="V314" s="69" t="inlineStr"/>
      <c r="W314" s="10" t="n"/>
      <c r="X314" s="10" t="inlineStr"/>
      <c r="Y314" s="64">
        <f>IF($M314="","",IF(SUMPRODUCT(($D$4:$D$863=$D314)*($M$4:$M$863=$M314)*($T$4:$T$863&lt;&gt;$T314)*($F$4:$F$863&lt;$G314)*($G$4:$G$863&gt;$F314))&gt;0,"⚠ CONFLIT",""))</f>
        <v/>
      </c>
      <c r="Z314" s="64">
        <f>IF($J314="","",IF(SUMPRODUCT(($D$4:$D$863=$D314)*($J$4:$J$863=$J314)*($T$4:$T$863&lt;&gt;$T314)*($F$4:$F$863&lt;$G314)*($G$4:$G$863&gt;$F314)*(1-($X$4:$X$863="Oui")*($X314="Oui")))&gt;0,"⚠ CONFLIT",""))</f>
        <v/>
      </c>
      <c r="AA314" s="64">
        <f>IF(COUNTIFS($D$4:$D$863,$D314,$J$4:$J$863,$J314,$F$4:$F$863,$F314,$K$4:$K$863,$K314)&gt;1,"⚠ DOUBLON","")</f>
        <v/>
      </c>
      <c r="AB314" s="64">
        <f>IF(COUNTIF($T$4:$T$863,$T314)&lt;&gt;COUNTIFS($T$4:$T$863,$T314,$D$4:$D$863,$D314,$F$4:$F$863,$F314,$G$4:$G$863,$G314,$K$4:$K$863,$K314,$M$4:$M$863,$M314),"⚠ INCOHÉRENT","")</f>
        <v/>
      </c>
      <c r="AC314" s="64">
        <f>COUNTIFS($A$4:$A314,$A314,$J$4:$J314,$J314,$E$4:$E314,$E314)</f>
        <v/>
      </c>
      <c r="AD314" s="65">
        <f>$A314&amp;"|"&amp;$J314&amp;"|"&amp;$E314&amp;"|"&amp;$AC314</f>
        <v/>
      </c>
      <c r="AE314" s="66">
        <f>IF($W314&lt;&gt;"","⚑ "&amp;$W314&amp;CHAR(10),"")&amp;TEXT($F314,"hh:mm")&amp;"-"&amp;TEXT($G314,"hh:mm")&amp;IF(OR($P314="Quinzaine A",AND($P314="Hebdo · groupes alternés",$C314="A"))," Q-A",IF(OR($P314="Quinzaine B",AND($P314="Hebdo · groupes alternés",$C314="B"))," Q-B",IF($P314="Exception"," PONCT.","")))&amp;IF($X314="Oui"," OPT","")&amp;CHAR(10)&amp;$K314&amp;CHAR(10)&amp;$M314&amp;IF($N314&lt;&gt;"",CHAR(10)&amp;"Salle "&amp;$N314,"")&amp;IF($O314="En ligne",CHAR(10)&amp;"EN LIGNE","")&amp;IF($V314&lt;&gt;"",CHAR(10)&amp;$V314,"")</f>
        <v/>
      </c>
      <c r="AF314" s="65" t="inlineStr">
        <is>
          <t>19h30-21h فيزياء /par quinzaine (Melek)</t>
        </is>
      </c>
      <c r="AG314" s="65" t="inlineStr">
        <is>
          <t>du 28-09 jusquà le 04-10!K27</t>
        </is>
      </c>
    </row>
    <row r="315" ht="15" customHeight="1">
      <c r="A315" s="68" t="inlineStr">
        <is>
          <t>S3</t>
        </is>
      </c>
      <c r="B315" s="69" t="inlineStr">
        <is>
          <t>du 28 septembre au 4 octobre 2026</t>
        </is>
      </c>
      <c r="C315" s="68" t="inlineStr">
        <is>
          <t>A</t>
        </is>
      </c>
      <c r="D315" s="70" t="n">
        <v>46297</v>
      </c>
      <c r="E315" s="68" t="inlineStr">
        <is>
          <t>Vendredi</t>
        </is>
      </c>
      <c r="F315" s="71" t="n">
        <v>0.8125</v>
      </c>
      <c r="G315" s="71" t="n">
        <v>0.875</v>
      </c>
      <c r="H315" s="72">
        <f>IF(OR($F315="",$G315=""),"",($G315-$F315)*24)</f>
        <v/>
      </c>
      <c r="I315" s="68" t="inlineStr">
        <is>
          <t>Collège</t>
        </is>
      </c>
      <c r="J315" s="69" t="inlineStr">
        <is>
          <t>8éme (C)</t>
        </is>
      </c>
      <c r="K315" s="73" t="inlineStr">
        <is>
          <t>فيزياء</t>
        </is>
      </c>
      <c r="L315" s="73" t="inlineStr">
        <is>
          <t>Physique</t>
        </is>
      </c>
      <c r="M315" s="69" t="inlineStr">
        <is>
          <t>Melek</t>
        </is>
      </c>
      <c r="N315" s="68" t="n"/>
      <c r="O315" s="68" t="n"/>
      <c r="P315" s="68" t="inlineStr">
        <is>
          <t>Hebdomadaire</t>
        </is>
      </c>
      <c r="Q315" s="69" t="inlineStr">
        <is>
          <t>8éme (A) + 8éme (B) + 8éme (C)</t>
        </is>
      </c>
      <c r="R315" s="68" t="n">
        <v>3</v>
      </c>
      <c r="S315" s="68" t="inlineStr"/>
      <c r="T315" s="68" t="inlineStr">
        <is>
          <t>S3-052</t>
        </is>
      </c>
      <c r="U315" s="69" t="inlineStr">
        <is>
          <t>Original (septembre)</t>
        </is>
      </c>
      <c r="V315" s="69" t="inlineStr"/>
      <c r="W315" s="10" t="n"/>
      <c r="X315" s="10" t="inlineStr"/>
      <c r="Y315" s="64">
        <f>IF($M315="","",IF(SUMPRODUCT(($D$4:$D$863=$D315)*($M$4:$M$863=$M315)*($T$4:$T$863&lt;&gt;$T315)*($F$4:$F$863&lt;$G315)*($G$4:$G$863&gt;$F315))&gt;0,"⚠ CONFLIT",""))</f>
        <v/>
      </c>
      <c r="Z315" s="64">
        <f>IF($J315="","",IF(SUMPRODUCT(($D$4:$D$863=$D315)*($J$4:$J$863=$J315)*($T$4:$T$863&lt;&gt;$T315)*($F$4:$F$863&lt;$G315)*($G$4:$G$863&gt;$F315)*(1-($X$4:$X$863="Oui")*($X315="Oui")))&gt;0,"⚠ CONFLIT",""))</f>
        <v/>
      </c>
      <c r="AA315" s="64">
        <f>IF(COUNTIFS($D$4:$D$863,$D315,$J$4:$J$863,$J315,$F$4:$F$863,$F315,$K$4:$K$863,$K315)&gt;1,"⚠ DOUBLON","")</f>
        <v/>
      </c>
      <c r="AB315" s="64">
        <f>IF(COUNTIF($T$4:$T$863,$T315)&lt;&gt;COUNTIFS($T$4:$T$863,$T315,$D$4:$D$863,$D315,$F$4:$F$863,$F315,$G$4:$G$863,$G315,$K$4:$K$863,$K315,$M$4:$M$863,$M315),"⚠ INCOHÉRENT","")</f>
        <v/>
      </c>
      <c r="AC315" s="64">
        <f>COUNTIFS($A$4:$A315,$A315,$J$4:$J315,$J315,$E$4:$E315,$E315)</f>
        <v/>
      </c>
      <c r="AD315" s="65">
        <f>$A315&amp;"|"&amp;$J315&amp;"|"&amp;$E315&amp;"|"&amp;$AC315</f>
        <v/>
      </c>
      <c r="AE315" s="66">
        <f>IF($W315&lt;&gt;"","⚑ "&amp;$W315&amp;CHAR(10),"")&amp;TEXT($F315,"hh:mm")&amp;"-"&amp;TEXT($G315,"hh:mm")&amp;IF(OR($P315="Quinzaine A",AND($P315="Hebdo · groupes alternés",$C315="A"))," Q-A",IF(OR($P315="Quinzaine B",AND($P315="Hebdo · groupes alternés",$C315="B"))," Q-B",IF($P315="Exception"," PONCT.","")))&amp;IF($X315="Oui"," OPT","")&amp;CHAR(10)&amp;$K315&amp;CHAR(10)&amp;$M315&amp;IF($N315&lt;&gt;"",CHAR(10)&amp;"Salle "&amp;$N315,"")&amp;IF($O315="En ligne",CHAR(10)&amp;"EN LIGNE","")&amp;IF($V315&lt;&gt;"",CHAR(10)&amp;$V315,"")</f>
        <v/>
      </c>
      <c r="AF315" s="65" t="inlineStr">
        <is>
          <t>19h30-21h فيزياء /par quinzaine (Melek)</t>
        </is>
      </c>
      <c r="AG315" s="65" t="inlineStr">
        <is>
          <t>du 28-09 jusquà le 04-10!K27</t>
        </is>
      </c>
    </row>
    <row r="316" ht="15" customHeight="1">
      <c r="A316" s="68" t="inlineStr">
        <is>
          <t>S3</t>
        </is>
      </c>
      <c r="B316" s="69" t="inlineStr">
        <is>
          <t>du 28 septembre au 4 octobre 2026</t>
        </is>
      </c>
      <c r="C316" s="68" t="inlineStr">
        <is>
          <t>A</t>
        </is>
      </c>
      <c r="D316" s="70" t="n">
        <v>46297</v>
      </c>
      <c r="E316" s="68" t="inlineStr">
        <is>
          <t>Vendredi</t>
        </is>
      </c>
      <c r="F316" s="71" t="n">
        <v>0.8125</v>
      </c>
      <c r="G316" s="71" t="n">
        <v>0.875</v>
      </c>
      <c r="H316" s="72">
        <f>IF(OR($F316="",$G316=""),"",($G316-$F316)*24)</f>
        <v/>
      </c>
      <c r="I316" s="68" t="inlineStr">
        <is>
          <t>Collège</t>
        </is>
      </c>
      <c r="J316" s="69" t="inlineStr">
        <is>
          <t>9éme (C)</t>
        </is>
      </c>
      <c r="K316" s="63" t="inlineStr">
        <is>
          <t>Arabe</t>
        </is>
      </c>
      <c r="L316" s="63" t="inlineStr">
        <is>
          <t>Arabe</t>
        </is>
      </c>
      <c r="M316" s="69" t="inlineStr">
        <is>
          <t>Yahya</t>
        </is>
      </c>
      <c r="N316" s="68" t="n"/>
      <c r="O316" s="68" t="n"/>
      <c r="P316" s="68" t="inlineStr">
        <is>
          <t>Hebdomadaire</t>
        </is>
      </c>
      <c r="Q316" s="69" t="inlineStr"/>
      <c r="R316" s="68" t="n">
        <v>1</v>
      </c>
      <c r="S316" s="68" t="inlineStr">
        <is>
          <t>Oui</t>
        </is>
      </c>
      <c r="T316" s="68" t="inlineStr">
        <is>
          <t>S3-053</t>
        </is>
      </c>
      <c r="U316" s="69" t="inlineStr">
        <is>
          <t>Original (septembre)</t>
        </is>
      </c>
      <c r="V316" s="69" t="inlineStr"/>
      <c r="W316" s="10" t="n"/>
      <c r="X316" s="10" t="inlineStr"/>
      <c r="Y316" s="64">
        <f>IF($M316="","",IF(SUMPRODUCT(($D$4:$D$863=$D316)*($M$4:$M$863=$M316)*($T$4:$T$863&lt;&gt;$T316)*($F$4:$F$863&lt;$G316)*($G$4:$G$863&gt;$F316))&gt;0,"⚠ CONFLIT",""))</f>
        <v/>
      </c>
      <c r="Z316" s="64">
        <f>IF($J316="","",IF(SUMPRODUCT(($D$4:$D$863=$D316)*($J$4:$J$863=$J316)*($T$4:$T$863&lt;&gt;$T316)*($F$4:$F$863&lt;$G316)*($G$4:$G$863&gt;$F316)*(1-($X$4:$X$863="Oui")*($X316="Oui")))&gt;0,"⚠ CONFLIT",""))</f>
        <v/>
      </c>
      <c r="AA316" s="64">
        <f>IF(COUNTIFS($D$4:$D$863,$D316,$J$4:$J$863,$J316,$F$4:$F$863,$F316,$K$4:$K$863,$K316)&gt;1,"⚠ DOUBLON","")</f>
        <v/>
      </c>
      <c r="AB316" s="64">
        <f>IF(COUNTIF($T$4:$T$863,$T316)&lt;&gt;COUNTIFS($T$4:$T$863,$T316,$D$4:$D$863,$D316,$F$4:$F$863,$F316,$G$4:$G$863,$G316,$K$4:$K$863,$K316,$M$4:$M$863,$M316),"⚠ INCOHÉRENT","")</f>
        <v/>
      </c>
      <c r="AC316" s="64">
        <f>COUNTIFS($A$4:$A316,$A316,$J$4:$J316,$J316,$E$4:$E316,$E316)</f>
        <v/>
      </c>
      <c r="AD316" s="65">
        <f>$A316&amp;"|"&amp;$J316&amp;"|"&amp;$E316&amp;"|"&amp;$AC316</f>
        <v/>
      </c>
      <c r="AE316" s="66">
        <f>IF($W316&lt;&gt;"","⚑ "&amp;$W316&amp;CHAR(10),"")&amp;TEXT($F316,"hh:mm")&amp;"-"&amp;TEXT($G316,"hh:mm")&amp;IF(OR($P316="Quinzaine A",AND($P316="Hebdo · groupes alternés",$C316="A"))," Q-A",IF(OR($P316="Quinzaine B",AND($P316="Hebdo · groupes alternés",$C316="B"))," Q-B",IF($P316="Exception"," PONCT.","")))&amp;IF($X316="Oui"," OPT","")&amp;CHAR(10)&amp;$K316&amp;CHAR(10)&amp;$M316&amp;IF($N316&lt;&gt;"",CHAR(10)&amp;"Salle "&amp;$N316,"")&amp;IF($O316="En ligne",CHAR(10)&amp;"EN LIGNE","")&amp;IF($V316&lt;&gt;"",CHAR(10)&amp;$V316,"")</f>
        <v/>
      </c>
      <c r="AF316" s="65" t="inlineStr">
        <is>
          <t>19h30-21h Arabe (Yahya)</t>
        </is>
      </c>
      <c r="AG316" s="65" t="inlineStr">
        <is>
          <t>du 28-09 jusquà le 04-10!K46</t>
        </is>
      </c>
    </row>
    <row r="317" ht="15" customHeight="1">
      <c r="A317" s="74" t="inlineStr">
        <is>
          <t>S3</t>
        </is>
      </c>
      <c r="B317" s="75" t="inlineStr">
        <is>
          <t>du 28 septembre au 4 octobre 2026</t>
        </is>
      </c>
      <c r="C317" s="74" t="inlineStr">
        <is>
          <t>A</t>
        </is>
      </c>
      <c r="D317" s="76" t="n">
        <v>46297</v>
      </c>
      <c r="E317" s="74" t="inlineStr">
        <is>
          <t>Vendredi</t>
        </is>
      </c>
      <c r="F317" s="77" t="n">
        <v>0.7291666666666666</v>
      </c>
      <c r="G317" s="77" t="n">
        <v>0.7916666666666666</v>
      </c>
      <c r="H317" s="78">
        <f>IF(OR($F317="",$G317=""),"",($G317-$F317)*24)</f>
        <v/>
      </c>
      <c r="I317" s="74" t="inlineStr">
        <is>
          <t>Secondaire</t>
        </is>
      </c>
      <c r="J317" s="75" t="inlineStr">
        <is>
          <t>1ére (A)</t>
        </is>
      </c>
      <c r="K317" s="63" t="inlineStr">
        <is>
          <t>Arabe</t>
        </is>
      </c>
      <c r="L317" s="63" t="inlineStr">
        <is>
          <t>Arabe</t>
        </is>
      </c>
      <c r="M317" s="75" t="inlineStr">
        <is>
          <t>Najet</t>
        </is>
      </c>
      <c r="N317" s="74" t="n"/>
      <c r="O317" s="74" t="n"/>
      <c r="P317" s="74" t="inlineStr">
        <is>
          <t>Hebdomadaire</t>
        </is>
      </c>
      <c r="Q317" s="75" t="inlineStr"/>
      <c r="R317" s="74" t="n">
        <v>1</v>
      </c>
      <c r="S317" s="74" t="inlineStr">
        <is>
          <t>Oui</t>
        </is>
      </c>
      <c r="T317" s="74" t="inlineStr">
        <is>
          <t>S3-054</t>
        </is>
      </c>
      <c r="U317" s="75" t="inlineStr">
        <is>
          <t>Original (septembre)</t>
        </is>
      </c>
      <c r="V317" s="75" t="inlineStr"/>
      <c r="W317" s="10" t="n"/>
      <c r="X317" s="10" t="inlineStr"/>
      <c r="Y317" s="64">
        <f>IF($M317="","",IF(SUMPRODUCT(($D$4:$D$863=$D317)*($M$4:$M$863=$M317)*($T$4:$T$863&lt;&gt;$T317)*($F$4:$F$863&lt;$G317)*($G$4:$G$863&gt;$F317))&gt;0,"⚠ CONFLIT",""))</f>
        <v/>
      </c>
      <c r="Z317" s="64">
        <f>IF($J317="","",IF(SUMPRODUCT(($D$4:$D$863=$D317)*($J$4:$J$863=$J317)*($T$4:$T$863&lt;&gt;$T317)*($F$4:$F$863&lt;$G317)*($G$4:$G$863&gt;$F317)*(1-($X$4:$X$863="Oui")*($X317="Oui")))&gt;0,"⚠ CONFLIT",""))</f>
        <v/>
      </c>
      <c r="AA317" s="64">
        <f>IF(COUNTIFS($D$4:$D$863,$D317,$J$4:$J$863,$J317,$F$4:$F$863,$F317,$K$4:$K$863,$K317)&gt;1,"⚠ DOUBLON","")</f>
        <v/>
      </c>
      <c r="AB317" s="64">
        <f>IF(COUNTIF($T$4:$T$863,$T317)&lt;&gt;COUNTIFS($T$4:$T$863,$T317,$D$4:$D$863,$D317,$F$4:$F$863,$F317,$G$4:$G$863,$G317,$K$4:$K$863,$K317,$M$4:$M$863,$M317),"⚠ INCOHÉRENT","")</f>
        <v/>
      </c>
      <c r="AC317" s="64">
        <f>COUNTIFS($A$4:$A317,$A317,$J$4:$J317,$J317,$E$4:$E317,$E317)</f>
        <v/>
      </c>
      <c r="AD317" s="65">
        <f>$A317&amp;"|"&amp;$J317&amp;"|"&amp;$E317&amp;"|"&amp;$AC317</f>
        <v/>
      </c>
      <c r="AE317" s="66">
        <f>IF($W317&lt;&gt;"","⚑ "&amp;$W317&amp;CHAR(10),"")&amp;TEXT($F317,"hh:mm")&amp;"-"&amp;TEXT($G317,"hh:mm")&amp;IF(OR($P317="Quinzaine A",AND($P317="Hebdo · groupes alternés",$C317="A"))," Q-A",IF(OR($P317="Quinzaine B",AND($P317="Hebdo · groupes alternés",$C317="B"))," Q-B",IF($P317="Exception"," PONCT.","")))&amp;IF($X317="Oui"," OPT","")&amp;CHAR(10)&amp;$K317&amp;CHAR(10)&amp;$M317&amp;IF($N317&lt;&gt;"",CHAR(10)&amp;"Salle "&amp;$N317,"")&amp;IF($O317="En ligne",CHAR(10)&amp;"EN LIGNE","")&amp;IF($V317&lt;&gt;"",CHAR(10)&amp;$V317,"")</f>
        <v/>
      </c>
      <c r="AF317" s="65" t="inlineStr">
        <is>
          <t>17h30-19h Arabe (Najet)</t>
        </is>
      </c>
      <c r="AG317" s="65" t="inlineStr">
        <is>
          <t>du 28-09 jusquà le 04-10!K48</t>
        </is>
      </c>
    </row>
    <row r="318" ht="15" customHeight="1">
      <c r="A318" s="74" t="inlineStr">
        <is>
          <t>S3</t>
        </is>
      </c>
      <c r="B318" s="75" t="inlineStr">
        <is>
          <t>du 28 septembre au 4 octobre 2026</t>
        </is>
      </c>
      <c r="C318" s="74" t="inlineStr">
        <is>
          <t>A</t>
        </is>
      </c>
      <c r="D318" s="76" t="n">
        <v>46297</v>
      </c>
      <c r="E318" s="74" t="inlineStr">
        <is>
          <t>Vendredi</t>
        </is>
      </c>
      <c r="F318" s="77" t="n">
        <v>0.7916666666666666</v>
      </c>
      <c r="G318" s="77" t="n">
        <v>0.8541666666666666</v>
      </c>
      <c r="H318" s="78">
        <f>IF(OR($F318="",$G318=""),"",($G318-$F318)*24)</f>
        <v/>
      </c>
      <c r="I318" s="74" t="inlineStr">
        <is>
          <t>Secondaire</t>
        </is>
      </c>
      <c r="J318" s="75" t="inlineStr">
        <is>
          <t>1ére (B)</t>
        </is>
      </c>
      <c r="K318" s="63" t="inlineStr">
        <is>
          <t>Arabe</t>
        </is>
      </c>
      <c r="L318" s="63" t="inlineStr">
        <is>
          <t>Arabe</t>
        </is>
      </c>
      <c r="M318" s="75" t="inlineStr">
        <is>
          <t>Najet</t>
        </is>
      </c>
      <c r="N318" s="74" t="n"/>
      <c r="O318" s="74" t="n"/>
      <c r="P318" s="74" t="inlineStr">
        <is>
          <t>Hebdomadaire</t>
        </is>
      </c>
      <c r="Q318" s="75" t="inlineStr"/>
      <c r="R318" s="74" t="n">
        <v>1</v>
      </c>
      <c r="S318" s="74" t="inlineStr">
        <is>
          <t>Oui</t>
        </is>
      </c>
      <c r="T318" s="74" t="inlineStr">
        <is>
          <t>S3-055</t>
        </is>
      </c>
      <c r="U318" s="75" t="inlineStr">
        <is>
          <t>Original (septembre)</t>
        </is>
      </c>
      <c r="V318" s="75" t="inlineStr"/>
      <c r="W318" s="10" t="n"/>
      <c r="X318" s="10" t="inlineStr"/>
      <c r="Y318" s="64">
        <f>IF($M318="","",IF(SUMPRODUCT(($D$4:$D$863=$D318)*($M$4:$M$863=$M318)*($T$4:$T$863&lt;&gt;$T318)*($F$4:$F$863&lt;$G318)*($G$4:$G$863&gt;$F318))&gt;0,"⚠ CONFLIT",""))</f>
        <v/>
      </c>
      <c r="Z318" s="64">
        <f>IF($J318="","",IF(SUMPRODUCT(($D$4:$D$863=$D318)*($J$4:$J$863=$J318)*($T$4:$T$863&lt;&gt;$T318)*($F$4:$F$863&lt;$G318)*($G$4:$G$863&gt;$F318)*(1-($X$4:$X$863="Oui")*($X318="Oui")))&gt;0,"⚠ CONFLIT",""))</f>
        <v/>
      </c>
      <c r="AA318" s="64">
        <f>IF(COUNTIFS($D$4:$D$863,$D318,$J$4:$J$863,$J318,$F$4:$F$863,$F318,$K$4:$K$863,$K318)&gt;1,"⚠ DOUBLON","")</f>
        <v/>
      </c>
      <c r="AB318" s="64">
        <f>IF(COUNTIF($T$4:$T$863,$T318)&lt;&gt;COUNTIFS($T$4:$T$863,$T318,$D$4:$D$863,$D318,$F$4:$F$863,$F318,$G$4:$G$863,$G318,$K$4:$K$863,$K318,$M$4:$M$863,$M318),"⚠ INCOHÉRENT","")</f>
        <v/>
      </c>
      <c r="AC318" s="64">
        <f>COUNTIFS($A$4:$A318,$A318,$J$4:$J318,$J318,$E$4:$E318,$E318)</f>
        <v/>
      </c>
      <c r="AD318" s="65">
        <f>$A318&amp;"|"&amp;$J318&amp;"|"&amp;$E318&amp;"|"&amp;$AC318</f>
        <v/>
      </c>
      <c r="AE318" s="66">
        <f>IF($W318&lt;&gt;"","⚑ "&amp;$W318&amp;CHAR(10),"")&amp;TEXT($F318,"hh:mm")&amp;"-"&amp;TEXT($G318,"hh:mm")&amp;IF(OR($P318="Quinzaine A",AND($P318="Hebdo · groupes alternés",$C318="A"))," Q-A",IF(OR($P318="Quinzaine B",AND($P318="Hebdo · groupes alternés",$C318="B"))," Q-B",IF($P318="Exception"," PONCT.","")))&amp;IF($X318="Oui"," OPT","")&amp;CHAR(10)&amp;$K318&amp;CHAR(10)&amp;$M318&amp;IF($N318&lt;&gt;"",CHAR(10)&amp;"Salle "&amp;$N318,"")&amp;IF($O318="En ligne",CHAR(10)&amp;"EN LIGNE","")&amp;IF($V318&lt;&gt;"",CHAR(10)&amp;$V318,"")</f>
        <v/>
      </c>
      <c r="AF318" s="65" t="inlineStr">
        <is>
          <t>19h-20h30 Arabe (Najet)</t>
        </is>
      </c>
      <c r="AG318" s="65" t="inlineStr">
        <is>
          <t>du 28-09 jusquà le 04-10!K52</t>
        </is>
      </c>
    </row>
    <row r="319" ht="15" customHeight="1">
      <c r="A319" s="74" t="inlineStr">
        <is>
          <t>S3</t>
        </is>
      </c>
      <c r="B319" s="75" t="inlineStr">
        <is>
          <t>du 28 septembre au 4 octobre 2026</t>
        </is>
      </c>
      <c r="C319" s="74" t="inlineStr">
        <is>
          <t>A</t>
        </is>
      </c>
      <c r="D319" s="76" t="n">
        <v>46297</v>
      </c>
      <c r="E319" s="74" t="inlineStr">
        <is>
          <t>Vendredi</t>
        </is>
      </c>
      <c r="F319" s="77" t="n">
        <v>0.7291666666666666</v>
      </c>
      <c r="G319" s="77" t="n">
        <v>0.7916666666666666</v>
      </c>
      <c r="H319" s="78">
        <f>IF(OR($F319="",$G319=""),"",($G319-$F319)*24)</f>
        <v/>
      </c>
      <c r="I319" s="74" t="inlineStr">
        <is>
          <t>Secondaire</t>
        </is>
      </c>
      <c r="J319" s="75" t="inlineStr">
        <is>
          <t>2éme Eco</t>
        </is>
      </c>
      <c r="K319" s="67" t="inlineStr">
        <is>
          <t>Français</t>
        </is>
      </c>
      <c r="L319" s="67" t="inlineStr">
        <is>
          <t>Français</t>
        </is>
      </c>
      <c r="M319" s="75" t="inlineStr">
        <is>
          <t>Nabil</t>
        </is>
      </c>
      <c r="N319" s="74" t="n"/>
      <c r="O319" s="74" t="n"/>
      <c r="P319" s="74" t="inlineStr">
        <is>
          <t>Hebdo · groupes alternés</t>
        </is>
      </c>
      <c r="Q319" s="75" t="inlineStr">
        <is>
          <t>2éme Eco + 2éme SCE + 2éme INFO</t>
        </is>
      </c>
      <c r="R319" s="74" t="n">
        <v>3</v>
      </c>
      <c r="S319" s="74" t="inlineStr">
        <is>
          <t>Oui</t>
        </is>
      </c>
      <c r="T319" s="74" t="inlineStr">
        <is>
          <t>S3-056</t>
        </is>
      </c>
      <c r="U319" s="75" t="inlineStr">
        <is>
          <t>Original (septembre)</t>
        </is>
      </c>
      <c r="V319" s="75" t="inlineStr"/>
      <c r="W319" s="10" t="n"/>
      <c r="X319" s="10" t="inlineStr"/>
      <c r="Y319" s="64">
        <f>IF($M319="","",IF(SUMPRODUCT(($D$4:$D$863=$D319)*($M$4:$M$863=$M319)*($T$4:$T$863&lt;&gt;$T319)*($F$4:$F$863&lt;$G319)*($G$4:$G$863&gt;$F319))&gt;0,"⚠ CONFLIT",""))</f>
        <v/>
      </c>
      <c r="Z319" s="64">
        <f>IF($J319="","",IF(SUMPRODUCT(($D$4:$D$863=$D319)*($J$4:$J$863=$J319)*($T$4:$T$863&lt;&gt;$T319)*($F$4:$F$863&lt;$G319)*($G$4:$G$863&gt;$F319)*(1-($X$4:$X$863="Oui")*($X319="Oui")))&gt;0,"⚠ CONFLIT",""))</f>
        <v/>
      </c>
      <c r="AA319" s="64">
        <f>IF(COUNTIFS($D$4:$D$863,$D319,$J$4:$J$863,$J319,$F$4:$F$863,$F319,$K$4:$K$863,$K319)&gt;1,"⚠ DOUBLON","")</f>
        <v/>
      </c>
      <c r="AB319" s="64">
        <f>IF(COUNTIF($T$4:$T$863,$T319)&lt;&gt;COUNTIFS($T$4:$T$863,$T319,$D$4:$D$863,$D319,$F$4:$F$863,$F319,$G$4:$G$863,$G319,$K$4:$K$863,$K319,$M$4:$M$863,$M319),"⚠ INCOHÉRENT","")</f>
        <v/>
      </c>
      <c r="AC319" s="64">
        <f>COUNTIFS($A$4:$A319,$A319,$J$4:$J319,$J319,$E$4:$E319,$E319)</f>
        <v/>
      </c>
      <c r="AD319" s="65">
        <f>$A319&amp;"|"&amp;$J319&amp;"|"&amp;$E319&amp;"|"&amp;$AC319</f>
        <v/>
      </c>
      <c r="AE319" s="66">
        <f>IF($W319&lt;&gt;"","⚑ "&amp;$W319&amp;CHAR(10),"")&amp;TEXT($F319,"hh:mm")&amp;"-"&amp;TEXT($G319,"hh:mm")&amp;IF(OR($P319="Quinzaine A",AND($P319="Hebdo · groupes alternés",$C319="A"))," Q-A",IF(OR($P319="Quinzaine B",AND($P319="Hebdo · groupes alternés",$C319="B"))," Q-B",IF($P319="Exception"," PONCT.","")))&amp;IF($X319="Oui"," OPT","")&amp;CHAR(10)&amp;$K319&amp;CHAR(10)&amp;$M319&amp;IF($N319&lt;&gt;"",CHAR(10)&amp;"Salle "&amp;$N319,"")&amp;IF($O319="En ligne",CHAR(10)&amp;"EN LIGNE","")&amp;IF($V319&lt;&gt;"",CHAR(10)&amp;$V319,"")</f>
        <v/>
      </c>
      <c r="AF319" s="65" t="inlineStr">
        <is>
          <t>17h30-19h Français (Nabil)</t>
        </is>
      </c>
      <c r="AG319" s="65" t="inlineStr">
        <is>
          <t>du 28-09 jusquà le 04-10!K56</t>
        </is>
      </c>
    </row>
    <row r="320" ht="15" customHeight="1">
      <c r="A320" s="74" t="inlineStr">
        <is>
          <t>S3</t>
        </is>
      </c>
      <c r="B320" s="75" t="inlineStr">
        <is>
          <t>du 28 septembre au 4 octobre 2026</t>
        </is>
      </c>
      <c r="C320" s="74" t="inlineStr">
        <is>
          <t>A</t>
        </is>
      </c>
      <c r="D320" s="76" t="n">
        <v>46297</v>
      </c>
      <c r="E320" s="74" t="inlineStr">
        <is>
          <t>Vendredi</t>
        </is>
      </c>
      <c r="F320" s="77" t="n">
        <v>0.7291666666666666</v>
      </c>
      <c r="G320" s="77" t="n">
        <v>0.7916666666666666</v>
      </c>
      <c r="H320" s="78">
        <f>IF(OR($F320="",$G320=""),"",($G320-$F320)*24)</f>
        <v/>
      </c>
      <c r="I320" s="74" t="inlineStr">
        <is>
          <t>Secondaire</t>
        </is>
      </c>
      <c r="J320" s="75" t="inlineStr">
        <is>
          <t>2éme SCE</t>
        </is>
      </c>
      <c r="K320" s="67" t="inlineStr">
        <is>
          <t>Français</t>
        </is>
      </c>
      <c r="L320" s="67" t="inlineStr">
        <is>
          <t>Français</t>
        </is>
      </c>
      <c r="M320" s="75" t="inlineStr">
        <is>
          <t>Nabil</t>
        </is>
      </c>
      <c r="N320" s="74" t="n"/>
      <c r="O320" s="74" t="n"/>
      <c r="P320" s="74" t="inlineStr">
        <is>
          <t>Hebdo · groupes alternés</t>
        </is>
      </c>
      <c r="Q320" s="75" t="inlineStr">
        <is>
          <t>2éme Eco + 2éme SCE + 2éme INFO</t>
        </is>
      </c>
      <c r="R320" s="74" t="n">
        <v>3</v>
      </c>
      <c r="S320" s="74" t="inlineStr"/>
      <c r="T320" s="74" t="inlineStr">
        <is>
          <t>S3-056</t>
        </is>
      </c>
      <c r="U320" s="75" t="inlineStr">
        <is>
          <t>Original (septembre)</t>
        </is>
      </c>
      <c r="V320" s="75" t="inlineStr"/>
      <c r="W320" s="10" t="n"/>
      <c r="X320" s="10" t="inlineStr"/>
      <c r="Y320" s="64">
        <f>IF($M320="","",IF(SUMPRODUCT(($D$4:$D$863=$D320)*($M$4:$M$863=$M320)*($T$4:$T$863&lt;&gt;$T320)*($F$4:$F$863&lt;$G320)*($G$4:$G$863&gt;$F320))&gt;0,"⚠ CONFLIT",""))</f>
        <v/>
      </c>
      <c r="Z320" s="64">
        <f>IF($J320="","",IF(SUMPRODUCT(($D$4:$D$863=$D320)*($J$4:$J$863=$J320)*($T$4:$T$863&lt;&gt;$T320)*($F$4:$F$863&lt;$G320)*($G$4:$G$863&gt;$F320)*(1-($X$4:$X$863="Oui")*($X320="Oui")))&gt;0,"⚠ CONFLIT",""))</f>
        <v/>
      </c>
      <c r="AA320" s="64">
        <f>IF(COUNTIFS($D$4:$D$863,$D320,$J$4:$J$863,$J320,$F$4:$F$863,$F320,$K$4:$K$863,$K320)&gt;1,"⚠ DOUBLON","")</f>
        <v/>
      </c>
      <c r="AB320" s="64">
        <f>IF(COUNTIF($T$4:$T$863,$T320)&lt;&gt;COUNTIFS($T$4:$T$863,$T320,$D$4:$D$863,$D320,$F$4:$F$863,$F320,$G$4:$G$863,$G320,$K$4:$K$863,$K320,$M$4:$M$863,$M320),"⚠ INCOHÉRENT","")</f>
        <v/>
      </c>
      <c r="AC320" s="64">
        <f>COUNTIFS($A$4:$A320,$A320,$J$4:$J320,$J320,$E$4:$E320,$E320)</f>
        <v/>
      </c>
      <c r="AD320" s="65">
        <f>$A320&amp;"|"&amp;$J320&amp;"|"&amp;$E320&amp;"|"&amp;$AC320</f>
        <v/>
      </c>
      <c r="AE320" s="66">
        <f>IF($W320&lt;&gt;"","⚑ "&amp;$W320&amp;CHAR(10),"")&amp;TEXT($F320,"hh:mm")&amp;"-"&amp;TEXT($G320,"hh:mm")&amp;IF(OR($P320="Quinzaine A",AND($P320="Hebdo · groupes alternés",$C320="A"))," Q-A",IF(OR($P320="Quinzaine B",AND($P320="Hebdo · groupes alternés",$C320="B"))," Q-B",IF($P320="Exception"," PONCT.","")))&amp;IF($X320="Oui"," OPT","")&amp;CHAR(10)&amp;$K320&amp;CHAR(10)&amp;$M320&amp;IF($N320&lt;&gt;"",CHAR(10)&amp;"Salle "&amp;$N320,"")&amp;IF($O320="En ligne",CHAR(10)&amp;"EN LIGNE","")&amp;IF($V320&lt;&gt;"",CHAR(10)&amp;$V320,"")</f>
        <v/>
      </c>
      <c r="AF320" s="65" t="inlineStr">
        <is>
          <t>17h30-19h Français (Nabil)</t>
        </is>
      </c>
      <c r="AG320" s="65" t="inlineStr">
        <is>
          <t>du 28-09 jusquà le 04-10!K56</t>
        </is>
      </c>
    </row>
    <row r="321" ht="15" customHeight="1">
      <c r="A321" s="74" t="inlineStr">
        <is>
          <t>S3</t>
        </is>
      </c>
      <c r="B321" s="75" t="inlineStr">
        <is>
          <t>du 28 septembre au 4 octobre 2026</t>
        </is>
      </c>
      <c r="C321" s="74" t="inlineStr">
        <is>
          <t>A</t>
        </is>
      </c>
      <c r="D321" s="76" t="n">
        <v>46297</v>
      </c>
      <c r="E321" s="74" t="inlineStr">
        <is>
          <t>Vendredi</t>
        </is>
      </c>
      <c r="F321" s="77" t="n">
        <v>0.7291666666666666</v>
      </c>
      <c r="G321" s="77" t="n">
        <v>0.7916666666666666</v>
      </c>
      <c r="H321" s="78">
        <f>IF(OR($F321="",$G321=""),"",($G321-$F321)*24)</f>
        <v/>
      </c>
      <c r="I321" s="74" t="inlineStr">
        <is>
          <t>Secondaire</t>
        </is>
      </c>
      <c r="J321" s="75" t="inlineStr">
        <is>
          <t>2éme INFO</t>
        </is>
      </c>
      <c r="K321" s="67" t="inlineStr">
        <is>
          <t>Français</t>
        </is>
      </c>
      <c r="L321" s="67" t="inlineStr">
        <is>
          <t>Français</t>
        </is>
      </c>
      <c r="M321" s="75" t="inlineStr">
        <is>
          <t>Nabil</t>
        </is>
      </c>
      <c r="N321" s="74" t="n"/>
      <c r="O321" s="74" t="n"/>
      <c r="P321" s="74" t="inlineStr">
        <is>
          <t>Hebdo · groupes alternés</t>
        </is>
      </c>
      <c r="Q321" s="75" t="inlineStr">
        <is>
          <t>2éme Eco + 2éme SCE + 2éme INFO</t>
        </is>
      </c>
      <c r="R321" s="74" t="n">
        <v>3</v>
      </c>
      <c r="S321" s="74" t="inlineStr"/>
      <c r="T321" s="74" t="inlineStr">
        <is>
          <t>S3-056</t>
        </is>
      </c>
      <c r="U321" s="75" t="inlineStr">
        <is>
          <t>Original (septembre)</t>
        </is>
      </c>
      <c r="V321" s="75" t="inlineStr"/>
      <c r="W321" s="10" t="n"/>
      <c r="X321" s="10" t="inlineStr"/>
      <c r="Y321" s="64">
        <f>IF($M321="","",IF(SUMPRODUCT(($D$4:$D$863=$D321)*($M$4:$M$863=$M321)*($T$4:$T$863&lt;&gt;$T321)*($F$4:$F$863&lt;$G321)*($G$4:$G$863&gt;$F321))&gt;0,"⚠ CONFLIT",""))</f>
        <v/>
      </c>
      <c r="Z321" s="64">
        <f>IF($J321="","",IF(SUMPRODUCT(($D$4:$D$863=$D321)*($J$4:$J$863=$J321)*($T$4:$T$863&lt;&gt;$T321)*($F$4:$F$863&lt;$G321)*($G$4:$G$863&gt;$F321)*(1-($X$4:$X$863="Oui")*($X321="Oui")))&gt;0,"⚠ CONFLIT",""))</f>
        <v/>
      </c>
      <c r="AA321" s="64">
        <f>IF(COUNTIFS($D$4:$D$863,$D321,$J$4:$J$863,$J321,$F$4:$F$863,$F321,$K$4:$K$863,$K321)&gt;1,"⚠ DOUBLON","")</f>
        <v/>
      </c>
      <c r="AB321" s="64">
        <f>IF(COUNTIF($T$4:$T$863,$T321)&lt;&gt;COUNTIFS($T$4:$T$863,$T321,$D$4:$D$863,$D321,$F$4:$F$863,$F321,$G$4:$G$863,$G321,$K$4:$K$863,$K321,$M$4:$M$863,$M321),"⚠ INCOHÉRENT","")</f>
        <v/>
      </c>
      <c r="AC321" s="64">
        <f>COUNTIFS($A$4:$A321,$A321,$J$4:$J321,$J321,$E$4:$E321,$E321)</f>
        <v/>
      </c>
      <c r="AD321" s="65">
        <f>$A321&amp;"|"&amp;$J321&amp;"|"&amp;$E321&amp;"|"&amp;$AC321</f>
        <v/>
      </c>
      <c r="AE321" s="66">
        <f>IF($W321&lt;&gt;"","⚑ "&amp;$W321&amp;CHAR(10),"")&amp;TEXT($F321,"hh:mm")&amp;"-"&amp;TEXT($G321,"hh:mm")&amp;IF(OR($P321="Quinzaine A",AND($P321="Hebdo · groupes alternés",$C321="A"))," Q-A",IF(OR($P321="Quinzaine B",AND($P321="Hebdo · groupes alternés",$C321="B"))," Q-B",IF($P321="Exception"," PONCT.","")))&amp;IF($X321="Oui"," OPT","")&amp;CHAR(10)&amp;$K321&amp;CHAR(10)&amp;$M321&amp;IF($N321&lt;&gt;"",CHAR(10)&amp;"Salle "&amp;$N321,"")&amp;IF($O321="En ligne",CHAR(10)&amp;"EN LIGNE","")&amp;IF($V321&lt;&gt;"",CHAR(10)&amp;$V321,"")</f>
        <v/>
      </c>
      <c r="AF321" s="65" t="inlineStr">
        <is>
          <t>17h30-19h Français (Nabil)</t>
        </is>
      </c>
      <c r="AG321" s="65" t="inlineStr">
        <is>
          <t>du 28-09 jusquà le 04-10!K56</t>
        </is>
      </c>
    </row>
    <row r="322" ht="15" customHeight="1">
      <c r="A322" s="74" t="inlineStr">
        <is>
          <t>S3</t>
        </is>
      </c>
      <c r="B322" s="75" t="inlineStr">
        <is>
          <t>du 28 septembre au 4 octobre 2026</t>
        </is>
      </c>
      <c r="C322" s="74" t="inlineStr">
        <is>
          <t>A</t>
        </is>
      </c>
      <c r="D322" s="76" t="n">
        <v>46297</v>
      </c>
      <c r="E322" s="74" t="inlineStr">
        <is>
          <t>Vendredi</t>
        </is>
      </c>
      <c r="F322" s="77" t="n">
        <v>0.8125</v>
      </c>
      <c r="G322" s="77" t="n">
        <v>0.875</v>
      </c>
      <c r="H322" s="78">
        <f>IF(OR($F322="",$G322=""),"",($G322-$F322)*24)</f>
        <v/>
      </c>
      <c r="I322" s="74" t="inlineStr">
        <is>
          <t>Secondaire</t>
        </is>
      </c>
      <c r="J322" s="75" t="inlineStr">
        <is>
          <t>2éme INFO</t>
        </is>
      </c>
      <c r="K322" s="79" t="inlineStr">
        <is>
          <t>Math</t>
        </is>
      </c>
      <c r="L322" s="79" t="inlineStr">
        <is>
          <t>Math</t>
        </is>
      </c>
      <c r="M322" s="75" t="inlineStr">
        <is>
          <t>Haythem</t>
        </is>
      </c>
      <c r="N322" s="74" t="n"/>
      <c r="O322" s="74" t="n"/>
      <c r="P322" s="74" t="inlineStr">
        <is>
          <t>Hebdomadaire</t>
        </is>
      </c>
      <c r="Q322" s="75" t="inlineStr"/>
      <c r="R322" s="74" t="n">
        <v>1</v>
      </c>
      <c r="S322" s="74" t="inlineStr">
        <is>
          <t>Oui</t>
        </is>
      </c>
      <c r="T322" s="74" t="inlineStr">
        <is>
          <t>S3-057</t>
        </is>
      </c>
      <c r="U322" s="75" t="inlineStr">
        <is>
          <t>Original (septembre)</t>
        </is>
      </c>
      <c r="V322" s="75" t="inlineStr"/>
      <c r="W322" s="10" t="n"/>
      <c r="X322" s="10" t="inlineStr"/>
      <c r="Y322" s="64">
        <f>IF($M322="","",IF(SUMPRODUCT(($D$4:$D$863=$D322)*($M$4:$M$863=$M322)*($T$4:$T$863&lt;&gt;$T322)*($F$4:$F$863&lt;$G322)*($G$4:$G$863&gt;$F322))&gt;0,"⚠ CONFLIT",""))</f>
        <v/>
      </c>
      <c r="Z322" s="64">
        <f>IF($J322="","",IF(SUMPRODUCT(($D$4:$D$863=$D322)*($J$4:$J$863=$J322)*($T$4:$T$863&lt;&gt;$T322)*($F$4:$F$863&lt;$G322)*($G$4:$G$863&gt;$F322)*(1-($X$4:$X$863="Oui")*($X322="Oui")))&gt;0,"⚠ CONFLIT",""))</f>
        <v/>
      </c>
      <c r="AA322" s="64">
        <f>IF(COUNTIFS($D$4:$D$863,$D322,$J$4:$J$863,$J322,$F$4:$F$863,$F322,$K$4:$K$863,$K322)&gt;1,"⚠ DOUBLON","")</f>
        <v/>
      </c>
      <c r="AB322" s="64">
        <f>IF(COUNTIF($T$4:$T$863,$T322)&lt;&gt;COUNTIFS($T$4:$T$863,$T322,$D$4:$D$863,$D322,$F$4:$F$863,$F322,$G$4:$G$863,$G322,$K$4:$K$863,$K322,$M$4:$M$863,$M322),"⚠ INCOHÉRENT","")</f>
        <v/>
      </c>
      <c r="AC322" s="64">
        <f>COUNTIFS($A$4:$A322,$A322,$J$4:$J322,$J322,$E$4:$E322,$E322)</f>
        <v/>
      </c>
      <c r="AD322" s="65">
        <f>$A322&amp;"|"&amp;$J322&amp;"|"&amp;$E322&amp;"|"&amp;$AC322</f>
        <v/>
      </c>
      <c r="AE322" s="66">
        <f>IF($W322&lt;&gt;"","⚑ "&amp;$W322&amp;CHAR(10),"")&amp;TEXT($F322,"hh:mm")&amp;"-"&amp;TEXT($G322,"hh:mm")&amp;IF(OR($P322="Quinzaine A",AND($P322="Hebdo · groupes alternés",$C322="A"))," Q-A",IF(OR($P322="Quinzaine B",AND($P322="Hebdo · groupes alternés",$C322="B"))," Q-B",IF($P322="Exception"," PONCT.","")))&amp;IF($X322="Oui"," OPT","")&amp;CHAR(10)&amp;$K322&amp;CHAR(10)&amp;$M322&amp;IF($N322&lt;&gt;"",CHAR(10)&amp;"Salle "&amp;$N322,"")&amp;IF($O322="En ligne",CHAR(10)&amp;"EN LIGNE","")&amp;IF($V322&lt;&gt;"",CHAR(10)&amp;$V322,"")</f>
        <v/>
      </c>
      <c r="AF322" s="65" t="inlineStr">
        <is>
          <t>19h30-21h Math (Haythem)</t>
        </is>
      </c>
      <c r="AG322" s="65" t="inlineStr">
        <is>
          <t>du 28-09 jusquà le 04-10!K61</t>
        </is>
      </c>
    </row>
    <row r="323" ht="15" customHeight="1">
      <c r="A323" s="74" t="inlineStr">
        <is>
          <t>S3</t>
        </is>
      </c>
      <c r="B323" s="75" t="inlineStr">
        <is>
          <t>du 28 septembre au 4 octobre 2026</t>
        </is>
      </c>
      <c r="C323" s="74" t="inlineStr">
        <is>
          <t>A</t>
        </is>
      </c>
      <c r="D323" s="76" t="n">
        <v>46297</v>
      </c>
      <c r="E323" s="74" t="inlineStr">
        <is>
          <t>Vendredi</t>
        </is>
      </c>
      <c r="F323" s="77" t="n">
        <v>0.7916666666666666</v>
      </c>
      <c r="G323" s="77" t="n">
        <v>0.8541666666666666</v>
      </c>
      <c r="H323" s="78">
        <f>IF(OR($F323="",$G323=""),"",($G323-$F323)*24)</f>
        <v/>
      </c>
      <c r="I323" s="74" t="inlineStr">
        <is>
          <t>Secondaire</t>
        </is>
      </c>
      <c r="J323" s="75" t="inlineStr">
        <is>
          <t>3éme Eco</t>
        </is>
      </c>
      <c r="K323" s="67" t="inlineStr">
        <is>
          <t>Français</t>
        </is>
      </c>
      <c r="L323" s="67" t="inlineStr">
        <is>
          <t>Français</t>
        </is>
      </c>
      <c r="M323" s="75" t="inlineStr">
        <is>
          <t>Nabil</t>
        </is>
      </c>
      <c r="N323" s="74" t="n"/>
      <c r="O323" s="74" t="n"/>
      <c r="P323" s="74" t="inlineStr">
        <is>
          <t>Quinzaine A</t>
        </is>
      </c>
      <c r="Q323" s="75" t="inlineStr">
        <is>
          <t>3éme Eco + 3éme INFO + 3éme SCE</t>
        </is>
      </c>
      <c r="R323" s="74" t="n">
        <v>3</v>
      </c>
      <c r="S323" s="74" t="inlineStr">
        <is>
          <t>Oui</t>
        </is>
      </c>
      <c r="T323" s="74" t="inlineStr">
        <is>
          <t>S3-058</t>
        </is>
      </c>
      <c r="U323" s="75" t="inlineStr">
        <is>
          <t>Original (septembre)</t>
        </is>
      </c>
      <c r="V323" s="75" t="inlineStr"/>
      <c r="W323" s="10" t="n"/>
      <c r="X323" s="10" t="inlineStr"/>
      <c r="Y323" s="64">
        <f>IF($M323="","",IF(SUMPRODUCT(($D$4:$D$863=$D323)*($M$4:$M$863=$M323)*($T$4:$T$863&lt;&gt;$T323)*($F$4:$F$863&lt;$G323)*($G$4:$G$863&gt;$F323))&gt;0,"⚠ CONFLIT",""))</f>
        <v/>
      </c>
      <c r="Z323" s="64">
        <f>IF($J323="","",IF(SUMPRODUCT(($D$4:$D$863=$D323)*($J$4:$J$863=$J323)*($T$4:$T$863&lt;&gt;$T323)*($F$4:$F$863&lt;$G323)*($G$4:$G$863&gt;$F323)*(1-($X$4:$X$863="Oui")*($X323="Oui")))&gt;0,"⚠ CONFLIT",""))</f>
        <v/>
      </c>
      <c r="AA323" s="64">
        <f>IF(COUNTIFS($D$4:$D$863,$D323,$J$4:$J$863,$J323,$F$4:$F$863,$F323,$K$4:$K$863,$K323)&gt;1,"⚠ DOUBLON","")</f>
        <v/>
      </c>
      <c r="AB323" s="64">
        <f>IF(COUNTIF($T$4:$T$863,$T323)&lt;&gt;COUNTIFS($T$4:$T$863,$T323,$D$4:$D$863,$D323,$F$4:$F$863,$F323,$G$4:$G$863,$G323,$K$4:$K$863,$K323,$M$4:$M$863,$M323),"⚠ INCOHÉRENT","")</f>
        <v/>
      </c>
      <c r="AC323" s="64">
        <f>COUNTIFS($A$4:$A323,$A323,$J$4:$J323,$J323,$E$4:$E323,$E323)</f>
        <v/>
      </c>
      <c r="AD323" s="65">
        <f>$A323&amp;"|"&amp;$J323&amp;"|"&amp;$E323&amp;"|"&amp;$AC323</f>
        <v/>
      </c>
      <c r="AE323" s="66">
        <f>IF($W323&lt;&gt;"","⚑ "&amp;$W323&amp;CHAR(10),"")&amp;TEXT($F323,"hh:mm")&amp;"-"&amp;TEXT($G323,"hh:mm")&amp;IF(OR($P323="Quinzaine A",AND($P323="Hebdo · groupes alternés",$C323="A"))," Q-A",IF(OR($P323="Quinzaine B",AND($P323="Hebdo · groupes alternés",$C323="B"))," Q-B",IF($P323="Exception"," PONCT.","")))&amp;IF($X323="Oui"," OPT","")&amp;CHAR(10)&amp;$K323&amp;CHAR(10)&amp;$M323&amp;IF($N323&lt;&gt;"",CHAR(10)&amp;"Salle "&amp;$N323,"")&amp;IF($O323="En ligne",CHAR(10)&amp;"EN LIGNE","")&amp;IF($V323&lt;&gt;"",CHAR(10)&amp;$V323,"")</f>
        <v/>
      </c>
      <c r="AF323" s="65" t="inlineStr">
        <is>
          <t>19h-20h30 Français (Nabil)</t>
        </is>
      </c>
      <c r="AG323" s="65" t="inlineStr">
        <is>
          <t>du 28-09 jusquà le 04-10!K62</t>
        </is>
      </c>
    </row>
    <row r="324" ht="15" customHeight="1">
      <c r="A324" s="74" t="inlineStr">
        <is>
          <t>S3</t>
        </is>
      </c>
      <c r="B324" s="75" t="inlineStr">
        <is>
          <t>du 28 septembre au 4 octobre 2026</t>
        </is>
      </c>
      <c r="C324" s="74" t="inlineStr">
        <is>
          <t>A</t>
        </is>
      </c>
      <c r="D324" s="76" t="n">
        <v>46297</v>
      </c>
      <c r="E324" s="74" t="inlineStr">
        <is>
          <t>Vendredi</t>
        </is>
      </c>
      <c r="F324" s="77" t="n">
        <v>0.7916666666666666</v>
      </c>
      <c r="G324" s="77" t="n">
        <v>0.8541666666666666</v>
      </c>
      <c r="H324" s="78">
        <f>IF(OR($F324="",$G324=""),"",($G324-$F324)*24)</f>
        <v/>
      </c>
      <c r="I324" s="74" t="inlineStr">
        <is>
          <t>Secondaire</t>
        </is>
      </c>
      <c r="J324" s="75" t="inlineStr">
        <is>
          <t>3éme INFO</t>
        </is>
      </c>
      <c r="K324" s="67" t="inlineStr">
        <is>
          <t>Français</t>
        </is>
      </c>
      <c r="L324" s="67" t="inlineStr">
        <is>
          <t>Français</t>
        </is>
      </c>
      <c r="M324" s="75" t="inlineStr">
        <is>
          <t>Nabil</t>
        </is>
      </c>
      <c r="N324" s="74" t="n"/>
      <c r="O324" s="74" t="n"/>
      <c r="P324" s="74" t="inlineStr">
        <is>
          <t>Quinzaine A</t>
        </is>
      </c>
      <c r="Q324" s="75" t="inlineStr">
        <is>
          <t>3éme Eco + 3éme INFO + 3éme SCE</t>
        </is>
      </c>
      <c r="R324" s="74" t="n">
        <v>3</v>
      </c>
      <c r="S324" s="74" t="inlineStr"/>
      <c r="T324" s="74" t="inlineStr">
        <is>
          <t>S3-058</t>
        </is>
      </c>
      <c r="U324" s="75" t="inlineStr">
        <is>
          <t>Original (septembre)</t>
        </is>
      </c>
      <c r="V324" s="75" t="inlineStr"/>
      <c r="W324" s="10" t="n"/>
      <c r="X324" s="10" t="inlineStr"/>
      <c r="Y324" s="64">
        <f>IF($M324="","",IF(SUMPRODUCT(($D$4:$D$863=$D324)*($M$4:$M$863=$M324)*($T$4:$T$863&lt;&gt;$T324)*($F$4:$F$863&lt;$G324)*($G$4:$G$863&gt;$F324))&gt;0,"⚠ CONFLIT",""))</f>
        <v/>
      </c>
      <c r="Z324" s="64">
        <f>IF($J324="","",IF(SUMPRODUCT(($D$4:$D$863=$D324)*($J$4:$J$863=$J324)*($T$4:$T$863&lt;&gt;$T324)*($F$4:$F$863&lt;$G324)*($G$4:$G$863&gt;$F324)*(1-($X$4:$X$863="Oui")*($X324="Oui")))&gt;0,"⚠ CONFLIT",""))</f>
        <v/>
      </c>
      <c r="AA324" s="64">
        <f>IF(COUNTIFS($D$4:$D$863,$D324,$J$4:$J$863,$J324,$F$4:$F$863,$F324,$K$4:$K$863,$K324)&gt;1,"⚠ DOUBLON","")</f>
        <v/>
      </c>
      <c r="AB324" s="64">
        <f>IF(COUNTIF($T$4:$T$863,$T324)&lt;&gt;COUNTIFS($T$4:$T$863,$T324,$D$4:$D$863,$D324,$F$4:$F$863,$F324,$G$4:$G$863,$G324,$K$4:$K$863,$K324,$M$4:$M$863,$M324),"⚠ INCOHÉRENT","")</f>
        <v/>
      </c>
      <c r="AC324" s="64">
        <f>COUNTIFS($A$4:$A324,$A324,$J$4:$J324,$J324,$E$4:$E324,$E324)</f>
        <v/>
      </c>
      <c r="AD324" s="65">
        <f>$A324&amp;"|"&amp;$J324&amp;"|"&amp;$E324&amp;"|"&amp;$AC324</f>
        <v/>
      </c>
      <c r="AE324" s="66">
        <f>IF($W324&lt;&gt;"","⚑ "&amp;$W324&amp;CHAR(10),"")&amp;TEXT($F324,"hh:mm")&amp;"-"&amp;TEXT($G324,"hh:mm")&amp;IF(OR($P324="Quinzaine A",AND($P324="Hebdo · groupes alternés",$C324="A"))," Q-A",IF(OR($P324="Quinzaine B",AND($P324="Hebdo · groupes alternés",$C324="B"))," Q-B",IF($P324="Exception"," PONCT.","")))&amp;IF($X324="Oui"," OPT","")&amp;CHAR(10)&amp;$K324&amp;CHAR(10)&amp;$M324&amp;IF($N324&lt;&gt;"",CHAR(10)&amp;"Salle "&amp;$N324,"")&amp;IF($O324="En ligne",CHAR(10)&amp;"EN LIGNE","")&amp;IF($V324&lt;&gt;"",CHAR(10)&amp;$V324,"")</f>
        <v/>
      </c>
      <c r="AF324" s="65" t="inlineStr">
        <is>
          <t>19h-20h30 Français (Nabil)</t>
        </is>
      </c>
      <c r="AG324" s="65" t="inlineStr">
        <is>
          <t>du 28-09 jusquà le 04-10!K62</t>
        </is>
      </c>
    </row>
    <row r="325" ht="15" customHeight="1">
      <c r="A325" s="74" t="inlineStr">
        <is>
          <t>S3</t>
        </is>
      </c>
      <c r="B325" s="75" t="inlineStr">
        <is>
          <t>du 28 septembre au 4 octobre 2026</t>
        </is>
      </c>
      <c r="C325" s="74" t="inlineStr">
        <is>
          <t>A</t>
        </is>
      </c>
      <c r="D325" s="76" t="n">
        <v>46297</v>
      </c>
      <c r="E325" s="74" t="inlineStr">
        <is>
          <t>Vendredi</t>
        </is>
      </c>
      <c r="F325" s="77" t="n">
        <v>0.7916666666666666</v>
      </c>
      <c r="G325" s="77" t="n">
        <v>0.8541666666666666</v>
      </c>
      <c r="H325" s="78">
        <f>IF(OR($F325="",$G325=""),"",($G325-$F325)*24)</f>
        <v/>
      </c>
      <c r="I325" s="74" t="inlineStr">
        <is>
          <t>Secondaire</t>
        </is>
      </c>
      <c r="J325" s="75" t="inlineStr">
        <is>
          <t>3éme SCE</t>
        </is>
      </c>
      <c r="K325" s="67" t="inlineStr">
        <is>
          <t>Français</t>
        </is>
      </c>
      <c r="L325" s="67" t="inlineStr">
        <is>
          <t>Français</t>
        </is>
      </c>
      <c r="M325" s="75" t="inlineStr">
        <is>
          <t>Nabil</t>
        </is>
      </c>
      <c r="N325" s="74" t="n"/>
      <c r="O325" s="74" t="n"/>
      <c r="P325" s="74" t="inlineStr">
        <is>
          <t>Quinzaine A</t>
        </is>
      </c>
      <c r="Q325" s="75" t="inlineStr">
        <is>
          <t>3éme Eco + 3éme INFO + 3éme SCE</t>
        </is>
      </c>
      <c r="R325" s="74" t="n">
        <v>3</v>
      </c>
      <c r="S325" s="74" t="inlineStr"/>
      <c r="T325" s="74" t="inlineStr">
        <is>
          <t>S3-058</t>
        </is>
      </c>
      <c r="U325" s="75" t="inlineStr">
        <is>
          <t>Original (septembre)</t>
        </is>
      </c>
      <c r="V325" s="75" t="inlineStr"/>
      <c r="W325" s="10" t="n"/>
      <c r="X325" s="10" t="inlineStr"/>
      <c r="Y325" s="64">
        <f>IF($M325="","",IF(SUMPRODUCT(($D$4:$D$863=$D325)*($M$4:$M$863=$M325)*($T$4:$T$863&lt;&gt;$T325)*($F$4:$F$863&lt;$G325)*($G$4:$G$863&gt;$F325))&gt;0,"⚠ CONFLIT",""))</f>
        <v/>
      </c>
      <c r="Z325" s="64">
        <f>IF($J325="","",IF(SUMPRODUCT(($D$4:$D$863=$D325)*($J$4:$J$863=$J325)*($T$4:$T$863&lt;&gt;$T325)*($F$4:$F$863&lt;$G325)*($G$4:$G$863&gt;$F325)*(1-($X$4:$X$863="Oui")*($X325="Oui")))&gt;0,"⚠ CONFLIT",""))</f>
        <v/>
      </c>
      <c r="AA325" s="64">
        <f>IF(COUNTIFS($D$4:$D$863,$D325,$J$4:$J$863,$J325,$F$4:$F$863,$F325,$K$4:$K$863,$K325)&gt;1,"⚠ DOUBLON","")</f>
        <v/>
      </c>
      <c r="AB325" s="64">
        <f>IF(COUNTIF($T$4:$T$863,$T325)&lt;&gt;COUNTIFS($T$4:$T$863,$T325,$D$4:$D$863,$D325,$F$4:$F$863,$F325,$G$4:$G$863,$G325,$K$4:$K$863,$K325,$M$4:$M$863,$M325),"⚠ INCOHÉRENT","")</f>
        <v/>
      </c>
      <c r="AC325" s="64">
        <f>COUNTIFS($A$4:$A325,$A325,$J$4:$J325,$J325,$E$4:$E325,$E325)</f>
        <v/>
      </c>
      <c r="AD325" s="65">
        <f>$A325&amp;"|"&amp;$J325&amp;"|"&amp;$E325&amp;"|"&amp;$AC325</f>
        <v/>
      </c>
      <c r="AE325" s="66">
        <f>IF($W325&lt;&gt;"","⚑ "&amp;$W325&amp;CHAR(10),"")&amp;TEXT($F325,"hh:mm")&amp;"-"&amp;TEXT($G325,"hh:mm")&amp;IF(OR($P325="Quinzaine A",AND($P325="Hebdo · groupes alternés",$C325="A"))," Q-A",IF(OR($P325="Quinzaine B",AND($P325="Hebdo · groupes alternés",$C325="B"))," Q-B",IF($P325="Exception"," PONCT.","")))&amp;IF($X325="Oui"," OPT","")&amp;CHAR(10)&amp;$K325&amp;CHAR(10)&amp;$M325&amp;IF($N325&lt;&gt;"",CHAR(10)&amp;"Salle "&amp;$N325,"")&amp;IF($O325="En ligne",CHAR(10)&amp;"EN LIGNE","")&amp;IF($V325&lt;&gt;"",CHAR(10)&amp;$V325,"")</f>
        <v/>
      </c>
      <c r="AF325" s="65" t="inlineStr">
        <is>
          <t>19h-20h30 Français (Nabil)</t>
        </is>
      </c>
      <c r="AG325" s="65" t="inlineStr">
        <is>
          <t>du 28-09 jusquà le 04-10!K62</t>
        </is>
      </c>
    </row>
    <row r="326" ht="15" customHeight="1">
      <c r="A326" s="81" t="inlineStr">
        <is>
          <t>S3</t>
        </is>
      </c>
      <c r="B326" s="82" t="inlineStr">
        <is>
          <t>du 28 septembre au 4 octobre 2026</t>
        </is>
      </c>
      <c r="C326" s="81" t="inlineStr">
        <is>
          <t>A</t>
        </is>
      </c>
      <c r="D326" s="83" t="n">
        <v>46297</v>
      </c>
      <c r="E326" s="81" t="inlineStr">
        <is>
          <t>Vendredi</t>
        </is>
      </c>
      <c r="F326" s="84" t="n">
        <v>0.7291666666666666</v>
      </c>
      <c r="G326" s="84" t="n">
        <v>0.7916666666666666</v>
      </c>
      <c r="H326" s="85">
        <f>IF(OR($F326="",$G326=""),"",($G326-$F326)*24)</f>
        <v/>
      </c>
      <c r="I326" s="81" t="inlineStr">
        <is>
          <t>Bac</t>
        </is>
      </c>
      <c r="J326" s="82" t="inlineStr">
        <is>
          <t>Bac Eco</t>
        </is>
      </c>
      <c r="K326" s="87" t="inlineStr">
        <is>
          <t>Anglais</t>
        </is>
      </c>
      <c r="L326" s="87" t="inlineStr">
        <is>
          <t>Anglais</t>
        </is>
      </c>
      <c r="M326" s="82" t="inlineStr">
        <is>
          <t>Khaled</t>
        </is>
      </c>
      <c r="N326" s="81" t="n"/>
      <c r="O326" s="81" t="n"/>
      <c r="P326" s="81" t="inlineStr">
        <is>
          <t>Hebdo · groupes alternés</t>
        </is>
      </c>
      <c r="Q326" s="82" t="inlineStr">
        <is>
          <t>Bac Eco + Bac SCE + Bac INFO</t>
        </is>
      </c>
      <c r="R326" s="81" t="n">
        <v>3</v>
      </c>
      <c r="S326" s="81" t="inlineStr">
        <is>
          <t>Oui</t>
        </is>
      </c>
      <c r="T326" s="81" t="inlineStr">
        <is>
          <t>S3-059</t>
        </is>
      </c>
      <c r="U326" s="82" t="inlineStr">
        <is>
          <t>Original (septembre)</t>
        </is>
      </c>
      <c r="V326" s="82" t="inlineStr"/>
      <c r="W326" s="10" t="n"/>
      <c r="X326" s="10" t="inlineStr"/>
      <c r="Y326" s="64">
        <f>IF($M326="","",IF(SUMPRODUCT(($D$4:$D$863=$D326)*($M$4:$M$863=$M326)*($T$4:$T$863&lt;&gt;$T326)*($F$4:$F$863&lt;$G326)*($G$4:$G$863&gt;$F326))&gt;0,"⚠ CONFLIT",""))</f>
        <v/>
      </c>
      <c r="Z326" s="64">
        <f>IF($J326="","",IF(SUMPRODUCT(($D$4:$D$863=$D326)*($J$4:$J$863=$J326)*($T$4:$T$863&lt;&gt;$T326)*($F$4:$F$863&lt;$G326)*($G$4:$G$863&gt;$F326)*(1-($X$4:$X$863="Oui")*($X326="Oui")))&gt;0,"⚠ CONFLIT",""))</f>
        <v/>
      </c>
      <c r="AA326" s="64">
        <f>IF(COUNTIFS($D$4:$D$863,$D326,$J$4:$J$863,$J326,$F$4:$F$863,$F326,$K$4:$K$863,$K326)&gt;1,"⚠ DOUBLON","")</f>
        <v/>
      </c>
      <c r="AB326" s="64">
        <f>IF(COUNTIF($T$4:$T$863,$T326)&lt;&gt;COUNTIFS($T$4:$T$863,$T326,$D$4:$D$863,$D326,$F$4:$F$863,$F326,$G$4:$G$863,$G326,$K$4:$K$863,$K326,$M$4:$M$863,$M326),"⚠ INCOHÉRENT","")</f>
        <v/>
      </c>
      <c r="AC326" s="64">
        <f>COUNTIFS($A$4:$A326,$A326,$J$4:$J326,$J326,$E$4:$E326,$E326)</f>
        <v/>
      </c>
      <c r="AD326" s="65">
        <f>$A326&amp;"|"&amp;$J326&amp;"|"&amp;$E326&amp;"|"&amp;$AC326</f>
        <v/>
      </c>
      <c r="AE326" s="66">
        <f>IF($W326&lt;&gt;"","⚑ "&amp;$W326&amp;CHAR(10),"")&amp;TEXT($F326,"hh:mm")&amp;"-"&amp;TEXT($G326,"hh:mm")&amp;IF(OR($P326="Quinzaine A",AND($P326="Hebdo · groupes alternés",$C326="A"))," Q-A",IF(OR($P326="Quinzaine B",AND($P326="Hebdo · groupes alternés",$C326="B"))," Q-B",IF($P326="Exception"," PONCT.","")))&amp;IF($X326="Oui"," OPT","")&amp;CHAR(10)&amp;$K326&amp;CHAR(10)&amp;$M326&amp;IF($N326&lt;&gt;"",CHAR(10)&amp;"Salle "&amp;$N326,"")&amp;IF($O326="En ligne",CHAR(10)&amp;"EN LIGNE","")&amp;IF($V326&lt;&gt;"",CHAR(10)&amp;$V326,"")</f>
        <v/>
      </c>
      <c r="AF326" s="65" t="inlineStr">
        <is>
          <t>17h30-19h Anglais (Khaled)</t>
        </is>
      </c>
      <c r="AG326" s="65" t="inlineStr">
        <is>
          <t>du 28-09 jusquà le 04-10!K69</t>
        </is>
      </c>
    </row>
    <row r="327" ht="15" customHeight="1">
      <c r="A327" s="81" t="inlineStr">
        <is>
          <t>S3</t>
        </is>
      </c>
      <c r="B327" s="82" t="inlineStr">
        <is>
          <t>du 28 septembre au 4 octobre 2026</t>
        </is>
      </c>
      <c r="C327" s="81" t="inlineStr">
        <is>
          <t>A</t>
        </is>
      </c>
      <c r="D327" s="83" t="n">
        <v>46297</v>
      </c>
      <c r="E327" s="81" t="inlineStr">
        <is>
          <t>Vendredi</t>
        </is>
      </c>
      <c r="F327" s="84" t="n">
        <v>0.7291666666666666</v>
      </c>
      <c r="G327" s="84" t="n">
        <v>0.7916666666666666</v>
      </c>
      <c r="H327" s="85">
        <f>IF(OR($F327="",$G327=""),"",($G327-$F327)*24)</f>
        <v/>
      </c>
      <c r="I327" s="81" t="inlineStr">
        <is>
          <t>Bac</t>
        </is>
      </c>
      <c r="J327" s="82" t="inlineStr">
        <is>
          <t>Bac SCE</t>
        </is>
      </c>
      <c r="K327" s="87" t="inlineStr">
        <is>
          <t>Anglais</t>
        </is>
      </c>
      <c r="L327" s="87" t="inlineStr">
        <is>
          <t>Anglais</t>
        </is>
      </c>
      <c r="M327" s="82" t="inlineStr">
        <is>
          <t>Khaled</t>
        </is>
      </c>
      <c r="N327" s="81" t="n"/>
      <c r="O327" s="81" t="n"/>
      <c r="P327" s="81" t="inlineStr">
        <is>
          <t>Hebdo · groupes alternés</t>
        </is>
      </c>
      <c r="Q327" s="82" t="inlineStr">
        <is>
          <t>Bac Eco + Bac SCE + Bac INFO</t>
        </is>
      </c>
      <c r="R327" s="81" t="n">
        <v>3</v>
      </c>
      <c r="S327" s="81" t="inlineStr"/>
      <c r="T327" s="81" t="inlineStr">
        <is>
          <t>S3-059</t>
        </is>
      </c>
      <c r="U327" s="82" t="inlineStr">
        <is>
          <t>Original (septembre)</t>
        </is>
      </c>
      <c r="V327" s="82" t="inlineStr"/>
      <c r="W327" s="10" t="n"/>
      <c r="X327" s="10" t="inlineStr"/>
      <c r="Y327" s="64">
        <f>IF($M327="","",IF(SUMPRODUCT(($D$4:$D$863=$D327)*($M$4:$M$863=$M327)*($T$4:$T$863&lt;&gt;$T327)*($F$4:$F$863&lt;$G327)*($G$4:$G$863&gt;$F327))&gt;0,"⚠ CONFLIT",""))</f>
        <v/>
      </c>
      <c r="Z327" s="64">
        <f>IF($J327="","",IF(SUMPRODUCT(($D$4:$D$863=$D327)*($J$4:$J$863=$J327)*($T$4:$T$863&lt;&gt;$T327)*($F$4:$F$863&lt;$G327)*($G$4:$G$863&gt;$F327)*(1-($X$4:$X$863="Oui")*($X327="Oui")))&gt;0,"⚠ CONFLIT",""))</f>
        <v/>
      </c>
      <c r="AA327" s="64">
        <f>IF(COUNTIFS($D$4:$D$863,$D327,$J$4:$J$863,$J327,$F$4:$F$863,$F327,$K$4:$K$863,$K327)&gt;1,"⚠ DOUBLON","")</f>
        <v/>
      </c>
      <c r="AB327" s="64">
        <f>IF(COUNTIF($T$4:$T$863,$T327)&lt;&gt;COUNTIFS($T$4:$T$863,$T327,$D$4:$D$863,$D327,$F$4:$F$863,$F327,$G$4:$G$863,$G327,$K$4:$K$863,$K327,$M$4:$M$863,$M327),"⚠ INCOHÉRENT","")</f>
        <v/>
      </c>
      <c r="AC327" s="64">
        <f>COUNTIFS($A$4:$A327,$A327,$J$4:$J327,$J327,$E$4:$E327,$E327)</f>
        <v/>
      </c>
      <c r="AD327" s="65">
        <f>$A327&amp;"|"&amp;$J327&amp;"|"&amp;$E327&amp;"|"&amp;$AC327</f>
        <v/>
      </c>
      <c r="AE327" s="66">
        <f>IF($W327&lt;&gt;"","⚑ "&amp;$W327&amp;CHAR(10),"")&amp;TEXT($F327,"hh:mm")&amp;"-"&amp;TEXT($G327,"hh:mm")&amp;IF(OR($P327="Quinzaine A",AND($P327="Hebdo · groupes alternés",$C327="A"))," Q-A",IF(OR($P327="Quinzaine B",AND($P327="Hebdo · groupes alternés",$C327="B"))," Q-B",IF($P327="Exception"," PONCT.","")))&amp;IF($X327="Oui"," OPT","")&amp;CHAR(10)&amp;$K327&amp;CHAR(10)&amp;$M327&amp;IF($N327&lt;&gt;"",CHAR(10)&amp;"Salle "&amp;$N327,"")&amp;IF($O327="En ligne",CHAR(10)&amp;"EN LIGNE","")&amp;IF($V327&lt;&gt;"",CHAR(10)&amp;$V327,"")</f>
        <v/>
      </c>
      <c r="AF327" s="65" t="inlineStr">
        <is>
          <t>17h30-19h Anglais (Khaled)</t>
        </is>
      </c>
      <c r="AG327" s="65" t="inlineStr">
        <is>
          <t>du 28-09 jusquà le 04-10!K69</t>
        </is>
      </c>
    </row>
    <row r="328" ht="15" customHeight="1">
      <c r="A328" s="81" t="inlineStr">
        <is>
          <t>S3</t>
        </is>
      </c>
      <c r="B328" s="82" t="inlineStr">
        <is>
          <t>du 28 septembre au 4 octobre 2026</t>
        </is>
      </c>
      <c r="C328" s="81" t="inlineStr">
        <is>
          <t>A</t>
        </is>
      </c>
      <c r="D328" s="83" t="n">
        <v>46297</v>
      </c>
      <c r="E328" s="81" t="inlineStr">
        <is>
          <t>Vendredi</t>
        </is>
      </c>
      <c r="F328" s="84" t="n">
        <v>0.7291666666666666</v>
      </c>
      <c r="G328" s="84" t="n">
        <v>0.7916666666666666</v>
      </c>
      <c r="H328" s="85">
        <f>IF(OR($F328="",$G328=""),"",($G328-$F328)*24)</f>
        <v/>
      </c>
      <c r="I328" s="81" t="inlineStr">
        <is>
          <t>Bac</t>
        </is>
      </c>
      <c r="J328" s="82" t="inlineStr">
        <is>
          <t>Bac INFO</t>
        </is>
      </c>
      <c r="K328" s="87" t="inlineStr">
        <is>
          <t>Anglais</t>
        </is>
      </c>
      <c r="L328" s="87" t="inlineStr">
        <is>
          <t>Anglais</t>
        </is>
      </c>
      <c r="M328" s="82" t="inlineStr">
        <is>
          <t>Khaled</t>
        </is>
      </c>
      <c r="N328" s="81" t="n"/>
      <c r="O328" s="81" t="n"/>
      <c r="P328" s="81" t="inlineStr">
        <is>
          <t>Hebdo · groupes alternés</t>
        </is>
      </c>
      <c r="Q328" s="82" t="inlineStr">
        <is>
          <t>Bac Eco + Bac SCE + Bac INFO</t>
        </is>
      </c>
      <c r="R328" s="81" t="n">
        <v>3</v>
      </c>
      <c r="S328" s="81" t="inlineStr"/>
      <c r="T328" s="81" t="inlineStr">
        <is>
          <t>S3-059</t>
        </is>
      </c>
      <c r="U328" s="82" t="inlineStr">
        <is>
          <t>Original (septembre)</t>
        </is>
      </c>
      <c r="V328" s="82" t="inlineStr"/>
      <c r="W328" s="10" t="n"/>
      <c r="X328" s="10" t="inlineStr"/>
      <c r="Y328" s="64">
        <f>IF($M328="","",IF(SUMPRODUCT(($D$4:$D$863=$D328)*($M$4:$M$863=$M328)*($T$4:$T$863&lt;&gt;$T328)*($F$4:$F$863&lt;$G328)*($G$4:$G$863&gt;$F328))&gt;0,"⚠ CONFLIT",""))</f>
        <v/>
      </c>
      <c r="Z328" s="64">
        <f>IF($J328="","",IF(SUMPRODUCT(($D$4:$D$863=$D328)*($J$4:$J$863=$J328)*($T$4:$T$863&lt;&gt;$T328)*($F$4:$F$863&lt;$G328)*($G$4:$G$863&gt;$F328)*(1-($X$4:$X$863="Oui")*($X328="Oui")))&gt;0,"⚠ CONFLIT",""))</f>
        <v/>
      </c>
      <c r="AA328" s="64">
        <f>IF(COUNTIFS($D$4:$D$863,$D328,$J$4:$J$863,$J328,$F$4:$F$863,$F328,$K$4:$K$863,$K328)&gt;1,"⚠ DOUBLON","")</f>
        <v/>
      </c>
      <c r="AB328" s="64">
        <f>IF(COUNTIF($T$4:$T$863,$T328)&lt;&gt;COUNTIFS($T$4:$T$863,$T328,$D$4:$D$863,$D328,$F$4:$F$863,$F328,$G$4:$G$863,$G328,$K$4:$K$863,$K328,$M$4:$M$863,$M328),"⚠ INCOHÉRENT","")</f>
        <v/>
      </c>
      <c r="AC328" s="64">
        <f>COUNTIFS($A$4:$A328,$A328,$J$4:$J328,$J328,$E$4:$E328,$E328)</f>
        <v/>
      </c>
      <c r="AD328" s="65">
        <f>$A328&amp;"|"&amp;$J328&amp;"|"&amp;$E328&amp;"|"&amp;$AC328</f>
        <v/>
      </c>
      <c r="AE328" s="66">
        <f>IF($W328&lt;&gt;"","⚑ "&amp;$W328&amp;CHAR(10),"")&amp;TEXT($F328,"hh:mm")&amp;"-"&amp;TEXT($G328,"hh:mm")&amp;IF(OR($P328="Quinzaine A",AND($P328="Hebdo · groupes alternés",$C328="A"))," Q-A",IF(OR($P328="Quinzaine B",AND($P328="Hebdo · groupes alternés",$C328="B"))," Q-B",IF($P328="Exception"," PONCT.","")))&amp;IF($X328="Oui"," OPT","")&amp;CHAR(10)&amp;$K328&amp;CHAR(10)&amp;$M328&amp;IF($N328&lt;&gt;"",CHAR(10)&amp;"Salle "&amp;$N328,"")&amp;IF($O328="En ligne",CHAR(10)&amp;"EN LIGNE","")&amp;IF($V328&lt;&gt;"",CHAR(10)&amp;$V328,"")</f>
        <v/>
      </c>
      <c r="AF328" s="65" t="inlineStr">
        <is>
          <t>17h30-19h Anglais (Khaled)</t>
        </is>
      </c>
      <c r="AG328" s="65" t="inlineStr">
        <is>
          <t>du 28-09 jusquà le 04-10!K69</t>
        </is>
      </c>
    </row>
    <row r="329" ht="15" customHeight="1">
      <c r="A329" s="58" t="inlineStr">
        <is>
          <t>S3</t>
        </is>
      </c>
      <c r="B329" s="59" t="inlineStr">
        <is>
          <t>du 28 septembre au 4 octobre 2026</t>
        </is>
      </c>
      <c r="C329" s="58" t="inlineStr">
        <is>
          <t>A</t>
        </is>
      </c>
      <c r="D329" s="60" t="n">
        <v>46298</v>
      </c>
      <c r="E329" s="58" t="inlineStr">
        <is>
          <t>Samedi</t>
        </is>
      </c>
      <c r="F329" s="61" t="n">
        <v>0.6666666666666666</v>
      </c>
      <c r="G329" s="61" t="n">
        <v>0.7291666666666666</v>
      </c>
      <c r="H329" s="62">
        <f>IF(OR($F329="",$G329=""),"",($G329-$F329)*24)</f>
        <v/>
      </c>
      <c r="I329" s="58" t="inlineStr">
        <is>
          <t>Primaire</t>
        </is>
      </c>
      <c r="J329" s="59" t="inlineStr">
        <is>
          <t>4éme</t>
        </is>
      </c>
      <c r="K329" s="67" t="inlineStr">
        <is>
          <t>Français</t>
        </is>
      </c>
      <c r="L329" s="67" t="inlineStr">
        <is>
          <t>Français</t>
        </is>
      </c>
      <c r="M329" s="59" t="inlineStr">
        <is>
          <t>Hend</t>
        </is>
      </c>
      <c r="N329" s="58" t="n"/>
      <c r="O329" s="58" t="n"/>
      <c r="P329" s="58" t="inlineStr">
        <is>
          <t>Hebdomadaire</t>
        </is>
      </c>
      <c r="Q329" s="59" t="inlineStr"/>
      <c r="R329" s="58" t="n">
        <v>1</v>
      </c>
      <c r="S329" s="58" t="inlineStr">
        <is>
          <t>Oui</t>
        </is>
      </c>
      <c r="T329" s="58" t="inlineStr">
        <is>
          <t>S3-060</t>
        </is>
      </c>
      <c r="U329" s="59" t="inlineStr">
        <is>
          <t>Original (septembre)</t>
        </is>
      </c>
      <c r="V329" s="59" t="inlineStr"/>
      <c r="W329" s="10" t="n"/>
      <c r="X329" s="10" t="inlineStr"/>
      <c r="Y329" s="64">
        <f>IF($M329="","",IF(SUMPRODUCT(($D$4:$D$863=$D329)*($M$4:$M$863=$M329)*($T$4:$T$863&lt;&gt;$T329)*($F$4:$F$863&lt;$G329)*($G$4:$G$863&gt;$F329))&gt;0,"⚠ CONFLIT",""))</f>
        <v/>
      </c>
      <c r="Z329" s="64">
        <f>IF($J329="","",IF(SUMPRODUCT(($D$4:$D$863=$D329)*($J$4:$J$863=$J329)*($T$4:$T$863&lt;&gt;$T329)*($F$4:$F$863&lt;$G329)*($G$4:$G$863&gt;$F329)*(1-($X$4:$X$863="Oui")*($X329="Oui")))&gt;0,"⚠ CONFLIT",""))</f>
        <v/>
      </c>
      <c r="AA329" s="64">
        <f>IF(COUNTIFS($D$4:$D$863,$D329,$J$4:$J$863,$J329,$F$4:$F$863,$F329,$K$4:$K$863,$K329)&gt;1,"⚠ DOUBLON","")</f>
        <v/>
      </c>
      <c r="AB329" s="64">
        <f>IF(COUNTIF($T$4:$T$863,$T329)&lt;&gt;COUNTIFS($T$4:$T$863,$T329,$D$4:$D$863,$D329,$F$4:$F$863,$F329,$G$4:$G$863,$G329,$K$4:$K$863,$K329,$M$4:$M$863,$M329),"⚠ INCOHÉRENT","")</f>
        <v/>
      </c>
      <c r="AC329" s="64">
        <f>COUNTIFS($A$4:$A329,$A329,$J$4:$J329,$J329,$E$4:$E329,$E329)</f>
        <v/>
      </c>
      <c r="AD329" s="65">
        <f>$A329&amp;"|"&amp;$J329&amp;"|"&amp;$E329&amp;"|"&amp;$AC329</f>
        <v/>
      </c>
      <c r="AE329" s="66">
        <f>IF($W329&lt;&gt;"","⚑ "&amp;$W329&amp;CHAR(10),"")&amp;TEXT($F329,"hh:mm")&amp;"-"&amp;TEXT($G329,"hh:mm")&amp;IF(OR($P329="Quinzaine A",AND($P329="Hebdo · groupes alternés",$C329="A"))," Q-A",IF(OR($P329="Quinzaine B",AND($P329="Hebdo · groupes alternés",$C329="B"))," Q-B",IF($P329="Exception"," PONCT.","")))&amp;IF($X329="Oui"," OPT","")&amp;CHAR(10)&amp;$K329&amp;CHAR(10)&amp;$M329&amp;IF($N329&lt;&gt;"",CHAR(10)&amp;"Salle "&amp;$N329,"")&amp;IF($O329="En ligne",CHAR(10)&amp;"EN LIGNE","")&amp;IF($V329&lt;&gt;"",CHAR(10)&amp;$V329,"")</f>
        <v/>
      </c>
      <c r="AF329" s="65" t="inlineStr">
        <is>
          <t>16h-17h30 Français (Hend)</t>
        </is>
      </c>
      <c r="AG329" s="65" t="inlineStr">
        <is>
          <t>du 28-09 jusquà le 04-10!L3</t>
        </is>
      </c>
    </row>
    <row r="330" ht="15" customHeight="1">
      <c r="A330" s="58" t="inlineStr">
        <is>
          <t>S3</t>
        </is>
      </c>
      <c r="B330" s="59" t="inlineStr">
        <is>
          <t>du 28 septembre au 4 octobre 2026</t>
        </is>
      </c>
      <c r="C330" s="58" t="inlineStr">
        <is>
          <t>A</t>
        </is>
      </c>
      <c r="D330" s="60" t="n">
        <v>46298</v>
      </c>
      <c r="E330" s="58" t="inlineStr">
        <is>
          <t>Samedi</t>
        </is>
      </c>
      <c r="F330" s="61" t="n">
        <v>0.75</v>
      </c>
      <c r="G330" s="61" t="n">
        <v>0.8125</v>
      </c>
      <c r="H330" s="62">
        <f>IF(OR($F330="",$G330=""),"",($G330-$F330)*24)</f>
        <v/>
      </c>
      <c r="I330" s="58" t="inlineStr">
        <is>
          <t>Primaire</t>
        </is>
      </c>
      <c r="J330" s="59" t="inlineStr">
        <is>
          <t>5éme</t>
        </is>
      </c>
      <c r="K330" s="67" t="inlineStr">
        <is>
          <t>Français</t>
        </is>
      </c>
      <c r="L330" s="67" t="inlineStr">
        <is>
          <t>Français</t>
        </is>
      </c>
      <c r="M330" s="59" t="inlineStr">
        <is>
          <t>Hend</t>
        </is>
      </c>
      <c r="N330" s="58" t="n"/>
      <c r="O330" s="58" t="n"/>
      <c r="P330" s="58" t="inlineStr">
        <is>
          <t>Hebdomadaire</t>
        </is>
      </c>
      <c r="Q330" s="59" t="inlineStr"/>
      <c r="R330" s="58" t="n">
        <v>1</v>
      </c>
      <c r="S330" s="58" t="inlineStr">
        <is>
          <t>Oui</t>
        </is>
      </c>
      <c r="T330" s="58" t="inlineStr">
        <is>
          <t>S3-061</t>
        </is>
      </c>
      <c r="U330" s="59" t="inlineStr">
        <is>
          <t>Original (septembre)</t>
        </is>
      </c>
      <c r="V330" s="59" t="inlineStr"/>
      <c r="W330" s="10" t="n"/>
      <c r="X330" s="10" t="inlineStr"/>
      <c r="Y330" s="64">
        <f>IF($M330="","",IF(SUMPRODUCT(($D$4:$D$863=$D330)*($M$4:$M$863=$M330)*($T$4:$T$863&lt;&gt;$T330)*($F$4:$F$863&lt;$G330)*($G$4:$G$863&gt;$F330))&gt;0,"⚠ CONFLIT",""))</f>
        <v/>
      </c>
      <c r="Z330" s="64">
        <f>IF($J330="","",IF(SUMPRODUCT(($D$4:$D$863=$D330)*($J$4:$J$863=$J330)*($T$4:$T$863&lt;&gt;$T330)*($F$4:$F$863&lt;$G330)*($G$4:$G$863&gt;$F330)*(1-($X$4:$X$863="Oui")*($X330="Oui")))&gt;0,"⚠ CONFLIT",""))</f>
        <v/>
      </c>
      <c r="AA330" s="64">
        <f>IF(COUNTIFS($D$4:$D$863,$D330,$J$4:$J$863,$J330,$F$4:$F$863,$F330,$K$4:$K$863,$K330)&gt;1,"⚠ DOUBLON","")</f>
        <v/>
      </c>
      <c r="AB330" s="64">
        <f>IF(COUNTIF($T$4:$T$863,$T330)&lt;&gt;COUNTIFS($T$4:$T$863,$T330,$D$4:$D$863,$D330,$F$4:$F$863,$F330,$G$4:$G$863,$G330,$K$4:$K$863,$K330,$M$4:$M$863,$M330),"⚠ INCOHÉRENT","")</f>
        <v/>
      </c>
      <c r="AC330" s="64">
        <f>COUNTIFS($A$4:$A330,$A330,$J$4:$J330,$J330,$E$4:$E330,$E330)</f>
        <v/>
      </c>
      <c r="AD330" s="65">
        <f>$A330&amp;"|"&amp;$J330&amp;"|"&amp;$E330&amp;"|"&amp;$AC330</f>
        <v/>
      </c>
      <c r="AE330" s="66">
        <f>IF($W330&lt;&gt;"","⚑ "&amp;$W330&amp;CHAR(10),"")&amp;TEXT($F330,"hh:mm")&amp;"-"&amp;TEXT($G330,"hh:mm")&amp;IF(OR($P330="Quinzaine A",AND($P330="Hebdo · groupes alternés",$C330="A"))," Q-A",IF(OR($P330="Quinzaine B",AND($P330="Hebdo · groupes alternés",$C330="B"))," Q-B",IF($P330="Exception"," PONCT.","")))&amp;IF($X330="Oui"," OPT","")&amp;CHAR(10)&amp;$K330&amp;CHAR(10)&amp;$M330&amp;IF($N330&lt;&gt;"",CHAR(10)&amp;"Salle "&amp;$N330,"")&amp;IF($O330="En ligne",CHAR(10)&amp;"EN LIGNE","")&amp;IF($V330&lt;&gt;"",CHAR(10)&amp;$V330,"")</f>
        <v/>
      </c>
      <c r="AF330" s="65" t="inlineStr">
        <is>
          <t>18h-19h30 Français (Hend)</t>
        </is>
      </c>
      <c r="AG330" s="65" t="inlineStr">
        <is>
          <t>du 28-09 jusquà le 04-10!L6</t>
        </is>
      </c>
    </row>
    <row r="331" ht="15" customHeight="1">
      <c r="A331" s="58" t="inlineStr">
        <is>
          <t>S3</t>
        </is>
      </c>
      <c r="B331" s="59" t="inlineStr">
        <is>
          <t>du 28 septembre au 4 octobre 2026</t>
        </is>
      </c>
      <c r="C331" s="58" t="inlineStr">
        <is>
          <t>A</t>
        </is>
      </c>
      <c r="D331" s="60" t="n">
        <v>46298</v>
      </c>
      <c r="E331" s="58" t="inlineStr">
        <is>
          <t>Samedi</t>
        </is>
      </c>
      <c r="F331" s="61" t="n">
        <v>0.7916666666666666</v>
      </c>
      <c r="G331" s="61" t="n">
        <v>0.875</v>
      </c>
      <c r="H331" s="62">
        <f>IF(OR($F331="",$G331=""),"",($G331-$F331)*24)</f>
        <v/>
      </c>
      <c r="I331" s="58" t="inlineStr">
        <is>
          <t>Primaire</t>
        </is>
      </c>
      <c r="J331" s="59" t="inlineStr">
        <is>
          <t>6éme Pilote (A)</t>
        </is>
      </c>
      <c r="K331" s="63" t="inlineStr">
        <is>
          <t>عربية</t>
        </is>
      </c>
      <c r="L331" s="63" t="inlineStr">
        <is>
          <t>Arabe</t>
        </is>
      </c>
      <c r="M331" s="59" t="inlineStr">
        <is>
          <t>Lobna</t>
        </is>
      </c>
      <c r="N331" s="58" t="n"/>
      <c r="O331" s="58" t="n"/>
      <c r="P331" s="58" t="inlineStr">
        <is>
          <t>Hebdomadaire</t>
        </is>
      </c>
      <c r="Q331" s="59" t="inlineStr"/>
      <c r="R331" s="58" t="n">
        <v>1</v>
      </c>
      <c r="S331" s="58" t="inlineStr">
        <is>
          <t>Oui</t>
        </is>
      </c>
      <c r="T331" s="58" t="inlineStr">
        <is>
          <t>S3-062</t>
        </is>
      </c>
      <c r="U331" s="59" t="inlineStr">
        <is>
          <t>Original (septembre)</t>
        </is>
      </c>
      <c r="V331" s="59" t="inlineStr"/>
      <c r="W331" s="10" t="n"/>
      <c r="X331" s="10" t="inlineStr"/>
      <c r="Y331" s="64">
        <f>IF($M331="","",IF(SUMPRODUCT(($D$4:$D$863=$D331)*($M$4:$M$863=$M331)*($T$4:$T$863&lt;&gt;$T331)*($F$4:$F$863&lt;$G331)*($G$4:$G$863&gt;$F331))&gt;0,"⚠ CONFLIT",""))</f>
        <v/>
      </c>
      <c r="Z331" s="64">
        <f>IF($J331="","",IF(SUMPRODUCT(($D$4:$D$863=$D331)*($J$4:$J$863=$J331)*($T$4:$T$863&lt;&gt;$T331)*($F$4:$F$863&lt;$G331)*($G$4:$G$863&gt;$F331)*(1-($X$4:$X$863="Oui")*($X331="Oui")))&gt;0,"⚠ CONFLIT",""))</f>
        <v/>
      </c>
      <c r="AA331" s="64">
        <f>IF(COUNTIFS($D$4:$D$863,$D331,$J$4:$J$863,$J331,$F$4:$F$863,$F331,$K$4:$K$863,$K331)&gt;1,"⚠ DOUBLON","")</f>
        <v/>
      </c>
      <c r="AB331" s="64">
        <f>IF(COUNTIF($T$4:$T$863,$T331)&lt;&gt;COUNTIFS($T$4:$T$863,$T331,$D$4:$D$863,$D331,$F$4:$F$863,$F331,$G$4:$G$863,$G331,$K$4:$K$863,$K331,$M$4:$M$863,$M331),"⚠ INCOHÉRENT","")</f>
        <v/>
      </c>
      <c r="AC331" s="64">
        <f>COUNTIFS($A$4:$A331,$A331,$J$4:$J331,$J331,$E$4:$E331,$E331)</f>
        <v/>
      </c>
      <c r="AD331" s="65">
        <f>$A331&amp;"|"&amp;$J331&amp;"|"&amp;$E331&amp;"|"&amp;$AC331</f>
        <v/>
      </c>
      <c r="AE331" s="66">
        <f>IF($W331&lt;&gt;"","⚑ "&amp;$W331&amp;CHAR(10),"")&amp;TEXT($F331,"hh:mm")&amp;"-"&amp;TEXT($G331,"hh:mm")&amp;IF(OR($P331="Quinzaine A",AND($P331="Hebdo · groupes alternés",$C331="A"))," Q-A",IF(OR($P331="Quinzaine B",AND($P331="Hebdo · groupes alternés",$C331="B"))," Q-B",IF($P331="Exception"," PONCT.","")))&amp;IF($X331="Oui"," OPT","")&amp;CHAR(10)&amp;$K331&amp;CHAR(10)&amp;$M331&amp;IF($N331&lt;&gt;"",CHAR(10)&amp;"Salle "&amp;$N331,"")&amp;IF($O331="En ligne",CHAR(10)&amp;"EN LIGNE","")&amp;IF($V331&lt;&gt;"",CHAR(10)&amp;$V331,"")</f>
        <v/>
      </c>
      <c r="AF331" s="65" t="inlineStr">
        <is>
          <t>19h-21h عربية (Lobna)</t>
        </is>
      </c>
      <c r="AG331" s="65" t="inlineStr">
        <is>
          <t>du 28-09 jusquà le 04-10!L12</t>
        </is>
      </c>
    </row>
    <row r="332" ht="15" customHeight="1">
      <c r="A332" s="58" t="inlineStr">
        <is>
          <t>S3</t>
        </is>
      </c>
      <c r="B332" s="59" t="inlineStr">
        <is>
          <t>du 28 septembre au 4 octobre 2026</t>
        </is>
      </c>
      <c r="C332" s="58" t="inlineStr">
        <is>
          <t>A</t>
        </is>
      </c>
      <c r="D332" s="60" t="n">
        <v>46298</v>
      </c>
      <c r="E332" s="58" t="inlineStr">
        <is>
          <t>Samedi</t>
        </is>
      </c>
      <c r="F332" s="61" t="n">
        <v>0.7083333333333334</v>
      </c>
      <c r="G332" s="61" t="n">
        <v>0.7916666666666666</v>
      </c>
      <c r="H332" s="62">
        <f>IF(OR($F332="",$G332=""),"",($G332-$F332)*24)</f>
        <v/>
      </c>
      <c r="I332" s="58" t="inlineStr">
        <is>
          <t>Primaire</t>
        </is>
      </c>
      <c r="J332" s="59" t="inlineStr">
        <is>
          <t>6éme (B)</t>
        </is>
      </c>
      <c r="K332" s="63" t="inlineStr">
        <is>
          <t>عربية</t>
        </is>
      </c>
      <c r="L332" s="63" t="inlineStr">
        <is>
          <t>Arabe</t>
        </is>
      </c>
      <c r="M332" s="59" t="inlineStr">
        <is>
          <t>Lobna</t>
        </is>
      </c>
      <c r="N332" s="58" t="n"/>
      <c r="O332" s="58" t="n"/>
      <c r="P332" s="58" t="inlineStr">
        <is>
          <t>Hebdomadaire</t>
        </is>
      </c>
      <c r="Q332" s="59" t="inlineStr"/>
      <c r="R332" s="58" t="n">
        <v>1</v>
      </c>
      <c r="S332" s="58" t="inlineStr">
        <is>
          <t>Oui</t>
        </is>
      </c>
      <c r="T332" s="58" t="inlineStr">
        <is>
          <t>S3-063</t>
        </is>
      </c>
      <c r="U332" s="59" t="inlineStr">
        <is>
          <t>Original (septembre)</t>
        </is>
      </c>
      <c r="V332" s="59" t="inlineStr"/>
      <c r="W332" s="10" t="n"/>
      <c r="X332" s="10" t="inlineStr"/>
      <c r="Y332" s="64">
        <f>IF($M332="","",IF(SUMPRODUCT(($D$4:$D$863=$D332)*($M$4:$M$863=$M332)*($T$4:$T$863&lt;&gt;$T332)*($F$4:$F$863&lt;$G332)*($G$4:$G$863&gt;$F332))&gt;0,"⚠ CONFLIT",""))</f>
        <v/>
      </c>
      <c r="Z332" s="64">
        <f>IF($J332="","",IF(SUMPRODUCT(($D$4:$D$863=$D332)*($J$4:$J$863=$J332)*($T$4:$T$863&lt;&gt;$T332)*($F$4:$F$863&lt;$G332)*($G$4:$G$863&gt;$F332)*(1-($X$4:$X$863="Oui")*($X332="Oui")))&gt;0,"⚠ CONFLIT",""))</f>
        <v/>
      </c>
      <c r="AA332" s="64">
        <f>IF(COUNTIFS($D$4:$D$863,$D332,$J$4:$J$863,$J332,$F$4:$F$863,$F332,$K$4:$K$863,$K332)&gt;1,"⚠ DOUBLON","")</f>
        <v/>
      </c>
      <c r="AB332" s="64">
        <f>IF(COUNTIF($T$4:$T$863,$T332)&lt;&gt;COUNTIFS($T$4:$T$863,$T332,$D$4:$D$863,$D332,$F$4:$F$863,$F332,$G$4:$G$863,$G332,$K$4:$K$863,$K332,$M$4:$M$863,$M332),"⚠ INCOHÉRENT","")</f>
        <v/>
      </c>
      <c r="AC332" s="64">
        <f>COUNTIFS($A$4:$A332,$A332,$J$4:$J332,$J332,$E$4:$E332,$E332)</f>
        <v/>
      </c>
      <c r="AD332" s="65">
        <f>$A332&amp;"|"&amp;$J332&amp;"|"&amp;$E332&amp;"|"&amp;$AC332</f>
        <v/>
      </c>
      <c r="AE332" s="66">
        <f>IF($W332&lt;&gt;"","⚑ "&amp;$W332&amp;CHAR(10),"")&amp;TEXT($F332,"hh:mm")&amp;"-"&amp;TEXT($G332,"hh:mm")&amp;IF(OR($P332="Quinzaine A",AND($P332="Hebdo · groupes alternés",$C332="A"))," Q-A",IF(OR($P332="Quinzaine B",AND($P332="Hebdo · groupes alternés",$C332="B"))," Q-B",IF($P332="Exception"," PONCT.","")))&amp;IF($X332="Oui"," OPT","")&amp;CHAR(10)&amp;$K332&amp;CHAR(10)&amp;$M332&amp;IF($N332&lt;&gt;"",CHAR(10)&amp;"Salle "&amp;$N332,"")&amp;IF($O332="En ligne",CHAR(10)&amp;"EN LIGNE","")&amp;IF($V332&lt;&gt;"",CHAR(10)&amp;$V332,"")</f>
        <v/>
      </c>
      <c r="AF332" s="65" t="inlineStr">
        <is>
          <t>17h-19h عربية (Lobna)</t>
        </is>
      </c>
      <c r="AG332" s="65" t="inlineStr">
        <is>
          <t>du 28-09 jusquà le 04-10!L16</t>
        </is>
      </c>
    </row>
    <row r="333" ht="15" customHeight="1">
      <c r="A333" s="68" t="inlineStr">
        <is>
          <t>S3</t>
        </is>
      </c>
      <c r="B333" s="69" t="inlineStr">
        <is>
          <t>du 28 septembre au 4 octobre 2026</t>
        </is>
      </c>
      <c r="C333" s="68" t="inlineStr">
        <is>
          <t>A</t>
        </is>
      </c>
      <c r="D333" s="70" t="n">
        <v>46298</v>
      </c>
      <c r="E333" s="68" t="inlineStr">
        <is>
          <t>Samedi</t>
        </is>
      </c>
      <c r="F333" s="71" t="n">
        <v>0.6666666666666666</v>
      </c>
      <c r="G333" s="71" t="n">
        <v>0.7291666666666666</v>
      </c>
      <c r="H333" s="72">
        <f>IF(OR($F333="",$G333=""),"",($G333-$F333)*24)</f>
        <v/>
      </c>
      <c r="I333" s="68" t="inlineStr">
        <is>
          <t>Collège</t>
        </is>
      </c>
      <c r="J333" s="69" t="inlineStr">
        <is>
          <t>7éme (A)</t>
        </is>
      </c>
      <c r="K333" s="88" t="inlineStr">
        <is>
          <t>SVT</t>
        </is>
      </c>
      <c r="L333" s="88" t="inlineStr">
        <is>
          <t>SVT</t>
        </is>
      </c>
      <c r="M333" s="69" t="inlineStr">
        <is>
          <t>Sabrine</t>
        </is>
      </c>
      <c r="N333" s="68" t="n"/>
      <c r="O333" s="68" t="n"/>
      <c r="P333" s="68" t="inlineStr">
        <is>
          <t>Hebdo · groupes alternés</t>
        </is>
      </c>
      <c r="Q333" s="69" t="inlineStr"/>
      <c r="R333" s="68" t="n">
        <v>1</v>
      </c>
      <c r="S333" s="68" t="inlineStr">
        <is>
          <t>Oui</t>
        </is>
      </c>
      <c r="T333" s="68" t="inlineStr">
        <is>
          <t>S3-064</t>
        </is>
      </c>
      <c r="U333" s="69" t="inlineStr">
        <is>
          <t>Original (septembre)</t>
        </is>
      </c>
      <c r="V333" s="69" t="inlineStr"/>
      <c r="W333" s="10" t="n"/>
      <c r="X333" s="10" t="inlineStr"/>
      <c r="Y333" s="64">
        <f>IF($M333="","",IF(SUMPRODUCT(($D$4:$D$863=$D333)*($M$4:$M$863=$M333)*($T$4:$T$863&lt;&gt;$T333)*($F$4:$F$863&lt;$G333)*($G$4:$G$863&gt;$F333))&gt;0,"⚠ CONFLIT",""))</f>
        <v/>
      </c>
      <c r="Z333" s="64">
        <f>IF($J333="","",IF(SUMPRODUCT(($D$4:$D$863=$D333)*($J$4:$J$863=$J333)*($T$4:$T$863&lt;&gt;$T333)*($F$4:$F$863&lt;$G333)*($G$4:$G$863&gt;$F333)*(1-($X$4:$X$863="Oui")*($X333="Oui")))&gt;0,"⚠ CONFLIT",""))</f>
        <v/>
      </c>
      <c r="AA333" s="64">
        <f>IF(COUNTIFS($D$4:$D$863,$D333,$J$4:$J$863,$J333,$F$4:$F$863,$F333,$K$4:$K$863,$K333)&gt;1,"⚠ DOUBLON","")</f>
        <v/>
      </c>
      <c r="AB333" s="64">
        <f>IF(COUNTIF($T$4:$T$863,$T333)&lt;&gt;COUNTIFS($T$4:$T$863,$T333,$D$4:$D$863,$D333,$F$4:$F$863,$F333,$G$4:$G$863,$G333,$K$4:$K$863,$K333,$M$4:$M$863,$M333),"⚠ INCOHÉRENT","")</f>
        <v/>
      </c>
      <c r="AC333" s="64">
        <f>COUNTIFS($A$4:$A333,$A333,$J$4:$J333,$J333,$E$4:$E333,$E333)</f>
        <v/>
      </c>
      <c r="AD333" s="65">
        <f>$A333&amp;"|"&amp;$J333&amp;"|"&amp;$E333&amp;"|"&amp;$AC333</f>
        <v/>
      </c>
      <c r="AE333" s="66">
        <f>IF($W333&lt;&gt;"","⚑ "&amp;$W333&amp;CHAR(10),"")&amp;TEXT($F333,"hh:mm")&amp;"-"&amp;TEXT($G333,"hh:mm")&amp;IF(OR($P333="Quinzaine A",AND($P333="Hebdo · groupes alternés",$C333="A"))," Q-A",IF(OR($P333="Quinzaine B",AND($P333="Hebdo · groupes alternés",$C333="B"))," Q-B",IF($P333="Exception"," PONCT.","")))&amp;IF($X333="Oui"," OPT","")&amp;CHAR(10)&amp;$K333&amp;CHAR(10)&amp;$M333&amp;IF($N333&lt;&gt;"",CHAR(10)&amp;"Salle "&amp;$N333,"")&amp;IF($O333="En ligne",CHAR(10)&amp;"EN LIGNE","")&amp;IF($V333&lt;&gt;"",CHAR(10)&amp;$V333,"")</f>
        <v/>
      </c>
      <c r="AF333" s="65" t="inlineStr">
        <is>
          <t>16h-17h30 SVT /par quinzaine (Sabrine)</t>
        </is>
      </c>
      <c r="AG333" s="65" t="inlineStr">
        <is>
          <t>du 28-09 jusquà le 04-10!L19</t>
        </is>
      </c>
    </row>
    <row r="334" ht="15" customHeight="1">
      <c r="A334" s="68" t="inlineStr">
        <is>
          <t>S3</t>
        </is>
      </c>
      <c r="B334" s="69" t="inlineStr">
        <is>
          <t>du 28 septembre au 4 octobre 2026</t>
        </is>
      </c>
      <c r="C334" s="68" t="inlineStr">
        <is>
          <t>A</t>
        </is>
      </c>
      <c r="D334" s="70" t="n">
        <v>46298</v>
      </c>
      <c r="E334" s="68" t="inlineStr">
        <is>
          <t>Samedi</t>
        </is>
      </c>
      <c r="F334" s="71" t="n">
        <v>0.75</v>
      </c>
      <c r="G334" s="71" t="n">
        <v>0.8125</v>
      </c>
      <c r="H334" s="72">
        <f>IF(OR($F334="",$G334=""),"",($G334-$F334)*24)</f>
        <v/>
      </c>
      <c r="I334" s="68" t="inlineStr">
        <is>
          <t>Collège</t>
        </is>
      </c>
      <c r="J334" s="69" t="inlineStr">
        <is>
          <t>7éme (A)</t>
        </is>
      </c>
      <c r="K334" s="63" t="inlineStr">
        <is>
          <t>Arabe</t>
        </is>
      </c>
      <c r="L334" s="63" t="inlineStr">
        <is>
          <t>Arabe</t>
        </is>
      </c>
      <c r="M334" s="69" t="inlineStr">
        <is>
          <t>Awatef</t>
        </is>
      </c>
      <c r="N334" s="68" t="n"/>
      <c r="O334" s="68" t="n"/>
      <c r="P334" s="68" t="inlineStr">
        <is>
          <t>Hebdomadaire</t>
        </is>
      </c>
      <c r="Q334" s="69" t="inlineStr"/>
      <c r="R334" s="68" t="n">
        <v>1</v>
      </c>
      <c r="S334" s="68" t="inlineStr">
        <is>
          <t>Oui</t>
        </is>
      </c>
      <c r="T334" s="68" t="inlineStr">
        <is>
          <t>S3-065</t>
        </is>
      </c>
      <c r="U334" s="69" t="inlineStr">
        <is>
          <t>Original (septembre)</t>
        </is>
      </c>
      <c r="V334" s="69" t="inlineStr"/>
      <c r="W334" s="10" t="n"/>
      <c r="X334" s="10" t="inlineStr"/>
      <c r="Y334" s="64">
        <f>IF($M334="","",IF(SUMPRODUCT(($D$4:$D$863=$D334)*($M$4:$M$863=$M334)*($T$4:$T$863&lt;&gt;$T334)*($F$4:$F$863&lt;$G334)*($G$4:$G$863&gt;$F334))&gt;0,"⚠ CONFLIT",""))</f>
        <v/>
      </c>
      <c r="Z334" s="64">
        <f>IF($J334="","",IF(SUMPRODUCT(($D$4:$D$863=$D334)*($J$4:$J$863=$J334)*($T$4:$T$863&lt;&gt;$T334)*($F$4:$F$863&lt;$G334)*($G$4:$G$863&gt;$F334)*(1-($X$4:$X$863="Oui")*($X334="Oui")))&gt;0,"⚠ CONFLIT",""))</f>
        <v/>
      </c>
      <c r="AA334" s="64">
        <f>IF(COUNTIFS($D$4:$D$863,$D334,$J$4:$J$863,$J334,$F$4:$F$863,$F334,$K$4:$K$863,$K334)&gt;1,"⚠ DOUBLON","")</f>
        <v/>
      </c>
      <c r="AB334" s="64">
        <f>IF(COUNTIF($T$4:$T$863,$T334)&lt;&gt;COUNTIFS($T$4:$T$863,$T334,$D$4:$D$863,$D334,$F$4:$F$863,$F334,$G$4:$G$863,$G334,$K$4:$K$863,$K334,$M$4:$M$863,$M334),"⚠ INCOHÉRENT","")</f>
        <v/>
      </c>
      <c r="AC334" s="64">
        <f>COUNTIFS($A$4:$A334,$A334,$J$4:$J334,$J334,$E$4:$E334,$E334)</f>
        <v/>
      </c>
      <c r="AD334" s="65">
        <f>$A334&amp;"|"&amp;$J334&amp;"|"&amp;$E334&amp;"|"&amp;$AC334</f>
        <v/>
      </c>
      <c r="AE334" s="66">
        <f>IF($W334&lt;&gt;"","⚑ "&amp;$W334&amp;CHAR(10),"")&amp;TEXT($F334,"hh:mm")&amp;"-"&amp;TEXT($G334,"hh:mm")&amp;IF(OR($P334="Quinzaine A",AND($P334="Hebdo · groupes alternés",$C334="A"))," Q-A",IF(OR($P334="Quinzaine B",AND($P334="Hebdo · groupes alternés",$C334="B"))," Q-B",IF($P334="Exception"," PONCT.","")))&amp;IF($X334="Oui"," OPT","")&amp;CHAR(10)&amp;$K334&amp;CHAR(10)&amp;$M334&amp;IF($N334&lt;&gt;"",CHAR(10)&amp;"Salle "&amp;$N334,"")&amp;IF($O334="En ligne",CHAR(10)&amp;"EN LIGNE","")&amp;IF($V334&lt;&gt;"",CHAR(10)&amp;$V334,"")</f>
        <v/>
      </c>
      <c r="AF334" s="65" t="inlineStr">
        <is>
          <t>18h-19h30 Arabe (Awatef)</t>
        </is>
      </c>
      <c r="AG334" s="65" t="inlineStr">
        <is>
          <t>du 28-09 jusquà le 04-10!L20</t>
        </is>
      </c>
    </row>
    <row r="335" ht="15" customHeight="1">
      <c r="A335" s="68" t="inlineStr">
        <is>
          <t>S3</t>
        </is>
      </c>
      <c r="B335" s="69" t="inlineStr">
        <is>
          <t>du 28 septembre au 4 octobre 2026</t>
        </is>
      </c>
      <c r="C335" s="68" t="inlineStr">
        <is>
          <t>A</t>
        </is>
      </c>
      <c r="D335" s="70" t="n">
        <v>46298</v>
      </c>
      <c r="E335" s="68" t="inlineStr">
        <is>
          <t>Samedi</t>
        </is>
      </c>
      <c r="F335" s="71" t="n">
        <v>0.7291666666666666</v>
      </c>
      <c r="G335" s="71" t="n">
        <v>0.7916666666666666</v>
      </c>
      <c r="H335" s="72">
        <f>IF(OR($F335="",$G335=""),"",($G335-$F335)*24)</f>
        <v/>
      </c>
      <c r="I335" s="68" t="inlineStr">
        <is>
          <t>Collège</t>
        </is>
      </c>
      <c r="J335" s="69" t="inlineStr">
        <is>
          <t>8éme (A)</t>
        </is>
      </c>
      <c r="K335" s="88" t="inlineStr">
        <is>
          <t>SVT</t>
        </is>
      </c>
      <c r="L335" s="88" t="inlineStr">
        <is>
          <t>SVT</t>
        </is>
      </c>
      <c r="M335" s="69" t="inlineStr">
        <is>
          <t>Sabrine</t>
        </is>
      </c>
      <c r="N335" s="68" t="n"/>
      <c r="O335" s="68" t="n"/>
      <c r="P335" s="68" t="inlineStr">
        <is>
          <t>Hebdo · groupes alternés</t>
        </is>
      </c>
      <c r="Q335" s="69" t="inlineStr"/>
      <c r="R335" s="68" t="n">
        <v>1</v>
      </c>
      <c r="S335" s="68" t="inlineStr">
        <is>
          <t>Oui</t>
        </is>
      </c>
      <c r="T335" s="68" t="inlineStr">
        <is>
          <t>S3-066</t>
        </is>
      </c>
      <c r="U335" s="69" t="inlineStr">
        <is>
          <t>Original (septembre)</t>
        </is>
      </c>
      <c r="V335" s="69" t="inlineStr"/>
      <c r="W335" s="10" t="n"/>
      <c r="X335" s="10" t="inlineStr"/>
      <c r="Y335" s="64">
        <f>IF($M335="","",IF(SUMPRODUCT(($D$4:$D$863=$D335)*($M$4:$M$863=$M335)*($T$4:$T$863&lt;&gt;$T335)*($F$4:$F$863&lt;$G335)*($G$4:$G$863&gt;$F335))&gt;0,"⚠ CONFLIT",""))</f>
        <v/>
      </c>
      <c r="Z335" s="64">
        <f>IF($J335="","",IF(SUMPRODUCT(($D$4:$D$863=$D335)*($J$4:$J$863=$J335)*($T$4:$T$863&lt;&gt;$T335)*($F$4:$F$863&lt;$G335)*($G$4:$G$863&gt;$F335)*(1-($X$4:$X$863="Oui")*($X335="Oui")))&gt;0,"⚠ CONFLIT",""))</f>
        <v/>
      </c>
      <c r="AA335" s="64">
        <f>IF(COUNTIFS($D$4:$D$863,$D335,$J$4:$J$863,$J335,$F$4:$F$863,$F335,$K$4:$K$863,$K335)&gt;1,"⚠ DOUBLON","")</f>
        <v/>
      </c>
      <c r="AB335" s="64">
        <f>IF(COUNTIF($T$4:$T$863,$T335)&lt;&gt;COUNTIFS($T$4:$T$863,$T335,$D$4:$D$863,$D335,$F$4:$F$863,$F335,$G$4:$G$863,$G335,$K$4:$K$863,$K335,$M$4:$M$863,$M335),"⚠ INCOHÉRENT","")</f>
        <v/>
      </c>
      <c r="AC335" s="64">
        <f>COUNTIFS($A$4:$A335,$A335,$J$4:$J335,$J335,$E$4:$E335,$E335)</f>
        <v/>
      </c>
      <c r="AD335" s="65">
        <f>$A335&amp;"|"&amp;$J335&amp;"|"&amp;$E335&amp;"|"&amp;$AC335</f>
        <v/>
      </c>
      <c r="AE335" s="66">
        <f>IF($W335&lt;&gt;"","⚑ "&amp;$W335&amp;CHAR(10),"")&amp;TEXT($F335,"hh:mm")&amp;"-"&amp;TEXT($G335,"hh:mm")&amp;IF(OR($P335="Quinzaine A",AND($P335="Hebdo · groupes alternés",$C335="A"))," Q-A",IF(OR($P335="Quinzaine B",AND($P335="Hebdo · groupes alternés",$C335="B"))," Q-B",IF($P335="Exception"," PONCT.","")))&amp;IF($X335="Oui"," OPT","")&amp;CHAR(10)&amp;$K335&amp;CHAR(10)&amp;$M335&amp;IF($N335&lt;&gt;"",CHAR(10)&amp;"Salle "&amp;$N335,"")&amp;IF($O335="En ligne",CHAR(10)&amp;"EN LIGNE","")&amp;IF($V335&lt;&gt;"",CHAR(10)&amp;$V335,"")</f>
        <v/>
      </c>
      <c r="AF335" s="65" t="inlineStr">
        <is>
          <t>17h30-19h SVT /par quinzaine (Sabrine)</t>
        </is>
      </c>
      <c r="AG335" s="65" t="inlineStr">
        <is>
          <t>du 28-09 jusquà le 04-10!L27</t>
        </is>
      </c>
    </row>
    <row r="336" ht="15" customHeight="1">
      <c r="A336" s="68" t="inlineStr">
        <is>
          <t>S3</t>
        </is>
      </c>
      <c r="B336" s="69" t="inlineStr">
        <is>
          <t>du 28 septembre au 4 octobre 2026</t>
        </is>
      </c>
      <c r="C336" s="68" t="inlineStr">
        <is>
          <t>A</t>
        </is>
      </c>
      <c r="D336" s="70" t="n">
        <v>46298</v>
      </c>
      <c r="E336" s="68" t="inlineStr">
        <is>
          <t>Samedi</t>
        </is>
      </c>
      <c r="F336" s="71" t="n">
        <v>0.7291666666666666</v>
      </c>
      <c r="G336" s="71" t="n">
        <v>0.7916666666666666</v>
      </c>
      <c r="H336" s="72">
        <f>IF(OR($F336="",$G336=""),"",($G336-$F336)*24)</f>
        <v/>
      </c>
      <c r="I336" s="68" t="inlineStr">
        <is>
          <t>Collège</t>
        </is>
      </c>
      <c r="J336" s="69" t="inlineStr">
        <is>
          <t>8éme (B)</t>
        </is>
      </c>
      <c r="K336" s="87" t="inlineStr">
        <is>
          <t>Anglais</t>
        </is>
      </c>
      <c r="L336" s="87" t="inlineStr">
        <is>
          <t>Anglais</t>
        </is>
      </c>
      <c r="M336" s="69" t="inlineStr">
        <is>
          <t>Imen Ben Lazrak</t>
        </is>
      </c>
      <c r="N336" s="68" t="n"/>
      <c r="O336" s="68" t="n"/>
      <c r="P336" s="68" t="inlineStr">
        <is>
          <t>Hebdo · groupes alternés</t>
        </is>
      </c>
      <c r="Q336" s="69" t="inlineStr">
        <is>
          <t>8éme (B) + 8éme (C)</t>
        </is>
      </c>
      <c r="R336" s="68" t="n">
        <v>2</v>
      </c>
      <c r="S336" s="68" t="inlineStr">
        <is>
          <t>Oui</t>
        </is>
      </c>
      <c r="T336" s="68" t="inlineStr">
        <is>
          <t>S3-067</t>
        </is>
      </c>
      <c r="U336" s="69" t="inlineStr">
        <is>
          <t>Original (septembre)</t>
        </is>
      </c>
      <c r="V336" s="69" t="inlineStr"/>
      <c r="W336" s="10" t="n"/>
      <c r="X336" s="10" t="inlineStr"/>
      <c r="Y336" s="64">
        <f>IF($M336="","",IF(SUMPRODUCT(($D$4:$D$863=$D336)*($M$4:$M$863=$M336)*($T$4:$T$863&lt;&gt;$T336)*($F$4:$F$863&lt;$G336)*($G$4:$G$863&gt;$F336))&gt;0,"⚠ CONFLIT",""))</f>
        <v/>
      </c>
      <c r="Z336" s="64">
        <f>IF($J336="","",IF(SUMPRODUCT(($D$4:$D$863=$D336)*($J$4:$J$863=$J336)*($T$4:$T$863&lt;&gt;$T336)*($F$4:$F$863&lt;$G336)*($G$4:$G$863&gt;$F336)*(1-($X$4:$X$863="Oui")*($X336="Oui")))&gt;0,"⚠ CONFLIT",""))</f>
        <v/>
      </c>
      <c r="AA336" s="64">
        <f>IF(COUNTIFS($D$4:$D$863,$D336,$J$4:$J$863,$J336,$F$4:$F$863,$F336,$K$4:$K$863,$K336)&gt;1,"⚠ DOUBLON","")</f>
        <v/>
      </c>
      <c r="AB336" s="64">
        <f>IF(COUNTIF($T$4:$T$863,$T336)&lt;&gt;COUNTIFS($T$4:$T$863,$T336,$D$4:$D$863,$D336,$F$4:$F$863,$F336,$G$4:$G$863,$G336,$K$4:$K$863,$K336,$M$4:$M$863,$M336),"⚠ INCOHÉRENT","")</f>
        <v/>
      </c>
      <c r="AC336" s="64">
        <f>COUNTIFS($A$4:$A336,$A336,$J$4:$J336,$J336,$E$4:$E336,$E336)</f>
        <v/>
      </c>
      <c r="AD336" s="65">
        <f>$A336&amp;"|"&amp;$J336&amp;"|"&amp;$E336&amp;"|"&amp;$AC336</f>
        <v/>
      </c>
      <c r="AE336" s="66">
        <f>IF($W336&lt;&gt;"","⚑ "&amp;$W336&amp;CHAR(10),"")&amp;TEXT($F336,"hh:mm")&amp;"-"&amp;TEXT($G336,"hh:mm")&amp;IF(OR($P336="Quinzaine A",AND($P336="Hebdo · groupes alternés",$C336="A"))," Q-A",IF(OR($P336="Quinzaine B",AND($P336="Hebdo · groupes alternés",$C336="B"))," Q-B",IF($P336="Exception"," PONCT.","")))&amp;IF($X336="Oui"," OPT","")&amp;CHAR(10)&amp;$K336&amp;CHAR(10)&amp;$M336&amp;IF($N336&lt;&gt;"",CHAR(10)&amp;"Salle "&amp;$N336,"")&amp;IF($O336="En ligne",CHAR(10)&amp;"EN LIGNE","")&amp;IF($V336&lt;&gt;"",CHAR(10)&amp;$V336,"")</f>
        <v/>
      </c>
      <c r="AF336" s="65" t="inlineStr">
        <is>
          <t>17h30-19h Anglais /par quinzaine (Imen Ben Lazrak)</t>
        </is>
      </c>
      <c r="AG336" s="65" t="inlineStr">
        <is>
          <t>du 28-09 jusquà le 04-10!L31</t>
        </is>
      </c>
    </row>
    <row r="337" ht="15" customHeight="1">
      <c r="A337" s="68" t="inlineStr">
        <is>
          <t>S3</t>
        </is>
      </c>
      <c r="B337" s="69" t="inlineStr">
        <is>
          <t>du 28 septembre au 4 octobre 2026</t>
        </is>
      </c>
      <c r="C337" s="68" t="inlineStr">
        <is>
          <t>A</t>
        </is>
      </c>
      <c r="D337" s="70" t="n">
        <v>46298</v>
      </c>
      <c r="E337" s="68" t="inlineStr">
        <is>
          <t>Samedi</t>
        </is>
      </c>
      <c r="F337" s="71" t="n">
        <v>0.7291666666666666</v>
      </c>
      <c r="G337" s="71" t="n">
        <v>0.7916666666666666</v>
      </c>
      <c r="H337" s="72">
        <f>IF(OR($F337="",$G337=""),"",($G337-$F337)*24)</f>
        <v/>
      </c>
      <c r="I337" s="68" t="inlineStr">
        <is>
          <t>Collège</t>
        </is>
      </c>
      <c r="J337" s="69" t="inlineStr">
        <is>
          <t>8éme (C)</t>
        </is>
      </c>
      <c r="K337" s="87" t="inlineStr">
        <is>
          <t>Anglais</t>
        </is>
      </c>
      <c r="L337" s="87" t="inlineStr">
        <is>
          <t>Anglais</t>
        </is>
      </c>
      <c r="M337" s="69" t="inlineStr">
        <is>
          <t>Imen Ben Lazrak</t>
        </is>
      </c>
      <c r="N337" s="68" t="n"/>
      <c r="O337" s="68" t="n"/>
      <c r="P337" s="68" t="inlineStr">
        <is>
          <t>Hebdo · groupes alternés</t>
        </is>
      </c>
      <c r="Q337" s="69" t="inlineStr">
        <is>
          <t>8éme (B) + 8éme (C)</t>
        </is>
      </c>
      <c r="R337" s="68" t="n">
        <v>2</v>
      </c>
      <c r="S337" s="68" t="inlineStr"/>
      <c r="T337" s="68" t="inlineStr">
        <is>
          <t>S3-067</t>
        </is>
      </c>
      <c r="U337" s="69" t="inlineStr">
        <is>
          <t>Original (septembre)</t>
        </is>
      </c>
      <c r="V337" s="69" t="inlineStr"/>
      <c r="W337" s="10" t="n"/>
      <c r="X337" s="10" t="inlineStr"/>
      <c r="Y337" s="64">
        <f>IF($M337="","",IF(SUMPRODUCT(($D$4:$D$863=$D337)*($M$4:$M$863=$M337)*($T$4:$T$863&lt;&gt;$T337)*($F$4:$F$863&lt;$G337)*($G$4:$G$863&gt;$F337))&gt;0,"⚠ CONFLIT",""))</f>
        <v/>
      </c>
      <c r="Z337" s="64">
        <f>IF($J337="","",IF(SUMPRODUCT(($D$4:$D$863=$D337)*($J$4:$J$863=$J337)*($T$4:$T$863&lt;&gt;$T337)*($F$4:$F$863&lt;$G337)*($G$4:$G$863&gt;$F337)*(1-($X$4:$X$863="Oui")*($X337="Oui")))&gt;0,"⚠ CONFLIT",""))</f>
        <v/>
      </c>
      <c r="AA337" s="64">
        <f>IF(COUNTIFS($D$4:$D$863,$D337,$J$4:$J$863,$J337,$F$4:$F$863,$F337,$K$4:$K$863,$K337)&gt;1,"⚠ DOUBLON","")</f>
        <v/>
      </c>
      <c r="AB337" s="64">
        <f>IF(COUNTIF($T$4:$T$863,$T337)&lt;&gt;COUNTIFS($T$4:$T$863,$T337,$D$4:$D$863,$D337,$F$4:$F$863,$F337,$G$4:$G$863,$G337,$K$4:$K$863,$K337,$M$4:$M$863,$M337),"⚠ INCOHÉRENT","")</f>
        <v/>
      </c>
      <c r="AC337" s="64">
        <f>COUNTIFS($A$4:$A337,$A337,$J$4:$J337,$J337,$E$4:$E337,$E337)</f>
        <v/>
      </c>
      <c r="AD337" s="65">
        <f>$A337&amp;"|"&amp;$J337&amp;"|"&amp;$E337&amp;"|"&amp;$AC337</f>
        <v/>
      </c>
      <c r="AE337" s="66">
        <f>IF($W337&lt;&gt;"","⚑ "&amp;$W337&amp;CHAR(10),"")&amp;TEXT($F337,"hh:mm")&amp;"-"&amp;TEXT($G337,"hh:mm")&amp;IF(OR($P337="Quinzaine A",AND($P337="Hebdo · groupes alternés",$C337="A"))," Q-A",IF(OR($P337="Quinzaine B",AND($P337="Hebdo · groupes alternés",$C337="B"))," Q-B",IF($P337="Exception"," PONCT.","")))&amp;IF($X337="Oui"," OPT","")&amp;CHAR(10)&amp;$K337&amp;CHAR(10)&amp;$M337&amp;IF($N337&lt;&gt;"",CHAR(10)&amp;"Salle "&amp;$N337,"")&amp;IF($O337="En ligne",CHAR(10)&amp;"EN LIGNE","")&amp;IF($V337&lt;&gt;"",CHAR(10)&amp;$V337,"")</f>
        <v/>
      </c>
      <c r="AF337" s="65" t="inlineStr">
        <is>
          <t>17h30-19h Anglais /par quinzaine (Imen Ben Lazrak)</t>
        </is>
      </c>
      <c r="AG337" s="65" t="inlineStr">
        <is>
          <t>du 28-09 jusquà le 04-10!L31</t>
        </is>
      </c>
    </row>
    <row r="338" ht="15" customHeight="1">
      <c r="A338" s="68" t="inlineStr">
        <is>
          <t>S3</t>
        </is>
      </c>
      <c r="B338" s="69" t="inlineStr">
        <is>
          <t>du 28 septembre au 4 octobre 2026</t>
        </is>
      </c>
      <c r="C338" s="68" t="inlineStr">
        <is>
          <t>A</t>
        </is>
      </c>
      <c r="D338" s="70" t="n">
        <v>46298</v>
      </c>
      <c r="E338" s="68" t="inlineStr">
        <is>
          <t>Samedi</t>
        </is>
      </c>
      <c r="F338" s="71" t="n">
        <v>0.6875</v>
      </c>
      <c r="G338" s="71" t="n">
        <v>0.75</v>
      </c>
      <c r="H338" s="72">
        <f>IF(OR($F338="",$G338=""),"",($G338-$F338)*24)</f>
        <v/>
      </c>
      <c r="I338" s="68" t="inlineStr">
        <is>
          <t>Collège</t>
        </is>
      </c>
      <c r="J338" s="69" t="inlineStr">
        <is>
          <t>9éme (A)</t>
        </is>
      </c>
      <c r="K338" s="63" t="inlineStr">
        <is>
          <t>Arabe</t>
        </is>
      </c>
      <c r="L338" s="63" t="inlineStr">
        <is>
          <t>Arabe</t>
        </is>
      </c>
      <c r="M338" s="69" t="inlineStr">
        <is>
          <t>Awatef</t>
        </is>
      </c>
      <c r="N338" s="68" t="n"/>
      <c r="O338" s="68" t="n"/>
      <c r="P338" s="68" t="inlineStr">
        <is>
          <t>Hebdomadaire</t>
        </is>
      </c>
      <c r="Q338" s="69" t="inlineStr"/>
      <c r="R338" s="68" t="n">
        <v>1</v>
      </c>
      <c r="S338" s="68" t="inlineStr">
        <is>
          <t>Oui</t>
        </is>
      </c>
      <c r="T338" s="68" t="inlineStr">
        <is>
          <t>S3-068</t>
        </is>
      </c>
      <c r="U338" s="69" t="inlineStr">
        <is>
          <t>Original (septembre)</t>
        </is>
      </c>
      <c r="V338" s="69" t="inlineStr"/>
      <c r="W338" s="10" t="n"/>
      <c r="X338" s="10" t="inlineStr"/>
      <c r="Y338" s="64">
        <f>IF($M338="","",IF(SUMPRODUCT(($D$4:$D$863=$D338)*($M$4:$M$863=$M338)*($T$4:$T$863&lt;&gt;$T338)*($F$4:$F$863&lt;$G338)*($G$4:$G$863&gt;$F338))&gt;0,"⚠ CONFLIT",""))</f>
        <v/>
      </c>
      <c r="Z338" s="64">
        <f>IF($J338="","",IF(SUMPRODUCT(($D$4:$D$863=$D338)*($J$4:$J$863=$J338)*($T$4:$T$863&lt;&gt;$T338)*($F$4:$F$863&lt;$G338)*($G$4:$G$863&gt;$F338)*(1-($X$4:$X$863="Oui")*($X338="Oui")))&gt;0,"⚠ CONFLIT",""))</f>
        <v/>
      </c>
      <c r="AA338" s="64">
        <f>IF(COUNTIFS($D$4:$D$863,$D338,$J$4:$J$863,$J338,$F$4:$F$863,$F338,$K$4:$K$863,$K338)&gt;1,"⚠ DOUBLON","")</f>
        <v/>
      </c>
      <c r="AB338" s="64">
        <f>IF(COUNTIF($T$4:$T$863,$T338)&lt;&gt;COUNTIFS($T$4:$T$863,$T338,$D$4:$D$863,$D338,$F$4:$F$863,$F338,$G$4:$G$863,$G338,$K$4:$K$863,$K338,$M$4:$M$863,$M338),"⚠ INCOHÉRENT","")</f>
        <v/>
      </c>
      <c r="AC338" s="64">
        <f>COUNTIFS($A$4:$A338,$A338,$J$4:$J338,$J338,$E$4:$E338,$E338)</f>
        <v/>
      </c>
      <c r="AD338" s="65">
        <f>$A338&amp;"|"&amp;$J338&amp;"|"&amp;$E338&amp;"|"&amp;$AC338</f>
        <v/>
      </c>
      <c r="AE338" s="66">
        <f>IF($W338&lt;&gt;"","⚑ "&amp;$W338&amp;CHAR(10),"")&amp;TEXT($F338,"hh:mm")&amp;"-"&amp;TEXT($G338,"hh:mm")&amp;IF(OR($P338="Quinzaine A",AND($P338="Hebdo · groupes alternés",$C338="A"))," Q-A",IF(OR($P338="Quinzaine B",AND($P338="Hebdo · groupes alternés",$C338="B"))," Q-B",IF($P338="Exception"," PONCT.","")))&amp;IF($X338="Oui"," OPT","")&amp;CHAR(10)&amp;$K338&amp;CHAR(10)&amp;$M338&amp;IF($N338&lt;&gt;"",CHAR(10)&amp;"Salle "&amp;$N338,"")&amp;IF($O338="En ligne",CHAR(10)&amp;"EN LIGNE","")&amp;IF($V338&lt;&gt;"",CHAR(10)&amp;$V338,"")</f>
        <v/>
      </c>
      <c r="AF338" s="65" t="inlineStr">
        <is>
          <t>16h30-18h Arabe (Awatef)</t>
        </is>
      </c>
      <c r="AG338" s="65" t="inlineStr">
        <is>
          <t>du 28-09 jusquà le 04-10!L36</t>
        </is>
      </c>
    </row>
    <row r="339" ht="15" customHeight="1">
      <c r="A339" s="68" t="inlineStr">
        <is>
          <t>S3</t>
        </is>
      </c>
      <c r="B339" s="69" t="inlineStr">
        <is>
          <t>du 28 septembre au 4 octobre 2026</t>
        </is>
      </c>
      <c r="C339" s="68" t="inlineStr">
        <is>
          <t>A</t>
        </is>
      </c>
      <c r="D339" s="70" t="n">
        <v>46298</v>
      </c>
      <c r="E339" s="68" t="inlineStr">
        <is>
          <t>Samedi</t>
        </is>
      </c>
      <c r="F339" s="71" t="n">
        <v>0.7291666666666666</v>
      </c>
      <c r="G339" s="71" t="n">
        <v>0.7916666666666666</v>
      </c>
      <c r="H339" s="72">
        <f>IF(OR($F339="",$G339=""),"",($G339-$F339)*24)</f>
        <v/>
      </c>
      <c r="I339" s="68" t="inlineStr">
        <is>
          <t>Collège</t>
        </is>
      </c>
      <c r="J339" s="69" t="inlineStr">
        <is>
          <t>9éme (B)</t>
        </is>
      </c>
      <c r="K339" s="79" t="inlineStr">
        <is>
          <t>Math</t>
        </is>
      </c>
      <c r="L339" s="79" t="inlineStr">
        <is>
          <t>Math</t>
        </is>
      </c>
      <c r="M339" s="69" t="inlineStr">
        <is>
          <t>Hajer</t>
        </is>
      </c>
      <c r="N339" s="68" t="n"/>
      <c r="O339" s="68" t="n"/>
      <c r="P339" s="68" t="inlineStr">
        <is>
          <t>Hebdomadaire</t>
        </is>
      </c>
      <c r="Q339" s="69" t="inlineStr"/>
      <c r="R339" s="68" t="n">
        <v>1</v>
      </c>
      <c r="S339" s="68" t="inlineStr">
        <is>
          <t>Oui</t>
        </is>
      </c>
      <c r="T339" s="68" t="inlineStr">
        <is>
          <t>S3-069</t>
        </is>
      </c>
      <c r="U339" s="69" t="inlineStr">
        <is>
          <t>Original (septembre)</t>
        </is>
      </c>
      <c r="V339" s="69" t="inlineStr"/>
      <c r="W339" s="10" t="n"/>
      <c r="X339" s="10" t="inlineStr"/>
      <c r="Y339" s="64">
        <f>IF($M339="","",IF(SUMPRODUCT(($D$4:$D$863=$D339)*($M$4:$M$863=$M339)*($T$4:$T$863&lt;&gt;$T339)*($F$4:$F$863&lt;$G339)*($G$4:$G$863&gt;$F339))&gt;0,"⚠ CONFLIT",""))</f>
        <v/>
      </c>
      <c r="Z339" s="64">
        <f>IF($J339="","",IF(SUMPRODUCT(($D$4:$D$863=$D339)*($J$4:$J$863=$J339)*($T$4:$T$863&lt;&gt;$T339)*($F$4:$F$863&lt;$G339)*($G$4:$G$863&gt;$F339)*(1-($X$4:$X$863="Oui")*($X339="Oui")))&gt;0,"⚠ CONFLIT",""))</f>
        <v/>
      </c>
      <c r="AA339" s="64">
        <f>IF(COUNTIFS($D$4:$D$863,$D339,$J$4:$J$863,$J339,$F$4:$F$863,$F339,$K$4:$K$863,$K339)&gt;1,"⚠ DOUBLON","")</f>
        <v/>
      </c>
      <c r="AB339" s="64">
        <f>IF(COUNTIF($T$4:$T$863,$T339)&lt;&gt;COUNTIFS($T$4:$T$863,$T339,$D$4:$D$863,$D339,$F$4:$F$863,$F339,$G$4:$G$863,$G339,$K$4:$K$863,$K339,$M$4:$M$863,$M339),"⚠ INCOHÉRENT","")</f>
        <v/>
      </c>
      <c r="AC339" s="64">
        <f>COUNTIFS($A$4:$A339,$A339,$J$4:$J339,$J339,$E$4:$E339,$E339)</f>
        <v/>
      </c>
      <c r="AD339" s="65">
        <f>$A339&amp;"|"&amp;$J339&amp;"|"&amp;$E339&amp;"|"&amp;$AC339</f>
        <v/>
      </c>
      <c r="AE339" s="66">
        <f>IF($W339&lt;&gt;"","⚑ "&amp;$W339&amp;CHAR(10),"")&amp;TEXT($F339,"hh:mm")&amp;"-"&amp;TEXT($G339,"hh:mm")&amp;IF(OR($P339="Quinzaine A",AND($P339="Hebdo · groupes alternés",$C339="A"))," Q-A",IF(OR($P339="Quinzaine B",AND($P339="Hebdo · groupes alternés",$C339="B"))," Q-B",IF($P339="Exception"," PONCT.","")))&amp;IF($X339="Oui"," OPT","")&amp;CHAR(10)&amp;$K339&amp;CHAR(10)&amp;$M339&amp;IF($N339&lt;&gt;"",CHAR(10)&amp;"Salle "&amp;$N339,"")&amp;IF($O339="En ligne",CHAR(10)&amp;"EN LIGNE","")&amp;IF($V339&lt;&gt;"",CHAR(10)&amp;$V339,"")</f>
        <v/>
      </c>
      <c r="AF339" s="65" t="inlineStr">
        <is>
          <t>17h30-19h Math (Hajer)</t>
        </is>
      </c>
      <c r="AG339" s="65" t="inlineStr">
        <is>
          <t>du 28-09 jusquà le 04-10!L43</t>
        </is>
      </c>
    </row>
    <row r="340" ht="15" customHeight="1">
      <c r="A340" s="68" t="inlineStr">
        <is>
          <t>S3</t>
        </is>
      </c>
      <c r="B340" s="69" t="inlineStr">
        <is>
          <t>du 28 septembre au 4 octobre 2026</t>
        </is>
      </c>
      <c r="C340" s="68" t="inlineStr">
        <is>
          <t>A</t>
        </is>
      </c>
      <c r="D340" s="70" t="n">
        <v>46298</v>
      </c>
      <c r="E340" s="68" t="inlineStr">
        <is>
          <t>Samedi</t>
        </is>
      </c>
      <c r="F340" s="71" t="n">
        <v>0.7916666666666666</v>
      </c>
      <c r="G340" s="71" t="n">
        <v>0.8541666666666666</v>
      </c>
      <c r="H340" s="72">
        <f>IF(OR($F340="",$G340=""),"",($G340-$F340)*24)</f>
        <v/>
      </c>
      <c r="I340" s="68" t="inlineStr">
        <is>
          <t>Collège</t>
        </is>
      </c>
      <c r="J340" s="69" t="inlineStr">
        <is>
          <t>9éme (C)</t>
        </is>
      </c>
      <c r="K340" s="79" t="inlineStr">
        <is>
          <t>Math</t>
        </is>
      </c>
      <c r="L340" s="79" t="inlineStr">
        <is>
          <t>Math</t>
        </is>
      </c>
      <c r="M340" s="69" t="inlineStr">
        <is>
          <t>Hajer</t>
        </is>
      </c>
      <c r="N340" s="68" t="n"/>
      <c r="O340" s="68" t="n"/>
      <c r="P340" s="68" t="inlineStr">
        <is>
          <t>Hebdomadaire</t>
        </is>
      </c>
      <c r="Q340" s="69" t="inlineStr"/>
      <c r="R340" s="68" t="n">
        <v>1</v>
      </c>
      <c r="S340" s="68" t="inlineStr">
        <is>
          <t>Oui</t>
        </is>
      </c>
      <c r="T340" s="68" t="inlineStr">
        <is>
          <t>S3-070</t>
        </is>
      </c>
      <c r="U340" s="69" t="inlineStr">
        <is>
          <t>Original (septembre)</t>
        </is>
      </c>
      <c r="V340" s="69" t="inlineStr"/>
      <c r="W340" s="10" t="n"/>
      <c r="X340" s="10" t="inlineStr"/>
      <c r="Y340" s="64">
        <f>IF($M340="","",IF(SUMPRODUCT(($D$4:$D$863=$D340)*($M$4:$M$863=$M340)*($T$4:$T$863&lt;&gt;$T340)*($F$4:$F$863&lt;$G340)*($G$4:$G$863&gt;$F340))&gt;0,"⚠ CONFLIT",""))</f>
        <v/>
      </c>
      <c r="Z340" s="64">
        <f>IF($J340="","",IF(SUMPRODUCT(($D$4:$D$863=$D340)*($J$4:$J$863=$J340)*($T$4:$T$863&lt;&gt;$T340)*($F$4:$F$863&lt;$G340)*($G$4:$G$863&gt;$F340)*(1-($X$4:$X$863="Oui")*($X340="Oui")))&gt;0,"⚠ CONFLIT",""))</f>
        <v/>
      </c>
      <c r="AA340" s="64">
        <f>IF(COUNTIFS($D$4:$D$863,$D340,$J$4:$J$863,$J340,$F$4:$F$863,$F340,$K$4:$K$863,$K340)&gt;1,"⚠ DOUBLON","")</f>
        <v/>
      </c>
      <c r="AB340" s="64">
        <f>IF(COUNTIF($T$4:$T$863,$T340)&lt;&gt;COUNTIFS($T$4:$T$863,$T340,$D$4:$D$863,$D340,$F$4:$F$863,$F340,$G$4:$G$863,$G340,$K$4:$K$863,$K340,$M$4:$M$863,$M340),"⚠ INCOHÉRENT","")</f>
        <v/>
      </c>
      <c r="AC340" s="64">
        <f>COUNTIFS($A$4:$A340,$A340,$J$4:$J340,$J340,$E$4:$E340,$E340)</f>
        <v/>
      </c>
      <c r="AD340" s="65">
        <f>$A340&amp;"|"&amp;$J340&amp;"|"&amp;$E340&amp;"|"&amp;$AC340</f>
        <v/>
      </c>
      <c r="AE340" s="66">
        <f>IF($W340&lt;&gt;"","⚑ "&amp;$W340&amp;CHAR(10),"")&amp;TEXT($F340,"hh:mm")&amp;"-"&amp;TEXT($G340,"hh:mm")&amp;IF(OR($P340="Quinzaine A",AND($P340="Hebdo · groupes alternés",$C340="A"))," Q-A",IF(OR($P340="Quinzaine B",AND($P340="Hebdo · groupes alternés",$C340="B"))," Q-B",IF($P340="Exception"," PONCT.","")))&amp;IF($X340="Oui"," OPT","")&amp;CHAR(10)&amp;$K340&amp;CHAR(10)&amp;$M340&amp;IF($N340&lt;&gt;"",CHAR(10)&amp;"Salle "&amp;$N340,"")&amp;IF($O340="En ligne",CHAR(10)&amp;"EN LIGNE","")&amp;IF($V340&lt;&gt;"",CHAR(10)&amp;$V340,"")</f>
        <v/>
      </c>
      <c r="AF340" s="65" t="inlineStr">
        <is>
          <t>19h-20h30 Math (Hajer)</t>
        </is>
      </c>
      <c r="AG340" s="65" t="inlineStr">
        <is>
          <t>du 28-09 jusquà le 04-10!L46</t>
        </is>
      </c>
    </row>
    <row r="341" ht="15" customHeight="1">
      <c r="A341" s="74" t="inlineStr">
        <is>
          <t>S3</t>
        </is>
      </c>
      <c r="B341" s="75" t="inlineStr">
        <is>
          <t>du 28 septembre au 4 octobre 2026</t>
        </is>
      </c>
      <c r="C341" s="74" t="inlineStr">
        <is>
          <t>A</t>
        </is>
      </c>
      <c r="D341" s="76" t="n">
        <v>46298</v>
      </c>
      <c r="E341" s="74" t="inlineStr">
        <is>
          <t>Samedi</t>
        </is>
      </c>
      <c r="F341" s="77" t="n">
        <v>0.6458333333333334</v>
      </c>
      <c r="G341" s="77" t="n">
        <v>0.7083333333333334</v>
      </c>
      <c r="H341" s="78">
        <f>IF(OR($F341="",$G341=""),"",($G341-$F341)*24)</f>
        <v/>
      </c>
      <c r="I341" s="74" t="inlineStr">
        <is>
          <t>Secondaire</t>
        </is>
      </c>
      <c r="J341" s="75" t="inlineStr">
        <is>
          <t>2éme Eco</t>
        </is>
      </c>
      <c r="K341" s="93" t="inlineStr">
        <is>
          <t>Histoire</t>
        </is>
      </c>
      <c r="L341" s="93" t="inlineStr">
        <is>
          <t>Histoire</t>
        </is>
      </c>
      <c r="M341" s="75" t="inlineStr">
        <is>
          <t>Abdelwaheb</t>
        </is>
      </c>
      <c r="N341" s="74" t="n"/>
      <c r="O341" s="74" t="n"/>
      <c r="P341" s="74" t="inlineStr">
        <is>
          <t>Quinzaine A</t>
        </is>
      </c>
      <c r="Q341" s="75" t="inlineStr"/>
      <c r="R341" s="74" t="n">
        <v>1</v>
      </c>
      <c r="S341" s="74" t="inlineStr">
        <is>
          <t>Oui</t>
        </is>
      </c>
      <c r="T341" s="74" t="inlineStr">
        <is>
          <t>S3-071</t>
        </is>
      </c>
      <c r="U341" s="75" t="inlineStr">
        <is>
          <t>Original (septembre)</t>
        </is>
      </c>
      <c r="V341" s="75" t="inlineStr"/>
      <c r="W341" s="10" t="n"/>
      <c r="X341" s="10" t="inlineStr"/>
      <c r="Y341" s="64">
        <f>IF($M341="","",IF(SUMPRODUCT(($D$4:$D$863=$D341)*($M$4:$M$863=$M341)*($T$4:$T$863&lt;&gt;$T341)*($F$4:$F$863&lt;$G341)*($G$4:$G$863&gt;$F341))&gt;0,"⚠ CONFLIT",""))</f>
        <v/>
      </c>
      <c r="Z341" s="64">
        <f>IF($J341="","",IF(SUMPRODUCT(($D$4:$D$863=$D341)*($J$4:$J$863=$J341)*($T$4:$T$863&lt;&gt;$T341)*($F$4:$F$863&lt;$G341)*($G$4:$G$863&gt;$F341)*(1-($X$4:$X$863="Oui")*($X341="Oui")))&gt;0,"⚠ CONFLIT",""))</f>
        <v/>
      </c>
      <c r="AA341" s="64">
        <f>IF(COUNTIFS($D$4:$D$863,$D341,$J$4:$J$863,$J341,$F$4:$F$863,$F341,$K$4:$K$863,$K341)&gt;1,"⚠ DOUBLON","")</f>
        <v/>
      </c>
      <c r="AB341" s="64">
        <f>IF(COUNTIF($T$4:$T$863,$T341)&lt;&gt;COUNTIFS($T$4:$T$863,$T341,$D$4:$D$863,$D341,$F$4:$F$863,$F341,$G$4:$G$863,$G341,$K$4:$K$863,$K341,$M$4:$M$863,$M341),"⚠ INCOHÉRENT","")</f>
        <v/>
      </c>
      <c r="AC341" s="64">
        <f>COUNTIFS($A$4:$A341,$A341,$J$4:$J341,$J341,$E$4:$E341,$E341)</f>
        <v/>
      </c>
      <c r="AD341" s="65">
        <f>$A341&amp;"|"&amp;$J341&amp;"|"&amp;$E341&amp;"|"&amp;$AC341</f>
        <v/>
      </c>
      <c r="AE341" s="66">
        <f>IF($W341&lt;&gt;"","⚑ "&amp;$W341&amp;CHAR(10),"")&amp;TEXT($F341,"hh:mm")&amp;"-"&amp;TEXT($G341,"hh:mm")&amp;IF(OR($P341="Quinzaine A",AND($P341="Hebdo · groupes alternés",$C341="A"))," Q-A",IF(OR($P341="Quinzaine B",AND($P341="Hebdo · groupes alternés",$C341="B"))," Q-B",IF($P341="Exception"," PONCT.","")))&amp;IF($X341="Oui"," OPT","")&amp;CHAR(10)&amp;$K341&amp;CHAR(10)&amp;$M341&amp;IF($N341&lt;&gt;"",CHAR(10)&amp;"Salle "&amp;$N341,"")&amp;IF($O341="En ligne",CHAR(10)&amp;"EN LIGNE","")&amp;IF($V341&lt;&gt;"",CHAR(10)&amp;$V341,"")</f>
        <v/>
      </c>
      <c r="AF341" s="65" t="inlineStr">
        <is>
          <t>15h30-17h Histoire (Abdelwaheb)</t>
        </is>
      </c>
      <c r="AG341" s="65" t="inlineStr">
        <is>
          <t>du 28-09 jusquà le 04-10!L56</t>
        </is>
      </c>
    </row>
    <row r="342" ht="15" customHeight="1">
      <c r="A342" s="74" t="inlineStr">
        <is>
          <t>S3</t>
        </is>
      </c>
      <c r="B342" s="75" t="inlineStr">
        <is>
          <t>du 28 septembre au 4 octobre 2026</t>
        </is>
      </c>
      <c r="C342" s="74" t="inlineStr">
        <is>
          <t>A</t>
        </is>
      </c>
      <c r="D342" s="76" t="n">
        <v>46298</v>
      </c>
      <c r="E342" s="74" t="inlineStr">
        <is>
          <t>Samedi</t>
        </is>
      </c>
      <c r="F342" s="77" t="n">
        <v>0.6666666666666666</v>
      </c>
      <c r="G342" s="77" t="n">
        <v>0.7291666666666666</v>
      </c>
      <c r="H342" s="78">
        <f>IF(OR($F342="",$G342=""),"",($G342-$F342)*24)</f>
        <v/>
      </c>
      <c r="I342" s="74" t="inlineStr">
        <is>
          <t>Secondaire</t>
        </is>
      </c>
      <c r="J342" s="75" t="inlineStr">
        <is>
          <t>2éme SCE</t>
        </is>
      </c>
      <c r="K342" s="88" t="inlineStr">
        <is>
          <t>SVT</t>
        </is>
      </c>
      <c r="L342" s="88" t="inlineStr">
        <is>
          <t>SVT</t>
        </is>
      </c>
      <c r="M342" s="75" t="inlineStr">
        <is>
          <t>Rym</t>
        </is>
      </c>
      <c r="N342" s="74" t="n"/>
      <c r="O342" s="74" t="n"/>
      <c r="P342" s="74" t="inlineStr">
        <is>
          <t>Hebdomadaire</t>
        </is>
      </c>
      <c r="Q342" s="75" t="inlineStr"/>
      <c r="R342" s="74" t="n">
        <v>1</v>
      </c>
      <c r="S342" s="74" t="inlineStr">
        <is>
          <t>Oui</t>
        </is>
      </c>
      <c r="T342" s="74" t="inlineStr">
        <is>
          <t>S3-072</t>
        </is>
      </c>
      <c r="U342" s="75" t="inlineStr">
        <is>
          <t>Original (septembre)</t>
        </is>
      </c>
      <c r="V342" s="75" t="inlineStr"/>
      <c r="W342" s="10" t="n"/>
      <c r="X342" s="10" t="inlineStr"/>
      <c r="Y342" s="64">
        <f>IF($M342="","",IF(SUMPRODUCT(($D$4:$D$863=$D342)*($M$4:$M$863=$M342)*($T$4:$T$863&lt;&gt;$T342)*($F$4:$F$863&lt;$G342)*($G$4:$G$863&gt;$F342))&gt;0,"⚠ CONFLIT",""))</f>
        <v/>
      </c>
      <c r="Z342" s="64">
        <f>IF($J342="","",IF(SUMPRODUCT(($D$4:$D$863=$D342)*($J$4:$J$863=$J342)*($T$4:$T$863&lt;&gt;$T342)*($F$4:$F$863&lt;$G342)*($G$4:$G$863&gt;$F342)*(1-($X$4:$X$863="Oui")*($X342="Oui")))&gt;0,"⚠ CONFLIT",""))</f>
        <v/>
      </c>
      <c r="AA342" s="64">
        <f>IF(COUNTIFS($D$4:$D$863,$D342,$J$4:$J$863,$J342,$F$4:$F$863,$F342,$K$4:$K$863,$K342)&gt;1,"⚠ DOUBLON","")</f>
        <v/>
      </c>
      <c r="AB342" s="64">
        <f>IF(COUNTIF($T$4:$T$863,$T342)&lt;&gt;COUNTIFS($T$4:$T$863,$T342,$D$4:$D$863,$D342,$F$4:$F$863,$F342,$G$4:$G$863,$G342,$K$4:$K$863,$K342,$M$4:$M$863,$M342),"⚠ INCOHÉRENT","")</f>
        <v/>
      </c>
      <c r="AC342" s="64">
        <f>COUNTIFS($A$4:$A342,$A342,$J$4:$J342,$J342,$E$4:$E342,$E342)</f>
        <v/>
      </c>
      <c r="AD342" s="65">
        <f>$A342&amp;"|"&amp;$J342&amp;"|"&amp;$E342&amp;"|"&amp;$AC342</f>
        <v/>
      </c>
      <c r="AE342" s="66">
        <f>IF($W342&lt;&gt;"","⚑ "&amp;$W342&amp;CHAR(10),"")&amp;TEXT($F342,"hh:mm")&amp;"-"&amp;TEXT($G342,"hh:mm")&amp;IF(OR($P342="Quinzaine A",AND($P342="Hebdo · groupes alternés",$C342="A"))," Q-A",IF(OR($P342="Quinzaine B",AND($P342="Hebdo · groupes alternés",$C342="B"))," Q-B",IF($P342="Exception"," PONCT.","")))&amp;IF($X342="Oui"," OPT","")&amp;CHAR(10)&amp;$K342&amp;CHAR(10)&amp;$M342&amp;IF($N342&lt;&gt;"",CHAR(10)&amp;"Salle "&amp;$N342,"")&amp;IF($O342="En ligne",CHAR(10)&amp;"EN LIGNE","")&amp;IF($V342&lt;&gt;"",CHAR(10)&amp;$V342,"")</f>
        <v/>
      </c>
      <c r="AF342" s="65" t="inlineStr">
        <is>
          <t>16h-17h30 SVT (Rym)</t>
        </is>
      </c>
      <c r="AG342" s="65" t="inlineStr">
        <is>
          <t>du 28-09 jusquà le 04-10!L58</t>
        </is>
      </c>
    </row>
    <row r="343" ht="15" customHeight="1">
      <c r="A343" s="74" t="inlineStr">
        <is>
          <t>S3</t>
        </is>
      </c>
      <c r="B343" s="75" t="inlineStr">
        <is>
          <t>du 28 septembre au 4 octobre 2026</t>
        </is>
      </c>
      <c r="C343" s="74" t="inlineStr">
        <is>
          <t>A</t>
        </is>
      </c>
      <c r="D343" s="76" t="n">
        <v>46298</v>
      </c>
      <c r="E343" s="74" t="inlineStr">
        <is>
          <t>Samedi</t>
        </is>
      </c>
      <c r="F343" s="77" t="n">
        <v>0.7083333333333334</v>
      </c>
      <c r="G343" s="77" t="n">
        <v>0.7916666666666666</v>
      </c>
      <c r="H343" s="78">
        <f>IF(OR($F343="",$G343=""),"",($G343-$F343)*24)</f>
        <v/>
      </c>
      <c r="I343" s="74" t="inlineStr">
        <is>
          <t>Secondaire</t>
        </is>
      </c>
      <c r="J343" s="75" t="inlineStr">
        <is>
          <t>2éme INFO</t>
        </is>
      </c>
      <c r="K343" s="80" t="inlineStr">
        <is>
          <t>Informatique</t>
        </is>
      </c>
      <c r="L343" s="80" t="inlineStr">
        <is>
          <t>Informatique</t>
        </is>
      </c>
      <c r="M343" s="75" t="inlineStr">
        <is>
          <t>Aymen</t>
        </is>
      </c>
      <c r="N343" s="74" t="n"/>
      <c r="O343" s="74" t="n"/>
      <c r="P343" s="74" t="inlineStr">
        <is>
          <t>Hebdomadaire</t>
        </is>
      </c>
      <c r="Q343" s="75" t="inlineStr"/>
      <c r="R343" s="74" t="n">
        <v>1</v>
      </c>
      <c r="S343" s="74" t="inlineStr">
        <is>
          <t>Oui</t>
        </is>
      </c>
      <c r="T343" s="74" t="inlineStr">
        <is>
          <t>S3-073</t>
        </is>
      </c>
      <c r="U343" s="75" t="inlineStr">
        <is>
          <t>Original (septembre)</t>
        </is>
      </c>
      <c r="V343" s="75" t="inlineStr"/>
      <c r="W343" s="10" t="n"/>
      <c r="X343" s="10" t="inlineStr"/>
      <c r="Y343" s="64">
        <f>IF($M343="","",IF(SUMPRODUCT(($D$4:$D$863=$D343)*($M$4:$M$863=$M343)*($T$4:$T$863&lt;&gt;$T343)*($F$4:$F$863&lt;$G343)*($G$4:$G$863&gt;$F343))&gt;0,"⚠ CONFLIT",""))</f>
        <v/>
      </c>
      <c r="Z343" s="64">
        <f>IF($J343="","",IF(SUMPRODUCT(($D$4:$D$863=$D343)*($J$4:$J$863=$J343)*($T$4:$T$863&lt;&gt;$T343)*($F$4:$F$863&lt;$G343)*($G$4:$G$863&gt;$F343)*(1-($X$4:$X$863="Oui")*($X343="Oui")))&gt;0,"⚠ CONFLIT",""))</f>
        <v/>
      </c>
      <c r="AA343" s="64">
        <f>IF(COUNTIFS($D$4:$D$863,$D343,$J$4:$J$863,$J343,$F$4:$F$863,$F343,$K$4:$K$863,$K343)&gt;1,"⚠ DOUBLON","")</f>
        <v/>
      </c>
      <c r="AB343" s="64">
        <f>IF(COUNTIF($T$4:$T$863,$T343)&lt;&gt;COUNTIFS($T$4:$T$863,$T343,$D$4:$D$863,$D343,$F$4:$F$863,$F343,$G$4:$G$863,$G343,$K$4:$K$863,$K343,$M$4:$M$863,$M343),"⚠ INCOHÉRENT","")</f>
        <v/>
      </c>
      <c r="AC343" s="64">
        <f>COUNTIFS($A$4:$A343,$A343,$J$4:$J343,$J343,$E$4:$E343,$E343)</f>
        <v/>
      </c>
      <c r="AD343" s="65">
        <f>$A343&amp;"|"&amp;$J343&amp;"|"&amp;$E343&amp;"|"&amp;$AC343</f>
        <v/>
      </c>
      <c r="AE343" s="66">
        <f>IF($W343&lt;&gt;"","⚑ "&amp;$W343&amp;CHAR(10),"")&amp;TEXT($F343,"hh:mm")&amp;"-"&amp;TEXT($G343,"hh:mm")&amp;IF(OR($P343="Quinzaine A",AND($P343="Hebdo · groupes alternés",$C343="A"))," Q-A",IF(OR($P343="Quinzaine B",AND($P343="Hebdo · groupes alternés",$C343="B"))," Q-B",IF($P343="Exception"," PONCT.","")))&amp;IF($X343="Oui"," OPT","")&amp;CHAR(10)&amp;$K343&amp;CHAR(10)&amp;$M343&amp;IF($N343&lt;&gt;"",CHAR(10)&amp;"Salle "&amp;$N343,"")&amp;IF($O343="En ligne",CHAR(10)&amp;"EN LIGNE","")&amp;IF($V343&lt;&gt;"",CHAR(10)&amp;$V343,"")</f>
        <v/>
      </c>
      <c r="AF343" s="65" t="inlineStr">
        <is>
          <t>17h-19h Informatique (Aymen)</t>
        </is>
      </c>
      <c r="AG343" s="65" t="inlineStr">
        <is>
          <t>du 28-09 jusquà le 04-10!L60</t>
        </is>
      </c>
    </row>
    <row r="344" ht="15" customHeight="1">
      <c r="A344" s="74" t="inlineStr">
        <is>
          <t>S3</t>
        </is>
      </c>
      <c r="B344" s="75" t="inlineStr">
        <is>
          <t>du 28 septembre au 4 octobre 2026</t>
        </is>
      </c>
      <c r="C344" s="74" t="inlineStr">
        <is>
          <t>A</t>
        </is>
      </c>
      <c r="D344" s="76" t="n">
        <v>46298</v>
      </c>
      <c r="E344" s="74" t="inlineStr">
        <is>
          <t>Samedi</t>
        </is>
      </c>
      <c r="F344" s="77" t="n">
        <v>0.7083333333333334</v>
      </c>
      <c r="G344" s="77" t="n">
        <v>0.7708333333333334</v>
      </c>
      <c r="H344" s="78">
        <f>IF(OR($F344="",$G344=""),"",($G344-$F344)*24)</f>
        <v/>
      </c>
      <c r="I344" s="74" t="inlineStr">
        <is>
          <t>Secondaire</t>
        </is>
      </c>
      <c r="J344" s="75" t="inlineStr">
        <is>
          <t>3éme Eco</t>
        </is>
      </c>
      <c r="K344" s="93" t="inlineStr">
        <is>
          <t>Histoire</t>
        </is>
      </c>
      <c r="L344" s="93" t="inlineStr">
        <is>
          <t>Histoire</t>
        </is>
      </c>
      <c r="M344" s="75" t="inlineStr">
        <is>
          <t>Abdelwaheb</t>
        </is>
      </c>
      <c r="N344" s="74" t="n"/>
      <c r="O344" s="74" t="n"/>
      <c r="P344" s="74" t="inlineStr">
        <is>
          <t>Quinzaine A</t>
        </is>
      </c>
      <c r="Q344" s="75" t="inlineStr"/>
      <c r="R344" s="74" t="n">
        <v>1</v>
      </c>
      <c r="S344" s="74" t="inlineStr">
        <is>
          <t>Oui</t>
        </is>
      </c>
      <c r="T344" s="74" t="inlineStr">
        <is>
          <t>S3-074</t>
        </is>
      </c>
      <c r="U344" s="75" t="inlineStr">
        <is>
          <t>Original (septembre)</t>
        </is>
      </c>
      <c r="V344" s="75" t="inlineStr"/>
      <c r="W344" s="10" t="n"/>
      <c r="X344" s="10" t="inlineStr"/>
      <c r="Y344" s="64">
        <f>IF($M344="","",IF(SUMPRODUCT(($D$4:$D$863=$D344)*($M$4:$M$863=$M344)*($T$4:$T$863&lt;&gt;$T344)*($F$4:$F$863&lt;$G344)*($G$4:$G$863&gt;$F344))&gt;0,"⚠ CONFLIT",""))</f>
        <v/>
      </c>
      <c r="Z344" s="64">
        <f>IF($J344="","",IF(SUMPRODUCT(($D$4:$D$863=$D344)*($J$4:$J$863=$J344)*($T$4:$T$863&lt;&gt;$T344)*($F$4:$F$863&lt;$G344)*($G$4:$G$863&gt;$F344)*(1-($X$4:$X$863="Oui")*($X344="Oui")))&gt;0,"⚠ CONFLIT",""))</f>
        <v/>
      </c>
      <c r="AA344" s="64">
        <f>IF(COUNTIFS($D$4:$D$863,$D344,$J$4:$J$863,$J344,$F$4:$F$863,$F344,$K$4:$K$863,$K344)&gt;1,"⚠ DOUBLON","")</f>
        <v/>
      </c>
      <c r="AB344" s="64">
        <f>IF(COUNTIF($T$4:$T$863,$T344)&lt;&gt;COUNTIFS($T$4:$T$863,$T344,$D$4:$D$863,$D344,$F$4:$F$863,$F344,$G$4:$G$863,$G344,$K$4:$K$863,$K344,$M$4:$M$863,$M344),"⚠ INCOHÉRENT","")</f>
        <v/>
      </c>
      <c r="AC344" s="64">
        <f>COUNTIFS($A$4:$A344,$A344,$J$4:$J344,$J344,$E$4:$E344,$E344)</f>
        <v/>
      </c>
      <c r="AD344" s="65">
        <f>$A344&amp;"|"&amp;$J344&amp;"|"&amp;$E344&amp;"|"&amp;$AC344</f>
        <v/>
      </c>
      <c r="AE344" s="66">
        <f>IF($W344&lt;&gt;"","⚑ "&amp;$W344&amp;CHAR(10),"")&amp;TEXT($F344,"hh:mm")&amp;"-"&amp;TEXT($G344,"hh:mm")&amp;IF(OR($P344="Quinzaine A",AND($P344="Hebdo · groupes alternés",$C344="A"))," Q-A",IF(OR($P344="Quinzaine B",AND($P344="Hebdo · groupes alternés",$C344="B"))," Q-B",IF($P344="Exception"," PONCT.","")))&amp;IF($X344="Oui"," OPT","")&amp;CHAR(10)&amp;$K344&amp;CHAR(10)&amp;$M344&amp;IF($N344&lt;&gt;"",CHAR(10)&amp;"Salle "&amp;$N344,"")&amp;IF($O344="En ligne",CHAR(10)&amp;"EN LIGNE","")&amp;IF($V344&lt;&gt;"",CHAR(10)&amp;$V344,"")</f>
        <v/>
      </c>
      <c r="AF344" s="65" t="inlineStr">
        <is>
          <t>17h-18h30 Histoire (Abdelwaheb)</t>
        </is>
      </c>
      <c r="AG344" s="65" t="inlineStr">
        <is>
          <t>du 28-09 jusquà le 04-10!L62</t>
        </is>
      </c>
    </row>
    <row r="345" ht="15" customHeight="1">
      <c r="A345" s="74" t="inlineStr">
        <is>
          <t>S3</t>
        </is>
      </c>
      <c r="B345" s="75" t="inlineStr">
        <is>
          <t>du 28 septembre au 4 octobre 2026</t>
        </is>
      </c>
      <c r="C345" s="74" t="inlineStr">
        <is>
          <t>A</t>
        </is>
      </c>
      <c r="D345" s="76" t="n">
        <v>46298</v>
      </c>
      <c r="E345" s="74" t="inlineStr">
        <is>
          <t>Samedi</t>
        </is>
      </c>
      <c r="F345" s="77" t="n">
        <v>0.625</v>
      </c>
      <c r="G345" s="77" t="n">
        <v>0.7083333333333334</v>
      </c>
      <c r="H345" s="78">
        <f>IF(OR($F345="",$G345=""),"",($G345-$F345)*24)</f>
        <v/>
      </c>
      <c r="I345" s="74" t="inlineStr">
        <is>
          <t>Secondaire</t>
        </is>
      </c>
      <c r="J345" s="75" t="inlineStr">
        <is>
          <t>3éme INFO</t>
        </is>
      </c>
      <c r="K345" s="94" t="inlineStr">
        <is>
          <t>ALGO</t>
        </is>
      </c>
      <c r="L345" s="94" t="inlineStr">
        <is>
          <t>ALGO</t>
        </is>
      </c>
      <c r="M345" s="75" t="inlineStr">
        <is>
          <t>Aymen</t>
        </is>
      </c>
      <c r="N345" s="74" t="n"/>
      <c r="O345" s="74" t="n"/>
      <c r="P345" s="74" t="inlineStr">
        <is>
          <t>Hebdomadaire</t>
        </is>
      </c>
      <c r="Q345" s="75" t="inlineStr"/>
      <c r="R345" s="74" t="n">
        <v>1</v>
      </c>
      <c r="S345" s="74" t="inlineStr">
        <is>
          <t>Oui</t>
        </is>
      </c>
      <c r="T345" s="74" t="inlineStr">
        <is>
          <t>S3-075</t>
        </is>
      </c>
      <c r="U345" s="75" t="inlineStr">
        <is>
          <t>Original (septembre)</t>
        </is>
      </c>
      <c r="V345" s="75" t="inlineStr"/>
      <c r="W345" s="10" t="n"/>
      <c r="X345" s="10" t="inlineStr"/>
      <c r="Y345" s="64">
        <f>IF($M345="","",IF(SUMPRODUCT(($D$4:$D$863=$D345)*($M$4:$M$863=$M345)*($T$4:$T$863&lt;&gt;$T345)*($F$4:$F$863&lt;$G345)*($G$4:$G$863&gt;$F345))&gt;0,"⚠ CONFLIT",""))</f>
        <v/>
      </c>
      <c r="Z345" s="64">
        <f>IF($J345="","",IF(SUMPRODUCT(($D$4:$D$863=$D345)*($J$4:$J$863=$J345)*($T$4:$T$863&lt;&gt;$T345)*($F$4:$F$863&lt;$G345)*($G$4:$G$863&gt;$F345)*(1-($X$4:$X$863="Oui")*($X345="Oui")))&gt;0,"⚠ CONFLIT",""))</f>
        <v/>
      </c>
      <c r="AA345" s="64">
        <f>IF(COUNTIFS($D$4:$D$863,$D345,$J$4:$J$863,$J345,$F$4:$F$863,$F345,$K$4:$K$863,$K345)&gt;1,"⚠ DOUBLON","")</f>
        <v/>
      </c>
      <c r="AB345" s="64">
        <f>IF(COUNTIF($T$4:$T$863,$T345)&lt;&gt;COUNTIFS($T$4:$T$863,$T345,$D$4:$D$863,$D345,$F$4:$F$863,$F345,$G$4:$G$863,$G345,$K$4:$K$863,$K345,$M$4:$M$863,$M345),"⚠ INCOHÉRENT","")</f>
        <v/>
      </c>
      <c r="AC345" s="64">
        <f>COUNTIFS($A$4:$A345,$A345,$J$4:$J345,$J345,$E$4:$E345,$E345)</f>
        <v/>
      </c>
      <c r="AD345" s="65">
        <f>$A345&amp;"|"&amp;$J345&amp;"|"&amp;$E345&amp;"|"&amp;$AC345</f>
        <v/>
      </c>
      <c r="AE345" s="66">
        <f>IF($W345&lt;&gt;"","⚑ "&amp;$W345&amp;CHAR(10),"")&amp;TEXT($F345,"hh:mm")&amp;"-"&amp;TEXT($G345,"hh:mm")&amp;IF(OR($P345="Quinzaine A",AND($P345="Hebdo · groupes alternés",$C345="A"))," Q-A",IF(OR($P345="Quinzaine B",AND($P345="Hebdo · groupes alternés",$C345="B"))," Q-B",IF($P345="Exception"," PONCT.","")))&amp;IF($X345="Oui"," OPT","")&amp;CHAR(10)&amp;$K345&amp;CHAR(10)&amp;$M345&amp;IF($N345&lt;&gt;"",CHAR(10)&amp;"Salle "&amp;$N345,"")&amp;IF($O345="En ligne",CHAR(10)&amp;"EN LIGNE","")&amp;IF($V345&lt;&gt;"",CHAR(10)&amp;$V345,"")</f>
        <v/>
      </c>
      <c r="AF345" s="65" t="inlineStr">
        <is>
          <t>15h-17h ALGO (Aymen)</t>
        </is>
      </c>
      <c r="AG345" s="65" t="inlineStr">
        <is>
          <t>du 28-09 jusquà le 04-10!L64</t>
        </is>
      </c>
    </row>
    <row r="346" ht="15" customHeight="1">
      <c r="A346" s="74" t="inlineStr">
        <is>
          <t>S3</t>
        </is>
      </c>
      <c r="B346" s="75" t="inlineStr">
        <is>
          <t>du 28 septembre au 4 octobre 2026</t>
        </is>
      </c>
      <c r="C346" s="74" t="inlineStr">
        <is>
          <t>A</t>
        </is>
      </c>
      <c r="D346" s="76" t="n">
        <v>46298</v>
      </c>
      <c r="E346" s="74" t="inlineStr">
        <is>
          <t>Samedi</t>
        </is>
      </c>
      <c r="F346" s="77" t="n">
        <v>0.7291666666666666</v>
      </c>
      <c r="G346" s="77" t="n">
        <v>0.7916666666666666</v>
      </c>
      <c r="H346" s="78">
        <f>IF(OR($F346="",$G346=""),"",($G346-$F346)*24)</f>
        <v/>
      </c>
      <c r="I346" s="74" t="inlineStr">
        <is>
          <t>Secondaire</t>
        </is>
      </c>
      <c r="J346" s="75" t="inlineStr">
        <is>
          <t>3éme SCE</t>
        </is>
      </c>
      <c r="K346" s="88" t="inlineStr">
        <is>
          <t>SVT</t>
        </is>
      </c>
      <c r="L346" s="88" t="inlineStr">
        <is>
          <t>SVT</t>
        </is>
      </c>
      <c r="M346" s="75" t="inlineStr">
        <is>
          <t>Rym</t>
        </is>
      </c>
      <c r="N346" s="74" t="n"/>
      <c r="O346" s="74" t="n"/>
      <c r="P346" s="74" t="inlineStr">
        <is>
          <t>Hebdomadaire</t>
        </is>
      </c>
      <c r="Q346" s="75" t="inlineStr"/>
      <c r="R346" s="74" t="n">
        <v>1</v>
      </c>
      <c r="S346" s="74" t="inlineStr">
        <is>
          <t>Oui</t>
        </is>
      </c>
      <c r="T346" s="74" t="inlineStr">
        <is>
          <t>S3-076</t>
        </is>
      </c>
      <c r="U346" s="75" t="inlineStr">
        <is>
          <t>Original (septembre)</t>
        </is>
      </c>
      <c r="V346" s="75" t="inlineStr"/>
      <c r="W346" s="10" t="n"/>
      <c r="X346" s="10" t="inlineStr"/>
      <c r="Y346" s="64">
        <f>IF($M346="","",IF(SUMPRODUCT(($D$4:$D$863=$D346)*($M$4:$M$863=$M346)*($T$4:$T$863&lt;&gt;$T346)*($F$4:$F$863&lt;$G346)*($G$4:$G$863&gt;$F346))&gt;0,"⚠ CONFLIT",""))</f>
        <v/>
      </c>
      <c r="Z346" s="64">
        <f>IF($J346="","",IF(SUMPRODUCT(($D$4:$D$863=$D346)*($J$4:$J$863=$J346)*($T$4:$T$863&lt;&gt;$T346)*($F$4:$F$863&lt;$G346)*($G$4:$G$863&gt;$F346)*(1-($X$4:$X$863="Oui")*($X346="Oui")))&gt;0,"⚠ CONFLIT",""))</f>
        <v/>
      </c>
      <c r="AA346" s="64">
        <f>IF(COUNTIFS($D$4:$D$863,$D346,$J$4:$J$863,$J346,$F$4:$F$863,$F346,$K$4:$K$863,$K346)&gt;1,"⚠ DOUBLON","")</f>
        <v/>
      </c>
      <c r="AB346" s="64">
        <f>IF(COUNTIF($T$4:$T$863,$T346)&lt;&gt;COUNTIFS($T$4:$T$863,$T346,$D$4:$D$863,$D346,$F$4:$F$863,$F346,$G$4:$G$863,$G346,$K$4:$K$863,$K346,$M$4:$M$863,$M346),"⚠ INCOHÉRENT","")</f>
        <v/>
      </c>
      <c r="AC346" s="64">
        <f>COUNTIFS($A$4:$A346,$A346,$J$4:$J346,$J346,$E$4:$E346,$E346)</f>
        <v/>
      </c>
      <c r="AD346" s="65">
        <f>$A346&amp;"|"&amp;$J346&amp;"|"&amp;$E346&amp;"|"&amp;$AC346</f>
        <v/>
      </c>
      <c r="AE346" s="66">
        <f>IF($W346&lt;&gt;"","⚑ "&amp;$W346&amp;CHAR(10),"")&amp;TEXT($F346,"hh:mm")&amp;"-"&amp;TEXT($G346,"hh:mm")&amp;IF(OR($P346="Quinzaine A",AND($P346="Hebdo · groupes alternés",$C346="A"))," Q-A",IF(OR($P346="Quinzaine B",AND($P346="Hebdo · groupes alternés",$C346="B"))," Q-B",IF($P346="Exception"," PONCT.","")))&amp;IF($X346="Oui"," OPT","")&amp;CHAR(10)&amp;$K346&amp;CHAR(10)&amp;$M346&amp;IF($N346&lt;&gt;"",CHAR(10)&amp;"Salle "&amp;$N346,"")&amp;IF($O346="En ligne",CHAR(10)&amp;"EN LIGNE","")&amp;IF($V346&lt;&gt;"",CHAR(10)&amp;$V346,"")</f>
        <v/>
      </c>
      <c r="AF346" s="65" t="inlineStr">
        <is>
          <t>17h30-19h SVT (Rym)</t>
        </is>
      </c>
      <c r="AG346" s="65" t="inlineStr">
        <is>
          <t>du 28-09 jusquà le 04-10!L67</t>
        </is>
      </c>
    </row>
    <row r="347" ht="15" customHeight="1">
      <c r="A347" s="81" t="inlineStr">
        <is>
          <t>S3</t>
        </is>
      </c>
      <c r="B347" s="82" t="inlineStr">
        <is>
          <t>du 28 septembre au 4 octobre 2026</t>
        </is>
      </c>
      <c r="C347" s="81" t="inlineStr">
        <is>
          <t>A</t>
        </is>
      </c>
      <c r="D347" s="83" t="n">
        <v>46298</v>
      </c>
      <c r="E347" s="81" t="inlineStr">
        <is>
          <t>Samedi</t>
        </is>
      </c>
      <c r="F347" s="84" t="n">
        <v>0.7708333333333334</v>
      </c>
      <c r="G347" s="84" t="n">
        <v>0.8333333333333334</v>
      </c>
      <c r="H347" s="85">
        <f>IF(OR($F347="",$G347=""),"",($G347-$F347)*24)</f>
        <v/>
      </c>
      <c r="I347" s="81" t="inlineStr">
        <is>
          <t>Bac</t>
        </is>
      </c>
      <c r="J347" s="82" t="inlineStr">
        <is>
          <t>Bac Eco</t>
        </is>
      </c>
      <c r="K347" s="93" t="inlineStr">
        <is>
          <t>Histoire</t>
        </is>
      </c>
      <c r="L347" s="93" t="inlineStr">
        <is>
          <t>Histoire</t>
        </is>
      </c>
      <c r="M347" s="82" t="inlineStr">
        <is>
          <t>Abdelwaheb</t>
        </is>
      </c>
      <c r="N347" s="81" t="n"/>
      <c r="O347" s="81" t="n"/>
      <c r="P347" s="81" t="inlineStr">
        <is>
          <t>Quinzaine A</t>
        </is>
      </c>
      <c r="Q347" s="82" t="inlineStr"/>
      <c r="R347" s="81" t="n">
        <v>1</v>
      </c>
      <c r="S347" s="81" t="inlineStr">
        <is>
          <t>Oui</t>
        </is>
      </c>
      <c r="T347" s="81" t="inlineStr">
        <is>
          <t>S3-077</t>
        </is>
      </c>
      <c r="U347" s="82" t="inlineStr">
        <is>
          <t>Original (septembre)</t>
        </is>
      </c>
      <c r="V347" s="82" t="inlineStr"/>
      <c r="W347" s="10" t="n"/>
      <c r="X347" s="10" t="inlineStr"/>
      <c r="Y347" s="64">
        <f>IF($M347="","",IF(SUMPRODUCT(($D$4:$D$863=$D347)*($M$4:$M$863=$M347)*($T$4:$T$863&lt;&gt;$T347)*($F$4:$F$863&lt;$G347)*($G$4:$G$863&gt;$F347))&gt;0,"⚠ CONFLIT",""))</f>
        <v/>
      </c>
      <c r="Z347" s="64">
        <f>IF($J347="","",IF(SUMPRODUCT(($D$4:$D$863=$D347)*($J$4:$J$863=$J347)*($T$4:$T$863&lt;&gt;$T347)*($F$4:$F$863&lt;$G347)*($G$4:$G$863&gt;$F347)*(1-($X$4:$X$863="Oui")*($X347="Oui")))&gt;0,"⚠ CONFLIT",""))</f>
        <v/>
      </c>
      <c r="AA347" s="64">
        <f>IF(COUNTIFS($D$4:$D$863,$D347,$J$4:$J$863,$J347,$F$4:$F$863,$F347,$K$4:$K$863,$K347)&gt;1,"⚠ DOUBLON","")</f>
        <v/>
      </c>
      <c r="AB347" s="64">
        <f>IF(COUNTIF($T$4:$T$863,$T347)&lt;&gt;COUNTIFS($T$4:$T$863,$T347,$D$4:$D$863,$D347,$F$4:$F$863,$F347,$G$4:$G$863,$G347,$K$4:$K$863,$K347,$M$4:$M$863,$M347),"⚠ INCOHÉRENT","")</f>
        <v/>
      </c>
      <c r="AC347" s="64">
        <f>COUNTIFS($A$4:$A347,$A347,$J$4:$J347,$J347,$E$4:$E347,$E347)</f>
        <v/>
      </c>
      <c r="AD347" s="65">
        <f>$A347&amp;"|"&amp;$J347&amp;"|"&amp;$E347&amp;"|"&amp;$AC347</f>
        <v/>
      </c>
      <c r="AE347" s="66">
        <f>IF($W347&lt;&gt;"","⚑ "&amp;$W347&amp;CHAR(10),"")&amp;TEXT($F347,"hh:mm")&amp;"-"&amp;TEXT($G347,"hh:mm")&amp;IF(OR($P347="Quinzaine A",AND($P347="Hebdo · groupes alternés",$C347="A"))," Q-A",IF(OR($P347="Quinzaine B",AND($P347="Hebdo · groupes alternés",$C347="B"))," Q-B",IF($P347="Exception"," PONCT.","")))&amp;IF($X347="Oui"," OPT","")&amp;CHAR(10)&amp;$K347&amp;CHAR(10)&amp;$M347&amp;IF($N347&lt;&gt;"",CHAR(10)&amp;"Salle "&amp;$N347,"")&amp;IF($O347="En ligne",CHAR(10)&amp;"EN LIGNE","")&amp;IF($V347&lt;&gt;"",CHAR(10)&amp;$V347,"")</f>
        <v/>
      </c>
      <c r="AF347" s="65" t="inlineStr">
        <is>
          <t>18h30-20h Histoire (Abdelwaheb)</t>
        </is>
      </c>
      <c r="AG347" s="65" t="inlineStr">
        <is>
          <t>du 28-09 jusquà le 04-10!L69</t>
        </is>
      </c>
    </row>
    <row r="348" ht="15" customHeight="1">
      <c r="A348" s="81" t="inlineStr">
        <is>
          <t>S3</t>
        </is>
      </c>
      <c r="B348" s="82" t="inlineStr">
        <is>
          <t>du 28 septembre au 4 octobre 2026</t>
        </is>
      </c>
      <c r="C348" s="81" t="inlineStr">
        <is>
          <t>A</t>
        </is>
      </c>
      <c r="D348" s="83" t="n">
        <v>46298</v>
      </c>
      <c r="E348" s="81" t="inlineStr">
        <is>
          <t>Samedi</t>
        </is>
      </c>
      <c r="F348" s="84" t="n">
        <v>0.7916666666666666</v>
      </c>
      <c r="G348" s="84" t="n">
        <v>0.8541666666666666</v>
      </c>
      <c r="H348" s="85">
        <f>IF(OR($F348="",$G348=""),"",($G348-$F348)*24)</f>
        <v/>
      </c>
      <c r="I348" s="81" t="inlineStr">
        <is>
          <t>Bac</t>
        </is>
      </c>
      <c r="J348" s="82" t="inlineStr">
        <is>
          <t>Bac SCE</t>
        </is>
      </c>
      <c r="K348" s="88" t="inlineStr">
        <is>
          <t>SVT</t>
        </is>
      </c>
      <c r="L348" s="88" t="inlineStr">
        <is>
          <t>SVT</t>
        </is>
      </c>
      <c r="M348" s="82" t="inlineStr">
        <is>
          <t>Rym</t>
        </is>
      </c>
      <c r="N348" s="81" t="n"/>
      <c r="O348" s="81" t="n"/>
      <c r="P348" s="81" t="inlineStr">
        <is>
          <t>Hebdomadaire</t>
        </is>
      </c>
      <c r="Q348" s="82" t="inlineStr"/>
      <c r="R348" s="81" t="n">
        <v>1</v>
      </c>
      <c r="S348" s="81" t="inlineStr">
        <is>
          <t>Oui</t>
        </is>
      </c>
      <c r="T348" s="81" t="inlineStr">
        <is>
          <t>S3-078</t>
        </is>
      </c>
      <c r="U348" s="82" t="inlineStr">
        <is>
          <t>Original (septembre)</t>
        </is>
      </c>
      <c r="V348" s="82" t="inlineStr"/>
      <c r="W348" s="10" t="n"/>
      <c r="X348" s="10" t="inlineStr"/>
      <c r="Y348" s="64">
        <f>IF($M348="","",IF(SUMPRODUCT(($D$4:$D$863=$D348)*($M$4:$M$863=$M348)*($T$4:$T$863&lt;&gt;$T348)*($F$4:$F$863&lt;$G348)*($G$4:$G$863&gt;$F348))&gt;0,"⚠ CONFLIT",""))</f>
        <v/>
      </c>
      <c r="Z348" s="64">
        <f>IF($J348="","",IF(SUMPRODUCT(($D$4:$D$863=$D348)*($J$4:$J$863=$J348)*($T$4:$T$863&lt;&gt;$T348)*($F$4:$F$863&lt;$G348)*($G$4:$G$863&gt;$F348)*(1-($X$4:$X$863="Oui")*($X348="Oui")))&gt;0,"⚠ CONFLIT",""))</f>
        <v/>
      </c>
      <c r="AA348" s="64">
        <f>IF(COUNTIFS($D$4:$D$863,$D348,$J$4:$J$863,$J348,$F$4:$F$863,$F348,$K$4:$K$863,$K348)&gt;1,"⚠ DOUBLON","")</f>
        <v/>
      </c>
      <c r="AB348" s="64">
        <f>IF(COUNTIF($T$4:$T$863,$T348)&lt;&gt;COUNTIFS($T$4:$T$863,$T348,$D$4:$D$863,$D348,$F$4:$F$863,$F348,$G$4:$G$863,$G348,$K$4:$K$863,$K348,$M$4:$M$863,$M348),"⚠ INCOHÉRENT","")</f>
        <v/>
      </c>
      <c r="AC348" s="64">
        <f>COUNTIFS($A$4:$A348,$A348,$J$4:$J348,$J348,$E$4:$E348,$E348)</f>
        <v/>
      </c>
      <c r="AD348" s="65">
        <f>$A348&amp;"|"&amp;$J348&amp;"|"&amp;$E348&amp;"|"&amp;$AC348</f>
        <v/>
      </c>
      <c r="AE348" s="66">
        <f>IF($W348&lt;&gt;"","⚑ "&amp;$W348&amp;CHAR(10),"")&amp;TEXT($F348,"hh:mm")&amp;"-"&amp;TEXT($G348,"hh:mm")&amp;IF(OR($P348="Quinzaine A",AND($P348="Hebdo · groupes alternés",$C348="A"))," Q-A",IF(OR($P348="Quinzaine B",AND($P348="Hebdo · groupes alternés",$C348="B"))," Q-B",IF($P348="Exception"," PONCT.","")))&amp;IF($X348="Oui"," OPT","")&amp;CHAR(10)&amp;$K348&amp;CHAR(10)&amp;$M348&amp;IF($N348&lt;&gt;"",CHAR(10)&amp;"Salle "&amp;$N348,"")&amp;IF($O348="En ligne",CHAR(10)&amp;"EN LIGNE","")&amp;IF($V348&lt;&gt;"",CHAR(10)&amp;$V348,"")</f>
        <v/>
      </c>
      <c r="AF348" s="65" t="inlineStr">
        <is>
          <t>19h-20h30 SVT (Rym)</t>
        </is>
      </c>
      <c r="AG348" s="65" t="inlineStr">
        <is>
          <t>du 28-09 jusquà le 04-10!L75</t>
        </is>
      </c>
    </row>
    <row r="349" ht="15" customHeight="1">
      <c r="A349" s="81" t="inlineStr">
        <is>
          <t>S3</t>
        </is>
      </c>
      <c r="B349" s="82" t="inlineStr">
        <is>
          <t>du 28 septembre au 4 octobre 2026</t>
        </is>
      </c>
      <c r="C349" s="81" t="inlineStr">
        <is>
          <t>A</t>
        </is>
      </c>
      <c r="D349" s="83" t="n">
        <v>46298</v>
      </c>
      <c r="E349" s="81" t="inlineStr">
        <is>
          <t>Samedi</t>
        </is>
      </c>
      <c r="F349" s="84" t="n">
        <v>0.7916666666666666</v>
      </c>
      <c r="G349" s="84" t="n">
        <v>0.875</v>
      </c>
      <c r="H349" s="85">
        <f>IF(OR($F349="",$G349=""),"",($G349-$F349)*24)</f>
        <v/>
      </c>
      <c r="I349" s="81" t="inlineStr">
        <is>
          <t>Bac</t>
        </is>
      </c>
      <c r="J349" s="82" t="inlineStr">
        <is>
          <t>Bac INFO</t>
        </is>
      </c>
      <c r="K349" s="94" t="inlineStr">
        <is>
          <t>ALGO</t>
        </is>
      </c>
      <c r="L349" s="94" t="inlineStr">
        <is>
          <t>ALGO</t>
        </is>
      </c>
      <c r="M349" s="82" t="inlineStr">
        <is>
          <t>Heni</t>
        </is>
      </c>
      <c r="N349" s="81" t="n"/>
      <c r="O349" s="81" t="n"/>
      <c r="P349" s="81" t="inlineStr">
        <is>
          <t>Hebdomadaire</t>
        </is>
      </c>
      <c r="Q349" s="82" t="inlineStr"/>
      <c r="R349" s="81" t="n">
        <v>1</v>
      </c>
      <c r="S349" s="81" t="inlineStr">
        <is>
          <t>Oui</t>
        </is>
      </c>
      <c r="T349" s="81" t="inlineStr">
        <is>
          <t>S3-079</t>
        </is>
      </c>
      <c r="U349" s="82" t="inlineStr">
        <is>
          <t>Original (septembre)</t>
        </is>
      </c>
      <c r="V349" s="82" t="inlineStr"/>
      <c r="W349" s="10" t="n"/>
      <c r="X349" s="10" t="inlineStr"/>
      <c r="Y349" s="64">
        <f>IF($M349="","",IF(SUMPRODUCT(($D$4:$D$863=$D349)*($M$4:$M$863=$M349)*($T$4:$T$863&lt;&gt;$T349)*($F$4:$F$863&lt;$G349)*($G$4:$G$863&gt;$F349))&gt;0,"⚠ CONFLIT",""))</f>
        <v/>
      </c>
      <c r="Z349" s="64">
        <f>IF($J349="","",IF(SUMPRODUCT(($D$4:$D$863=$D349)*($J$4:$J$863=$J349)*($T$4:$T$863&lt;&gt;$T349)*($F$4:$F$863&lt;$G349)*($G$4:$G$863&gt;$F349)*(1-($X$4:$X$863="Oui")*($X349="Oui")))&gt;0,"⚠ CONFLIT",""))</f>
        <v/>
      </c>
      <c r="AA349" s="64">
        <f>IF(COUNTIFS($D$4:$D$863,$D349,$J$4:$J$863,$J349,$F$4:$F$863,$F349,$K$4:$K$863,$K349)&gt;1,"⚠ DOUBLON","")</f>
        <v/>
      </c>
      <c r="AB349" s="64">
        <f>IF(COUNTIF($T$4:$T$863,$T349)&lt;&gt;COUNTIFS($T$4:$T$863,$T349,$D$4:$D$863,$D349,$F$4:$F$863,$F349,$G$4:$G$863,$G349,$K$4:$K$863,$K349,$M$4:$M$863,$M349),"⚠ INCOHÉRENT","")</f>
        <v/>
      </c>
      <c r="AC349" s="64">
        <f>COUNTIFS($A$4:$A349,$A349,$J$4:$J349,$J349,$E$4:$E349,$E349)</f>
        <v/>
      </c>
      <c r="AD349" s="65">
        <f>$A349&amp;"|"&amp;$J349&amp;"|"&amp;$E349&amp;"|"&amp;$AC349</f>
        <v/>
      </c>
      <c r="AE349" s="66">
        <f>IF($W349&lt;&gt;"","⚑ "&amp;$W349&amp;CHAR(10),"")&amp;TEXT($F349,"hh:mm")&amp;"-"&amp;TEXT($G349,"hh:mm")&amp;IF(OR($P349="Quinzaine A",AND($P349="Hebdo · groupes alternés",$C349="A"))," Q-A",IF(OR($P349="Quinzaine B",AND($P349="Hebdo · groupes alternés",$C349="B"))," Q-B",IF($P349="Exception"," PONCT.","")))&amp;IF($X349="Oui"," OPT","")&amp;CHAR(10)&amp;$K349&amp;CHAR(10)&amp;$M349&amp;IF($N349&lt;&gt;"",CHAR(10)&amp;"Salle "&amp;$N349,"")&amp;IF($O349="En ligne",CHAR(10)&amp;"EN LIGNE","")&amp;IF($V349&lt;&gt;"",CHAR(10)&amp;$V349,"")</f>
        <v/>
      </c>
      <c r="AF349" s="65" t="inlineStr">
        <is>
          <t>19h-21h ALGO (Heni)</t>
        </is>
      </c>
      <c r="AG349" s="65" t="inlineStr">
        <is>
          <t>du 28-09 jusquà le 04-10!L79</t>
        </is>
      </c>
    </row>
    <row r="350" ht="15" customHeight="1">
      <c r="A350" s="58" t="inlineStr">
        <is>
          <t>S3</t>
        </is>
      </c>
      <c r="B350" s="59" t="inlineStr">
        <is>
          <t>du 28 septembre au 4 octobre 2026</t>
        </is>
      </c>
      <c r="C350" s="58" t="inlineStr">
        <is>
          <t>A</t>
        </is>
      </c>
      <c r="D350" s="60" t="n">
        <v>46299</v>
      </c>
      <c r="E350" s="58" t="inlineStr">
        <is>
          <t>Dimanche</t>
        </is>
      </c>
      <c r="F350" s="61" t="n">
        <v>0.4375</v>
      </c>
      <c r="G350" s="61" t="n">
        <v>0.5</v>
      </c>
      <c r="H350" s="62">
        <f>IF(OR($F350="",$G350=""),"",($G350-$F350)*24)</f>
        <v/>
      </c>
      <c r="I350" s="58" t="inlineStr">
        <is>
          <t>Primaire</t>
        </is>
      </c>
      <c r="J350" s="59" t="inlineStr">
        <is>
          <t>4éme</t>
        </is>
      </c>
      <c r="K350" s="87" t="inlineStr">
        <is>
          <t>Anglais</t>
        </is>
      </c>
      <c r="L350" s="87" t="inlineStr">
        <is>
          <t>Anglais</t>
        </is>
      </c>
      <c r="M350" s="59" t="inlineStr">
        <is>
          <t>Samar</t>
        </is>
      </c>
      <c r="N350" s="58" t="n"/>
      <c r="O350" s="58" t="n"/>
      <c r="P350" s="58" t="inlineStr">
        <is>
          <t>Hebdo · groupes alternés</t>
        </is>
      </c>
      <c r="Q350" s="59" t="inlineStr"/>
      <c r="R350" s="58" t="n">
        <v>1</v>
      </c>
      <c r="S350" s="58" t="inlineStr">
        <is>
          <t>Oui</t>
        </is>
      </c>
      <c r="T350" s="58" t="inlineStr">
        <is>
          <t>S3-080</t>
        </is>
      </c>
      <c r="U350" s="59" t="inlineStr">
        <is>
          <t>Original (septembre)</t>
        </is>
      </c>
      <c r="V350" s="59" t="inlineStr"/>
      <c r="W350" s="10" t="n"/>
      <c r="X350" s="10" t="inlineStr"/>
      <c r="Y350" s="64">
        <f>IF($M350="","",IF(SUMPRODUCT(($D$4:$D$863=$D350)*($M$4:$M$863=$M350)*($T$4:$T$863&lt;&gt;$T350)*($F$4:$F$863&lt;$G350)*($G$4:$G$863&gt;$F350))&gt;0,"⚠ CONFLIT",""))</f>
        <v/>
      </c>
      <c r="Z350" s="64">
        <f>IF($J350="","",IF(SUMPRODUCT(($D$4:$D$863=$D350)*($J$4:$J$863=$J350)*($T$4:$T$863&lt;&gt;$T350)*($F$4:$F$863&lt;$G350)*($G$4:$G$863&gt;$F350)*(1-($X$4:$X$863="Oui")*($X350="Oui")))&gt;0,"⚠ CONFLIT",""))</f>
        <v/>
      </c>
      <c r="AA350" s="64">
        <f>IF(COUNTIFS($D$4:$D$863,$D350,$J$4:$J$863,$J350,$F$4:$F$863,$F350,$K$4:$K$863,$K350)&gt;1,"⚠ DOUBLON","")</f>
        <v/>
      </c>
      <c r="AB350" s="64">
        <f>IF(COUNTIF($T$4:$T$863,$T350)&lt;&gt;COUNTIFS($T$4:$T$863,$T350,$D$4:$D$863,$D350,$F$4:$F$863,$F350,$G$4:$G$863,$G350,$K$4:$K$863,$K350,$M$4:$M$863,$M350),"⚠ INCOHÉRENT","")</f>
        <v/>
      </c>
      <c r="AC350" s="64">
        <f>COUNTIFS($A$4:$A350,$A350,$J$4:$J350,$J350,$E$4:$E350,$E350)</f>
        <v/>
      </c>
      <c r="AD350" s="65">
        <f>$A350&amp;"|"&amp;$J350&amp;"|"&amp;$E350&amp;"|"&amp;$AC350</f>
        <v/>
      </c>
      <c r="AE350" s="66">
        <f>IF($W350&lt;&gt;"","⚑ "&amp;$W350&amp;CHAR(10),"")&amp;TEXT($F350,"hh:mm")&amp;"-"&amp;TEXT($G350,"hh:mm")&amp;IF(OR($P350="Quinzaine A",AND($P350="Hebdo · groupes alternés",$C350="A"))," Q-A",IF(OR($P350="Quinzaine B",AND($P350="Hebdo · groupes alternés",$C350="B"))," Q-B",IF($P350="Exception"," PONCT.","")))&amp;IF($X350="Oui"," OPT","")&amp;CHAR(10)&amp;$K350&amp;CHAR(10)&amp;$M350&amp;IF($N350&lt;&gt;"",CHAR(10)&amp;"Salle "&amp;$N350,"")&amp;IF($O350="En ligne",CHAR(10)&amp;"EN LIGNE","")&amp;IF($V350&lt;&gt;"",CHAR(10)&amp;$V350,"")</f>
        <v/>
      </c>
      <c r="AF350" s="65" t="inlineStr">
        <is>
          <t>10h30-12h Anglais /par quinzaine (Samar)</t>
        </is>
      </c>
      <c r="AG350" s="65" t="inlineStr">
        <is>
          <t>du 28-09 jusquà le 04-10!M3</t>
        </is>
      </c>
    </row>
    <row r="351" ht="15" customHeight="1">
      <c r="A351" s="58" t="inlineStr">
        <is>
          <t>S3</t>
        </is>
      </c>
      <c r="B351" s="59" t="inlineStr">
        <is>
          <t>du 28 septembre au 4 octobre 2026</t>
        </is>
      </c>
      <c r="C351" s="58" t="inlineStr">
        <is>
          <t>A</t>
        </is>
      </c>
      <c r="D351" s="60" t="n">
        <v>46299</v>
      </c>
      <c r="E351" s="58" t="inlineStr">
        <is>
          <t>Dimanche</t>
        </is>
      </c>
      <c r="F351" s="61" t="n">
        <v>0.5</v>
      </c>
      <c r="G351" s="61" t="n">
        <v>0.5625</v>
      </c>
      <c r="H351" s="62">
        <f>IF(OR($F351="",$G351=""),"",($G351-$F351)*24)</f>
        <v/>
      </c>
      <c r="I351" s="58" t="inlineStr">
        <is>
          <t>Primaire</t>
        </is>
      </c>
      <c r="J351" s="59" t="inlineStr">
        <is>
          <t>6éme Pilote (A)</t>
        </is>
      </c>
      <c r="K351" s="87" t="inlineStr">
        <is>
          <t>Anglais</t>
        </is>
      </c>
      <c r="L351" s="87" t="inlineStr">
        <is>
          <t>Anglais</t>
        </is>
      </c>
      <c r="M351" s="59" t="inlineStr">
        <is>
          <t>Samar</t>
        </is>
      </c>
      <c r="N351" s="58" t="n"/>
      <c r="O351" s="58" t="n"/>
      <c r="P351" s="58" t="inlineStr">
        <is>
          <t>Quinzaine A</t>
        </is>
      </c>
      <c r="Q351" s="59" t="inlineStr">
        <is>
          <t>6éme Pilote (A) + 6éme (B)</t>
        </is>
      </c>
      <c r="R351" s="58" t="n">
        <v>2</v>
      </c>
      <c r="S351" s="58" t="inlineStr">
        <is>
          <t>Oui</t>
        </is>
      </c>
      <c r="T351" s="58" t="inlineStr">
        <is>
          <t>S3-081</t>
        </is>
      </c>
      <c r="U351" s="59" t="inlineStr">
        <is>
          <t>Original (septembre)</t>
        </is>
      </c>
      <c r="V351" s="59" t="inlineStr"/>
      <c r="W351" s="10" t="n"/>
      <c r="X351" s="10" t="inlineStr"/>
      <c r="Y351" s="64">
        <f>IF($M351="","",IF(SUMPRODUCT(($D$4:$D$863=$D351)*($M$4:$M$863=$M351)*($T$4:$T$863&lt;&gt;$T351)*($F$4:$F$863&lt;$G351)*($G$4:$G$863&gt;$F351))&gt;0,"⚠ CONFLIT",""))</f>
        <v/>
      </c>
      <c r="Z351" s="64">
        <f>IF($J351="","",IF(SUMPRODUCT(($D$4:$D$863=$D351)*($J$4:$J$863=$J351)*($T$4:$T$863&lt;&gt;$T351)*($F$4:$F$863&lt;$G351)*($G$4:$G$863&gt;$F351)*(1-($X$4:$X$863="Oui")*($X351="Oui")))&gt;0,"⚠ CONFLIT",""))</f>
        <v/>
      </c>
      <c r="AA351" s="64">
        <f>IF(COUNTIFS($D$4:$D$863,$D351,$J$4:$J$863,$J351,$F$4:$F$863,$F351,$K$4:$K$863,$K351)&gt;1,"⚠ DOUBLON","")</f>
        <v/>
      </c>
      <c r="AB351" s="64">
        <f>IF(COUNTIF($T$4:$T$863,$T351)&lt;&gt;COUNTIFS($T$4:$T$863,$T351,$D$4:$D$863,$D351,$F$4:$F$863,$F351,$G$4:$G$863,$G351,$K$4:$K$863,$K351,$M$4:$M$863,$M351),"⚠ INCOHÉRENT","")</f>
        <v/>
      </c>
      <c r="AC351" s="64">
        <f>COUNTIFS($A$4:$A351,$A351,$J$4:$J351,$J351,$E$4:$E351,$E351)</f>
        <v/>
      </c>
      <c r="AD351" s="65">
        <f>$A351&amp;"|"&amp;$J351&amp;"|"&amp;$E351&amp;"|"&amp;$AC351</f>
        <v/>
      </c>
      <c r="AE351" s="66">
        <f>IF($W351&lt;&gt;"","⚑ "&amp;$W351&amp;CHAR(10),"")&amp;TEXT($F351,"hh:mm")&amp;"-"&amp;TEXT($G351,"hh:mm")&amp;IF(OR($P351="Quinzaine A",AND($P351="Hebdo · groupes alternés",$C351="A"))," Q-A",IF(OR($P351="Quinzaine B",AND($P351="Hebdo · groupes alternés",$C351="B"))," Q-B",IF($P351="Exception"," PONCT.","")))&amp;IF($X351="Oui"," OPT","")&amp;CHAR(10)&amp;$K351&amp;CHAR(10)&amp;$M351&amp;IF($N351&lt;&gt;"",CHAR(10)&amp;"Salle "&amp;$N351,"")&amp;IF($O351="En ligne",CHAR(10)&amp;"EN LIGNE","")&amp;IF($V351&lt;&gt;"",CHAR(10)&amp;$V351,"")</f>
        <v/>
      </c>
      <c r="AF351" s="65" t="inlineStr">
        <is>
          <t>12h-13h30 Anglais /par quinzaine (Samar)</t>
        </is>
      </c>
      <c r="AG351" s="65" t="inlineStr">
        <is>
          <t>du 28-09 jusquà le 04-10!M12</t>
        </is>
      </c>
    </row>
    <row r="352" ht="15" customHeight="1">
      <c r="A352" s="58" t="inlineStr">
        <is>
          <t>S3</t>
        </is>
      </c>
      <c r="B352" s="59" t="inlineStr">
        <is>
          <t>du 28 septembre au 4 octobre 2026</t>
        </is>
      </c>
      <c r="C352" s="58" t="inlineStr">
        <is>
          <t>A</t>
        </is>
      </c>
      <c r="D352" s="60" t="n">
        <v>46299</v>
      </c>
      <c r="E352" s="58" t="inlineStr">
        <is>
          <t>Dimanche</t>
        </is>
      </c>
      <c r="F352" s="61" t="n">
        <v>0.5</v>
      </c>
      <c r="G352" s="61" t="n">
        <v>0.5625</v>
      </c>
      <c r="H352" s="62">
        <f>IF(OR($F352="",$G352=""),"",($G352-$F352)*24)</f>
        <v/>
      </c>
      <c r="I352" s="58" t="inlineStr">
        <is>
          <t>Primaire</t>
        </is>
      </c>
      <c r="J352" s="59" t="inlineStr">
        <is>
          <t>6éme (B)</t>
        </is>
      </c>
      <c r="K352" s="87" t="inlineStr">
        <is>
          <t>Anglais</t>
        </is>
      </c>
      <c r="L352" s="87" t="inlineStr">
        <is>
          <t>Anglais</t>
        </is>
      </c>
      <c r="M352" s="59" t="inlineStr">
        <is>
          <t>Samar</t>
        </is>
      </c>
      <c r="N352" s="58" t="n"/>
      <c r="O352" s="58" t="n"/>
      <c r="P352" s="58" t="inlineStr">
        <is>
          <t>Quinzaine A</t>
        </is>
      </c>
      <c r="Q352" s="59" t="inlineStr">
        <is>
          <t>6éme Pilote (A) + 6éme (B)</t>
        </is>
      </c>
      <c r="R352" s="58" t="n">
        <v>2</v>
      </c>
      <c r="S352" s="58" t="inlineStr"/>
      <c r="T352" s="58" t="inlineStr">
        <is>
          <t>S3-081</t>
        </is>
      </c>
      <c r="U352" s="59" t="inlineStr">
        <is>
          <t>Original (septembre)</t>
        </is>
      </c>
      <c r="V352" s="59" t="inlineStr"/>
      <c r="W352" s="10" t="n"/>
      <c r="X352" s="10" t="inlineStr"/>
      <c r="Y352" s="64">
        <f>IF($M352="","",IF(SUMPRODUCT(($D$4:$D$863=$D352)*($M$4:$M$863=$M352)*($T$4:$T$863&lt;&gt;$T352)*($F$4:$F$863&lt;$G352)*($G$4:$G$863&gt;$F352))&gt;0,"⚠ CONFLIT",""))</f>
        <v/>
      </c>
      <c r="Z352" s="64">
        <f>IF($J352="","",IF(SUMPRODUCT(($D$4:$D$863=$D352)*($J$4:$J$863=$J352)*($T$4:$T$863&lt;&gt;$T352)*($F$4:$F$863&lt;$G352)*($G$4:$G$863&gt;$F352)*(1-($X$4:$X$863="Oui")*($X352="Oui")))&gt;0,"⚠ CONFLIT",""))</f>
        <v/>
      </c>
      <c r="AA352" s="64">
        <f>IF(COUNTIFS($D$4:$D$863,$D352,$J$4:$J$863,$J352,$F$4:$F$863,$F352,$K$4:$K$863,$K352)&gt;1,"⚠ DOUBLON","")</f>
        <v/>
      </c>
      <c r="AB352" s="64">
        <f>IF(COUNTIF($T$4:$T$863,$T352)&lt;&gt;COUNTIFS($T$4:$T$863,$T352,$D$4:$D$863,$D352,$F$4:$F$863,$F352,$G$4:$G$863,$G352,$K$4:$K$863,$K352,$M$4:$M$863,$M352),"⚠ INCOHÉRENT","")</f>
        <v/>
      </c>
      <c r="AC352" s="64">
        <f>COUNTIFS($A$4:$A352,$A352,$J$4:$J352,$J352,$E$4:$E352,$E352)</f>
        <v/>
      </c>
      <c r="AD352" s="65">
        <f>$A352&amp;"|"&amp;$J352&amp;"|"&amp;$E352&amp;"|"&amp;$AC352</f>
        <v/>
      </c>
      <c r="AE352" s="66">
        <f>IF($W352&lt;&gt;"","⚑ "&amp;$W352&amp;CHAR(10),"")&amp;TEXT($F352,"hh:mm")&amp;"-"&amp;TEXT($G352,"hh:mm")&amp;IF(OR($P352="Quinzaine A",AND($P352="Hebdo · groupes alternés",$C352="A"))," Q-A",IF(OR($P352="Quinzaine B",AND($P352="Hebdo · groupes alternés",$C352="B"))," Q-B",IF($P352="Exception"," PONCT.","")))&amp;IF($X352="Oui"," OPT","")&amp;CHAR(10)&amp;$K352&amp;CHAR(10)&amp;$M352&amp;IF($N352&lt;&gt;"",CHAR(10)&amp;"Salle "&amp;$N352,"")&amp;IF($O352="En ligne",CHAR(10)&amp;"EN LIGNE","")&amp;IF($V352&lt;&gt;"",CHAR(10)&amp;$V352,"")</f>
        <v/>
      </c>
      <c r="AF352" s="65" t="inlineStr">
        <is>
          <t>12h-13h30 Anglais /par quinzaine (Samar)</t>
        </is>
      </c>
      <c r="AG352" s="65" t="inlineStr">
        <is>
          <t>du 28-09 jusquà le 04-10!M12</t>
        </is>
      </c>
    </row>
    <row r="353" ht="15" customHeight="1">
      <c r="A353" s="68" t="inlineStr">
        <is>
          <t>S3</t>
        </is>
      </c>
      <c r="B353" s="69" t="inlineStr">
        <is>
          <t>du 28 septembre au 4 octobre 2026</t>
        </is>
      </c>
      <c r="C353" s="68" t="inlineStr">
        <is>
          <t>A</t>
        </is>
      </c>
      <c r="D353" s="70" t="n">
        <v>46299</v>
      </c>
      <c r="E353" s="68" t="inlineStr">
        <is>
          <t>Dimanche</t>
        </is>
      </c>
      <c r="F353" s="71" t="n">
        <v>0.5833333333333334</v>
      </c>
      <c r="G353" s="71" t="n">
        <v>0.6458333333333334</v>
      </c>
      <c r="H353" s="72">
        <f>IF(OR($F353="",$G353=""),"",($G353-$F353)*24)</f>
        <v/>
      </c>
      <c r="I353" s="68" t="inlineStr">
        <is>
          <t>Collège</t>
        </is>
      </c>
      <c r="J353" s="69" t="inlineStr">
        <is>
          <t>7éme (A)</t>
        </is>
      </c>
      <c r="K353" s="67" t="inlineStr">
        <is>
          <t>Français</t>
        </is>
      </c>
      <c r="L353" s="67" t="inlineStr">
        <is>
          <t>Français</t>
        </is>
      </c>
      <c r="M353" s="69" t="inlineStr">
        <is>
          <t>Marwa</t>
        </is>
      </c>
      <c r="N353" s="68" t="n"/>
      <c r="O353" s="68" t="n"/>
      <c r="P353" s="68" t="inlineStr">
        <is>
          <t>Hebdomadaire</t>
        </is>
      </c>
      <c r="Q353" s="69" t="inlineStr"/>
      <c r="R353" s="68" t="n">
        <v>1</v>
      </c>
      <c r="S353" s="68" t="inlineStr">
        <is>
          <t>Oui</t>
        </is>
      </c>
      <c r="T353" s="68" t="inlineStr">
        <is>
          <t>S3-082</t>
        </is>
      </c>
      <c r="U353" s="69" t="inlineStr">
        <is>
          <t>Original (septembre)</t>
        </is>
      </c>
      <c r="V353" s="69" t="inlineStr"/>
      <c r="W353" s="10" t="n"/>
      <c r="X353" s="10" t="inlineStr"/>
      <c r="Y353" s="64">
        <f>IF($M353="","",IF(SUMPRODUCT(($D$4:$D$863=$D353)*($M$4:$M$863=$M353)*($T$4:$T$863&lt;&gt;$T353)*($F$4:$F$863&lt;$G353)*($G$4:$G$863&gt;$F353))&gt;0,"⚠ CONFLIT",""))</f>
        <v/>
      </c>
      <c r="Z353" s="64">
        <f>IF($J353="","",IF(SUMPRODUCT(($D$4:$D$863=$D353)*($J$4:$J$863=$J353)*($T$4:$T$863&lt;&gt;$T353)*($F$4:$F$863&lt;$G353)*($G$4:$G$863&gt;$F353)*(1-($X$4:$X$863="Oui")*($X353="Oui")))&gt;0,"⚠ CONFLIT",""))</f>
        <v/>
      </c>
      <c r="AA353" s="64">
        <f>IF(COUNTIFS($D$4:$D$863,$D353,$J$4:$J$863,$J353,$F$4:$F$863,$F353,$K$4:$K$863,$K353)&gt;1,"⚠ DOUBLON","")</f>
        <v/>
      </c>
      <c r="AB353" s="64">
        <f>IF(COUNTIF($T$4:$T$863,$T353)&lt;&gt;COUNTIFS($T$4:$T$863,$T353,$D$4:$D$863,$D353,$F$4:$F$863,$F353,$G$4:$G$863,$G353,$K$4:$K$863,$K353,$M$4:$M$863,$M353),"⚠ INCOHÉRENT","")</f>
        <v/>
      </c>
      <c r="AC353" s="64">
        <f>COUNTIFS($A$4:$A353,$A353,$J$4:$J353,$J353,$E$4:$E353,$E353)</f>
        <v/>
      </c>
      <c r="AD353" s="65">
        <f>$A353&amp;"|"&amp;$J353&amp;"|"&amp;$E353&amp;"|"&amp;$AC353</f>
        <v/>
      </c>
      <c r="AE353" s="66">
        <f>IF($W353&lt;&gt;"","⚑ "&amp;$W353&amp;CHAR(10),"")&amp;TEXT($F353,"hh:mm")&amp;"-"&amp;TEXT($G353,"hh:mm")&amp;IF(OR($P353="Quinzaine A",AND($P353="Hebdo · groupes alternés",$C353="A"))," Q-A",IF(OR($P353="Quinzaine B",AND($P353="Hebdo · groupes alternés",$C353="B"))," Q-B",IF($P353="Exception"," PONCT.","")))&amp;IF($X353="Oui"," OPT","")&amp;CHAR(10)&amp;$K353&amp;CHAR(10)&amp;$M353&amp;IF($N353&lt;&gt;"",CHAR(10)&amp;"Salle "&amp;$N353,"")&amp;IF($O353="En ligne",CHAR(10)&amp;"EN LIGNE","")&amp;IF($V353&lt;&gt;"",CHAR(10)&amp;$V353,"")</f>
        <v/>
      </c>
      <c r="AF353" s="65" t="inlineStr">
        <is>
          <t>14h-15h30 Français (Marwa)</t>
        </is>
      </c>
      <c r="AG353" s="65" t="inlineStr">
        <is>
          <t>du 28-09 jusquà le 04-10!M19</t>
        </is>
      </c>
    </row>
    <row r="354" ht="15" customHeight="1">
      <c r="A354" s="68" t="inlineStr">
        <is>
          <t>S3</t>
        </is>
      </c>
      <c r="B354" s="69" t="inlineStr">
        <is>
          <t>du 28 septembre au 4 octobre 2026</t>
        </is>
      </c>
      <c r="C354" s="68" t="inlineStr">
        <is>
          <t>A</t>
        </is>
      </c>
      <c r="D354" s="70" t="n">
        <v>46299</v>
      </c>
      <c r="E354" s="68" t="inlineStr">
        <is>
          <t>Dimanche</t>
        </is>
      </c>
      <c r="F354" s="71" t="n">
        <v>0.6458333333333334</v>
      </c>
      <c r="G354" s="71" t="n">
        <v>0.7083333333333334</v>
      </c>
      <c r="H354" s="72">
        <f>IF(OR($F354="",$G354=""),"",($G354-$F354)*24)</f>
        <v/>
      </c>
      <c r="I354" s="68" t="inlineStr">
        <is>
          <t>Collège</t>
        </is>
      </c>
      <c r="J354" s="69" t="inlineStr">
        <is>
          <t>7éme (B)</t>
        </is>
      </c>
      <c r="K354" s="67" t="inlineStr">
        <is>
          <t>Français</t>
        </is>
      </c>
      <c r="L354" s="67" t="inlineStr">
        <is>
          <t>Français</t>
        </is>
      </c>
      <c r="M354" s="69" t="inlineStr">
        <is>
          <t>Marwa</t>
        </is>
      </c>
      <c r="N354" s="68" t="n"/>
      <c r="O354" s="68" t="n"/>
      <c r="P354" s="68" t="inlineStr">
        <is>
          <t>Hebdomadaire</t>
        </is>
      </c>
      <c r="Q354" s="69" t="inlineStr"/>
      <c r="R354" s="68" t="n">
        <v>1</v>
      </c>
      <c r="S354" s="68" t="inlineStr">
        <is>
          <t>Oui</t>
        </is>
      </c>
      <c r="T354" s="68" t="inlineStr">
        <is>
          <t>S3-083</t>
        </is>
      </c>
      <c r="U354" s="69" t="inlineStr">
        <is>
          <t>Original (septembre)</t>
        </is>
      </c>
      <c r="V354" s="69" t="inlineStr"/>
      <c r="W354" s="10" t="n"/>
      <c r="X354" s="10" t="inlineStr"/>
      <c r="Y354" s="64">
        <f>IF($M354="","",IF(SUMPRODUCT(($D$4:$D$863=$D354)*($M$4:$M$863=$M354)*($T$4:$T$863&lt;&gt;$T354)*($F$4:$F$863&lt;$G354)*($G$4:$G$863&gt;$F354))&gt;0,"⚠ CONFLIT",""))</f>
        <v/>
      </c>
      <c r="Z354" s="64">
        <f>IF($J354="","",IF(SUMPRODUCT(($D$4:$D$863=$D354)*($J$4:$J$863=$J354)*($T$4:$T$863&lt;&gt;$T354)*($F$4:$F$863&lt;$G354)*($G$4:$G$863&gt;$F354)*(1-($X$4:$X$863="Oui")*($X354="Oui")))&gt;0,"⚠ CONFLIT",""))</f>
        <v/>
      </c>
      <c r="AA354" s="64">
        <f>IF(COUNTIFS($D$4:$D$863,$D354,$J$4:$J$863,$J354,$F$4:$F$863,$F354,$K$4:$K$863,$K354)&gt;1,"⚠ DOUBLON","")</f>
        <v/>
      </c>
      <c r="AB354" s="64">
        <f>IF(COUNTIF($T$4:$T$863,$T354)&lt;&gt;COUNTIFS($T$4:$T$863,$T354,$D$4:$D$863,$D354,$F$4:$F$863,$F354,$G$4:$G$863,$G354,$K$4:$K$863,$K354,$M$4:$M$863,$M354),"⚠ INCOHÉRENT","")</f>
        <v/>
      </c>
      <c r="AC354" s="64">
        <f>COUNTIFS($A$4:$A354,$A354,$J$4:$J354,$J354,$E$4:$E354,$E354)</f>
        <v/>
      </c>
      <c r="AD354" s="65">
        <f>$A354&amp;"|"&amp;$J354&amp;"|"&amp;$E354&amp;"|"&amp;$AC354</f>
        <v/>
      </c>
      <c r="AE354" s="66">
        <f>IF($W354&lt;&gt;"","⚑ "&amp;$W354&amp;CHAR(10),"")&amp;TEXT($F354,"hh:mm")&amp;"-"&amp;TEXT($G354,"hh:mm")&amp;IF(OR($P354="Quinzaine A",AND($P354="Hebdo · groupes alternés",$C354="A"))," Q-A",IF(OR($P354="Quinzaine B",AND($P354="Hebdo · groupes alternés",$C354="B"))," Q-B",IF($P354="Exception"," PONCT.","")))&amp;IF($X354="Oui"," OPT","")&amp;CHAR(10)&amp;$K354&amp;CHAR(10)&amp;$M354&amp;IF($N354&lt;&gt;"",CHAR(10)&amp;"Salle "&amp;$N354,"")&amp;IF($O354="En ligne",CHAR(10)&amp;"EN LIGNE","")&amp;IF($V354&lt;&gt;"",CHAR(10)&amp;$V354,"")</f>
        <v/>
      </c>
      <c r="AF354" s="65" t="inlineStr">
        <is>
          <t>15h30-17h Français (Marwa)</t>
        </is>
      </c>
      <c r="AG354" s="65" t="inlineStr">
        <is>
          <t>du 28-09 jusquà le 04-10!M23</t>
        </is>
      </c>
    </row>
    <row r="355" ht="15" customHeight="1">
      <c r="A355" s="68" t="inlineStr">
        <is>
          <t>S3</t>
        </is>
      </c>
      <c r="B355" s="69" t="inlineStr">
        <is>
          <t>du 28 septembre au 4 octobre 2026</t>
        </is>
      </c>
      <c r="C355" s="68" t="inlineStr">
        <is>
          <t>A</t>
        </is>
      </c>
      <c r="D355" s="70" t="n">
        <v>46299</v>
      </c>
      <c r="E355" s="68" t="inlineStr">
        <is>
          <t>Dimanche</t>
        </is>
      </c>
      <c r="F355" s="71" t="n">
        <v>0.5729166666666666</v>
      </c>
      <c r="G355" s="71" t="n">
        <v>0.6354166666666666</v>
      </c>
      <c r="H355" s="72">
        <f>IF(OR($F355="",$G355=""),"",($G355-$F355)*24)</f>
        <v/>
      </c>
      <c r="I355" s="68" t="inlineStr">
        <is>
          <t>Collège</t>
        </is>
      </c>
      <c r="J355" s="69" t="inlineStr">
        <is>
          <t>8éme (A)</t>
        </is>
      </c>
      <c r="K355" s="79" t="inlineStr">
        <is>
          <t>Math</t>
        </is>
      </c>
      <c r="L355" s="79" t="inlineStr">
        <is>
          <t>Math</t>
        </is>
      </c>
      <c r="M355" s="69" t="inlineStr">
        <is>
          <t>Hajer</t>
        </is>
      </c>
      <c r="N355" s="68" t="n"/>
      <c r="O355" s="68" t="n"/>
      <c r="P355" s="68" t="inlineStr">
        <is>
          <t>Hebdomadaire</t>
        </is>
      </c>
      <c r="Q355" s="69" t="inlineStr"/>
      <c r="R355" s="68" t="n">
        <v>1</v>
      </c>
      <c r="S355" s="68" t="inlineStr">
        <is>
          <t>Oui</t>
        </is>
      </c>
      <c r="T355" s="68" t="inlineStr">
        <is>
          <t>S3-084</t>
        </is>
      </c>
      <c r="U355" s="69" t="inlineStr">
        <is>
          <t>Original (septembre)</t>
        </is>
      </c>
      <c r="V355" s="69" t="inlineStr"/>
      <c r="W355" s="10" t="n"/>
      <c r="X355" s="10" t="inlineStr"/>
      <c r="Y355" s="64">
        <f>IF($M355="","",IF(SUMPRODUCT(($D$4:$D$863=$D355)*($M$4:$M$863=$M355)*($T$4:$T$863&lt;&gt;$T355)*($F$4:$F$863&lt;$G355)*($G$4:$G$863&gt;$F355))&gt;0,"⚠ CONFLIT",""))</f>
        <v/>
      </c>
      <c r="Z355" s="64">
        <f>IF($J355="","",IF(SUMPRODUCT(($D$4:$D$863=$D355)*($J$4:$J$863=$J355)*($T$4:$T$863&lt;&gt;$T355)*($F$4:$F$863&lt;$G355)*($G$4:$G$863&gt;$F355)*(1-($X$4:$X$863="Oui")*($X355="Oui")))&gt;0,"⚠ CONFLIT",""))</f>
        <v/>
      </c>
      <c r="AA355" s="64">
        <f>IF(COUNTIFS($D$4:$D$863,$D355,$J$4:$J$863,$J355,$F$4:$F$863,$F355,$K$4:$K$863,$K355)&gt;1,"⚠ DOUBLON","")</f>
        <v/>
      </c>
      <c r="AB355" s="64">
        <f>IF(COUNTIF($T$4:$T$863,$T355)&lt;&gt;COUNTIFS($T$4:$T$863,$T355,$D$4:$D$863,$D355,$F$4:$F$863,$F355,$G$4:$G$863,$G355,$K$4:$K$863,$K355,$M$4:$M$863,$M355),"⚠ INCOHÉRENT","")</f>
        <v/>
      </c>
      <c r="AC355" s="64">
        <f>COUNTIFS($A$4:$A355,$A355,$J$4:$J355,$J355,$E$4:$E355,$E355)</f>
        <v/>
      </c>
      <c r="AD355" s="65">
        <f>$A355&amp;"|"&amp;$J355&amp;"|"&amp;$E355&amp;"|"&amp;$AC355</f>
        <v/>
      </c>
      <c r="AE355" s="66">
        <f>IF($W355&lt;&gt;"","⚑ "&amp;$W355&amp;CHAR(10),"")&amp;TEXT($F355,"hh:mm")&amp;"-"&amp;TEXT($G355,"hh:mm")&amp;IF(OR($P355="Quinzaine A",AND($P355="Hebdo · groupes alternés",$C355="A"))," Q-A",IF(OR($P355="Quinzaine B",AND($P355="Hebdo · groupes alternés",$C355="B"))," Q-B",IF($P355="Exception"," PONCT.","")))&amp;IF($X355="Oui"," OPT","")&amp;CHAR(10)&amp;$K355&amp;CHAR(10)&amp;$M355&amp;IF($N355&lt;&gt;"",CHAR(10)&amp;"Salle "&amp;$N355,"")&amp;IF($O355="En ligne",CHAR(10)&amp;"EN LIGNE","")&amp;IF($V355&lt;&gt;"",CHAR(10)&amp;$V355,"")</f>
        <v/>
      </c>
      <c r="AF355" s="65" t="inlineStr">
        <is>
          <t>13h45-15h15 Math (Hajer)</t>
        </is>
      </c>
      <c r="AG355" s="65" t="inlineStr">
        <is>
          <t>du 28-09 jusquà le 04-10!M27</t>
        </is>
      </c>
    </row>
    <row r="356" ht="15" customHeight="1">
      <c r="A356" s="68" t="inlineStr">
        <is>
          <t>S3</t>
        </is>
      </c>
      <c r="B356" s="69" t="inlineStr">
        <is>
          <t>du 28 septembre au 4 octobre 2026</t>
        </is>
      </c>
      <c r="C356" s="68" t="inlineStr">
        <is>
          <t>A</t>
        </is>
      </c>
      <c r="D356" s="70" t="n">
        <v>46299</v>
      </c>
      <c r="E356" s="68" t="inlineStr">
        <is>
          <t>Dimanche</t>
        </is>
      </c>
      <c r="F356" s="71" t="n">
        <v>0.7083333333333334</v>
      </c>
      <c r="G356" s="71" t="n">
        <v>0.7708333333333334</v>
      </c>
      <c r="H356" s="72">
        <f>IF(OR($F356="",$G356=""),"",($G356-$F356)*24)</f>
        <v/>
      </c>
      <c r="I356" s="68" t="inlineStr">
        <is>
          <t>Collège</t>
        </is>
      </c>
      <c r="J356" s="69" t="inlineStr">
        <is>
          <t>8éme (B)</t>
        </is>
      </c>
      <c r="K356" s="67" t="inlineStr">
        <is>
          <t>Français</t>
        </is>
      </c>
      <c r="L356" s="67" t="inlineStr">
        <is>
          <t>Français</t>
        </is>
      </c>
      <c r="M356" s="69" t="inlineStr">
        <is>
          <t>Marwa</t>
        </is>
      </c>
      <c r="N356" s="68" t="n"/>
      <c r="O356" s="68" t="n"/>
      <c r="P356" s="68" t="inlineStr">
        <is>
          <t>Hebdomadaire</t>
        </is>
      </c>
      <c r="Q356" s="69" t="inlineStr"/>
      <c r="R356" s="68" t="n">
        <v>1</v>
      </c>
      <c r="S356" s="68" t="inlineStr">
        <is>
          <t>Oui</t>
        </is>
      </c>
      <c r="T356" s="68" t="inlineStr">
        <is>
          <t>S3-085</t>
        </is>
      </c>
      <c r="U356" s="69" t="inlineStr">
        <is>
          <t>Original (septembre)</t>
        </is>
      </c>
      <c r="V356" s="69" t="inlineStr"/>
      <c r="W356" s="10" t="n"/>
      <c r="X356" s="10" t="inlineStr"/>
      <c r="Y356" s="64">
        <f>IF($M356="","",IF(SUMPRODUCT(($D$4:$D$863=$D356)*($M$4:$M$863=$M356)*($T$4:$T$863&lt;&gt;$T356)*($F$4:$F$863&lt;$G356)*($G$4:$G$863&gt;$F356))&gt;0,"⚠ CONFLIT",""))</f>
        <v/>
      </c>
      <c r="Z356" s="64">
        <f>IF($J356="","",IF(SUMPRODUCT(($D$4:$D$863=$D356)*($J$4:$J$863=$J356)*($T$4:$T$863&lt;&gt;$T356)*($F$4:$F$863&lt;$G356)*($G$4:$G$863&gt;$F356)*(1-($X$4:$X$863="Oui")*($X356="Oui")))&gt;0,"⚠ CONFLIT",""))</f>
        <v/>
      </c>
      <c r="AA356" s="64">
        <f>IF(COUNTIFS($D$4:$D$863,$D356,$J$4:$J$863,$J356,$F$4:$F$863,$F356,$K$4:$K$863,$K356)&gt;1,"⚠ DOUBLON","")</f>
        <v/>
      </c>
      <c r="AB356" s="64">
        <f>IF(COUNTIF($T$4:$T$863,$T356)&lt;&gt;COUNTIFS($T$4:$T$863,$T356,$D$4:$D$863,$D356,$F$4:$F$863,$F356,$G$4:$G$863,$G356,$K$4:$K$863,$K356,$M$4:$M$863,$M356),"⚠ INCOHÉRENT","")</f>
        <v/>
      </c>
      <c r="AC356" s="64">
        <f>COUNTIFS($A$4:$A356,$A356,$J$4:$J356,$J356,$E$4:$E356,$E356)</f>
        <v/>
      </c>
      <c r="AD356" s="65">
        <f>$A356&amp;"|"&amp;$J356&amp;"|"&amp;$E356&amp;"|"&amp;$AC356</f>
        <v/>
      </c>
      <c r="AE356" s="66">
        <f>IF($W356&lt;&gt;"","⚑ "&amp;$W356&amp;CHAR(10),"")&amp;TEXT($F356,"hh:mm")&amp;"-"&amp;TEXT($G356,"hh:mm")&amp;IF(OR($P356="Quinzaine A",AND($P356="Hebdo · groupes alternés",$C356="A"))," Q-A",IF(OR($P356="Quinzaine B",AND($P356="Hebdo · groupes alternés",$C356="B"))," Q-B",IF($P356="Exception"," PONCT.","")))&amp;IF($X356="Oui"," OPT","")&amp;CHAR(10)&amp;$K356&amp;CHAR(10)&amp;$M356&amp;IF($N356&lt;&gt;"",CHAR(10)&amp;"Salle "&amp;$N356,"")&amp;IF($O356="En ligne",CHAR(10)&amp;"EN LIGNE","")&amp;IF($V356&lt;&gt;"",CHAR(10)&amp;$V356,"")</f>
        <v/>
      </c>
      <c r="AF356" s="65" t="inlineStr">
        <is>
          <t>17h-18h30 Français (Marwa)</t>
        </is>
      </c>
      <c r="AG356" s="65" t="inlineStr">
        <is>
          <t>du 28-09 jusquà le 04-10!M31</t>
        </is>
      </c>
    </row>
    <row r="357" ht="15" customHeight="1">
      <c r="A357" s="68" t="inlineStr">
        <is>
          <t>S3</t>
        </is>
      </c>
      <c r="B357" s="69" t="inlineStr">
        <is>
          <t>du 28 septembre au 4 octobre 2026</t>
        </is>
      </c>
      <c r="C357" s="68" t="inlineStr">
        <is>
          <t>A</t>
        </is>
      </c>
      <c r="D357" s="70" t="n">
        <v>46299</v>
      </c>
      <c r="E357" s="68" t="inlineStr">
        <is>
          <t>Dimanche</t>
        </is>
      </c>
      <c r="F357" s="71" t="n">
        <v>0.4375</v>
      </c>
      <c r="G357" s="71" t="n">
        <v>0.5</v>
      </c>
      <c r="H357" s="72">
        <f>IF(OR($F357="",$G357=""),"",($G357-$F357)*24)</f>
        <v/>
      </c>
      <c r="I357" s="68" t="inlineStr">
        <is>
          <t>Collège</t>
        </is>
      </c>
      <c r="J357" s="69" t="inlineStr">
        <is>
          <t>9éme (A)</t>
        </is>
      </c>
      <c r="K357" s="87" t="inlineStr">
        <is>
          <t>Anglais</t>
        </is>
      </c>
      <c r="L357" s="87" t="inlineStr">
        <is>
          <t>Anglais</t>
        </is>
      </c>
      <c r="M357" s="69" t="inlineStr">
        <is>
          <t>Bassma</t>
        </is>
      </c>
      <c r="N357" s="68" t="n"/>
      <c r="O357" s="68" t="n"/>
      <c r="P357" s="68" t="inlineStr">
        <is>
          <t>Hebdomadaire</t>
        </is>
      </c>
      <c r="Q357" s="69" t="inlineStr"/>
      <c r="R357" s="68" t="n">
        <v>1</v>
      </c>
      <c r="S357" s="68" t="inlineStr">
        <is>
          <t>Oui</t>
        </is>
      </c>
      <c r="T357" s="68" t="inlineStr">
        <is>
          <t>S3-086</t>
        </is>
      </c>
      <c r="U357" s="69" t="inlineStr">
        <is>
          <t>Original (septembre)</t>
        </is>
      </c>
      <c r="V357" s="69" t="inlineStr"/>
      <c r="W357" s="10" t="n"/>
      <c r="X357" s="10" t="inlineStr"/>
      <c r="Y357" s="64">
        <f>IF($M357="","",IF(SUMPRODUCT(($D$4:$D$863=$D357)*($M$4:$M$863=$M357)*($T$4:$T$863&lt;&gt;$T357)*($F$4:$F$863&lt;$G357)*($G$4:$G$863&gt;$F357))&gt;0,"⚠ CONFLIT",""))</f>
        <v/>
      </c>
      <c r="Z357" s="64">
        <f>IF($J357="","",IF(SUMPRODUCT(($D$4:$D$863=$D357)*($J$4:$J$863=$J357)*($T$4:$T$863&lt;&gt;$T357)*($F$4:$F$863&lt;$G357)*($G$4:$G$863&gt;$F357)*(1-($X$4:$X$863="Oui")*($X357="Oui")))&gt;0,"⚠ CONFLIT",""))</f>
        <v/>
      </c>
      <c r="AA357" s="64">
        <f>IF(COUNTIFS($D$4:$D$863,$D357,$J$4:$J$863,$J357,$F$4:$F$863,$F357,$K$4:$K$863,$K357)&gt;1,"⚠ DOUBLON","")</f>
        <v/>
      </c>
      <c r="AB357" s="64">
        <f>IF(COUNTIF($T$4:$T$863,$T357)&lt;&gt;COUNTIFS($T$4:$T$863,$T357,$D$4:$D$863,$D357,$F$4:$F$863,$F357,$G$4:$G$863,$G357,$K$4:$K$863,$K357,$M$4:$M$863,$M357),"⚠ INCOHÉRENT","")</f>
        <v/>
      </c>
      <c r="AC357" s="64">
        <f>COUNTIFS($A$4:$A357,$A357,$J$4:$J357,$J357,$E$4:$E357,$E357)</f>
        <v/>
      </c>
      <c r="AD357" s="65">
        <f>$A357&amp;"|"&amp;$J357&amp;"|"&amp;$E357&amp;"|"&amp;$AC357</f>
        <v/>
      </c>
      <c r="AE357" s="66">
        <f>IF($W357&lt;&gt;"","⚑ "&amp;$W357&amp;CHAR(10),"")&amp;TEXT($F357,"hh:mm")&amp;"-"&amp;TEXT($G357,"hh:mm")&amp;IF(OR($P357="Quinzaine A",AND($P357="Hebdo · groupes alternés",$C357="A"))," Q-A",IF(OR($P357="Quinzaine B",AND($P357="Hebdo · groupes alternés",$C357="B"))," Q-B",IF($P357="Exception"," PONCT.","")))&amp;IF($X357="Oui"," OPT","")&amp;CHAR(10)&amp;$K357&amp;CHAR(10)&amp;$M357&amp;IF($N357&lt;&gt;"",CHAR(10)&amp;"Salle "&amp;$N357,"")&amp;IF($O357="En ligne",CHAR(10)&amp;"EN LIGNE","")&amp;IF($V357&lt;&gt;"",CHAR(10)&amp;$V357,"")</f>
        <v/>
      </c>
      <c r="AF357" s="65" t="inlineStr">
        <is>
          <t>10h30-12h Anglais (Bassma)</t>
        </is>
      </c>
      <c r="AG357" s="65" t="inlineStr">
        <is>
          <t>du 28-09 jusquà le 04-10!M36</t>
        </is>
      </c>
    </row>
    <row r="358" ht="15" customHeight="1">
      <c r="A358" s="68" t="inlineStr">
        <is>
          <t>S3</t>
        </is>
      </c>
      <c r="B358" s="69" t="inlineStr">
        <is>
          <t>du 28 septembre au 4 octobre 2026</t>
        </is>
      </c>
      <c r="C358" s="68" t="inlineStr">
        <is>
          <t>A</t>
        </is>
      </c>
      <c r="D358" s="70" t="n">
        <v>46299</v>
      </c>
      <c r="E358" s="68" t="inlineStr">
        <is>
          <t>Dimanche</t>
        </is>
      </c>
      <c r="F358" s="71" t="n">
        <v>0.6458333333333334</v>
      </c>
      <c r="G358" s="71" t="n">
        <v>0.7083333333333334</v>
      </c>
      <c r="H358" s="72">
        <f>IF(OR($F358="",$G358=""),"",($G358-$F358)*24)</f>
        <v/>
      </c>
      <c r="I358" s="68" t="inlineStr">
        <is>
          <t>Collège</t>
        </is>
      </c>
      <c r="J358" s="69" t="inlineStr">
        <is>
          <t>9éme (A)</t>
        </is>
      </c>
      <c r="K358" s="67" t="inlineStr">
        <is>
          <t>Français</t>
        </is>
      </c>
      <c r="L358" s="67" t="inlineStr">
        <is>
          <t>Français</t>
        </is>
      </c>
      <c r="M358" s="69" t="inlineStr">
        <is>
          <t>Nassima</t>
        </is>
      </c>
      <c r="N358" s="68" t="n"/>
      <c r="O358" s="68" t="n"/>
      <c r="P358" s="68" t="inlineStr">
        <is>
          <t>Hebdomadaire</t>
        </is>
      </c>
      <c r="Q358" s="69" t="inlineStr"/>
      <c r="R358" s="68" t="n">
        <v>1</v>
      </c>
      <c r="S358" s="68" t="inlineStr">
        <is>
          <t>Oui</t>
        </is>
      </c>
      <c r="T358" s="68" t="inlineStr">
        <is>
          <t>S3-087</t>
        </is>
      </c>
      <c r="U358" s="69" t="inlineStr">
        <is>
          <t>Original (septembre)</t>
        </is>
      </c>
      <c r="V358" s="69" t="inlineStr"/>
      <c r="W358" s="10" t="n"/>
      <c r="X358" s="10" t="inlineStr"/>
      <c r="Y358" s="64">
        <f>IF($M358="","",IF(SUMPRODUCT(($D$4:$D$863=$D358)*($M$4:$M$863=$M358)*($T$4:$T$863&lt;&gt;$T358)*($F$4:$F$863&lt;$G358)*($G$4:$G$863&gt;$F358))&gt;0,"⚠ CONFLIT",""))</f>
        <v/>
      </c>
      <c r="Z358" s="64">
        <f>IF($J358="","",IF(SUMPRODUCT(($D$4:$D$863=$D358)*($J$4:$J$863=$J358)*($T$4:$T$863&lt;&gt;$T358)*($F$4:$F$863&lt;$G358)*($G$4:$G$863&gt;$F358)*(1-($X$4:$X$863="Oui")*($X358="Oui")))&gt;0,"⚠ CONFLIT",""))</f>
        <v/>
      </c>
      <c r="AA358" s="64">
        <f>IF(COUNTIFS($D$4:$D$863,$D358,$J$4:$J$863,$J358,$F$4:$F$863,$F358,$K$4:$K$863,$K358)&gt;1,"⚠ DOUBLON","")</f>
        <v/>
      </c>
      <c r="AB358" s="64">
        <f>IF(COUNTIF($T$4:$T$863,$T358)&lt;&gt;COUNTIFS($T$4:$T$863,$T358,$D$4:$D$863,$D358,$F$4:$F$863,$F358,$G$4:$G$863,$G358,$K$4:$K$863,$K358,$M$4:$M$863,$M358),"⚠ INCOHÉRENT","")</f>
        <v/>
      </c>
      <c r="AC358" s="64">
        <f>COUNTIFS($A$4:$A358,$A358,$J$4:$J358,$J358,$E$4:$E358,$E358)</f>
        <v/>
      </c>
      <c r="AD358" s="65">
        <f>$A358&amp;"|"&amp;$J358&amp;"|"&amp;$E358&amp;"|"&amp;$AC358</f>
        <v/>
      </c>
      <c r="AE358" s="66">
        <f>IF($W358&lt;&gt;"","⚑ "&amp;$W358&amp;CHAR(10),"")&amp;TEXT($F358,"hh:mm")&amp;"-"&amp;TEXT($G358,"hh:mm")&amp;IF(OR($P358="Quinzaine A",AND($P358="Hebdo · groupes alternés",$C358="A"))," Q-A",IF(OR($P358="Quinzaine B",AND($P358="Hebdo · groupes alternés",$C358="B"))," Q-B",IF($P358="Exception"," PONCT.","")))&amp;IF($X358="Oui"," OPT","")&amp;CHAR(10)&amp;$K358&amp;CHAR(10)&amp;$M358&amp;IF($N358&lt;&gt;"",CHAR(10)&amp;"Salle "&amp;$N358,"")&amp;IF($O358="En ligne",CHAR(10)&amp;"EN LIGNE","")&amp;IF($V358&lt;&gt;"",CHAR(10)&amp;$V358,"")</f>
        <v/>
      </c>
      <c r="AF358" s="65" t="inlineStr">
        <is>
          <t>15h30-17h Français (Nassima)</t>
        </is>
      </c>
      <c r="AG358" s="65" t="inlineStr">
        <is>
          <t>du 28-09 jusquà le 04-10!M39</t>
        </is>
      </c>
    </row>
    <row r="359" ht="15" customHeight="1">
      <c r="A359" s="68" t="inlineStr">
        <is>
          <t>S3</t>
        </is>
      </c>
      <c r="B359" s="69" t="inlineStr">
        <is>
          <t>du 28 septembre au 4 octobre 2026</t>
        </is>
      </c>
      <c r="C359" s="68" t="inlineStr">
        <is>
          <t>A</t>
        </is>
      </c>
      <c r="D359" s="70" t="n">
        <v>46299</v>
      </c>
      <c r="E359" s="68" t="inlineStr">
        <is>
          <t>Dimanche</t>
        </is>
      </c>
      <c r="F359" s="71" t="n">
        <v>0.375</v>
      </c>
      <c r="G359" s="71" t="n">
        <v>0.4375</v>
      </c>
      <c r="H359" s="72">
        <f>IF(OR($F359="",$G359=""),"",($G359-$F359)*24)</f>
        <v/>
      </c>
      <c r="I359" s="68" t="inlineStr">
        <is>
          <t>Collège</t>
        </is>
      </c>
      <c r="J359" s="69" t="inlineStr">
        <is>
          <t>9éme (B)</t>
        </is>
      </c>
      <c r="K359" s="87" t="inlineStr">
        <is>
          <t>Anglais</t>
        </is>
      </c>
      <c r="L359" s="87" t="inlineStr">
        <is>
          <t>Anglais</t>
        </is>
      </c>
      <c r="M359" s="69" t="inlineStr">
        <is>
          <t>Bassma</t>
        </is>
      </c>
      <c r="N359" s="68" t="n"/>
      <c r="O359" s="68" t="n"/>
      <c r="P359" s="68" t="inlineStr">
        <is>
          <t>Hebdomadaire</t>
        </is>
      </c>
      <c r="Q359" s="69" t="inlineStr"/>
      <c r="R359" s="68" t="n">
        <v>1</v>
      </c>
      <c r="S359" s="68" t="inlineStr">
        <is>
          <t>Oui</t>
        </is>
      </c>
      <c r="T359" s="68" t="inlineStr">
        <is>
          <t>S3-088</t>
        </is>
      </c>
      <c r="U359" s="69" t="inlineStr">
        <is>
          <t>Original (septembre)</t>
        </is>
      </c>
      <c r="V359" s="69" t="inlineStr"/>
      <c r="W359" s="10" t="n"/>
      <c r="X359" s="10" t="inlineStr"/>
      <c r="Y359" s="64">
        <f>IF($M359="","",IF(SUMPRODUCT(($D$4:$D$863=$D359)*($M$4:$M$863=$M359)*($T$4:$T$863&lt;&gt;$T359)*($F$4:$F$863&lt;$G359)*($G$4:$G$863&gt;$F359))&gt;0,"⚠ CONFLIT",""))</f>
        <v/>
      </c>
      <c r="Z359" s="64">
        <f>IF($J359="","",IF(SUMPRODUCT(($D$4:$D$863=$D359)*($J$4:$J$863=$J359)*($T$4:$T$863&lt;&gt;$T359)*($F$4:$F$863&lt;$G359)*($G$4:$G$863&gt;$F359)*(1-($X$4:$X$863="Oui")*($X359="Oui")))&gt;0,"⚠ CONFLIT",""))</f>
        <v/>
      </c>
      <c r="AA359" s="64">
        <f>IF(COUNTIFS($D$4:$D$863,$D359,$J$4:$J$863,$J359,$F$4:$F$863,$F359,$K$4:$K$863,$K359)&gt;1,"⚠ DOUBLON","")</f>
        <v/>
      </c>
      <c r="AB359" s="64">
        <f>IF(COUNTIF($T$4:$T$863,$T359)&lt;&gt;COUNTIFS($T$4:$T$863,$T359,$D$4:$D$863,$D359,$F$4:$F$863,$F359,$G$4:$G$863,$G359,$K$4:$K$863,$K359,$M$4:$M$863,$M359),"⚠ INCOHÉRENT","")</f>
        <v/>
      </c>
      <c r="AC359" s="64">
        <f>COUNTIFS($A$4:$A359,$A359,$J$4:$J359,$J359,$E$4:$E359,$E359)</f>
        <v/>
      </c>
      <c r="AD359" s="65">
        <f>$A359&amp;"|"&amp;$J359&amp;"|"&amp;$E359&amp;"|"&amp;$AC359</f>
        <v/>
      </c>
      <c r="AE359" s="66">
        <f>IF($W359&lt;&gt;"","⚑ "&amp;$W359&amp;CHAR(10),"")&amp;TEXT($F359,"hh:mm")&amp;"-"&amp;TEXT($G359,"hh:mm")&amp;IF(OR($P359="Quinzaine A",AND($P359="Hebdo · groupes alternés",$C359="A"))," Q-A",IF(OR($P359="Quinzaine B",AND($P359="Hebdo · groupes alternés",$C359="B"))," Q-B",IF($P359="Exception"," PONCT.","")))&amp;IF($X359="Oui"," OPT","")&amp;CHAR(10)&amp;$K359&amp;CHAR(10)&amp;$M359&amp;IF($N359&lt;&gt;"",CHAR(10)&amp;"Salle "&amp;$N359,"")&amp;IF($O359="En ligne",CHAR(10)&amp;"EN LIGNE","")&amp;IF($V359&lt;&gt;"",CHAR(10)&amp;$V359,"")</f>
        <v/>
      </c>
      <c r="AF359" s="65" t="inlineStr">
        <is>
          <t>9h-10h30 Anglais (Bassma)</t>
        </is>
      </c>
      <c r="AG359" s="65" t="inlineStr">
        <is>
          <t>du 28-09 jusquà le 04-10!M43</t>
        </is>
      </c>
    </row>
    <row r="360" ht="15" customHeight="1">
      <c r="A360" s="68" t="inlineStr">
        <is>
          <t>S3</t>
        </is>
      </c>
      <c r="B360" s="69" t="inlineStr">
        <is>
          <t>du 28 septembre au 4 octobre 2026</t>
        </is>
      </c>
      <c r="C360" s="68" t="inlineStr">
        <is>
          <t>A</t>
        </is>
      </c>
      <c r="D360" s="70" t="n">
        <v>46299</v>
      </c>
      <c r="E360" s="68" t="inlineStr">
        <is>
          <t>Dimanche</t>
        </is>
      </c>
      <c r="F360" s="71" t="n">
        <v>0.7083333333333334</v>
      </c>
      <c r="G360" s="71" t="n">
        <v>0.7708333333333334</v>
      </c>
      <c r="H360" s="72">
        <f>IF(OR($F360="",$G360=""),"",($G360-$F360)*24)</f>
        <v/>
      </c>
      <c r="I360" s="68" t="inlineStr">
        <is>
          <t>Collège</t>
        </is>
      </c>
      <c r="J360" s="69" t="inlineStr">
        <is>
          <t>9éme (B)</t>
        </is>
      </c>
      <c r="K360" s="67" t="inlineStr">
        <is>
          <t>Français</t>
        </is>
      </c>
      <c r="L360" s="67" t="inlineStr">
        <is>
          <t>Français</t>
        </is>
      </c>
      <c r="M360" s="69" t="inlineStr">
        <is>
          <t>Nassima</t>
        </is>
      </c>
      <c r="N360" s="68" t="n"/>
      <c r="O360" s="68" t="n"/>
      <c r="P360" s="68" t="inlineStr">
        <is>
          <t>Hebdomadaire</t>
        </is>
      </c>
      <c r="Q360" s="69" t="inlineStr">
        <is>
          <t>9éme (B) + 9éme (C)</t>
        </is>
      </c>
      <c r="R360" s="68" t="n">
        <v>2</v>
      </c>
      <c r="S360" s="68" t="inlineStr">
        <is>
          <t>Oui</t>
        </is>
      </c>
      <c r="T360" s="68" t="inlineStr">
        <is>
          <t>S3-089</t>
        </is>
      </c>
      <c r="U360" s="69" t="inlineStr">
        <is>
          <t>Original (septembre)</t>
        </is>
      </c>
      <c r="V360" s="69" t="inlineStr"/>
      <c r="W360" s="10" t="n"/>
      <c r="X360" s="10" t="inlineStr"/>
      <c r="Y360" s="64">
        <f>IF($M360="","",IF(SUMPRODUCT(($D$4:$D$863=$D360)*($M$4:$M$863=$M360)*($T$4:$T$863&lt;&gt;$T360)*($F$4:$F$863&lt;$G360)*($G$4:$G$863&gt;$F360))&gt;0,"⚠ CONFLIT",""))</f>
        <v/>
      </c>
      <c r="Z360" s="64">
        <f>IF($J360="","",IF(SUMPRODUCT(($D$4:$D$863=$D360)*($J$4:$J$863=$J360)*($T$4:$T$863&lt;&gt;$T360)*($F$4:$F$863&lt;$G360)*($G$4:$G$863&gt;$F360)*(1-($X$4:$X$863="Oui")*($X360="Oui")))&gt;0,"⚠ CONFLIT",""))</f>
        <v/>
      </c>
      <c r="AA360" s="64">
        <f>IF(COUNTIFS($D$4:$D$863,$D360,$J$4:$J$863,$J360,$F$4:$F$863,$F360,$K$4:$K$863,$K360)&gt;1,"⚠ DOUBLON","")</f>
        <v/>
      </c>
      <c r="AB360" s="64">
        <f>IF(COUNTIF($T$4:$T$863,$T360)&lt;&gt;COUNTIFS($T$4:$T$863,$T360,$D$4:$D$863,$D360,$F$4:$F$863,$F360,$G$4:$G$863,$G360,$K$4:$K$863,$K360,$M$4:$M$863,$M360),"⚠ INCOHÉRENT","")</f>
        <v/>
      </c>
      <c r="AC360" s="64">
        <f>COUNTIFS($A$4:$A360,$A360,$J$4:$J360,$J360,$E$4:$E360,$E360)</f>
        <v/>
      </c>
      <c r="AD360" s="65">
        <f>$A360&amp;"|"&amp;$J360&amp;"|"&amp;$E360&amp;"|"&amp;$AC360</f>
        <v/>
      </c>
      <c r="AE360" s="66">
        <f>IF($W360&lt;&gt;"","⚑ "&amp;$W360&amp;CHAR(10),"")&amp;TEXT($F360,"hh:mm")&amp;"-"&amp;TEXT($G360,"hh:mm")&amp;IF(OR($P360="Quinzaine A",AND($P360="Hebdo · groupes alternés",$C360="A"))," Q-A",IF(OR($P360="Quinzaine B",AND($P360="Hebdo · groupes alternés",$C360="B"))," Q-B",IF($P360="Exception"," PONCT.","")))&amp;IF($X360="Oui"," OPT","")&amp;CHAR(10)&amp;$K360&amp;CHAR(10)&amp;$M360&amp;IF($N360&lt;&gt;"",CHAR(10)&amp;"Salle "&amp;$N360,"")&amp;IF($O360="En ligne",CHAR(10)&amp;"EN LIGNE","")&amp;IF($V360&lt;&gt;"",CHAR(10)&amp;$V360,"")</f>
        <v/>
      </c>
      <c r="AF360" s="65" t="inlineStr">
        <is>
          <t>17h-18h30 Français (Nassima)</t>
        </is>
      </c>
      <c r="AG360" s="65" t="inlineStr">
        <is>
          <t>du 28-09 jusquà le 04-10!M45</t>
        </is>
      </c>
    </row>
    <row r="361" ht="15" customHeight="1">
      <c r="A361" s="68" t="inlineStr">
        <is>
          <t>S3</t>
        </is>
      </c>
      <c r="B361" s="69" t="inlineStr">
        <is>
          <t>du 28 septembre au 4 octobre 2026</t>
        </is>
      </c>
      <c r="C361" s="68" t="inlineStr">
        <is>
          <t>A</t>
        </is>
      </c>
      <c r="D361" s="70" t="n">
        <v>46299</v>
      </c>
      <c r="E361" s="68" t="inlineStr">
        <is>
          <t>Dimanche</t>
        </is>
      </c>
      <c r="F361" s="71" t="n">
        <v>0.7083333333333334</v>
      </c>
      <c r="G361" s="71" t="n">
        <v>0.7708333333333334</v>
      </c>
      <c r="H361" s="72">
        <f>IF(OR($F361="",$G361=""),"",($G361-$F361)*24)</f>
        <v/>
      </c>
      <c r="I361" s="68" t="inlineStr">
        <is>
          <t>Collège</t>
        </is>
      </c>
      <c r="J361" s="69" t="inlineStr">
        <is>
          <t>9éme (C)</t>
        </is>
      </c>
      <c r="K361" s="67" t="inlineStr">
        <is>
          <t>Français</t>
        </is>
      </c>
      <c r="L361" s="67" t="inlineStr">
        <is>
          <t>Français</t>
        </is>
      </c>
      <c r="M361" s="69" t="inlineStr">
        <is>
          <t>Nassima</t>
        </is>
      </c>
      <c r="N361" s="68" t="n"/>
      <c r="O361" s="68" t="n"/>
      <c r="P361" s="68" t="inlineStr">
        <is>
          <t>Hebdomadaire</t>
        </is>
      </c>
      <c r="Q361" s="69" t="inlineStr">
        <is>
          <t>9éme (B) + 9éme (C)</t>
        </is>
      </c>
      <c r="R361" s="68" t="n">
        <v>2</v>
      </c>
      <c r="S361" s="68" t="inlineStr"/>
      <c r="T361" s="68" t="inlineStr">
        <is>
          <t>S3-089</t>
        </is>
      </c>
      <c r="U361" s="69" t="inlineStr">
        <is>
          <t>Original (septembre)</t>
        </is>
      </c>
      <c r="V361" s="69" t="inlineStr"/>
      <c r="W361" s="10" t="n"/>
      <c r="X361" s="10" t="inlineStr"/>
      <c r="Y361" s="64">
        <f>IF($M361="","",IF(SUMPRODUCT(($D$4:$D$863=$D361)*($M$4:$M$863=$M361)*($T$4:$T$863&lt;&gt;$T361)*($F$4:$F$863&lt;$G361)*($G$4:$G$863&gt;$F361))&gt;0,"⚠ CONFLIT",""))</f>
        <v/>
      </c>
      <c r="Z361" s="64">
        <f>IF($J361="","",IF(SUMPRODUCT(($D$4:$D$863=$D361)*($J$4:$J$863=$J361)*($T$4:$T$863&lt;&gt;$T361)*($F$4:$F$863&lt;$G361)*($G$4:$G$863&gt;$F361)*(1-($X$4:$X$863="Oui")*($X361="Oui")))&gt;0,"⚠ CONFLIT",""))</f>
        <v/>
      </c>
      <c r="AA361" s="64">
        <f>IF(COUNTIFS($D$4:$D$863,$D361,$J$4:$J$863,$J361,$F$4:$F$863,$F361,$K$4:$K$863,$K361)&gt;1,"⚠ DOUBLON","")</f>
        <v/>
      </c>
      <c r="AB361" s="64">
        <f>IF(COUNTIF($T$4:$T$863,$T361)&lt;&gt;COUNTIFS($T$4:$T$863,$T361,$D$4:$D$863,$D361,$F$4:$F$863,$F361,$G$4:$G$863,$G361,$K$4:$K$863,$K361,$M$4:$M$863,$M361),"⚠ INCOHÉRENT","")</f>
        <v/>
      </c>
      <c r="AC361" s="64">
        <f>COUNTIFS($A$4:$A361,$A361,$J$4:$J361,$J361,$E$4:$E361,$E361)</f>
        <v/>
      </c>
      <c r="AD361" s="65">
        <f>$A361&amp;"|"&amp;$J361&amp;"|"&amp;$E361&amp;"|"&amp;$AC361</f>
        <v/>
      </c>
      <c r="AE361" s="66">
        <f>IF($W361&lt;&gt;"","⚑ "&amp;$W361&amp;CHAR(10),"")&amp;TEXT($F361,"hh:mm")&amp;"-"&amp;TEXT($G361,"hh:mm")&amp;IF(OR($P361="Quinzaine A",AND($P361="Hebdo · groupes alternés",$C361="A"))," Q-A",IF(OR($P361="Quinzaine B",AND($P361="Hebdo · groupes alternés",$C361="B"))," Q-B",IF($P361="Exception"," PONCT.","")))&amp;IF($X361="Oui"," OPT","")&amp;CHAR(10)&amp;$K361&amp;CHAR(10)&amp;$M361&amp;IF($N361&lt;&gt;"",CHAR(10)&amp;"Salle "&amp;$N361,"")&amp;IF($O361="En ligne",CHAR(10)&amp;"EN LIGNE","")&amp;IF($V361&lt;&gt;"",CHAR(10)&amp;$V361,"")</f>
        <v/>
      </c>
      <c r="AF361" s="65" t="inlineStr">
        <is>
          <t>17h-18h30 Français (Nassima)</t>
        </is>
      </c>
      <c r="AG361" s="65" t="inlineStr">
        <is>
          <t>du 28-09 jusquà le 04-10!M45</t>
        </is>
      </c>
    </row>
    <row r="362" ht="15" customHeight="1">
      <c r="A362" s="74" t="inlineStr">
        <is>
          <t>S3</t>
        </is>
      </c>
      <c r="B362" s="75" t="inlineStr">
        <is>
          <t>du 28 septembre au 4 octobre 2026</t>
        </is>
      </c>
      <c r="C362" s="74" t="inlineStr">
        <is>
          <t>A</t>
        </is>
      </c>
      <c r="D362" s="76" t="n">
        <v>46299</v>
      </c>
      <c r="E362" s="74" t="inlineStr">
        <is>
          <t>Dimanche</t>
        </is>
      </c>
      <c r="F362" s="77" t="n">
        <v>0.375</v>
      </c>
      <c r="G362" s="77" t="n">
        <v>0.4375</v>
      </c>
      <c r="H362" s="78">
        <f>IF(OR($F362="",$G362=""),"",($G362-$F362)*24)</f>
        <v/>
      </c>
      <c r="I362" s="74" t="inlineStr">
        <is>
          <t>Secondaire</t>
        </is>
      </c>
      <c r="J362" s="75" t="inlineStr">
        <is>
          <t>1ére (A)</t>
        </is>
      </c>
      <c r="K362" s="73" t="inlineStr">
        <is>
          <t>Physique</t>
        </is>
      </c>
      <c r="L362" s="73" t="inlineStr">
        <is>
          <t>Physique</t>
        </is>
      </c>
      <c r="M362" s="75" t="inlineStr">
        <is>
          <t>Refka</t>
        </is>
      </c>
      <c r="N362" s="74" t="n"/>
      <c r="O362" s="74" t="n"/>
      <c r="P362" s="74" t="inlineStr">
        <is>
          <t>Hebdomadaire</t>
        </is>
      </c>
      <c r="Q362" s="75" t="inlineStr"/>
      <c r="R362" s="74" t="n">
        <v>1</v>
      </c>
      <c r="S362" s="74" t="inlineStr">
        <is>
          <t>Oui</t>
        </is>
      </c>
      <c r="T362" s="74" t="inlineStr">
        <is>
          <t>S3-090</t>
        </is>
      </c>
      <c r="U362" s="75" t="inlineStr">
        <is>
          <t>Original (septembre)</t>
        </is>
      </c>
      <c r="V362" s="75" t="inlineStr"/>
      <c r="W362" s="10" t="n"/>
      <c r="X362" s="10" t="inlineStr"/>
      <c r="Y362" s="64">
        <f>IF($M362="","",IF(SUMPRODUCT(($D$4:$D$863=$D362)*($M$4:$M$863=$M362)*($T$4:$T$863&lt;&gt;$T362)*($F$4:$F$863&lt;$G362)*($G$4:$G$863&gt;$F362))&gt;0,"⚠ CONFLIT",""))</f>
        <v/>
      </c>
      <c r="Z362" s="64">
        <f>IF($J362="","",IF(SUMPRODUCT(($D$4:$D$863=$D362)*($J$4:$J$863=$J362)*($T$4:$T$863&lt;&gt;$T362)*($F$4:$F$863&lt;$G362)*($G$4:$G$863&gt;$F362)*(1-($X$4:$X$863="Oui")*($X362="Oui")))&gt;0,"⚠ CONFLIT",""))</f>
        <v/>
      </c>
      <c r="AA362" s="64">
        <f>IF(COUNTIFS($D$4:$D$863,$D362,$J$4:$J$863,$J362,$F$4:$F$863,$F362,$K$4:$K$863,$K362)&gt;1,"⚠ DOUBLON","")</f>
        <v/>
      </c>
      <c r="AB362" s="64">
        <f>IF(COUNTIF($T$4:$T$863,$T362)&lt;&gt;COUNTIFS($T$4:$T$863,$T362,$D$4:$D$863,$D362,$F$4:$F$863,$F362,$G$4:$G$863,$G362,$K$4:$K$863,$K362,$M$4:$M$863,$M362),"⚠ INCOHÉRENT","")</f>
        <v/>
      </c>
      <c r="AC362" s="64">
        <f>COUNTIFS($A$4:$A362,$A362,$J$4:$J362,$J362,$E$4:$E362,$E362)</f>
        <v/>
      </c>
      <c r="AD362" s="65">
        <f>$A362&amp;"|"&amp;$J362&amp;"|"&amp;$E362&amp;"|"&amp;$AC362</f>
        <v/>
      </c>
      <c r="AE362" s="66">
        <f>IF($W362&lt;&gt;"","⚑ "&amp;$W362&amp;CHAR(10),"")&amp;TEXT($F362,"hh:mm")&amp;"-"&amp;TEXT($G362,"hh:mm")&amp;IF(OR($P362="Quinzaine A",AND($P362="Hebdo · groupes alternés",$C362="A"))," Q-A",IF(OR($P362="Quinzaine B",AND($P362="Hebdo · groupes alternés",$C362="B"))," Q-B",IF($P362="Exception"," PONCT.","")))&amp;IF($X362="Oui"," OPT","")&amp;CHAR(10)&amp;$K362&amp;CHAR(10)&amp;$M362&amp;IF($N362&lt;&gt;"",CHAR(10)&amp;"Salle "&amp;$N362,"")&amp;IF($O362="En ligne",CHAR(10)&amp;"EN LIGNE","")&amp;IF($V362&lt;&gt;"",CHAR(10)&amp;$V362,"")</f>
        <v/>
      </c>
      <c r="AF362" s="65" t="inlineStr">
        <is>
          <t>9h-10h30 Physique (Refka)</t>
        </is>
      </c>
      <c r="AG362" s="65" t="inlineStr">
        <is>
          <t>du 28-09 jusquà le 04-10!M48</t>
        </is>
      </c>
    </row>
    <row r="363" ht="15" customHeight="1">
      <c r="A363" s="74" t="inlineStr">
        <is>
          <t>S3</t>
        </is>
      </c>
      <c r="B363" s="75" t="inlineStr">
        <is>
          <t>du 28 septembre au 4 octobre 2026</t>
        </is>
      </c>
      <c r="C363" s="74" t="inlineStr">
        <is>
          <t>A</t>
        </is>
      </c>
      <c r="D363" s="76" t="n">
        <v>46299</v>
      </c>
      <c r="E363" s="74" t="inlineStr">
        <is>
          <t>Dimanche</t>
        </is>
      </c>
      <c r="F363" s="77" t="n">
        <v>0.5416666666666666</v>
      </c>
      <c r="G363" s="77" t="n">
        <v>0.6041666666666666</v>
      </c>
      <c r="H363" s="78">
        <f>IF(OR($F363="",$G363=""),"",($G363-$F363)*24)</f>
        <v/>
      </c>
      <c r="I363" s="74" t="inlineStr">
        <is>
          <t>Secondaire</t>
        </is>
      </c>
      <c r="J363" s="75" t="inlineStr">
        <is>
          <t>1ére (A)</t>
        </is>
      </c>
      <c r="K363" s="88" t="inlineStr">
        <is>
          <t>SVT</t>
        </is>
      </c>
      <c r="L363" s="88" t="inlineStr">
        <is>
          <t>SVT</t>
        </is>
      </c>
      <c r="M363" s="75" t="inlineStr">
        <is>
          <t>Imen Ghoumeme</t>
        </is>
      </c>
      <c r="N363" s="74" t="n"/>
      <c r="O363" s="74" t="n"/>
      <c r="P363" s="74" t="inlineStr">
        <is>
          <t>Quinzaine A</t>
        </is>
      </c>
      <c r="Q363" s="75" t="inlineStr"/>
      <c r="R363" s="74" t="n">
        <v>1</v>
      </c>
      <c r="S363" s="74" t="inlineStr">
        <is>
          <t>Oui</t>
        </is>
      </c>
      <c r="T363" s="74" t="inlineStr">
        <is>
          <t>S3-091</t>
        </is>
      </c>
      <c r="U363" s="75" t="inlineStr">
        <is>
          <t>Original (septembre)</t>
        </is>
      </c>
      <c r="V363" s="75" t="inlineStr"/>
      <c r="W363" s="10" t="n"/>
      <c r="X363" s="10" t="inlineStr"/>
      <c r="Y363" s="64">
        <f>IF($M363="","",IF(SUMPRODUCT(($D$4:$D$863=$D363)*($M$4:$M$863=$M363)*($T$4:$T$863&lt;&gt;$T363)*($F$4:$F$863&lt;$G363)*($G$4:$G$863&gt;$F363))&gt;0,"⚠ CONFLIT",""))</f>
        <v/>
      </c>
      <c r="Z363" s="64">
        <f>IF($J363="","",IF(SUMPRODUCT(($D$4:$D$863=$D363)*($J$4:$J$863=$J363)*($T$4:$T$863&lt;&gt;$T363)*($F$4:$F$863&lt;$G363)*($G$4:$G$863&gt;$F363)*(1-($X$4:$X$863="Oui")*($X363="Oui")))&gt;0,"⚠ CONFLIT",""))</f>
        <v/>
      </c>
      <c r="AA363" s="64">
        <f>IF(COUNTIFS($D$4:$D$863,$D363,$J$4:$J$863,$J363,$F$4:$F$863,$F363,$K$4:$K$863,$K363)&gt;1,"⚠ DOUBLON","")</f>
        <v/>
      </c>
      <c r="AB363" s="64">
        <f>IF(COUNTIF($T$4:$T$863,$T363)&lt;&gt;COUNTIFS($T$4:$T$863,$T363,$D$4:$D$863,$D363,$F$4:$F$863,$F363,$G$4:$G$863,$G363,$K$4:$K$863,$K363,$M$4:$M$863,$M363),"⚠ INCOHÉRENT","")</f>
        <v/>
      </c>
      <c r="AC363" s="64">
        <f>COUNTIFS($A$4:$A363,$A363,$J$4:$J363,$J363,$E$4:$E363,$E363)</f>
        <v/>
      </c>
      <c r="AD363" s="65">
        <f>$A363&amp;"|"&amp;$J363&amp;"|"&amp;$E363&amp;"|"&amp;$AC363</f>
        <v/>
      </c>
      <c r="AE363" s="66">
        <f>IF($W363&lt;&gt;"","⚑ "&amp;$W363&amp;CHAR(10),"")&amp;TEXT($F363,"hh:mm")&amp;"-"&amp;TEXT($G363,"hh:mm")&amp;IF(OR($P363="Quinzaine A",AND($P363="Hebdo · groupes alternés",$C363="A"))," Q-A",IF(OR($P363="Quinzaine B",AND($P363="Hebdo · groupes alternés",$C363="B"))," Q-B",IF($P363="Exception"," PONCT.","")))&amp;IF($X363="Oui"," OPT","")&amp;CHAR(10)&amp;$K363&amp;CHAR(10)&amp;$M363&amp;IF($N363&lt;&gt;"",CHAR(10)&amp;"Salle "&amp;$N363,"")&amp;IF($O363="En ligne",CHAR(10)&amp;"EN LIGNE","")&amp;IF($V363&lt;&gt;"",CHAR(10)&amp;$V363,"")</f>
        <v/>
      </c>
      <c r="AF363" s="65" t="inlineStr">
        <is>
          <t>13h-14h30 SVT (Imen Ghoumeme) /par quinzaine</t>
        </is>
      </c>
      <c r="AG363" s="65" t="inlineStr">
        <is>
          <t>du 28-09 jusquà le 04-10!M50</t>
        </is>
      </c>
    </row>
    <row r="364" ht="15" customHeight="1">
      <c r="A364" s="74" t="inlineStr">
        <is>
          <t>S3</t>
        </is>
      </c>
      <c r="B364" s="75" t="inlineStr">
        <is>
          <t>du 28 septembre au 4 octobre 2026</t>
        </is>
      </c>
      <c r="C364" s="74" t="inlineStr">
        <is>
          <t>A</t>
        </is>
      </c>
      <c r="D364" s="76" t="n">
        <v>46299</v>
      </c>
      <c r="E364" s="74" t="inlineStr">
        <is>
          <t>Dimanche</t>
        </is>
      </c>
      <c r="F364" s="77" t="n">
        <v>0.4375</v>
      </c>
      <c r="G364" s="77" t="n">
        <v>0.5</v>
      </c>
      <c r="H364" s="78">
        <f>IF(OR($F364="",$G364=""),"",($G364-$F364)*24)</f>
        <v/>
      </c>
      <c r="I364" s="74" t="inlineStr">
        <is>
          <t>Secondaire</t>
        </is>
      </c>
      <c r="J364" s="75" t="inlineStr">
        <is>
          <t>1ére (B)</t>
        </is>
      </c>
      <c r="K364" s="73" t="inlineStr">
        <is>
          <t>Physique</t>
        </is>
      </c>
      <c r="L364" s="73" t="inlineStr">
        <is>
          <t>Physique</t>
        </is>
      </c>
      <c r="M364" s="75" t="inlineStr">
        <is>
          <t>Refka</t>
        </is>
      </c>
      <c r="N364" s="74" t="n"/>
      <c r="O364" s="74" t="n"/>
      <c r="P364" s="74" t="inlineStr">
        <is>
          <t>Hebdomadaire</t>
        </is>
      </c>
      <c r="Q364" s="75" t="inlineStr"/>
      <c r="R364" s="74" t="n">
        <v>1</v>
      </c>
      <c r="S364" s="74" t="inlineStr">
        <is>
          <t>Oui</t>
        </is>
      </c>
      <c r="T364" s="74" t="inlineStr">
        <is>
          <t>S3-092</t>
        </is>
      </c>
      <c r="U364" s="75" t="inlineStr">
        <is>
          <t>Original (septembre)</t>
        </is>
      </c>
      <c r="V364" s="75" t="inlineStr"/>
      <c r="W364" s="10" t="n"/>
      <c r="X364" s="10" t="inlineStr"/>
      <c r="Y364" s="64">
        <f>IF($M364="","",IF(SUMPRODUCT(($D$4:$D$863=$D364)*($M$4:$M$863=$M364)*($T$4:$T$863&lt;&gt;$T364)*($F$4:$F$863&lt;$G364)*($G$4:$G$863&gt;$F364))&gt;0,"⚠ CONFLIT",""))</f>
        <v/>
      </c>
      <c r="Z364" s="64">
        <f>IF($J364="","",IF(SUMPRODUCT(($D$4:$D$863=$D364)*($J$4:$J$863=$J364)*($T$4:$T$863&lt;&gt;$T364)*($F$4:$F$863&lt;$G364)*($G$4:$G$863&gt;$F364)*(1-($X$4:$X$863="Oui")*($X364="Oui")))&gt;0,"⚠ CONFLIT",""))</f>
        <v/>
      </c>
      <c r="AA364" s="64">
        <f>IF(COUNTIFS($D$4:$D$863,$D364,$J$4:$J$863,$J364,$F$4:$F$863,$F364,$K$4:$K$863,$K364)&gt;1,"⚠ DOUBLON","")</f>
        <v/>
      </c>
      <c r="AB364" s="64">
        <f>IF(COUNTIF($T$4:$T$863,$T364)&lt;&gt;COUNTIFS($T$4:$T$863,$T364,$D$4:$D$863,$D364,$F$4:$F$863,$F364,$G$4:$G$863,$G364,$K$4:$K$863,$K364,$M$4:$M$863,$M364),"⚠ INCOHÉRENT","")</f>
        <v/>
      </c>
      <c r="AC364" s="64">
        <f>COUNTIFS($A$4:$A364,$A364,$J$4:$J364,$J364,$E$4:$E364,$E364)</f>
        <v/>
      </c>
      <c r="AD364" s="65">
        <f>$A364&amp;"|"&amp;$J364&amp;"|"&amp;$E364&amp;"|"&amp;$AC364</f>
        <v/>
      </c>
      <c r="AE364" s="66">
        <f>IF($W364&lt;&gt;"","⚑ "&amp;$W364&amp;CHAR(10),"")&amp;TEXT($F364,"hh:mm")&amp;"-"&amp;TEXT($G364,"hh:mm")&amp;IF(OR($P364="Quinzaine A",AND($P364="Hebdo · groupes alternés",$C364="A"))," Q-A",IF(OR($P364="Quinzaine B",AND($P364="Hebdo · groupes alternés",$C364="B"))," Q-B",IF($P364="Exception"," PONCT.","")))&amp;IF($X364="Oui"," OPT","")&amp;CHAR(10)&amp;$K364&amp;CHAR(10)&amp;$M364&amp;IF($N364&lt;&gt;"",CHAR(10)&amp;"Salle "&amp;$N364,"")&amp;IF($O364="En ligne",CHAR(10)&amp;"EN LIGNE","")&amp;IF($V364&lt;&gt;"",CHAR(10)&amp;$V364,"")</f>
        <v/>
      </c>
      <c r="AF364" s="65" t="inlineStr">
        <is>
          <t>10h30-12h Physique (Refka)</t>
        </is>
      </c>
      <c r="AG364" s="65" t="inlineStr">
        <is>
          <t>du 28-09 jusquà le 04-10!M52</t>
        </is>
      </c>
    </row>
    <row r="365" ht="15" customHeight="1">
      <c r="A365" s="74" t="inlineStr">
        <is>
          <t>S3</t>
        </is>
      </c>
      <c r="B365" s="75" t="inlineStr">
        <is>
          <t>du 28 septembre au 4 octobre 2026</t>
        </is>
      </c>
      <c r="C365" s="74" t="inlineStr">
        <is>
          <t>A</t>
        </is>
      </c>
      <c r="D365" s="76" t="n">
        <v>46299</v>
      </c>
      <c r="E365" s="74" t="inlineStr">
        <is>
          <t>Dimanche</t>
        </is>
      </c>
      <c r="F365" s="77" t="n">
        <v>0.375</v>
      </c>
      <c r="G365" s="77" t="n">
        <v>0.4375</v>
      </c>
      <c r="H365" s="78">
        <f>IF(OR($F365="",$G365=""),"",($G365-$F365)*24)</f>
        <v/>
      </c>
      <c r="I365" s="74" t="inlineStr">
        <is>
          <t>Secondaire</t>
        </is>
      </c>
      <c r="J365" s="75" t="inlineStr">
        <is>
          <t>2éme Eco</t>
        </is>
      </c>
      <c r="K365" s="95" t="inlineStr">
        <is>
          <t>Eco</t>
        </is>
      </c>
      <c r="L365" s="95" t="inlineStr">
        <is>
          <t>Eco</t>
        </is>
      </c>
      <c r="M365" s="75" t="inlineStr">
        <is>
          <t>Rym</t>
        </is>
      </c>
      <c r="N365" s="74" t="n"/>
      <c r="O365" s="74" t="n"/>
      <c r="P365" s="74" t="inlineStr">
        <is>
          <t>Hebdomadaire</t>
        </is>
      </c>
      <c r="Q365" s="75" t="inlineStr"/>
      <c r="R365" s="74" t="n">
        <v>1</v>
      </c>
      <c r="S365" s="74" t="inlineStr">
        <is>
          <t>Oui</t>
        </is>
      </c>
      <c r="T365" s="74" t="inlineStr">
        <is>
          <t>S3-093</t>
        </is>
      </c>
      <c r="U365" s="75" t="inlineStr">
        <is>
          <t>Original (septembre)</t>
        </is>
      </c>
      <c r="V365" s="75" t="inlineStr"/>
      <c r="W365" s="10" t="n"/>
      <c r="X365" s="10" t="inlineStr"/>
      <c r="Y365" s="64">
        <f>IF($M365="","",IF(SUMPRODUCT(($D$4:$D$863=$D365)*($M$4:$M$863=$M365)*($T$4:$T$863&lt;&gt;$T365)*($F$4:$F$863&lt;$G365)*($G$4:$G$863&gt;$F365))&gt;0,"⚠ CONFLIT",""))</f>
        <v/>
      </c>
      <c r="Z365" s="64">
        <f>IF($J365="","",IF(SUMPRODUCT(($D$4:$D$863=$D365)*($J$4:$J$863=$J365)*($T$4:$T$863&lt;&gt;$T365)*($F$4:$F$863&lt;$G365)*($G$4:$G$863&gt;$F365)*(1-($X$4:$X$863="Oui")*($X365="Oui")))&gt;0,"⚠ CONFLIT",""))</f>
        <v/>
      </c>
      <c r="AA365" s="64">
        <f>IF(COUNTIFS($D$4:$D$863,$D365,$J$4:$J$863,$J365,$F$4:$F$863,$F365,$K$4:$K$863,$K365)&gt;1,"⚠ DOUBLON","")</f>
        <v/>
      </c>
      <c r="AB365" s="64">
        <f>IF(COUNTIF($T$4:$T$863,$T365)&lt;&gt;COUNTIFS($T$4:$T$863,$T365,$D$4:$D$863,$D365,$F$4:$F$863,$F365,$G$4:$G$863,$G365,$K$4:$K$863,$K365,$M$4:$M$863,$M365),"⚠ INCOHÉRENT","")</f>
        <v/>
      </c>
      <c r="AC365" s="64">
        <f>COUNTIFS($A$4:$A365,$A365,$J$4:$J365,$J365,$E$4:$E365,$E365)</f>
        <v/>
      </c>
      <c r="AD365" s="65">
        <f>$A365&amp;"|"&amp;$J365&amp;"|"&amp;$E365&amp;"|"&amp;$AC365</f>
        <v/>
      </c>
      <c r="AE365" s="66">
        <f>IF($W365&lt;&gt;"","⚑ "&amp;$W365&amp;CHAR(10),"")&amp;TEXT($F365,"hh:mm")&amp;"-"&amp;TEXT($G365,"hh:mm")&amp;IF(OR($P365="Quinzaine A",AND($P365="Hebdo · groupes alternés",$C365="A"))," Q-A",IF(OR($P365="Quinzaine B",AND($P365="Hebdo · groupes alternés",$C365="B"))," Q-B",IF($P365="Exception"," PONCT.","")))&amp;IF($X365="Oui"," OPT","")&amp;CHAR(10)&amp;$K365&amp;CHAR(10)&amp;$M365&amp;IF($N365&lt;&gt;"",CHAR(10)&amp;"Salle "&amp;$N365,"")&amp;IF($O365="En ligne",CHAR(10)&amp;"EN LIGNE","")&amp;IF($V365&lt;&gt;"",CHAR(10)&amp;$V365,"")</f>
        <v/>
      </c>
      <c r="AF365" s="65" t="inlineStr">
        <is>
          <t>9h-10h30 Eco (Rym)</t>
        </is>
      </c>
      <c r="AG365" s="65" t="inlineStr">
        <is>
          <t>du 28-09 jusquà le 04-10!M56</t>
        </is>
      </c>
    </row>
    <row r="366" ht="15" customHeight="1">
      <c r="A366" s="74" t="inlineStr">
        <is>
          <t>S3</t>
        </is>
      </c>
      <c r="B366" s="75" t="inlineStr">
        <is>
          <t>du 28 septembre au 4 octobre 2026</t>
        </is>
      </c>
      <c r="C366" s="74" t="inlineStr">
        <is>
          <t>A</t>
        </is>
      </c>
      <c r="D366" s="76" t="n">
        <v>46299</v>
      </c>
      <c r="E366" s="74" t="inlineStr">
        <is>
          <t>Dimanche</t>
        </is>
      </c>
      <c r="F366" s="77" t="n">
        <v>0.5</v>
      </c>
      <c r="G366" s="77" t="n">
        <v>0.5625</v>
      </c>
      <c r="H366" s="78">
        <f>IF(OR($F366="",$G366=""),"",($G366-$F366)*24)</f>
        <v/>
      </c>
      <c r="I366" s="74" t="inlineStr">
        <is>
          <t>Secondaire</t>
        </is>
      </c>
      <c r="J366" s="75" t="inlineStr">
        <is>
          <t>2éme SCE</t>
        </is>
      </c>
      <c r="K366" s="73" t="inlineStr">
        <is>
          <t>Physique</t>
        </is>
      </c>
      <c r="L366" s="73" t="inlineStr">
        <is>
          <t>Physique</t>
        </is>
      </c>
      <c r="M366" s="75" t="inlineStr">
        <is>
          <t>Refka</t>
        </is>
      </c>
      <c r="N366" s="74" t="n"/>
      <c r="O366" s="74" t="n"/>
      <c r="P366" s="74" t="inlineStr">
        <is>
          <t>Hebdomadaire</t>
        </is>
      </c>
      <c r="Q366" s="75" t="inlineStr"/>
      <c r="R366" s="74" t="n">
        <v>1</v>
      </c>
      <c r="S366" s="74" t="inlineStr">
        <is>
          <t>Oui</t>
        </is>
      </c>
      <c r="T366" s="74" t="inlineStr">
        <is>
          <t>S3-094</t>
        </is>
      </c>
      <c r="U366" s="75" t="inlineStr">
        <is>
          <t>Original (septembre)</t>
        </is>
      </c>
      <c r="V366" s="75" t="inlineStr"/>
      <c r="W366" s="10" t="n"/>
      <c r="X366" s="10" t="inlineStr"/>
      <c r="Y366" s="64">
        <f>IF($M366="","",IF(SUMPRODUCT(($D$4:$D$863=$D366)*($M$4:$M$863=$M366)*($T$4:$T$863&lt;&gt;$T366)*($F$4:$F$863&lt;$G366)*($G$4:$G$863&gt;$F366))&gt;0,"⚠ CONFLIT",""))</f>
        <v/>
      </c>
      <c r="Z366" s="64">
        <f>IF($J366="","",IF(SUMPRODUCT(($D$4:$D$863=$D366)*($J$4:$J$863=$J366)*($T$4:$T$863&lt;&gt;$T366)*($F$4:$F$863&lt;$G366)*($G$4:$G$863&gt;$F366)*(1-($X$4:$X$863="Oui")*($X366="Oui")))&gt;0,"⚠ CONFLIT",""))</f>
        <v/>
      </c>
      <c r="AA366" s="64">
        <f>IF(COUNTIFS($D$4:$D$863,$D366,$J$4:$J$863,$J366,$F$4:$F$863,$F366,$K$4:$K$863,$K366)&gt;1,"⚠ DOUBLON","")</f>
        <v/>
      </c>
      <c r="AB366" s="64">
        <f>IF(COUNTIF($T$4:$T$863,$T366)&lt;&gt;COUNTIFS($T$4:$T$863,$T366,$D$4:$D$863,$D366,$F$4:$F$863,$F366,$G$4:$G$863,$G366,$K$4:$K$863,$K366,$M$4:$M$863,$M366),"⚠ INCOHÉRENT","")</f>
        <v/>
      </c>
      <c r="AC366" s="64">
        <f>COUNTIFS($A$4:$A366,$A366,$J$4:$J366,$J366,$E$4:$E366,$E366)</f>
        <v/>
      </c>
      <c r="AD366" s="65">
        <f>$A366&amp;"|"&amp;$J366&amp;"|"&amp;$E366&amp;"|"&amp;$AC366</f>
        <v/>
      </c>
      <c r="AE366" s="66">
        <f>IF($W366&lt;&gt;"","⚑ "&amp;$W366&amp;CHAR(10),"")&amp;TEXT($F366,"hh:mm")&amp;"-"&amp;TEXT($G366,"hh:mm")&amp;IF(OR($P366="Quinzaine A",AND($P366="Hebdo · groupes alternés",$C366="A"))," Q-A",IF(OR($P366="Quinzaine B",AND($P366="Hebdo · groupes alternés",$C366="B"))," Q-B",IF($P366="Exception"," PONCT.","")))&amp;IF($X366="Oui"," OPT","")&amp;CHAR(10)&amp;$K366&amp;CHAR(10)&amp;$M366&amp;IF($N366&lt;&gt;"",CHAR(10)&amp;"Salle "&amp;$N366,"")&amp;IF($O366="En ligne",CHAR(10)&amp;"EN LIGNE","")&amp;IF($V366&lt;&gt;"",CHAR(10)&amp;$V366,"")</f>
        <v/>
      </c>
      <c r="AF366" s="65" t="inlineStr">
        <is>
          <t>12h-13h30 Physique (Refka)</t>
        </is>
      </c>
      <c r="AG366" s="65" t="inlineStr">
        <is>
          <t>du 28-09 jusquà le 04-10!M58</t>
        </is>
      </c>
    </row>
    <row r="367" ht="15" customHeight="1">
      <c r="A367" s="74" t="inlineStr">
        <is>
          <t>S3</t>
        </is>
      </c>
      <c r="B367" s="75" t="inlineStr">
        <is>
          <t>du 28 septembre au 4 octobre 2026</t>
        </is>
      </c>
      <c r="C367" s="74" t="inlineStr">
        <is>
          <t>A</t>
        </is>
      </c>
      <c r="D367" s="76" t="n">
        <v>46299</v>
      </c>
      <c r="E367" s="74" t="inlineStr">
        <is>
          <t>Dimanche</t>
        </is>
      </c>
      <c r="F367" s="77" t="n">
        <v>0.4375</v>
      </c>
      <c r="G367" s="77" t="n">
        <v>0.5</v>
      </c>
      <c r="H367" s="78">
        <f>IF(OR($F367="",$G367=""),"",($G367-$F367)*24)</f>
        <v/>
      </c>
      <c r="I367" s="74" t="inlineStr">
        <is>
          <t>Secondaire</t>
        </is>
      </c>
      <c r="J367" s="75" t="inlineStr">
        <is>
          <t>3éme Eco</t>
        </is>
      </c>
      <c r="K367" s="95" t="inlineStr">
        <is>
          <t>Eco</t>
        </is>
      </c>
      <c r="L367" s="95" t="inlineStr">
        <is>
          <t>Eco</t>
        </is>
      </c>
      <c r="M367" s="75" t="inlineStr">
        <is>
          <t>Rym</t>
        </is>
      </c>
      <c r="N367" s="74" t="n"/>
      <c r="O367" s="74" t="n"/>
      <c r="P367" s="74" t="inlineStr">
        <is>
          <t>Hebdomadaire</t>
        </is>
      </c>
      <c r="Q367" s="75" t="inlineStr"/>
      <c r="R367" s="74" t="n">
        <v>1</v>
      </c>
      <c r="S367" s="74" t="inlineStr">
        <is>
          <t>Oui</t>
        </is>
      </c>
      <c r="T367" s="74" t="inlineStr">
        <is>
          <t>S3-095</t>
        </is>
      </c>
      <c r="U367" s="75" t="inlineStr">
        <is>
          <t>Original (septembre)</t>
        </is>
      </c>
      <c r="V367" s="75" t="inlineStr"/>
      <c r="W367" s="10" t="n"/>
      <c r="X367" s="10" t="inlineStr"/>
      <c r="Y367" s="64">
        <f>IF($M367="","",IF(SUMPRODUCT(($D$4:$D$863=$D367)*($M$4:$M$863=$M367)*($T$4:$T$863&lt;&gt;$T367)*($F$4:$F$863&lt;$G367)*($G$4:$G$863&gt;$F367))&gt;0,"⚠ CONFLIT",""))</f>
        <v/>
      </c>
      <c r="Z367" s="64">
        <f>IF($J367="","",IF(SUMPRODUCT(($D$4:$D$863=$D367)*($J$4:$J$863=$J367)*($T$4:$T$863&lt;&gt;$T367)*($F$4:$F$863&lt;$G367)*($G$4:$G$863&gt;$F367)*(1-($X$4:$X$863="Oui")*($X367="Oui")))&gt;0,"⚠ CONFLIT",""))</f>
        <v/>
      </c>
      <c r="AA367" s="64">
        <f>IF(COUNTIFS($D$4:$D$863,$D367,$J$4:$J$863,$J367,$F$4:$F$863,$F367,$K$4:$K$863,$K367)&gt;1,"⚠ DOUBLON","")</f>
        <v/>
      </c>
      <c r="AB367" s="64">
        <f>IF(COUNTIF($T$4:$T$863,$T367)&lt;&gt;COUNTIFS($T$4:$T$863,$T367,$D$4:$D$863,$D367,$F$4:$F$863,$F367,$G$4:$G$863,$G367,$K$4:$K$863,$K367,$M$4:$M$863,$M367),"⚠ INCOHÉRENT","")</f>
        <v/>
      </c>
      <c r="AC367" s="64">
        <f>COUNTIFS($A$4:$A367,$A367,$J$4:$J367,$J367,$E$4:$E367,$E367)</f>
        <v/>
      </c>
      <c r="AD367" s="65">
        <f>$A367&amp;"|"&amp;$J367&amp;"|"&amp;$E367&amp;"|"&amp;$AC367</f>
        <v/>
      </c>
      <c r="AE367" s="66">
        <f>IF($W367&lt;&gt;"","⚑ "&amp;$W367&amp;CHAR(10),"")&amp;TEXT($F367,"hh:mm")&amp;"-"&amp;TEXT($G367,"hh:mm")&amp;IF(OR($P367="Quinzaine A",AND($P367="Hebdo · groupes alternés",$C367="A"))," Q-A",IF(OR($P367="Quinzaine B",AND($P367="Hebdo · groupes alternés",$C367="B"))," Q-B",IF($P367="Exception"," PONCT.","")))&amp;IF($X367="Oui"," OPT","")&amp;CHAR(10)&amp;$K367&amp;CHAR(10)&amp;$M367&amp;IF($N367&lt;&gt;"",CHAR(10)&amp;"Salle "&amp;$N367,"")&amp;IF($O367="En ligne",CHAR(10)&amp;"EN LIGNE","")&amp;IF($V367&lt;&gt;"",CHAR(10)&amp;$V367,"")</f>
        <v/>
      </c>
      <c r="AF367" s="65" t="inlineStr">
        <is>
          <t>10h30-12h Eco (Rym)</t>
        </is>
      </c>
      <c r="AG367" s="65" t="inlineStr">
        <is>
          <t>du 28-09 jusquà le 04-10!M62</t>
        </is>
      </c>
    </row>
    <row r="368" ht="15" customHeight="1">
      <c r="A368" s="74" t="inlineStr">
        <is>
          <t>S3</t>
        </is>
      </c>
      <c r="B368" s="75" t="inlineStr">
        <is>
          <t>du 28 septembre au 4 octobre 2026</t>
        </is>
      </c>
      <c r="C368" s="74" t="inlineStr">
        <is>
          <t>A</t>
        </is>
      </c>
      <c r="D368" s="76" t="n">
        <v>46299</v>
      </c>
      <c r="E368" s="74" t="inlineStr">
        <is>
          <t>Dimanche</t>
        </is>
      </c>
      <c r="F368" s="77" t="n">
        <v>0.5833333333333334</v>
      </c>
      <c r="G368" s="77" t="n">
        <v>0.6458333333333334</v>
      </c>
      <c r="H368" s="78">
        <f>IF(OR($F368="",$G368=""),"",($G368-$F368)*24)</f>
        <v/>
      </c>
      <c r="I368" s="74" t="inlineStr">
        <is>
          <t>Secondaire</t>
        </is>
      </c>
      <c r="J368" s="75" t="inlineStr">
        <is>
          <t>3éme Eco</t>
        </is>
      </c>
      <c r="K368" s="79" t="inlineStr">
        <is>
          <t>Math</t>
        </is>
      </c>
      <c r="L368" s="79" t="inlineStr">
        <is>
          <t>Math</t>
        </is>
      </c>
      <c r="M368" s="75" t="inlineStr">
        <is>
          <t>Lotfi</t>
        </is>
      </c>
      <c r="N368" s="74" t="n"/>
      <c r="O368" s="74" t="n"/>
      <c r="P368" s="74" t="inlineStr">
        <is>
          <t>Hebdomadaire</t>
        </is>
      </c>
      <c r="Q368" s="75" t="inlineStr"/>
      <c r="R368" s="74" t="n">
        <v>1</v>
      </c>
      <c r="S368" s="74" t="inlineStr">
        <is>
          <t>Oui</t>
        </is>
      </c>
      <c r="T368" s="74" t="inlineStr">
        <is>
          <t>S3-096</t>
        </is>
      </c>
      <c r="U368" s="75" t="inlineStr">
        <is>
          <t>Original (septembre)</t>
        </is>
      </c>
      <c r="V368" s="75" t="inlineStr"/>
      <c r="W368" s="10" t="n"/>
      <c r="X368" s="10" t="inlineStr"/>
      <c r="Y368" s="64">
        <f>IF($M368="","",IF(SUMPRODUCT(($D$4:$D$863=$D368)*($M$4:$M$863=$M368)*($T$4:$T$863&lt;&gt;$T368)*($F$4:$F$863&lt;$G368)*($G$4:$G$863&gt;$F368))&gt;0,"⚠ CONFLIT",""))</f>
        <v/>
      </c>
      <c r="Z368" s="64">
        <f>IF($J368="","",IF(SUMPRODUCT(($D$4:$D$863=$D368)*($J$4:$J$863=$J368)*($T$4:$T$863&lt;&gt;$T368)*($F$4:$F$863&lt;$G368)*($G$4:$G$863&gt;$F368)*(1-($X$4:$X$863="Oui")*($X368="Oui")))&gt;0,"⚠ CONFLIT",""))</f>
        <v/>
      </c>
      <c r="AA368" s="64">
        <f>IF(COUNTIFS($D$4:$D$863,$D368,$J$4:$J$863,$J368,$F$4:$F$863,$F368,$K$4:$K$863,$K368)&gt;1,"⚠ DOUBLON","")</f>
        <v/>
      </c>
      <c r="AB368" s="64">
        <f>IF(COUNTIF($T$4:$T$863,$T368)&lt;&gt;COUNTIFS($T$4:$T$863,$T368,$D$4:$D$863,$D368,$F$4:$F$863,$F368,$G$4:$G$863,$G368,$K$4:$K$863,$K368,$M$4:$M$863,$M368),"⚠ INCOHÉRENT","")</f>
        <v/>
      </c>
      <c r="AC368" s="64">
        <f>COUNTIFS($A$4:$A368,$A368,$J$4:$J368,$J368,$E$4:$E368,$E368)</f>
        <v/>
      </c>
      <c r="AD368" s="65">
        <f>$A368&amp;"|"&amp;$J368&amp;"|"&amp;$E368&amp;"|"&amp;$AC368</f>
        <v/>
      </c>
      <c r="AE368" s="66">
        <f>IF($W368&lt;&gt;"","⚑ "&amp;$W368&amp;CHAR(10),"")&amp;TEXT($F368,"hh:mm")&amp;"-"&amp;TEXT($G368,"hh:mm")&amp;IF(OR($P368="Quinzaine A",AND($P368="Hebdo · groupes alternés",$C368="A"))," Q-A",IF(OR($P368="Quinzaine B",AND($P368="Hebdo · groupes alternés",$C368="B"))," Q-B",IF($P368="Exception"," PONCT.","")))&amp;IF($X368="Oui"," OPT","")&amp;CHAR(10)&amp;$K368&amp;CHAR(10)&amp;$M368&amp;IF($N368&lt;&gt;"",CHAR(10)&amp;"Salle "&amp;$N368,"")&amp;IF($O368="En ligne",CHAR(10)&amp;"EN LIGNE","")&amp;IF($V368&lt;&gt;"",CHAR(10)&amp;$V368,"")</f>
        <v/>
      </c>
      <c r="AF368" s="65" t="inlineStr">
        <is>
          <t>14h-15h30 Math (Lotfi)</t>
        </is>
      </c>
      <c r="AG368" s="65" t="inlineStr">
        <is>
          <t>du 28-09 jusquà le 04-10!M63</t>
        </is>
      </c>
    </row>
    <row r="369" ht="15" customHeight="1">
      <c r="A369" s="74" t="inlineStr">
        <is>
          <t>S3</t>
        </is>
      </c>
      <c r="B369" s="75" t="inlineStr">
        <is>
          <t>du 28 septembre au 4 octobre 2026</t>
        </is>
      </c>
      <c r="C369" s="74" t="inlineStr">
        <is>
          <t>A</t>
        </is>
      </c>
      <c r="D369" s="76" t="n">
        <v>46299</v>
      </c>
      <c r="E369" s="74" t="inlineStr">
        <is>
          <t>Dimanche</t>
        </is>
      </c>
      <c r="F369" s="77" t="n">
        <v>0.5</v>
      </c>
      <c r="G369" s="77" t="n">
        <v>0.5625</v>
      </c>
      <c r="H369" s="78">
        <f>IF(OR($F369="",$G369=""),"",($G369-$F369)*24)</f>
        <v/>
      </c>
      <c r="I369" s="74" t="inlineStr">
        <is>
          <t>Secondaire</t>
        </is>
      </c>
      <c r="J369" s="75" t="inlineStr">
        <is>
          <t>3éme INFO</t>
        </is>
      </c>
      <c r="K369" s="79" t="inlineStr">
        <is>
          <t>Math</t>
        </is>
      </c>
      <c r="L369" s="79" t="inlineStr">
        <is>
          <t>Math</t>
        </is>
      </c>
      <c r="M369" s="75" t="inlineStr">
        <is>
          <t>Lotfi</t>
        </is>
      </c>
      <c r="N369" s="74" t="n"/>
      <c r="O369" s="74" t="n"/>
      <c r="P369" s="74" t="inlineStr">
        <is>
          <t>Hebdomadaire</t>
        </is>
      </c>
      <c r="Q369" s="75" t="inlineStr"/>
      <c r="R369" s="74" t="n">
        <v>1</v>
      </c>
      <c r="S369" s="74" t="inlineStr">
        <is>
          <t>Oui</t>
        </is>
      </c>
      <c r="T369" s="74" t="inlineStr">
        <is>
          <t>S3-097</t>
        </is>
      </c>
      <c r="U369" s="75" t="inlineStr">
        <is>
          <t>Original (septembre)</t>
        </is>
      </c>
      <c r="V369" s="75" t="inlineStr"/>
      <c r="W369" s="10" t="n"/>
      <c r="X369" s="10" t="inlineStr"/>
      <c r="Y369" s="64">
        <f>IF($M369="","",IF(SUMPRODUCT(($D$4:$D$863=$D369)*($M$4:$M$863=$M369)*($T$4:$T$863&lt;&gt;$T369)*($F$4:$F$863&lt;$G369)*($G$4:$G$863&gt;$F369))&gt;0,"⚠ CONFLIT",""))</f>
        <v/>
      </c>
      <c r="Z369" s="64">
        <f>IF($J369="","",IF(SUMPRODUCT(($D$4:$D$863=$D369)*($J$4:$J$863=$J369)*($T$4:$T$863&lt;&gt;$T369)*($F$4:$F$863&lt;$G369)*($G$4:$G$863&gt;$F369)*(1-($X$4:$X$863="Oui")*($X369="Oui")))&gt;0,"⚠ CONFLIT",""))</f>
        <v/>
      </c>
      <c r="AA369" s="64">
        <f>IF(COUNTIFS($D$4:$D$863,$D369,$J$4:$J$863,$J369,$F$4:$F$863,$F369,$K$4:$K$863,$K369)&gt;1,"⚠ DOUBLON","")</f>
        <v/>
      </c>
      <c r="AB369" s="64">
        <f>IF(COUNTIF($T$4:$T$863,$T369)&lt;&gt;COUNTIFS($T$4:$T$863,$T369,$D$4:$D$863,$D369,$F$4:$F$863,$F369,$G$4:$G$863,$G369,$K$4:$K$863,$K369,$M$4:$M$863,$M369),"⚠ INCOHÉRENT","")</f>
        <v/>
      </c>
      <c r="AC369" s="64">
        <f>COUNTIFS($A$4:$A369,$A369,$J$4:$J369,$J369,$E$4:$E369,$E369)</f>
        <v/>
      </c>
      <c r="AD369" s="65">
        <f>$A369&amp;"|"&amp;$J369&amp;"|"&amp;$E369&amp;"|"&amp;$AC369</f>
        <v/>
      </c>
      <c r="AE369" s="66">
        <f>IF($W369&lt;&gt;"","⚑ "&amp;$W369&amp;CHAR(10),"")&amp;TEXT($F369,"hh:mm")&amp;"-"&amp;TEXT($G369,"hh:mm")&amp;IF(OR($P369="Quinzaine A",AND($P369="Hebdo · groupes alternés",$C369="A"))," Q-A",IF(OR($P369="Quinzaine B",AND($P369="Hebdo · groupes alternés",$C369="B"))," Q-B",IF($P369="Exception"," PONCT.","")))&amp;IF($X369="Oui"," OPT","")&amp;CHAR(10)&amp;$K369&amp;CHAR(10)&amp;$M369&amp;IF($N369&lt;&gt;"",CHAR(10)&amp;"Salle "&amp;$N369,"")&amp;IF($O369="En ligne",CHAR(10)&amp;"EN LIGNE","")&amp;IF($V369&lt;&gt;"",CHAR(10)&amp;$V369,"")</f>
        <v/>
      </c>
      <c r="AF369" s="65" t="inlineStr">
        <is>
          <t>12h-13h30 Math (Lotfi)</t>
        </is>
      </c>
      <c r="AG369" s="65" t="inlineStr">
        <is>
          <t>du 28-09 jusquà le 04-10!M64</t>
        </is>
      </c>
    </row>
    <row r="370" ht="15" customHeight="1">
      <c r="A370" s="74" t="inlineStr">
        <is>
          <t>S3</t>
        </is>
      </c>
      <c r="B370" s="75" t="inlineStr">
        <is>
          <t>du 28 septembre au 4 octobre 2026</t>
        </is>
      </c>
      <c r="C370" s="74" t="inlineStr">
        <is>
          <t>A</t>
        </is>
      </c>
      <c r="D370" s="76" t="n">
        <v>46299</v>
      </c>
      <c r="E370" s="74" t="inlineStr">
        <is>
          <t>Dimanche</t>
        </is>
      </c>
      <c r="F370" s="77" t="n">
        <v>0.4375</v>
      </c>
      <c r="G370" s="77" t="n">
        <v>0.5</v>
      </c>
      <c r="H370" s="78">
        <f>IF(OR($F370="",$G370=""),"",($G370-$F370)*24)</f>
        <v/>
      </c>
      <c r="I370" s="74" t="inlineStr">
        <is>
          <t>Secondaire</t>
        </is>
      </c>
      <c r="J370" s="75" t="inlineStr">
        <is>
          <t>3éme SCE</t>
        </is>
      </c>
      <c r="K370" s="73" t="inlineStr">
        <is>
          <t>Physique</t>
        </is>
      </c>
      <c r="L370" s="73" t="inlineStr">
        <is>
          <t>Physique</t>
        </is>
      </c>
      <c r="M370" s="75" t="inlineStr">
        <is>
          <t>Sondes</t>
        </is>
      </c>
      <c r="N370" s="74" t="n"/>
      <c r="O370" s="74" t="n"/>
      <c r="P370" s="74" t="inlineStr">
        <is>
          <t>Hebdomadaire</t>
        </is>
      </c>
      <c r="Q370" s="75" t="inlineStr"/>
      <c r="R370" s="74" t="n">
        <v>1</v>
      </c>
      <c r="S370" s="74" t="inlineStr">
        <is>
          <t>Oui</t>
        </is>
      </c>
      <c r="T370" s="74" t="inlineStr">
        <is>
          <t>S3-098</t>
        </is>
      </c>
      <c r="U370" s="75" t="inlineStr">
        <is>
          <t>Original (septembre)</t>
        </is>
      </c>
      <c r="V370" s="75" t="inlineStr"/>
      <c r="W370" s="10" t="n"/>
      <c r="X370" s="10" t="inlineStr"/>
      <c r="Y370" s="64">
        <f>IF($M370="","",IF(SUMPRODUCT(($D$4:$D$863=$D370)*($M$4:$M$863=$M370)*($T$4:$T$863&lt;&gt;$T370)*($F$4:$F$863&lt;$G370)*($G$4:$G$863&gt;$F370))&gt;0,"⚠ CONFLIT",""))</f>
        <v/>
      </c>
      <c r="Z370" s="64">
        <f>IF($J370="","",IF(SUMPRODUCT(($D$4:$D$863=$D370)*($J$4:$J$863=$J370)*($T$4:$T$863&lt;&gt;$T370)*($F$4:$F$863&lt;$G370)*($G$4:$G$863&gt;$F370)*(1-($X$4:$X$863="Oui")*($X370="Oui")))&gt;0,"⚠ CONFLIT",""))</f>
        <v/>
      </c>
      <c r="AA370" s="64">
        <f>IF(COUNTIFS($D$4:$D$863,$D370,$J$4:$J$863,$J370,$F$4:$F$863,$F370,$K$4:$K$863,$K370)&gt;1,"⚠ DOUBLON","")</f>
        <v/>
      </c>
      <c r="AB370" s="64">
        <f>IF(COUNTIF($T$4:$T$863,$T370)&lt;&gt;COUNTIFS($T$4:$T$863,$T370,$D$4:$D$863,$D370,$F$4:$F$863,$F370,$G$4:$G$863,$G370,$K$4:$K$863,$K370,$M$4:$M$863,$M370),"⚠ INCOHÉRENT","")</f>
        <v/>
      </c>
      <c r="AC370" s="64">
        <f>COUNTIFS($A$4:$A370,$A370,$J$4:$J370,$J370,$E$4:$E370,$E370)</f>
        <v/>
      </c>
      <c r="AD370" s="65">
        <f>$A370&amp;"|"&amp;$J370&amp;"|"&amp;$E370&amp;"|"&amp;$AC370</f>
        <v/>
      </c>
      <c r="AE370" s="66">
        <f>IF($W370&lt;&gt;"","⚑ "&amp;$W370&amp;CHAR(10),"")&amp;TEXT($F370,"hh:mm")&amp;"-"&amp;TEXT($G370,"hh:mm")&amp;IF(OR($P370="Quinzaine A",AND($P370="Hebdo · groupes alternés",$C370="A"))," Q-A",IF(OR($P370="Quinzaine B",AND($P370="Hebdo · groupes alternés",$C370="B"))," Q-B",IF($P370="Exception"," PONCT.","")))&amp;IF($X370="Oui"," OPT","")&amp;CHAR(10)&amp;$K370&amp;CHAR(10)&amp;$M370&amp;IF($N370&lt;&gt;"",CHAR(10)&amp;"Salle "&amp;$N370,"")&amp;IF($O370="En ligne",CHAR(10)&amp;"EN LIGNE","")&amp;IF($V370&lt;&gt;"",CHAR(10)&amp;$V370,"")</f>
        <v/>
      </c>
      <c r="AF370" s="65" t="inlineStr">
        <is>
          <t>10h30-12h Physique (Sondes)</t>
        </is>
      </c>
      <c r="AG370" s="65" t="inlineStr">
        <is>
          <t>du 28-09 jusquà le 04-10!M67</t>
        </is>
      </c>
    </row>
    <row r="371" ht="15" customHeight="1">
      <c r="A371" s="81" t="inlineStr">
        <is>
          <t>S3</t>
        </is>
      </c>
      <c r="B371" s="82" t="inlineStr">
        <is>
          <t>du 28 septembre au 4 octobre 2026</t>
        </is>
      </c>
      <c r="C371" s="81" t="inlineStr">
        <is>
          <t>A</t>
        </is>
      </c>
      <c r="D371" s="83" t="n">
        <v>46299</v>
      </c>
      <c r="E371" s="81" t="inlineStr">
        <is>
          <t>Dimanche</t>
        </is>
      </c>
      <c r="F371" s="84" t="n">
        <v>0.4375</v>
      </c>
      <c r="G371" s="84" t="n">
        <v>0.5</v>
      </c>
      <c r="H371" s="85">
        <f>IF(OR($F371="",$G371=""),"",($G371-$F371)*24)</f>
        <v/>
      </c>
      <c r="I371" s="81" t="inlineStr">
        <is>
          <t>Bac</t>
        </is>
      </c>
      <c r="J371" s="82" t="inlineStr">
        <is>
          <t>Bac Eco</t>
        </is>
      </c>
      <c r="K371" s="79" t="inlineStr">
        <is>
          <t>Math</t>
        </is>
      </c>
      <c r="L371" s="79" t="inlineStr">
        <is>
          <t>Math</t>
        </is>
      </c>
      <c r="M371" s="82" t="inlineStr">
        <is>
          <t>Lotfi</t>
        </is>
      </c>
      <c r="N371" s="81" t="n"/>
      <c r="O371" s="81" t="n"/>
      <c r="P371" s="81" t="inlineStr">
        <is>
          <t>Hebdomadaire</t>
        </is>
      </c>
      <c r="Q371" s="82" t="inlineStr"/>
      <c r="R371" s="81" t="n">
        <v>1</v>
      </c>
      <c r="S371" s="81" t="inlineStr">
        <is>
          <t>Oui</t>
        </is>
      </c>
      <c r="T371" s="81" t="inlineStr">
        <is>
          <t>S3-100</t>
        </is>
      </c>
      <c r="U371" s="82" t="inlineStr">
        <is>
          <t>Original (septembre)</t>
        </is>
      </c>
      <c r="V371" s="82" t="inlineStr"/>
      <c r="W371" s="10" t="n"/>
      <c r="X371" s="10" t="inlineStr"/>
      <c r="Y371" s="64">
        <f>IF($M371="","",IF(SUMPRODUCT(($D$4:$D$863=$D371)*($M$4:$M$863=$M371)*($T$4:$T$863&lt;&gt;$T371)*($F$4:$F$863&lt;$G371)*($G$4:$G$863&gt;$F371))&gt;0,"⚠ CONFLIT",""))</f>
        <v/>
      </c>
      <c r="Z371" s="64">
        <f>IF($J371="","",IF(SUMPRODUCT(($D$4:$D$863=$D371)*($J$4:$J$863=$J371)*($T$4:$T$863&lt;&gt;$T371)*($F$4:$F$863&lt;$G371)*($G$4:$G$863&gt;$F371)*(1-($X$4:$X$863="Oui")*($X371="Oui")))&gt;0,"⚠ CONFLIT",""))</f>
        <v/>
      </c>
      <c r="AA371" s="64">
        <f>IF(COUNTIFS($D$4:$D$863,$D371,$J$4:$J$863,$J371,$F$4:$F$863,$F371,$K$4:$K$863,$K371)&gt;1,"⚠ DOUBLON","")</f>
        <v/>
      </c>
      <c r="AB371" s="64">
        <f>IF(COUNTIF($T$4:$T$863,$T371)&lt;&gt;COUNTIFS($T$4:$T$863,$T371,$D$4:$D$863,$D371,$F$4:$F$863,$F371,$G$4:$G$863,$G371,$K$4:$K$863,$K371,$M$4:$M$863,$M371),"⚠ INCOHÉRENT","")</f>
        <v/>
      </c>
      <c r="AC371" s="64">
        <f>COUNTIFS($A$4:$A371,$A371,$J$4:$J371,$J371,$E$4:$E371,$E371)</f>
        <v/>
      </c>
      <c r="AD371" s="65">
        <f>$A371&amp;"|"&amp;$J371&amp;"|"&amp;$E371&amp;"|"&amp;$AC371</f>
        <v/>
      </c>
      <c r="AE371" s="66">
        <f>IF($W371&lt;&gt;"","⚑ "&amp;$W371&amp;CHAR(10),"")&amp;TEXT($F371,"hh:mm")&amp;"-"&amp;TEXT($G371,"hh:mm")&amp;IF(OR($P371="Quinzaine A",AND($P371="Hebdo · groupes alternés",$C371="A"))," Q-A",IF(OR($P371="Quinzaine B",AND($P371="Hebdo · groupes alternés",$C371="B"))," Q-B",IF($P371="Exception"," PONCT.","")))&amp;IF($X371="Oui"," OPT","")&amp;CHAR(10)&amp;$K371&amp;CHAR(10)&amp;$M371&amp;IF($N371&lt;&gt;"",CHAR(10)&amp;"Salle "&amp;$N371,"")&amp;IF($O371="En ligne",CHAR(10)&amp;"EN LIGNE","")&amp;IF($V371&lt;&gt;"",CHAR(10)&amp;$V371,"")</f>
        <v/>
      </c>
      <c r="AF371" s="65" t="inlineStr">
        <is>
          <t>10h30-12h Math (Lotfi)</t>
        </is>
      </c>
      <c r="AG371" s="65" t="inlineStr">
        <is>
          <t>du 28-09 jusquà le 04-10!M73</t>
        </is>
      </c>
    </row>
    <row r="372" ht="15" customHeight="1">
      <c r="A372" s="81" t="inlineStr">
        <is>
          <t>S3</t>
        </is>
      </c>
      <c r="B372" s="82" t="inlineStr">
        <is>
          <t>du 28 septembre au 4 octobre 2026</t>
        </is>
      </c>
      <c r="C372" s="81" t="inlineStr">
        <is>
          <t>A</t>
        </is>
      </c>
      <c r="D372" s="83" t="n">
        <v>46299</v>
      </c>
      <c r="E372" s="81" t="inlineStr">
        <is>
          <t>Dimanche</t>
        </is>
      </c>
      <c r="F372" s="84" t="n">
        <v>0.5208333333333334</v>
      </c>
      <c r="G372" s="84" t="n">
        <v>0.6041666666666666</v>
      </c>
      <c r="H372" s="85">
        <f>IF(OR($F372="",$G372=""),"",($G372-$F372)*24)</f>
        <v/>
      </c>
      <c r="I372" s="81" t="inlineStr">
        <is>
          <t>Bac</t>
        </is>
      </c>
      <c r="J372" s="82" t="inlineStr">
        <is>
          <t>Bac Eco</t>
        </is>
      </c>
      <c r="K372" s="95" t="inlineStr">
        <is>
          <t>Eco</t>
        </is>
      </c>
      <c r="L372" s="95" t="inlineStr">
        <is>
          <t>Eco</t>
        </is>
      </c>
      <c r="M372" s="82" t="inlineStr">
        <is>
          <t>Rym</t>
        </is>
      </c>
      <c r="N372" s="81" t="n"/>
      <c r="O372" s="81" t="n"/>
      <c r="P372" s="81" t="inlineStr">
        <is>
          <t>Hebdomadaire</t>
        </is>
      </c>
      <c r="Q372" s="82" t="inlineStr"/>
      <c r="R372" s="81" t="n">
        <v>1</v>
      </c>
      <c r="S372" s="81" t="inlineStr">
        <is>
          <t>Oui</t>
        </is>
      </c>
      <c r="T372" s="81" t="inlineStr">
        <is>
          <t>S3-099</t>
        </is>
      </c>
      <c r="U372" s="82" t="inlineStr">
        <is>
          <t>Original (septembre)</t>
        </is>
      </c>
      <c r="V372" s="82" t="inlineStr"/>
      <c r="W372" s="10" t="n"/>
      <c r="X372" s="10" t="inlineStr"/>
      <c r="Y372" s="64">
        <f>IF($M372="","",IF(SUMPRODUCT(($D$4:$D$863=$D372)*($M$4:$M$863=$M372)*($T$4:$T$863&lt;&gt;$T372)*($F$4:$F$863&lt;$G372)*($G$4:$G$863&gt;$F372))&gt;0,"⚠ CONFLIT",""))</f>
        <v/>
      </c>
      <c r="Z372" s="64">
        <f>IF($J372="","",IF(SUMPRODUCT(($D$4:$D$863=$D372)*($J$4:$J$863=$J372)*($T$4:$T$863&lt;&gt;$T372)*($F$4:$F$863&lt;$G372)*($G$4:$G$863&gt;$F372)*(1-($X$4:$X$863="Oui")*($X372="Oui")))&gt;0,"⚠ CONFLIT",""))</f>
        <v/>
      </c>
      <c r="AA372" s="64">
        <f>IF(COUNTIFS($D$4:$D$863,$D372,$J$4:$J$863,$J372,$F$4:$F$863,$F372,$K$4:$K$863,$K372)&gt;1,"⚠ DOUBLON","")</f>
        <v/>
      </c>
      <c r="AB372" s="64">
        <f>IF(COUNTIF($T$4:$T$863,$T372)&lt;&gt;COUNTIFS($T$4:$T$863,$T372,$D$4:$D$863,$D372,$F$4:$F$863,$F372,$G$4:$G$863,$G372,$K$4:$K$863,$K372,$M$4:$M$863,$M372),"⚠ INCOHÉRENT","")</f>
        <v/>
      </c>
      <c r="AC372" s="64">
        <f>COUNTIFS($A$4:$A372,$A372,$J$4:$J372,$J372,$E$4:$E372,$E372)</f>
        <v/>
      </c>
      <c r="AD372" s="65">
        <f>$A372&amp;"|"&amp;$J372&amp;"|"&amp;$E372&amp;"|"&amp;$AC372</f>
        <v/>
      </c>
      <c r="AE372" s="66">
        <f>IF($W372&lt;&gt;"","⚑ "&amp;$W372&amp;CHAR(10),"")&amp;TEXT($F372,"hh:mm")&amp;"-"&amp;TEXT($G372,"hh:mm")&amp;IF(OR($P372="Quinzaine A",AND($P372="Hebdo · groupes alternés",$C372="A"))," Q-A",IF(OR($P372="Quinzaine B",AND($P372="Hebdo · groupes alternés",$C372="B"))," Q-B",IF($P372="Exception"," PONCT.","")))&amp;IF($X372="Oui"," OPT","")&amp;CHAR(10)&amp;$K372&amp;CHAR(10)&amp;$M372&amp;IF($N372&lt;&gt;"",CHAR(10)&amp;"Salle "&amp;$N372,"")&amp;IF($O372="En ligne",CHAR(10)&amp;"EN LIGNE","")&amp;IF($V372&lt;&gt;"",CHAR(10)&amp;$V372,"")</f>
        <v/>
      </c>
      <c r="AF372" s="65" t="inlineStr">
        <is>
          <t>12h30-14h30 Eco (Rym)</t>
        </is>
      </c>
      <c r="AG372" s="65" t="inlineStr">
        <is>
          <t>du 28-09 jusquà le 04-10!M69</t>
        </is>
      </c>
    </row>
    <row r="373" ht="15" customHeight="1">
      <c r="A373" s="81" t="inlineStr">
        <is>
          <t>S3</t>
        </is>
      </c>
      <c r="B373" s="82" t="inlineStr">
        <is>
          <t>du 28 septembre au 4 octobre 2026</t>
        </is>
      </c>
      <c r="C373" s="81" t="inlineStr">
        <is>
          <t>A</t>
        </is>
      </c>
      <c r="D373" s="83" t="n">
        <v>46299</v>
      </c>
      <c r="E373" s="81" t="inlineStr">
        <is>
          <t>Dimanche</t>
        </is>
      </c>
      <c r="F373" s="84" t="n">
        <v>0.6458333333333334</v>
      </c>
      <c r="G373" s="84" t="n">
        <v>0.7083333333333334</v>
      </c>
      <c r="H373" s="85">
        <f>IF(OR($F373="",$G373=""),"",($G373-$F373)*24)</f>
        <v/>
      </c>
      <c r="I373" s="81" t="inlineStr">
        <is>
          <t>Bac</t>
        </is>
      </c>
      <c r="J373" s="82" t="inlineStr">
        <is>
          <t>Bac INFO</t>
        </is>
      </c>
      <c r="K373" s="79" t="inlineStr">
        <is>
          <t>Math</t>
        </is>
      </c>
      <c r="L373" s="79" t="inlineStr">
        <is>
          <t>Math</t>
        </is>
      </c>
      <c r="M373" s="82" t="inlineStr">
        <is>
          <t>Lotfi</t>
        </is>
      </c>
      <c r="N373" s="81" t="n"/>
      <c r="O373" s="81" t="n"/>
      <c r="P373" s="81" t="inlineStr">
        <is>
          <t>Hebdomadaire</t>
        </is>
      </c>
      <c r="Q373" s="82" t="inlineStr"/>
      <c r="R373" s="81" t="n">
        <v>1</v>
      </c>
      <c r="S373" s="81" t="inlineStr">
        <is>
          <t>Oui</t>
        </is>
      </c>
      <c r="T373" s="81" t="inlineStr">
        <is>
          <t>S3-101</t>
        </is>
      </c>
      <c r="U373" s="82" t="inlineStr">
        <is>
          <t>Original (septembre)</t>
        </is>
      </c>
      <c r="V373" s="82" t="inlineStr"/>
      <c r="W373" s="10" t="n"/>
      <c r="X373" s="10" t="inlineStr"/>
      <c r="Y373" s="64">
        <f>IF($M373="","",IF(SUMPRODUCT(($D$4:$D$863=$D373)*($M$4:$M$863=$M373)*($T$4:$T$863&lt;&gt;$T373)*($F$4:$F$863&lt;$G373)*($G$4:$G$863&gt;$F373))&gt;0,"⚠ CONFLIT",""))</f>
        <v/>
      </c>
      <c r="Z373" s="64">
        <f>IF($J373="","",IF(SUMPRODUCT(($D$4:$D$863=$D373)*($J$4:$J$863=$J373)*($T$4:$T$863&lt;&gt;$T373)*($F$4:$F$863&lt;$G373)*($G$4:$G$863&gt;$F373)*(1-($X$4:$X$863="Oui")*($X373="Oui")))&gt;0,"⚠ CONFLIT",""))</f>
        <v/>
      </c>
      <c r="AA373" s="64">
        <f>IF(COUNTIFS($D$4:$D$863,$D373,$J$4:$J$863,$J373,$F$4:$F$863,$F373,$K$4:$K$863,$K373)&gt;1,"⚠ DOUBLON","")</f>
        <v/>
      </c>
      <c r="AB373" s="64">
        <f>IF(COUNTIF($T$4:$T$863,$T373)&lt;&gt;COUNTIFS($T$4:$T$863,$T373,$D$4:$D$863,$D373,$F$4:$F$863,$F373,$G$4:$G$863,$G373,$K$4:$K$863,$K373,$M$4:$M$863,$M373),"⚠ INCOHÉRENT","")</f>
        <v/>
      </c>
      <c r="AC373" s="64">
        <f>COUNTIFS($A$4:$A373,$A373,$J$4:$J373,$J373,$E$4:$E373,$E373)</f>
        <v/>
      </c>
      <c r="AD373" s="65">
        <f>$A373&amp;"|"&amp;$J373&amp;"|"&amp;$E373&amp;"|"&amp;$AC373</f>
        <v/>
      </c>
      <c r="AE373" s="66">
        <f>IF($W373&lt;&gt;"","⚑ "&amp;$W373&amp;CHAR(10),"")&amp;TEXT($F373,"hh:mm")&amp;"-"&amp;TEXT($G373,"hh:mm")&amp;IF(OR($P373="Quinzaine A",AND($P373="Hebdo · groupes alternés",$C373="A"))," Q-A",IF(OR($P373="Quinzaine B",AND($P373="Hebdo · groupes alternés",$C373="B"))," Q-B",IF($P373="Exception"," PONCT.","")))&amp;IF($X373="Oui"," OPT","")&amp;CHAR(10)&amp;$K373&amp;CHAR(10)&amp;$M373&amp;IF($N373&lt;&gt;"",CHAR(10)&amp;"Salle "&amp;$N373,"")&amp;IF($O373="En ligne",CHAR(10)&amp;"EN LIGNE","")&amp;IF($V373&lt;&gt;"",CHAR(10)&amp;$V373,"")</f>
        <v/>
      </c>
      <c r="AF373" s="65" t="inlineStr">
        <is>
          <t>15h30-17h Math (Lotfi)</t>
        </is>
      </c>
      <c r="AG373" s="65" t="inlineStr">
        <is>
          <t>du 28-09 jusquà le 04-10!M79</t>
        </is>
      </c>
    </row>
    <row r="374" ht="15" customHeight="1">
      <c r="A374" s="58" t="inlineStr">
        <is>
          <t>S4</t>
        </is>
      </c>
      <c r="B374" s="59" t="inlineStr">
        <is>
          <t>du 5 au 11 octobre 2026</t>
        </is>
      </c>
      <c r="C374" s="58" t="inlineStr">
        <is>
          <t>B</t>
        </is>
      </c>
      <c r="D374" s="60" t="n">
        <v>46300</v>
      </c>
      <c r="E374" s="58" t="inlineStr">
        <is>
          <t>Lundi</t>
        </is>
      </c>
      <c r="F374" s="61" t="n">
        <v>0.7916666666666666</v>
      </c>
      <c r="G374" s="61" t="n">
        <v>0.875</v>
      </c>
      <c r="H374" s="62">
        <f>IF(OR($F374="",$G374=""),"",($G374-$F374)*24)</f>
        <v/>
      </c>
      <c r="I374" s="58" t="inlineStr">
        <is>
          <t>Primaire</t>
        </is>
      </c>
      <c r="J374" s="59" t="inlineStr">
        <is>
          <t>4éme</t>
        </is>
      </c>
      <c r="K374" s="63" t="inlineStr">
        <is>
          <t>عربية</t>
        </is>
      </c>
      <c r="L374" s="63" t="inlineStr">
        <is>
          <t>Arabe</t>
        </is>
      </c>
      <c r="M374" s="59" t="inlineStr">
        <is>
          <t>Lobna</t>
        </is>
      </c>
      <c r="N374" s="58" t="n"/>
      <c r="O374" s="58" t="n"/>
      <c r="P374" s="58" t="inlineStr">
        <is>
          <t>Hebdomadaire</t>
        </is>
      </c>
      <c r="Q374" s="59" t="inlineStr"/>
      <c r="R374" s="58" t="n">
        <v>1</v>
      </c>
      <c r="S374" s="58" t="inlineStr">
        <is>
          <t>Oui</t>
        </is>
      </c>
      <c r="T374" s="58" t="inlineStr">
        <is>
          <t>S4-001</t>
        </is>
      </c>
      <c r="U374" s="59" t="inlineStr">
        <is>
          <t>Généré (octobre)</t>
        </is>
      </c>
      <c r="V374" s="59" t="inlineStr"/>
      <c r="W374" s="10" t="n"/>
      <c r="X374" s="10" t="inlineStr"/>
      <c r="Y374" s="64">
        <f>IF($M374="","",IF(SUMPRODUCT(($D$4:$D$863=$D374)*($M$4:$M$863=$M374)*($T$4:$T$863&lt;&gt;$T374)*($F$4:$F$863&lt;$G374)*($G$4:$G$863&gt;$F374))&gt;0,"⚠ CONFLIT",""))</f>
        <v/>
      </c>
      <c r="Z374" s="64">
        <f>IF($J374="","",IF(SUMPRODUCT(($D$4:$D$863=$D374)*($J$4:$J$863=$J374)*($T$4:$T$863&lt;&gt;$T374)*($F$4:$F$863&lt;$G374)*($G$4:$G$863&gt;$F374)*(1-($X$4:$X$863="Oui")*($X374="Oui")))&gt;0,"⚠ CONFLIT",""))</f>
        <v/>
      </c>
      <c r="AA374" s="64">
        <f>IF(COUNTIFS($D$4:$D$863,$D374,$J$4:$J$863,$J374,$F$4:$F$863,$F374,$K$4:$K$863,$K374)&gt;1,"⚠ DOUBLON","")</f>
        <v/>
      </c>
      <c r="AB374" s="64">
        <f>IF(COUNTIF($T$4:$T$863,$T374)&lt;&gt;COUNTIFS($T$4:$T$863,$T374,$D$4:$D$863,$D374,$F$4:$F$863,$F374,$G$4:$G$863,$G374,$K$4:$K$863,$K374,$M$4:$M$863,$M374),"⚠ INCOHÉRENT","")</f>
        <v/>
      </c>
      <c r="AC374" s="64">
        <f>COUNTIFS($A$4:$A374,$A374,$J$4:$J374,$J374,$E$4:$E374,$E374)</f>
        <v/>
      </c>
      <c r="AD374" s="65">
        <f>$A374&amp;"|"&amp;$J374&amp;"|"&amp;$E374&amp;"|"&amp;$AC374</f>
        <v/>
      </c>
      <c r="AE374" s="66">
        <f>IF($W374&lt;&gt;"","⚑ "&amp;$W374&amp;CHAR(10),"")&amp;TEXT($F374,"hh:mm")&amp;"-"&amp;TEXT($G374,"hh:mm")&amp;IF(OR($P374="Quinzaine A",AND($P374="Hebdo · groupes alternés",$C374="A"))," Q-A",IF(OR($P374="Quinzaine B",AND($P374="Hebdo · groupes alternés",$C374="B"))," Q-B",IF($P374="Exception"," PONCT.","")))&amp;IF($X374="Oui"," OPT","")&amp;CHAR(10)&amp;$K374&amp;CHAR(10)&amp;$M374&amp;IF($N374&lt;&gt;"",CHAR(10)&amp;"Salle "&amp;$N374,"")&amp;IF($O374="En ligne",CHAR(10)&amp;"EN LIGNE","")&amp;IF($V374&lt;&gt;"",CHAR(10)&amp;$V374,"")</f>
        <v/>
      </c>
      <c r="AF374" s="65" t="inlineStr"/>
      <c r="AG374" s="65" t="inlineStr">
        <is>
          <t>— généré —</t>
        </is>
      </c>
    </row>
    <row r="375" ht="15" customHeight="1">
      <c r="A375" s="58" t="inlineStr">
        <is>
          <t>S4</t>
        </is>
      </c>
      <c r="B375" s="59" t="inlineStr">
        <is>
          <t>du 5 au 11 octobre 2026</t>
        </is>
      </c>
      <c r="C375" s="58" t="inlineStr">
        <is>
          <t>B</t>
        </is>
      </c>
      <c r="D375" s="60" t="n">
        <v>46300</v>
      </c>
      <c r="E375" s="58" t="inlineStr">
        <is>
          <t>Lundi</t>
        </is>
      </c>
      <c r="F375" s="61" t="n">
        <v>0.7916666666666666</v>
      </c>
      <c r="G375" s="61" t="n">
        <v>0.8541666666666666</v>
      </c>
      <c r="H375" s="62">
        <f>IF(OR($F375="",$G375=""),"",($G375-$F375)*24)</f>
        <v/>
      </c>
      <c r="I375" s="58" t="inlineStr">
        <is>
          <t>Primaire</t>
        </is>
      </c>
      <c r="J375" s="59" t="inlineStr">
        <is>
          <t>6éme Pilote (A)</t>
        </is>
      </c>
      <c r="K375" s="67" t="inlineStr">
        <is>
          <t>Français</t>
        </is>
      </c>
      <c r="L375" s="67" t="inlineStr">
        <is>
          <t>Français</t>
        </is>
      </c>
      <c r="M375" s="59" t="inlineStr">
        <is>
          <t>Hend</t>
        </is>
      </c>
      <c r="N375" s="58" t="n"/>
      <c r="O375" s="58" t="n"/>
      <c r="P375" s="58" t="inlineStr">
        <is>
          <t>Hebdomadaire</t>
        </is>
      </c>
      <c r="Q375" s="59" t="inlineStr"/>
      <c r="R375" s="58" t="n">
        <v>1</v>
      </c>
      <c r="S375" s="58" t="inlineStr">
        <is>
          <t>Oui</t>
        </is>
      </c>
      <c r="T375" s="58" t="inlineStr">
        <is>
          <t>S4-002</t>
        </is>
      </c>
      <c r="U375" s="59" t="inlineStr">
        <is>
          <t>Généré (octobre)</t>
        </is>
      </c>
      <c r="V375" s="59" t="inlineStr"/>
      <c r="W375" s="10" t="n"/>
      <c r="X375" s="10" t="inlineStr"/>
      <c r="Y375" s="64">
        <f>IF($M375="","",IF(SUMPRODUCT(($D$4:$D$863=$D375)*($M$4:$M$863=$M375)*($T$4:$T$863&lt;&gt;$T375)*($F$4:$F$863&lt;$G375)*($G$4:$G$863&gt;$F375))&gt;0,"⚠ CONFLIT",""))</f>
        <v/>
      </c>
      <c r="Z375" s="64">
        <f>IF($J375="","",IF(SUMPRODUCT(($D$4:$D$863=$D375)*($J$4:$J$863=$J375)*($T$4:$T$863&lt;&gt;$T375)*($F$4:$F$863&lt;$G375)*($G$4:$G$863&gt;$F375)*(1-($X$4:$X$863="Oui")*($X375="Oui")))&gt;0,"⚠ CONFLIT",""))</f>
        <v/>
      </c>
      <c r="AA375" s="64">
        <f>IF(COUNTIFS($D$4:$D$863,$D375,$J$4:$J$863,$J375,$F$4:$F$863,$F375,$K$4:$K$863,$K375)&gt;1,"⚠ DOUBLON","")</f>
        <v/>
      </c>
      <c r="AB375" s="64">
        <f>IF(COUNTIF($T$4:$T$863,$T375)&lt;&gt;COUNTIFS($T$4:$T$863,$T375,$D$4:$D$863,$D375,$F$4:$F$863,$F375,$G$4:$G$863,$G375,$K$4:$K$863,$K375,$M$4:$M$863,$M375),"⚠ INCOHÉRENT","")</f>
        <v/>
      </c>
      <c r="AC375" s="64">
        <f>COUNTIFS($A$4:$A375,$A375,$J$4:$J375,$J375,$E$4:$E375,$E375)</f>
        <v/>
      </c>
      <c r="AD375" s="65">
        <f>$A375&amp;"|"&amp;$J375&amp;"|"&amp;$E375&amp;"|"&amp;$AC375</f>
        <v/>
      </c>
      <c r="AE375" s="66">
        <f>IF($W375&lt;&gt;"","⚑ "&amp;$W375&amp;CHAR(10),"")&amp;TEXT($F375,"hh:mm")&amp;"-"&amp;TEXT($G375,"hh:mm")&amp;IF(OR($P375="Quinzaine A",AND($P375="Hebdo · groupes alternés",$C375="A"))," Q-A",IF(OR($P375="Quinzaine B",AND($P375="Hebdo · groupes alternés",$C375="B"))," Q-B",IF($P375="Exception"," PONCT.","")))&amp;IF($X375="Oui"," OPT","")&amp;CHAR(10)&amp;$K375&amp;CHAR(10)&amp;$M375&amp;IF($N375&lt;&gt;"",CHAR(10)&amp;"Salle "&amp;$N375,"")&amp;IF($O375="En ligne",CHAR(10)&amp;"EN LIGNE","")&amp;IF($V375&lt;&gt;"",CHAR(10)&amp;$V375,"")</f>
        <v/>
      </c>
      <c r="AF375" s="65" t="inlineStr"/>
      <c r="AG375" s="65" t="inlineStr">
        <is>
          <t>— généré —</t>
        </is>
      </c>
    </row>
    <row r="376" ht="15" customHeight="1">
      <c r="A376" s="68" t="inlineStr">
        <is>
          <t>S4</t>
        </is>
      </c>
      <c r="B376" s="69" t="inlineStr">
        <is>
          <t>du 5 au 11 octobre 2026</t>
        </is>
      </c>
      <c r="C376" s="68" t="inlineStr">
        <is>
          <t>B</t>
        </is>
      </c>
      <c r="D376" s="70" t="n">
        <v>46300</v>
      </c>
      <c r="E376" s="68" t="inlineStr">
        <is>
          <t>Lundi</t>
        </is>
      </c>
      <c r="F376" s="71" t="n">
        <v>0.8125</v>
      </c>
      <c r="G376" s="71" t="n">
        <v>0.875</v>
      </c>
      <c r="H376" s="72">
        <f>IF(OR($F376="",$G376=""),"",($G376-$F376)*24)</f>
        <v/>
      </c>
      <c r="I376" s="68" t="inlineStr">
        <is>
          <t>Collège</t>
        </is>
      </c>
      <c r="J376" s="69" t="inlineStr">
        <is>
          <t>7éme (B)</t>
        </is>
      </c>
      <c r="K376" s="63" t="inlineStr">
        <is>
          <t>Arabe</t>
        </is>
      </c>
      <c r="L376" s="63" t="inlineStr">
        <is>
          <t>Arabe</t>
        </is>
      </c>
      <c r="M376" s="69" t="inlineStr">
        <is>
          <t>Yahya</t>
        </is>
      </c>
      <c r="N376" s="68" t="n"/>
      <c r="O376" s="68" t="n"/>
      <c r="P376" s="68" t="inlineStr">
        <is>
          <t>Hebdomadaire</t>
        </is>
      </c>
      <c r="Q376" s="69" t="inlineStr"/>
      <c r="R376" s="68" t="n">
        <v>1</v>
      </c>
      <c r="S376" s="68" t="inlineStr">
        <is>
          <t>Oui</t>
        </is>
      </c>
      <c r="T376" s="68" t="inlineStr">
        <is>
          <t>S4-003</t>
        </is>
      </c>
      <c r="U376" s="69" t="inlineStr">
        <is>
          <t>Généré (octobre)</t>
        </is>
      </c>
      <c r="V376" s="69" t="inlineStr"/>
      <c r="W376" s="10" t="n"/>
      <c r="X376" s="10" t="inlineStr"/>
      <c r="Y376" s="64">
        <f>IF($M376="","",IF(SUMPRODUCT(($D$4:$D$863=$D376)*($M$4:$M$863=$M376)*($T$4:$T$863&lt;&gt;$T376)*($F$4:$F$863&lt;$G376)*($G$4:$G$863&gt;$F376))&gt;0,"⚠ CONFLIT",""))</f>
        <v/>
      </c>
      <c r="Z376" s="64">
        <f>IF($J376="","",IF(SUMPRODUCT(($D$4:$D$863=$D376)*($J$4:$J$863=$J376)*($T$4:$T$863&lt;&gt;$T376)*($F$4:$F$863&lt;$G376)*($G$4:$G$863&gt;$F376)*(1-($X$4:$X$863="Oui")*($X376="Oui")))&gt;0,"⚠ CONFLIT",""))</f>
        <v/>
      </c>
      <c r="AA376" s="64">
        <f>IF(COUNTIFS($D$4:$D$863,$D376,$J$4:$J$863,$J376,$F$4:$F$863,$F376,$K$4:$K$863,$K376)&gt;1,"⚠ DOUBLON","")</f>
        <v/>
      </c>
      <c r="AB376" s="64">
        <f>IF(COUNTIF($T$4:$T$863,$T376)&lt;&gt;COUNTIFS($T$4:$T$863,$T376,$D$4:$D$863,$D376,$F$4:$F$863,$F376,$G$4:$G$863,$G376,$K$4:$K$863,$K376,$M$4:$M$863,$M376),"⚠ INCOHÉRENT","")</f>
        <v/>
      </c>
      <c r="AC376" s="64">
        <f>COUNTIFS($A$4:$A376,$A376,$J$4:$J376,$J376,$E$4:$E376,$E376)</f>
        <v/>
      </c>
      <c r="AD376" s="65">
        <f>$A376&amp;"|"&amp;$J376&amp;"|"&amp;$E376&amp;"|"&amp;$AC376</f>
        <v/>
      </c>
      <c r="AE376" s="66">
        <f>IF($W376&lt;&gt;"","⚑ "&amp;$W376&amp;CHAR(10),"")&amp;TEXT($F376,"hh:mm")&amp;"-"&amp;TEXT($G376,"hh:mm")&amp;IF(OR($P376="Quinzaine A",AND($P376="Hebdo · groupes alternés",$C376="A"))," Q-A",IF(OR($P376="Quinzaine B",AND($P376="Hebdo · groupes alternés",$C376="B"))," Q-B",IF($P376="Exception"," PONCT.","")))&amp;IF($X376="Oui"," OPT","")&amp;CHAR(10)&amp;$K376&amp;CHAR(10)&amp;$M376&amp;IF($N376&lt;&gt;"",CHAR(10)&amp;"Salle "&amp;$N376,"")&amp;IF($O376="En ligne",CHAR(10)&amp;"EN LIGNE","")&amp;IF($V376&lt;&gt;"",CHAR(10)&amp;$V376,"")</f>
        <v/>
      </c>
      <c r="AF376" s="65" t="inlineStr"/>
      <c r="AG376" s="65" t="inlineStr">
        <is>
          <t>— généré —</t>
        </is>
      </c>
    </row>
    <row r="377" ht="15" customHeight="1">
      <c r="A377" s="68" t="inlineStr">
        <is>
          <t>S4</t>
        </is>
      </c>
      <c r="B377" s="69" t="inlineStr">
        <is>
          <t>du 5 au 11 octobre 2026</t>
        </is>
      </c>
      <c r="C377" s="68" t="inlineStr">
        <is>
          <t>B</t>
        </is>
      </c>
      <c r="D377" s="70" t="n">
        <v>46300</v>
      </c>
      <c r="E377" s="68" t="inlineStr">
        <is>
          <t>Lundi</t>
        </is>
      </c>
      <c r="F377" s="71" t="n">
        <v>0.8125</v>
      </c>
      <c r="G377" s="71" t="n">
        <v>0.875</v>
      </c>
      <c r="H377" s="72">
        <f>IF(OR($F377="",$G377=""),"",($G377-$F377)*24)</f>
        <v/>
      </c>
      <c r="I377" s="68" t="inlineStr">
        <is>
          <t>Collège</t>
        </is>
      </c>
      <c r="J377" s="69" t="inlineStr">
        <is>
          <t>9éme (A)</t>
        </is>
      </c>
      <c r="K377" s="73" t="inlineStr">
        <is>
          <t>فيزياء</t>
        </is>
      </c>
      <c r="L377" s="73" t="inlineStr">
        <is>
          <t>Physique</t>
        </is>
      </c>
      <c r="M377" s="69" t="inlineStr">
        <is>
          <t>Melek</t>
        </is>
      </c>
      <c r="N377" s="68" t="n"/>
      <c r="O377" s="68" t="n"/>
      <c r="P377" s="68" t="inlineStr">
        <is>
          <t>Hebdomadaire</t>
        </is>
      </c>
      <c r="Q377" s="69" t="inlineStr">
        <is>
          <t>9éme (A) + 9éme (B) + 9éme (C)</t>
        </is>
      </c>
      <c r="R377" s="68" t="n">
        <v>3</v>
      </c>
      <c r="S377" s="68" t="inlineStr">
        <is>
          <t>Oui</t>
        </is>
      </c>
      <c r="T377" s="68" t="inlineStr">
        <is>
          <t>S4-004</t>
        </is>
      </c>
      <c r="U377" s="69" t="inlineStr">
        <is>
          <t>Généré (octobre)</t>
        </is>
      </c>
      <c r="V377" s="69" t="inlineStr"/>
      <c r="W377" s="10" t="n"/>
      <c r="X377" s="10" t="inlineStr"/>
      <c r="Y377" s="64">
        <f>IF($M377="","",IF(SUMPRODUCT(($D$4:$D$863=$D377)*($M$4:$M$863=$M377)*($T$4:$T$863&lt;&gt;$T377)*($F$4:$F$863&lt;$G377)*($G$4:$G$863&gt;$F377))&gt;0,"⚠ CONFLIT",""))</f>
        <v/>
      </c>
      <c r="Z377" s="64">
        <f>IF($J377="","",IF(SUMPRODUCT(($D$4:$D$863=$D377)*($J$4:$J$863=$J377)*($T$4:$T$863&lt;&gt;$T377)*($F$4:$F$863&lt;$G377)*($G$4:$G$863&gt;$F377)*(1-($X$4:$X$863="Oui")*($X377="Oui")))&gt;0,"⚠ CONFLIT",""))</f>
        <v/>
      </c>
      <c r="AA377" s="64">
        <f>IF(COUNTIFS($D$4:$D$863,$D377,$J$4:$J$863,$J377,$F$4:$F$863,$F377,$K$4:$K$863,$K377)&gt;1,"⚠ DOUBLON","")</f>
        <v/>
      </c>
      <c r="AB377" s="64">
        <f>IF(COUNTIF($T$4:$T$863,$T377)&lt;&gt;COUNTIFS($T$4:$T$863,$T377,$D$4:$D$863,$D377,$F$4:$F$863,$F377,$G$4:$G$863,$G377,$K$4:$K$863,$K377,$M$4:$M$863,$M377),"⚠ INCOHÉRENT","")</f>
        <v/>
      </c>
      <c r="AC377" s="64">
        <f>COUNTIFS($A$4:$A377,$A377,$J$4:$J377,$J377,$E$4:$E377,$E377)</f>
        <v/>
      </c>
      <c r="AD377" s="65">
        <f>$A377&amp;"|"&amp;$J377&amp;"|"&amp;$E377&amp;"|"&amp;$AC377</f>
        <v/>
      </c>
      <c r="AE377" s="66">
        <f>IF($W377&lt;&gt;"","⚑ "&amp;$W377&amp;CHAR(10),"")&amp;TEXT($F377,"hh:mm")&amp;"-"&amp;TEXT($G377,"hh:mm")&amp;IF(OR($P377="Quinzaine A",AND($P377="Hebdo · groupes alternés",$C377="A"))," Q-A",IF(OR($P377="Quinzaine B",AND($P377="Hebdo · groupes alternés",$C377="B"))," Q-B",IF($P377="Exception"," PONCT.","")))&amp;IF($X377="Oui"," OPT","")&amp;CHAR(10)&amp;$K377&amp;CHAR(10)&amp;$M377&amp;IF($N377&lt;&gt;"",CHAR(10)&amp;"Salle "&amp;$N377,"")&amp;IF($O377="En ligne",CHAR(10)&amp;"EN LIGNE","")&amp;IF($V377&lt;&gt;"",CHAR(10)&amp;$V377,"")</f>
        <v/>
      </c>
      <c r="AF377" s="65" t="inlineStr"/>
      <c r="AG377" s="65" t="inlineStr">
        <is>
          <t>— généré —</t>
        </is>
      </c>
    </row>
    <row r="378" ht="15" customHeight="1">
      <c r="A378" s="68" t="inlineStr">
        <is>
          <t>S4</t>
        </is>
      </c>
      <c r="B378" s="69" t="inlineStr">
        <is>
          <t>du 5 au 11 octobre 2026</t>
        </is>
      </c>
      <c r="C378" s="68" t="inlineStr">
        <is>
          <t>B</t>
        </is>
      </c>
      <c r="D378" s="70" t="n">
        <v>46300</v>
      </c>
      <c r="E378" s="68" t="inlineStr">
        <is>
          <t>Lundi</t>
        </is>
      </c>
      <c r="F378" s="71" t="n">
        <v>0.8125</v>
      </c>
      <c r="G378" s="71" t="n">
        <v>0.875</v>
      </c>
      <c r="H378" s="72">
        <f>IF(OR($F378="",$G378=""),"",($G378-$F378)*24)</f>
        <v/>
      </c>
      <c r="I378" s="68" t="inlineStr">
        <is>
          <t>Collège</t>
        </is>
      </c>
      <c r="J378" s="69" t="inlineStr">
        <is>
          <t>9éme (B)</t>
        </is>
      </c>
      <c r="K378" s="73" t="inlineStr">
        <is>
          <t>فيزياء</t>
        </is>
      </c>
      <c r="L378" s="73" t="inlineStr">
        <is>
          <t>Physique</t>
        </is>
      </c>
      <c r="M378" s="69" t="inlineStr">
        <is>
          <t>Melek</t>
        </is>
      </c>
      <c r="N378" s="68" t="n"/>
      <c r="O378" s="68" t="n"/>
      <c r="P378" s="68" t="inlineStr">
        <is>
          <t>Hebdomadaire</t>
        </is>
      </c>
      <c r="Q378" s="69" t="inlineStr">
        <is>
          <t>9éme (A) + 9éme (B) + 9éme (C)</t>
        </is>
      </c>
      <c r="R378" s="68" t="n">
        <v>3</v>
      </c>
      <c r="S378" s="68" t="inlineStr"/>
      <c r="T378" s="68" t="inlineStr">
        <is>
          <t>S4-004</t>
        </is>
      </c>
      <c r="U378" s="69" t="inlineStr">
        <is>
          <t>Généré (octobre)</t>
        </is>
      </c>
      <c r="V378" s="69" t="inlineStr"/>
      <c r="W378" s="10" t="n"/>
      <c r="X378" s="10" t="inlineStr"/>
      <c r="Y378" s="64">
        <f>IF($M378="","",IF(SUMPRODUCT(($D$4:$D$863=$D378)*($M$4:$M$863=$M378)*($T$4:$T$863&lt;&gt;$T378)*($F$4:$F$863&lt;$G378)*($G$4:$G$863&gt;$F378))&gt;0,"⚠ CONFLIT",""))</f>
        <v/>
      </c>
      <c r="Z378" s="64">
        <f>IF($J378="","",IF(SUMPRODUCT(($D$4:$D$863=$D378)*($J$4:$J$863=$J378)*($T$4:$T$863&lt;&gt;$T378)*($F$4:$F$863&lt;$G378)*($G$4:$G$863&gt;$F378)*(1-($X$4:$X$863="Oui")*($X378="Oui")))&gt;0,"⚠ CONFLIT",""))</f>
        <v/>
      </c>
      <c r="AA378" s="64">
        <f>IF(COUNTIFS($D$4:$D$863,$D378,$J$4:$J$863,$J378,$F$4:$F$863,$F378,$K$4:$K$863,$K378)&gt;1,"⚠ DOUBLON","")</f>
        <v/>
      </c>
      <c r="AB378" s="64">
        <f>IF(COUNTIF($T$4:$T$863,$T378)&lt;&gt;COUNTIFS($T$4:$T$863,$T378,$D$4:$D$863,$D378,$F$4:$F$863,$F378,$G$4:$G$863,$G378,$K$4:$K$863,$K378,$M$4:$M$863,$M378),"⚠ INCOHÉRENT","")</f>
        <v/>
      </c>
      <c r="AC378" s="64">
        <f>COUNTIFS($A$4:$A378,$A378,$J$4:$J378,$J378,$E$4:$E378,$E378)</f>
        <v/>
      </c>
      <c r="AD378" s="65">
        <f>$A378&amp;"|"&amp;$J378&amp;"|"&amp;$E378&amp;"|"&amp;$AC378</f>
        <v/>
      </c>
      <c r="AE378" s="66">
        <f>IF($W378&lt;&gt;"","⚑ "&amp;$W378&amp;CHAR(10),"")&amp;TEXT($F378,"hh:mm")&amp;"-"&amp;TEXT($G378,"hh:mm")&amp;IF(OR($P378="Quinzaine A",AND($P378="Hebdo · groupes alternés",$C378="A"))," Q-A",IF(OR($P378="Quinzaine B",AND($P378="Hebdo · groupes alternés",$C378="B"))," Q-B",IF($P378="Exception"," PONCT.","")))&amp;IF($X378="Oui"," OPT","")&amp;CHAR(10)&amp;$K378&amp;CHAR(10)&amp;$M378&amp;IF($N378&lt;&gt;"",CHAR(10)&amp;"Salle "&amp;$N378,"")&amp;IF($O378="En ligne",CHAR(10)&amp;"EN LIGNE","")&amp;IF($V378&lt;&gt;"",CHAR(10)&amp;$V378,"")</f>
        <v/>
      </c>
      <c r="AF378" s="65" t="inlineStr"/>
      <c r="AG378" s="65" t="inlineStr">
        <is>
          <t>— généré —</t>
        </is>
      </c>
    </row>
    <row r="379" ht="15" customHeight="1">
      <c r="A379" s="68" t="inlineStr">
        <is>
          <t>S4</t>
        </is>
      </c>
      <c r="B379" s="69" t="inlineStr">
        <is>
          <t>du 5 au 11 octobre 2026</t>
        </is>
      </c>
      <c r="C379" s="68" t="inlineStr">
        <is>
          <t>B</t>
        </is>
      </c>
      <c r="D379" s="70" t="n">
        <v>46300</v>
      </c>
      <c r="E379" s="68" t="inlineStr">
        <is>
          <t>Lundi</t>
        </is>
      </c>
      <c r="F379" s="71" t="n">
        <v>0.8125</v>
      </c>
      <c r="G379" s="71" t="n">
        <v>0.875</v>
      </c>
      <c r="H379" s="72">
        <f>IF(OR($F379="",$G379=""),"",($G379-$F379)*24)</f>
        <v/>
      </c>
      <c r="I379" s="68" t="inlineStr">
        <is>
          <t>Collège</t>
        </is>
      </c>
      <c r="J379" s="69" t="inlineStr">
        <is>
          <t>9éme (C)</t>
        </is>
      </c>
      <c r="K379" s="73" t="inlineStr">
        <is>
          <t>فيزياء</t>
        </is>
      </c>
      <c r="L379" s="73" t="inlineStr">
        <is>
          <t>Physique</t>
        </is>
      </c>
      <c r="M379" s="69" t="inlineStr">
        <is>
          <t>Melek</t>
        </is>
      </c>
      <c r="N379" s="68" t="n"/>
      <c r="O379" s="68" t="n"/>
      <c r="P379" s="68" t="inlineStr">
        <is>
          <t>Hebdomadaire</t>
        </is>
      </c>
      <c r="Q379" s="69" t="inlineStr">
        <is>
          <t>9éme (A) + 9éme (B) + 9éme (C)</t>
        </is>
      </c>
      <c r="R379" s="68" t="n">
        <v>3</v>
      </c>
      <c r="S379" s="68" t="inlineStr"/>
      <c r="T379" s="68" t="inlineStr">
        <is>
          <t>S4-004</t>
        </is>
      </c>
      <c r="U379" s="69" t="inlineStr">
        <is>
          <t>Généré (octobre)</t>
        </is>
      </c>
      <c r="V379" s="69" t="inlineStr"/>
      <c r="W379" s="10" t="n"/>
      <c r="X379" s="10" t="inlineStr"/>
      <c r="Y379" s="64">
        <f>IF($M379="","",IF(SUMPRODUCT(($D$4:$D$863=$D379)*($M$4:$M$863=$M379)*($T$4:$T$863&lt;&gt;$T379)*($F$4:$F$863&lt;$G379)*($G$4:$G$863&gt;$F379))&gt;0,"⚠ CONFLIT",""))</f>
        <v/>
      </c>
      <c r="Z379" s="64">
        <f>IF($J379="","",IF(SUMPRODUCT(($D$4:$D$863=$D379)*($J$4:$J$863=$J379)*($T$4:$T$863&lt;&gt;$T379)*($F$4:$F$863&lt;$G379)*($G$4:$G$863&gt;$F379)*(1-($X$4:$X$863="Oui")*($X379="Oui")))&gt;0,"⚠ CONFLIT",""))</f>
        <v/>
      </c>
      <c r="AA379" s="64">
        <f>IF(COUNTIFS($D$4:$D$863,$D379,$J$4:$J$863,$J379,$F$4:$F$863,$F379,$K$4:$K$863,$K379)&gt;1,"⚠ DOUBLON","")</f>
        <v/>
      </c>
      <c r="AB379" s="64">
        <f>IF(COUNTIF($T$4:$T$863,$T379)&lt;&gt;COUNTIFS($T$4:$T$863,$T379,$D$4:$D$863,$D379,$F$4:$F$863,$F379,$G$4:$G$863,$G379,$K$4:$K$863,$K379,$M$4:$M$863,$M379),"⚠ INCOHÉRENT","")</f>
        <v/>
      </c>
      <c r="AC379" s="64">
        <f>COUNTIFS($A$4:$A379,$A379,$J$4:$J379,$J379,$E$4:$E379,$E379)</f>
        <v/>
      </c>
      <c r="AD379" s="65">
        <f>$A379&amp;"|"&amp;$J379&amp;"|"&amp;$E379&amp;"|"&amp;$AC379</f>
        <v/>
      </c>
      <c r="AE379" s="66">
        <f>IF($W379&lt;&gt;"","⚑ "&amp;$W379&amp;CHAR(10),"")&amp;TEXT($F379,"hh:mm")&amp;"-"&amp;TEXT($G379,"hh:mm")&amp;IF(OR($P379="Quinzaine A",AND($P379="Hebdo · groupes alternés",$C379="A"))," Q-A",IF(OR($P379="Quinzaine B",AND($P379="Hebdo · groupes alternés",$C379="B"))," Q-B",IF($P379="Exception"," PONCT.","")))&amp;IF($X379="Oui"," OPT","")&amp;CHAR(10)&amp;$K379&amp;CHAR(10)&amp;$M379&amp;IF($N379&lt;&gt;"",CHAR(10)&amp;"Salle "&amp;$N379,"")&amp;IF($O379="En ligne",CHAR(10)&amp;"EN LIGNE","")&amp;IF($V379&lt;&gt;"",CHAR(10)&amp;$V379,"")</f>
        <v/>
      </c>
      <c r="AF379" s="65" t="inlineStr"/>
      <c r="AG379" s="65" t="inlineStr">
        <is>
          <t>— généré —</t>
        </is>
      </c>
    </row>
    <row r="380" ht="15" customHeight="1">
      <c r="A380" s="74" t="inlineStr">
        <is>
          <t>S4</t>
        </is>
      </c>
      <c r="B380" s="75" t="inlineStr">
        <is>
          <t>du 5 au 11 octobre 2026</t>
        </is>
      </c>
      <c r="C380" s="74" t="inlineStr">
        <is>
          <t>B</t>
        </is>
      </c>
      <c r="D380" s="76" t="n">
        <v>46300</v>
      </c>
      <c r="E380" s="74" t="inlineStr">
        <is>
          <t>Lundi</t>
        </is>
      </c>
      <c r="F380" s="77" t="n">
        <v>0.8125</v>
      </c>
      <c r="G380" s="77" t="n">
        <v>0.875</v>
      </c>
      <c r="H380" s="78">
        <f>IF(OR($F380="",$G380=""),"",($G380-$F380)*24)</f>
        <v/>
      </c>
      <c r="I380" s="74" t="inlineStr">
        <is>
          <t>Secondaire</t>
        </is>
      </c>
      <c r="J380" s="75" t="inlineStr">
        <is>
          <t>1ére (A)</t>
        </is>
      </c>
      <c r="K380" s="79" t="inlineStr">
        <is>
          <t>Math</t>
        </is>
      </c>
      <c r="L380" s="79" t="inlineStr">
        <is>
          <t>Math</t>
        </is>
      </c>
      <c r="M380" s="75" t="inlineStr">
        <is>
          <t>Haythem</t>
        </is>
      </c>
      <c r="N380" s="74" t="n"/>
      <c r="O380" s="74" t="n"/>
      <c r="P380" s="74" t="inlineStr">
        <is>
          <t>Hebdomadaire</t>
        </is>
      </c>
      <c r="Q380" s="75" t="inlineStr"/>
      <c r="R380" s="74" t="n">
        <v>1</v>
      </c>
      <c r="S380" s="74" t="inlineStr">
        <is>
          <t>Oui</t>
        </is>
      </c>
      <c r="T380" s="74" t="inlineStr">
        <is>
          <t>S4-005</t>
        </is>
      </c>
      <c r="U380" s="75" t="inlineStr">
        <is>
          <t>Généré (octobre)</t>
        </is>
      </c>
      <c r="V380" s="75" t="inlineStr"/>
      <c r="W380" s="10" t="n"/>
      <c r="X380" s="10" t="inlineStr"/>
      <c r="Y380" s="64">
        <f>IF($M380="","",IF(SUMPRODUCT(($D$4:$D$863=$D380)*($M$4:$M$863=$M380)*($T$4:$T$863&lt;&gt;$T380)*($F$4:$F$863&lt;$G380)*($G$4:$G$863&gt;$F380))&gt;0,"⚠ CONFLIT",""))</f>
        <v/>
      </c>
      <c r="Z380" s="64">
        <f>IF($J380="","",IF(SUMPRODUCT(($D$4:$D$863=$D380)*($J$4:$J$863=$J380)*($T$4:$T$863&lt;&gt;$T380)*($F$4:$F$863&lt;$G380)*($G$4:$G$863&gt;$F380)*(1-($X$4:$X$863="Oui")*($X380="Oui")))&gt;0,"⚠ CONFLIT",""))</f>
        <v/>
      </c>
      <c r="AA380" s="64">
        <f>IF(COUNTIFS($D$4:$D$863,$D380,$J$4:$J$863,$J380,$F$4:$F$863,$F380,$K$4:$K$863,$K380)&gt;1,"⚠ DOUBLON","")</f>
        <v/>
      </c>
      <c r="AB380" s="64">
        <f>IF(COUNTIF($T$4:$T$863,$T380)&lt;&gt;COUNTIFS($T$4:$T$863,$T380,$D$4:$D$863,$D380,$F$4:$F$863,$F380,$G$4:$G$863,$G380,$K$4:$K$863,$K380,$M$4:$M$863,$M380),"⚠ INCOHÉRENT","")</f>
        <v/>
      </c>
      <c r="AC380" s="64">
        <f>COUNTIFS($A$4:$A380,$A380,$J$4:$J380,$J380,$E$4:$E380,$E380)</f>
        <v/>
      </c>
      <c r="AD380" s="65">
        <f>$A380&amp;"|"&amp;$J380&amp;"|"&amp;$E380&amp;"|"&amp;$AC380</f>
        <v/>
      </c>
      <c r="AE380" s="66">
        <f>IF($W380&lt;&gt;"","⚑ "&amp;$W380&amp;CHAR(10),"")&amp;TEXT($F380,"hh:mm")&amp;"-"&amp;TEXT($G380,"hh:mm")&amp;IF(OR($P380="Quinzaine A",AND($P380="Hebdo · groupes alternés",$C380="A"))," Q-A",IF(OR($P380="Quinzaine B",AND($P380="Hebdo · groupes alternés",$C380="B"))," Q-B",IF($P380="Exception"," PONCT.","")))&amp;IF($X380="Oui"," OPT","")&amp;CHAR(10)&amp;$K380&amp;CHAR(10)&amp;$M380&amp;IF($N380&lt;&gt;"",CHAR(10)&amp;"Salle "&amp;$N380,"")&amp;IF($O380="En ligne",CHAR(10)&amp;"EN LIGNE","")&amp;IF($V380&lt;&gt;"",CHAR(10)&amp;$V380,"")</f>
        <v/>
      </c>
      <c r="AF380" s="65" t="inlineStr"/>
      <c r="AG380" s="65" t="inlineStr">
        <is>
          <t>— généré —</t>
        </is>
      </c>
    </row>
    <row r="381" ht="15" customHeight="1">
      <c r="A381" s="74" t="inlineStr">
        <is>
          <t>S4</t>
        </is>
      </c>
      <c r="B381" s="75" t="inlineStr">
        <is>
          <t>du 5 au 11 octobre 2026</t>
        </is>
      </c>
      <c r="C381" s="74" t="inlineStr">
        <is>
          <t>B</t>
        </is>
      </c>
      <c r="D381" s="76" t="n">
        <v>46300</v>
      </c>
      <c r="E381" s="74" t="inlineStr">
        <is>
          <t>Lundi</t>
        </is>
      </c>
      <c r="F381" s="77" t="n">
        <v>0.6458333333333334</v>
      </c>
      <c r="G381" s="77" t="n">
        <v>0.7291666666666666</v>
      </c>
      <c r="H381" s="78">
        <f>IF(OR($F381="",$G381=""),"",($G381-$F381)*24)</f>
        <v/>
      </c>
      <c r="I381" s="74" t="inlineStr">
        <is>
          <t>Secondaire</t>
        </is>
      </c>
      <c r="J381" s="75" t="inlineStr">
        <is>
          <t>3éme INFO</t>
        </is>
      </c>
      <c r="K381" s="96" t="inlineStr">
        <is>
          <t>STI</t>
        </is>
      </c>
      <c r="L381" s="96" t="inlineStr">
        <is>
          <t>STI</t>
        </is>
      </c>
      <c r="M381" s="75" t="inlineStr">
        <is>
          <t>Aymen</t>
        </is>
      </c>
      <c r="N381" s="74" t="n"/>
      <c r="O381" s="74" t="n"/>
      <c r="P381" s="74" t="inlineStr">
        <is>
          <t>Hebdomadaire</t>
        </is>
      </c>
      <c r="Q381" s="75" t="inlineStr"/>
      <c r="R381" s="74" t="n">
        <v>1</v>
      </c>
      <c r="S381" s="74" t="inlineStr">
        <is>
          <t>Oui</t>
        </is>
      </c>
      <c r="T381" s="74" t="inlineStr">
        <is>
          <t>S4-092</t>
        </is>
      </c>
      <c r="U381" s="75" t="inlineStr">
        <is>
          <t>Généré (octobre)</t>
        </is>
      </c>
      <c r="V381" s="75" t="inlineStr"/>
      <c r="W381" s="10" t="n"/>
      <c r="X381" s="10" t="inlineStr"/>
      <c r="Y381" s="64">
        <f>IF($M381="","",IF(SUMPRODUCT(($D$4:$D$863=$D381)*($M$4:$M$863=$M381)*($T$4:$T$863&lt;&gt;$T381)*($F$4:$F$863&lt;$G381)*($G$4:$G$863&gt;$F381))&gt;0,"⚠ CONFLIT",""))</f>
        <v/>
      </c>
      <c r="Z381" s="64">
        <f>IF($J381="","",IF(SUMPRODUCT(($D$4:$D$863=$D381)*($J$4:$J$863=$J381)*($T$4:$T$863&lt;&gt;$T381)*($F$4:$F$863&lt;$G381)*($G$4:$G$863&gt;$F381)*(1-($X$4:$X$863="Oui")*($X381="Oui")))&gt;0,"⚠ CONFLIT",""))</f>
        <v/>
      </c>
      <c r="AA381" s="64">
        <f>IF(COUNTIFS($D$4:$D$863,$D381,$J$4:$J$863,$J381,$F$4:$F$863,$F381,$K$4:$K$863,$K381)&gt;1,"⚠ DOUBLON","")</f>
        <v/>
      </c>
      <c r="AB381" s="64">
        <f>IF(COUNTIF($T$4:$T$863,$T381)&lt;&gt;COUNTIFS($T$4:$T$863,$T381,$D$4:$D$863,$D381,$F$4:$F$863,$F381,$G$4:$G$863,$G381,$K$4:$K$863,$K381,$M$4:$M$863,$M381),"⚠ INCOHÉRENT","")</f>
        <v/>
      </c>
      <c r="AC381" s="64">
        <f>COUNTIFS($A$4:$A381,$A381,$J$4:$J381,$J381,$E$4:$E381,$E381)</f>
        <v/>
      </c>
      <c r="AD381" s="65">
        <f>$A381&amp;"|"&amp;$J381&amp;"|"&amp;$E381&amp;"|"&amp;$AC381</f>
        <v/>
      </c>
      <c r="AE381" s="66">
        <f>IF($W381&lt;&gt;"","⚑ "&amp;$W381&amp;CHAR(10),"")&amp;TEXT($F381,"hh:mm")&amp;"-"&amp;TEXT($G381,"hh:mm")&amp;IF(OR($P381="Quinzaine A",AND($P381="Hebdo · groupes alternés",$C381="A"))," Q-A",IF(OR($P381="Quinzaine B",AND($P381="Hebdo · groupes alternés",$C381="B"))," Q-B",IF($P381="Exception"," PONCT.","")))&amp;IF($X381="Oui"," OPT","")&amp;CHAR(10)&amp;$K381&amp;CHAR(10)&amp;$M381&amp;IF($N381&lt;&gt;"",CHAR(10)&amp;"Salle "&amp;$N381,"")&amp;IF($O381="En ligne",CHAR(10)&amp;"EN LIGNE","")&amp;IF($V381&lt;&gt;"",CHAR(10)&amp;$V381,"")</f>
        <v/>
      </c>
      <c r="AF381" s="65" t="inlineStr"/>
      <c r="AG381" s="65" t="inlineStr">
        <is>
          <t>— généré —</t>
        </is>
      </c>
    </row>
    <row r="382" ht="15" customHeight="1">
      <c r="A382" s="74" t="inlineStr">
        <is>
          <t>S4</t>
        </is>
      </c>
      <c r="B382" s="75" t="inlineStr">
        <is>
          <t>du 5 au 11 octobre 2026</t>
        </is>
      </c>
      <c r="C382" s="74" t="inlineStr">
        <is>
          <t>B</t>
        </is>
      </c>
      <c r="D382" s="76" t="n">
        <v>46300</v>
      </c>
      <c r="E382" s="74" t="inlineStr">
        <is>
          <t>Lundi</t>
        </is>
      </c>
      <c r="F382" s="77" t="n">
        <v>0.7916666666666666</v>
      </c>
      <c r="G382" s="77" t="n">
        <v>0.8541666666666666</v>
      </c>
      <c r="H382" s="78">
        <f>IF(OR($F382="",$G382=""),"",($G382-$F382)*24)</f>
        <v/>
      </c>
      <c r="I382" s="74" t="inlineStr">
        <is>
          <t>Secondaire</t>
        </is>
      </c>
      <c r="J382" s="75" t="inlineStr">
        <is>
          <t>3éme SCE</t>
        </is>
      </c>
      <c r="K382" s="79" t="inlineStr">
        <is>
          <t>Math</t>
        </is>
      </c>
      <c r="L382" s="79" t="inlineStr">
        <is>
          <t>Math</t>
        </is>
      </c>
      <c r="M382" s="75" t="inlineStr">
        <is>
          <t>Lotfi</t>
        </is>
      </c>
      <c r="N382" s="74" t="n"/>
      <c r="O382" s="74" t="n"/>
      <c r="P382" s="74" t="inlineStr">
        <is>
          <t>Hebdomadaire</t>
        </is>
      </c>
      <c r="Q382" s="75" t="inlineStr"/>
      <c r="R382" s="74" t="n">
        <v>1</v>
      </c>
      <c r="S382" s="74" t="inlineStr">
        <is>
          <t>Oui</t>
        </is>
      </c>
      <c r="T382" s="74" t="inlineStr">
        <is>
          <t>S4-093</t>
        </is>
      </c>
      <c r="U382" s="75" t="inlineStr">
        <is>
          <t>Généré (octobre)</t>
        </is>
      </c>
      <c r="V382" s="75" t="inlineStr"/>
      <c r="W382" s="10" t="n"/>
      <c r="X382" s="10" t="inlineStr"/>
      <c r="Y382" s="64">
        <f>IF($M382="","",IF(SUMPRODUCT(($D$4:$D$863=$D382)*($M$4:$M$863=$M382)*($T$4:$T$863&lt;&gt;$T382)*($F$4:$F$863&lt;$G382)*($G$4:$G$863&gt;$F382))&gt;0,"⚠ CONFLIT",""))</f>
        <v/>
      </c>
      <c r="Z382" s="64">
        <f>IF($J382="","",IF(SUMPRODUCT(($D$4:$D$863=$D382)*($J$4:$J$863=$J382)*($T$4:$T$863&lt;&gt;$T382)*($F$4:$F$863&lt;$G382)*($G$4:$G$863&gt;$F382)*(1-($X$4:$X$863="Oui")*($X382="Oui")))&gt;0,"⚠ CONFLIT",""))</f>
        <v/>
      </c>
      <c r="AA382" s="64">
        <f>IF(COUNTIFS($D$4:$D$863,$D382,$J$4:$J$863,$J382,$F$4:$F$863,$F382,$K$4:$K$863,$K382)&gt;1,"⚠ DOUBLON","")</f>
        <v/>
      </c>
      <c r="AB382" s="64">
        <f>IF(COUNTIF($T$4:$T$863,$T382)&lt;&gt;COUNTIFS($T$4:$T$863,$T382,$D$4:$D$863,$D382,$F$4:$F$863,$F382,$G$4:$G$863,$G382,$K$4:$K$863,$K382,$M$4:$M$863,$M382),"⚠ INCOHÉRENT","")</f>
        <v/>
      </c>
      <c r="AC382" s="64">
        <f>COUNTIFS($A$4:$A382,$A382,$J$4:$J382,$J382,$E$4:$E382,$E382)</f>
        <v/>
      </c>
      <c r="AD382" s="65">
        <f>$A382&amp;"|"&amp;$J382&amp;"|"&amp;$E382&amp;"|"&amp;$AC382</f>
        <v/>
      </c>
      <c r="AE382" s="66">
        <f>IF($W382&lt;&gt;"","⚑ "&amp;$W382&amp;CHAR(10),"")&amp;TEXT($F382,"hh:mm")&amp;"-"&amp;TEXT($G382,"hh:mm")&amp;IF(OR($P382="Quinzaine A",AND($P382="Hebdo · groupes alternés",$C382="A"))," Q-A",IF(OR($P382="Quinzaine B",AND($P382="Hebdo · groupes alternés",$C382="B"))," Q-B",IF($P382="Exception"," PONCT.","")))&amp;IF($X382="Oui"," OPT","")&amp;CHAR(10)&amp;$K382&amp;CHAR(10)&amp;$M382&amp;IF($N382&lt;&gt;"",CHAR(10)&amp;"Salle "&amp;$N382,"")&amp;IF($O382="En ligne",CHAR(10)&amp;"EN LIGNE","")&amp;IF($V382&lt;&gt;"",CHAR(10)&amp;$V382,"")</f>
        <v/>
      </c>
      <c r="AF382" s="65" t="inlineStr"/>
      <c r="AG382" s="65" t="inlineStr">
        <is>
          <t>— généré —</t>
        </is>
      </c>
    </row>
    <row r="383" ht="15" customHeight="1">
      <c r="A383" s="81" t="inlineStr">
        <is>
          <t>S4</t>
        </is>
      </c>
      <c r="B383" s="82" t="inlineStr">
        <is>
          <t>du 5 au 11 octobre 2026</t>
        </is>
      </c>
      <c r="C383" s="81" t="inlineStr">
        <is>
          <t>B</t>
        </is>
      </c>
      <c r="D383" s="83" t="n">
        <v>46300</v>
      </c>
      <c r="E383" s="81" t="inlineStr">
        <is>
          <t>Lundi</t>
        </is>
      </c>
      <c r="F383" s="84" t="n">
        <v>0.7916666666666666</v>
      </c>
      <c r="G383" s="84" t="n">
        <v>0.875</v>
      </c>
      <c r="H383" s="85">
        <f>IF(OR($F383="",$G383=""),"",($G383-$F383)*24)</f>
        <v/>
      </c>
      <c r="I383" s="81" t="inlineStr">
        <is>
          <t>Bac</t>
        </is>
      </c>
      <c r="J383" s="82" t="inlineStr">
        <is>
          <t>Bac Eco</t>
        </is>
      </c>
      <c r="K383" s="86" t="inlineStr">
        <is>
          <t>Gestion</t>
        </is>
      </c>
      <c r="L383" s="86" t="inlineStr">
        <is>
          <t>Gestion</t>
        </is>
      </c>
      <c r="M383" s="82" t="inlineStr">
        <is>
          <t>Yassine</t>
        </is>
      </c>
      <c r="N383" s="81" t="n"/>
      <c r="O383" s="81" t="n"/>
      <c r="P383" s="81" t="inlineStr">
        <is>
          <t>Hebdomadaire</t>
        </is>
      </c>
      <c r="Q383" s="82" t="inlineStr"/>
      <c r="R383" s="81" t="n">
        <v>1</v>
      </c>
      <c r="S383" s="81" t="inlineStr">
        <is>
          <t>Oui</t>
        </is>
      </c>
      <c r="T383" s="81" t="inlineStr">
        <is>
          <t>S4-006</t>
        </is>
      </c>
      <c r="U383" s="82" t="inlineStr">
        <is>
          <t>Généré (octobre)</t>
        </is>
      </c>
      <c r="V383" s="82" t="inlineStr"/>
      <c r="W383" s="10" t="n"/>
      <c r="X383" s="10" t="inlineStr"/>
      <c r="Y383" s="64">
        <f>IF($M383="","",IF(SUMPRODUCT(($D$4:$D$863=$D383)*($M$4:$M$863=$M383)*($T$4:$T$863&lt;&gt;$T383)*($F$4:$F$863&lt;$G383)*($G$4:$G$863&gt;$F383))&gt;0,"⚠ CONFLIT",""))</f>
        <v/>
      </c>
      <c r="Z383" s="64">
        <f>IF($J383="","",IF(SUMPRODUCT(($D$4:$D$863=$D383)*($J$4:$J$863=$J383)*($T$4:$T$863&lt;&gt;$T383)*($F$4:$F$863&lt;$G383)*($G$4:$G$863&gt;$F383)*(1-($X$4:$X$863="Oui")*($X383="Oui")))&gt;0,"⚠ CONFLIT",""))</f>
        <v/>
      </c>
      <c r="AA383" s="64">
        <f>IF(COUNTIFS($D$4:$D$863,$D383,$J$4:$J$863,$J383,$F$4:$F$863,$F383,$K$4:$K$863,$K383)&gt;1,"⚠ DOUBLON","")</f>
        <v/>
      </c>
      <c r="AB383" s="64">
        <f>IF(COUNTIF($T$4:$T$863,$T383)&lt;&gt;COUNTIFS($T$4:$T$863,$T383,$D$4:$D$863,$D383,$F$4:$F$863,$F383,$G$4:$G$863,$G383,$K$4:$K$863,$K383,$M$4:$M$863,$M383),"⚠ INCOHÉRENT","")</f>
        <v/>
      </c>
      <c r="AC383" s="64">
        <f>COUNTIFS($A$4:$A383,$A383,$J$4:$J383,$J383,$E$4:$E383,$E383)</f>
        <v/>
      </c>
      <c r="AD383" s="65">
        <f>$A383&amp;"|"&amp;$J383&amp;"|"&amp;$E383&amp;"|"&amp;$AC383</f>
        <v/>
      </c>
      <c r="AE383" s="66">
        <f>IF($W383&lt;&gt;"","⚑ "&amp;$W383&amp;CHAR(10),"")&amp;TEXT($F383,"hh:mm")&amp;"-"&amp;TEXT($G383,"hh:mm")&amp;IF(OR($P383="Quinzaine A",AND($P383="Hebdo · groupes alternés",$C383="A"))," Q-A",IF(OR($P383="Quinzaine B",AND($P383="Hebdo · groupes alternés",$C383="B"))," Q-B",IF($P383="Exception"," PONCT.","")))&amp;IF($X383="Oui"," OPT","")&amp;CHAR(10)&amp;$K383&amp;CHAR(10)&amp;$M383&amp;IF($N383&lt;&gt;"",CHAR(10)&amp;"Salle "&amp;$N383,"")&amp;IF($O383="En ligne",CHAR(10)&amp;"EN LIGNE","")&amp;IF($V383&lt;&gt;"",CHAR(10)&amp;$V383,"")</f>
        <v/>
      </c>
      <c r="AF383" s="65" t="inlineStr"/>
      <c r="AG383" s="65" t="inlineStr">
        <is>
          <t>— généré —</t>
        </is>
      </c>
    </row>
    <row r="384" ht="15" customHeight="1">
      <c r="A384" s="81" t="inlineStr">
        <is>
          <t>S4</t>
        </is>
      </c>
      <c r="B384" s="82" t="inlineStr">
        <is>
          <t>du 5 au 11 octobre 2026</t>
        </is>
      </c>
      <c r="C384" s="81" t="inlineStr">
        <is>
          <t>B</t>
        </is>
      </c>
      <c r="D384" s="83" t="n">
        <v>46300</v>
      </c>
      <c r="E384" s="81" t="inlineStr">
        <is>
          <t>Lundi</t>
        </is>
      </c>
      <c r="F384" s="84" t="n">
        <v>0.7916666666666666</v>
      </c>
      <c r="G384" s="84" t="n">
        <v>0.875</v>
      </c>
      <c r="H384" s="85">
        <f>IF(OR($F384="",$G384=""),"",($G384-$F384)*24)</f>
        <v/>
      </c>
      <c r="I384" s="81" t="inlineStr">
        <is>
          <t>Bac</t>
        </is>
      </c>
      <c r="J384" s="82" t="inlineStr">
        <is>
          <t>Bac SCE</t>
        </is>
      </c>
      <c r="K384" s="73" t="inlineStr">
        <is>
          <t>Physique</t>
        </is>
      </c>
      <c r="L384" s="73" t="inlineStr">
        <is>
          <t>Physique</t>
        </is>
      </c>
      <c r="M384" s="82" t="inlineStr">
        <is>
          <t>Sondes</t>
        </is>
      </c>
      <c r="N384" s="81" t="n"/>
      <c r="O384" s="81" t="n"/>
      <c r="P384" s="81" t="inlineStr">
        <is>
          <t>Hebdomadaire</t>
        </is>
      </c>
      <c r="Q384" s="82" t="inlineStr"/>
      <c r="R384" s="81" t="n">
        <v>1</v>
      </c>
      <c r="S384" s="81" t="inlineStr">
        <is>
          <t>Oui</t>
        </is>
      </c>
      <c r="T384" s="81" t="inlineStr">
        <is>
          <t>S4-007</t>
        </is>
      </c>
      <c r="U384" s="82" t="inlineStr">
        <is>
          <t>Généré (octobre)</t>
        </is>
      </c>
      <c r="V384" s="82" t="inlineStr"/>
      <c r="W384" s="10" t="n"/>
      <c r="X384" s="10" t="inlineStr"/>
      <c r="Y384" s="64">
        <f>IF($M384="","",IF(SUMPRODUCT(($D$4:$D$863=$D384)*($M$4:$M$863=$M384)*($T$4:$T$863&lt;&gt;$T384)*($F$4:$F$863&lt;$G384)*($G$4:$G$863&gt;$F384))&gt;0,"⚠ CONFLIT",""))</f>
        <v/>
      </c>
      <c r="Z384" s="64">
        <f>IF($J384="","",IF(SUMPRODUCT(($D$4:$D$863=$D384)*($J$4:$J$863=$J384)*($T$4:$T$863&lt;&gt;$T384)*($F$4:$F$863&lt;$G384)*($G$4:$G$863&gt;$F384)*(1-($X$4:$X$863="Oui")*($X384="Oui")))&gt;0,"⚠ CONFLIT",""))</f>
        <v/>
      </c>
      <c r="AA384" s="64">
        <f>IF(COUNTIFS($D$4:$D$863,$D384,$J$4:$J$863,$J384,$F$4:$F$863,$F384,$K$4:$K$863,$K384)&gt;1,"⚠ DOUBLON","")</f>
        <v/>
      </c>
      <c r="AB384" s="64">
        <f>IF(COUNTIF($T$4:$T$863,$T384)&lt;&gt;COUNTIFS($T$4:$T$863,$T384,$D$4:$D$863,$D384,$F$4:$F$863,$F384,$G$4:$G$863,$G384,$K$4:$K$863,$K384,$M$4:$M$863,$M384),"⚠ INCOHÉRENT","")</f>
        <v/>
      </c>
      <c r="AC384" s="64">
        <f>COUNTIFS($A$4:$A384,$A384,$J$4:$J384,$J384,$E$4:$E384,$E384)</f>
        <v/>
      </c>
      <c r="AD384" s="65">
        <f>$A384&amp;"|"&amp;$J384&amp;"|"&amp;$E384&amp;"|"&amp;$AC384</f>
        <v/>
      </c>
      <c r="AE384" s="66">
        <f>IF($W384&lt;&gt;"","⚑ "&amp;$W384&amp;CHAR(10),"")&amp;TEXT($F384,"hh:mm")&amp;"-"&amp;TEXT($G384,"hh:mm")&amp;IF(OR($P384="Quinzaine A",AND($P384="Hebdo · groupes alternés",$C384="A"))," Q-A",IF(OR($P384="Quinzaine B",AND($P384="Hebdo · groupes alternés",$C384="B"))," Q-B",IF($P384="Exception"," PONCT.","")))&amp;IF($X384="Oui"," OPT","")&amp;CHAR(10)&amp;$K384&amp;CHAR(10)&amp;$M384&amp;IF($N384&lt;&gt;"",CHAR(10)&amp;"Salle "&amp;$N384,"")&amp;IF($O384="En ligne",CHAR(10)&amp;"EN LIGNE","")&amp;IF($V384&lt;&gt;"",CHAR(10)&amp;$V384,"")</f>
        <v/>
      </c>
      <c r="AF384" s="65" t="inlineStr"/>
      <c r="AG384" s="65" t="inlineStr">
        <is>
          <t>— généré —</t>
        </is>
      </c>
    </row>
    <row r="385" ht="15" customHeight="1">
      <c r="A385" s="81" t="inlineStr">
        <is>
          <t>S4</t>
        </is>
      </c>
      <c r="B385" s="82" t="inlineStr">
        <is>
          <t>du 5 au 11 octobre 2026</t>
        </is>
      </c>
      <c r="C385" s="81" t="inlineStr">
        <is>
          <t>B</t>
        </is>
      </c>
      <c r="D385" s="83" t="n">
        <v>46300</v>
      </c>
      <c r="E385" s="81" t="inlineStr">
        <is>
          <t>Lundi</t>
        </is>
      </c>
      <c r="F385" s="84" t="n">
        <v>0.8125</v>
      </c>
      <c r="G385" s="84" t="n">
        <v>0.875</v>
      </c>
      <c r="H385" s="85">
        <f>IF(OR($F385="",$G385=""),"",($G385-$F385)*24)</f>
        <v/>
      </c>
      <c r="I385" s="81" t="inlineStr">
        <is>
          <t>Bac</t>
        </is>
      </c>
      <c r="J385" s="82" t="inlineStr">
        <is>
          <t>Bac INFO</t>
        </is>
      </c>
      <c r="K385" s="73" t="inlineStr">
        <is>
          <t>Physique</t>
        </is>
      </c>
      <c r="L385" s="73" t="inlineStr">
        <is>
          <t>Physique</t>
        </is>
      </c>
      <c r="M385" s="82" t="inlineStr">
        <is>
          <t>Samia</t>
        </is>
      </c>
      <c r="N385" s="81" t="n"/>
      <c r="O385" s="81" t="n"/>
      <c r="P385" s="81" t="inlineStr">
        <is>
          <t>Hebdomadaire</t>
        </is>
      </c>
      <c r="Q385" s="82" t="inlineStr"/>
      <c r="R385" s="81" t="n">
        <v>1</v>
      </c>
      <c r="S385" s="81" t="inlineStr">
        <is>
          <t>Oui</t>
        </is>
      </c>
      <c r="T385" s="81" t="inlineStr">
        <is>
          <t>S4-008</t>
        </is>
      </c>
      <c r="U385" s="82" t="inlineStr">
        <is>
          <t>Généré (octobre)</t>
        </is>
      </c>
      <c r="V385" s="82" t="inlineStr"/>
      <c r="W385" s="10" t="n"/>
      <c r="X385" s="10" t="inlineStr"/>
      <c r="Y385" s="64">
        <f>IF($M385="","",IF(SUMPRODUCT(($D$4:$D$863=$D385)*($M$4:$M$863=$M385)*($T$4:$T$863&lt;&gt;$T385)*($F$4:$F$863&lt;$G385)*($G$4:$G$863&gt;$F385))&gt;0,"⚠ CONFLIT",""))</f>
        <v/>
      </c>
      <c r="Z385" s="64">
        <f>IF($J385="","",IF(SUMPRODUCT(($D$4:$D$863=$D385)*($J$4:$J$863=$J385)*($T$4:$T$863&lt;&gt;$T385)*($F$4:$F$863&lt;$G385)*($G$4:$G$863&gt;$F385)*(1-($X$4:$X$863="Oui")*($X385="Oui")))&gt;0,"⚠ CONFLIT",""))</f>
        <v/>
      </c>
      <c r="AA385" s="64">
        <f>IF(COUNTIFS($D$4:$D$863,$D385,$J$4:$J$863,$J385,$F$4:$F$863,$F385,$K$4:$K$863,$K385)&gt;1,"⚠ DOUBLON","")</f>
        <v/>
      </c>
      <c r="AB385" s="64">
        <f>IF(COUNTIF($T$4:$T$863,$T385)&lt;&gt;COUNTIFS($T$4:$T$863,$T385,$D$4:$D$863,$D385,$F$4:$F$863,$F385,$G$4:$G$863,$G385,$K$4:$K$863,$K385,$M$4:$M$863,$M385),"⚠ INCOHÉRENT","")</f>
        <v/>
      </c>
      <c r="AC385" s="64">
        <f>COUNTIFS($A$4:$A385,$A385,$J$4:$J385,$J385,$E$4:$E385,$E385)</f>
        <v/>
      </c>
      <c r="AD385" s="65">
        <f>$A385&amp;"|"&amp;$J385&amp;"|"&amp;$E385&amp;"|"&amp;$AC385</f>
        <v/>
      </c>
      <c r="AE385" s="66">
        <f>IF($W385&lt;&gt;"","⚑ "&amp;$W385&amp;CHAR(10),"")&amp;TEXT($F385,"hh:mm")&amp;"-"&amp;TEXT($G385,"hh:mm")&amp;IF(OR($P385="Quinzaine A",AND($P385="Hebdo · groupes alternés",$C385="A"))," Q-A",IF(OR($P385="Quinzaine B",AND($P385="Hebdo · groupes alternés",$C385="B"))," Q-B",IF($P385="Exception"," PONCT.","")))&amp;IF($X385="Oui"," OPT","")&amp;CHAR(10)&amp;$K385&amp;CHAR(10)&amp;$M385&amp;IF($N385&lt;&gt;"",CHAR(10)&amp;"Salle "&amp;$N385,"")&amp;IF($O385="En ligne",CHAR(10)&amp;"EN LIGNE","")&amp;IF($V385&lt;&gt;"",CHAR(10)&amp;$V385,"")</f>
        <v/>
      </c>
      <c r="AF385" s="65" t="inlineStr"/>
      <c r="AG385" s="65" t="inlineStr">
        <is>
          <t>— généré —</t>
        </is>
      </c>
    </row>
    <row r="386" ht="15" customHeight="1">
      <c r="A386" s="58" t="inlineStr">
        <is>
          <t>S4</t>
        </is>
      </c>
      <c r="B386" s="59" t="inlineStr">
        <is>
          <t>du 5 au 11 octobre 2026</t>
        </is>
      </c>
      <c r="C386" s="58" t="inlineStr">
        <is>
          <t>B</t>
        </is>
      </c>
      <c r="D386" s="60" t="n">
        <v>46301</v>
      </c>
      <c r="E386" s="58" t="inlineStr">
        <is>
          <t>Mardi</t>
        </is>
      </c>
      <c r="F386" s="61" t="n">
        <v>0.7916666666666666</v>
      </c>
      <c r="G386" s="61" t="n">
        <v>0.875</v>
      </c>
      <c r="H386" s="62">
        <f>IF(OR($F386="",$G386=""),"",($G386-$F386)*24)</f>
        <v/>
      </c>
      <c r="I386" s="58" t="inlineStr">
        <is>
          <t>Primaire</t>
        </is>
      </c>
      <c r="J386" s="59" t="inlineStr">
        <is>
          <t>5éme</t>
        </is>
      </c>
      <c r="K386" s="63" t="inlineStr">
        <is>
          <t>عربية</t>
        </is>
      </c>
      <c r="L386" s="63" t="inlineStr">
        <is>
          <t>Arabe</t>
        </is>
      </c>
      <c r="M386" s="59" t="inlineStr">
        <is>
          <t>Lobna</t>
        </is>
      </c>
      <c r="N386" s="58" t="n"/>
      <c r="O386" s="58" t="n"/>
      <c r="P386" s="58" t="inlineStr">
        <is>
          <t>Hebdomadaire</t>
        </is>
      </c>
      <c r="Q386" s="59" t="inlineStr"/>
      <c r="R386" s="58" t="n">
        <v>1</v>
      </c>
      <c r="S386" s="58" t="inlineStr">
        <is>
          <t>Oui</t>
        </is>
      </c>
      <c r="T386" s="58" t="inlineStr">
        <is>
          <t>S4-009</t>
        </is>
      </c>
      <c r="U386" s="59" t="inlineStr">
        <is>
          <t>Généré (octobre)</t>
        </is>
      </c>
      <c r="V386" s="59" t="inlineStr"/>
      <c r="W386" s="10" t="n"/>
      <c r="X386" s="10" t="inlineStr"/>
      <c r="Y386" s="64">
        <f>IF($M386="","",IF(SUMPRODUCT(($D$4:$D$863=$D386)*($M$4:$M$863=$M386)*($T$4:$T$863&lt;&gt;$T386)*($F$4:$F$863&lt;$G386)*($G$4:$G$863&gt;$F386))&gt;0,"⚠ CONFLIT",""))</f>
        <v/>
      </c>
      <c r="Z386" s="64">
        <f>IF($J386="","",IF(SUMPRODUCT(($D$4:$D$863=$D386)*($J$4:$J$863=$J386)*($T$4:$T$863&lt;&gt;$T386)*($F$4:$F$863&lt;$G386)*($G$4:$G$863&gt;$F386)*(1-($X$4:$X$863="Oui")*($X386="Oui")))&gt;0,"⚠ CONFLIT",""))</f>
        <v/>
      </c>
      <c r="AA386" s="64">
        <f>IF(COUNTIFS($D$4:$D$863,$D386,$J$4:$J$863,$J386,$F$4:$F$863,$F386,$K$4:$K$863,$K386)&gt;1,"⚠ DOUBLON","")</f>
        <v/>
      </c>
      <c r="AB386" s="64">
        <f>IF(COUNTIF($T$4:$T$863,$T386)&lt;&gt;COUNTIFS($T$4:$T$863,$T386,$D$4:$D$863,$D386,$F$4:$F$863,$F386,$G$4:$G$863,$G386,$K$4:$K$863,$K386,$M$4:$M$863,$M386),"⚠ INCOHÉRENT","")</f>
        <v/>
      </c>
      <c r="AC386" s="64">
        <f>COUNTIFS($A$4:$A386,$A386,$J$4:$J386,$J386,$E$4:$E386,$E386)</f>
        <v/>
      </c>
      <c r="AD386" s="65">
        <f>$A386&amp;"|"&amp;$J386&amp;"|"&amp;$E386&amp;"|"&amp;$AC386</f>
        <v/>
      </c>
      <c r="AE386" s="66">
        <f>IF($W386&lt;&gt;"","⚑ "&amp;$W386&amp;CHAR(10),"")&amp;TEXT($F386,"hh:mm")&amp;"-"&amp;TEXT($G386,"hh:mm")&amp;IF(OR($P386="Quinzaine A",AND($P386="Hebdo · groupes alternés",$C386="A"))," Q-A",IF(OR($P386="Quinzaine B",AND($P386="Hebdo · groupes alternés",$C386="B"))," Q-B",IF($P386="Exception"," PONCT.","")))&amp;IF($X386="Oui"," OPT","")&amp;CHAR(10)&amp;$K386&amp;CHAR(10)&amp;$M386&amp;IF($N386&lt;&gt;"",CHAR(10)&amp;"Salle "&amp;$N386,"")&amp;IF($O386="En ligne",CHAR(10)&amp;"EN LIGNE","")&amp;IF($V386&lt;&gt;"",CHAR(10)&amp;$V386,"")</f>
        <v/>
      </c>
      <c r="AF386" s="65" t="inlineStr"/>
      <c r="AG386" s="65" t="inlineStr">
        <is>
          <t>— généré —</t>
        </is>
      </c>
    </row>
    <row r="387" ht="15" customHeight="1">
      <c r="A387" s="58" t="inlineStr">
        <is>
          <t>S4</t>
        </is>
      </c>
      <c r="B387" s="59" t="inlineStr">
        <is>
          <t>du 5 au 11 octobre 2026</t>
        </is>
      </c>
      <c r="C387" s="58" t="inlineStr">
        <is>
          <t>B</t>
        </is>
      </c>
      <c r="D387" s="60" t="n">
        <v>46301</v>
      </c>
      <c r="E387" s="58" t="inlineStr">
        <is>
          <t>Mardi</t>
        </is>
      </c>
      <c r="F387" s="61" t="n">
        <v>0.7916666666666666</v>
      </c>
      <c r="G387" s="61" t="n">
        <v>0.8541666666666666</v>
      </c>
      <c r="H387" s="62">
        <f>IF(OR($F387="",$G387=""),"",($G387-$F387)*24)</f>
        <v/>
      </c>
      <c r="I387" s="58" t="inlineStr">
        <is>
          <t>Primaire</t>
        </is>
      </c>
      <c r="J387" s="59" t="inlineStr">
        <is>
          <t>6éme (B)</t>
        </is>
      </c>
      <c r="K387" s="67" t="inlineStr">
        <is>
          <t>Français</t>
        </is>
      </c>
      <c r="L387" s="67" t="inlineStr">
        <is>
          <t>Français</t>
        </is>
      </c>
      <c r="M387" s="59" t="inlineStr">
        <is>
          <t>Hend</t>
        </is>
      </c>
      <c r="N387" s="58" t="n"/>
      <c r="O387" s="58" t="n"/>
      <c r="P387" s="58" t="inlineStr">
        <is>
          <t>Hebdomadaire</t>
        </is>
      </c>
      <c r="Q387" s="59" t="inlineStr"/>
      <c r="R387" s="58" t="n">
        <v>1</v>
      </c>
      <c r="S387" s="58" t="inlineStr">
        <is>
          <t>Oui</t>
        </is>
      </c>
      <c r="T387" s="58" t="inlineStr">
        <is>
          <t>S4-010</t>
        </is>
      </c>
      <c r="U387" s="59" t="inlineStr">
        <is>
          <t>Généré (octobre)</t>
        </is>
      </c>
      <c r="V387" s="59" t="inlineStr"/>
      <c r="W387" s="10" t="n"/>
      <c r="X387" s="10" t="inlineStr"/>
      <c r="Y387" s="64">
        <f>IF($M387="","",IF(SUMPRODUCT(($D$4:$D$863=$D387)*($M$4:$M$863=$M387)*($T$4:$T$863&lt;&gt;$T387)*($F$4:$F$863&lt;$G387)*($G$4:$G$863&gt;$F387))&gt;0,"⚠ CONFLIT",""))</f>
        <v/>
      </c>
      <c r="Z387" s="64">
        <f>IF($J387="","",IF(SUMPRODUCT(($D$4:$D$863=$D387)*($J$4:$J$863=$J387)*($T$4:$T$863&lt;&gt;$T387)*($F$4:$F$863&lt;$G387)*($G$4:$G$863&gt;$F387)*(1-($X$4:$X$863="Oui")*($X387="Oui")))&gt;0,"⚠ CONFLIT",""))</f>
        <v/>
      </c>
      <c r="AA387" s="64">
        <f>IF(COUNTIFS($D$4:$D$863,$D387,$J$4:$J$863,$J387,$F$4:$F$863,$F387,$K$4:$K$863,$K387)&gt;1,"⚠ DOUBLON","")</f>
        <v/>
      </c>
      <c r="AB387" s="64">
        <f>IF(COUNTIF($T$4:$T$863,$T387)&lt;&gt;COUNTIFS($T$4:$T$863,$T387,$D$4:$D$863,$D387,$F$4:$F$863,$F387,$G$4:$G$863,$G387,$K$4:$K$863,$K387,$M$4:$M$863,$M387),"⚠ INCOHÉRENT","")</f>
        <v/>
      </c>
      <c r="AC387" s="64">
        <f>COUNTIFS($A$4:$A387,$A387,$J$4:$J387,$J387,$E$4:$E387,$E387)</f>
        <v/>
      </c>
      <c r="AD387" s="65">
        <f>$A387&amp;"|"&amp;$J387&amp;"|"&amp;$E387&amp;"|"&amp;$AC387</f>
        <v/>
      </c>
      <c r="AE387" s="66">
        <f>IF($W387&lt;&gt;"","⚑ "&amp;$W387&amp;CHAR(10),"")&amp;TEXT($F387,"hh:mm")&amp;"-"&amp;TEXT($G387,"hh:mm")&amp;IF(OR($P387="Quinzaine A",AND($P387="Hebdo · groupes alternés",$C387="A"))," Q-A",IF(OR($P387="Quinzaine B",AND($P387="Hebdo · groupes alternés",$C387="B"))," Q-B",IF($P387="Exception"," PONCT.","")))&amp;IF($X387="Oui"," OPT","")&amp;CHAR(10)&amp;$K387&amp;CHAR(10)&amp;$M387&amp;IF($N387&lt;&gt;"",CHAR(10)&amp;"Salle "&amp;$N387,"")&amp;IF($O387="En ligne",CHAR(10)&amp;"EN LIGNE","")&amp;IF($V387&lt;&gt;"",CHAR(10)&amp;$V387,"")</f>
        <v/>
      </c>
      <c r="AF387" s="65" t="inlineStr"/>
      <c r="AG387" s="65" t="inlineStr">
        <is>
          <t>— généré —</t>
        </is>
      </c>
    </row>
    <row r="388" ht="15" customHeight="1">
      <c r="A388" s="68" t="inlineStr">
        <is>
          <t>S4</t>
        </is>
      </c>
      <c r="B388" s="69" t="inlineStr">
        <is>
          <t>du 5 au 11 octobre 2026</t>
        </is>
      </c>
      <c r="C388" s="68" t="inlineStr">
        <is>
          <t>B</t>
        </is>
      </c>
      <c r="D388" s="70" t="n">
        <v>46301</v>
      </c>
      <c r="E388" s="68" t="inlineStr">
        <is>
          <t>Mardi</t>
        </is>
      </c>
      <c r="F388" s="71" t="n">
        <v>0.7916666666666666</v>
      </c>
      <c r="G388" s="71" t="n">
        <v>0.8541666666666666</v>
      </c>
      <c r="H388" s="72">
        <f>IF(OR($F388="",$G388=""),"",($G388-$F388)*24)</f>
        <v/>
      </c>
      <c r="I388" s="68" t="inlineStr">
        <is>
          <t>Collège</t>
        </is>
      </c>
      <c r="J388" s="69" t="inlineStr">
        <is>
          <t>7éme (B)</t>
        </is>
      </c>
      <c r="K388" s="87" t="inlineStr">
        <is>
          <t>Anglais</t>
        </is>
      </c>
      <c r="L388" s="87" t="inlineStr">
        <is>
          <t>Anglais</t>
        </is>
      </c>
      <c r="M388" s="69" t="inlineStr">
        <is>
          <t>Imen Ben Lazrak</t>
        </is>
      </c>
      <c r="N388" s="68" t="n"/>
      <c r="O388" s="68" t="n"/>
      <c r="P388" s="68" t="inlineStr">
        <is>
          <t>Hebdo · groupes alternés</t>
        </is>
      </c>
      <c r="Q388" s="69" t="inlineStr"/>
      <c r="R388" s="68" t="n">
        <v>1</v>
      </c>
      <c r="S388" s="68" t="inlineStr">
        <is>
          <t>Oui</t>
        </is>
      </c>
      <c r="T388" s="68" t="inlineStr">
        <is>
          <t>S4-011</t>
        </is>
      </c>
      <c r="U388" s="69" t="inlineStr">
        <is>
          <t>Généré (octobre)</t>
        </is>
      </c>
      <c r="V388" s="69" t="inlineStr"/>
      <c r="W388" s="10" t="n"/>
      <c r="X388" s="10" t="inlineStr"/>
      <c r="Y388" s="64">
        <f>IF($M388="","",IF(SUMPRODUCT(($D$4:$D$863=$D388)*($M$4:$M$863=$M388)*($T$4:$T$863&lt;&gt;$T388)*($F$4:$F$863&lt;$G388)*($G$4:$G$863&gt;$F388))&gt;0,"⚠ CONFLIT",""))</f>
        <v/>
      </c>
      <c r="Z388" s="64">
        <f>IF($J388="","",IF(SUMPRODUCT(($D$4:$D$863=$D388)*($J$4:$J$863=$J388)*($T$4:$T$863&lt;&gt;$T388)*($F$4:$F$863&lt;$G388)*($G$4:$G$863&gt;$F388)*(1-($X$4:$X$863="Oui")*($X388="Oui")))&gt;0,"⚠ CONFLIT",""))</f>
        <v/>
      </c>
      <c r="AA388" s="64">
        <f>IF(COUNTIFS($D$4:$D$863,$D388,$J$4:$J$863,$J388,$F$4:$F$863,$F388,$K$4:$K$863,$K388)&gt;1,"⚠ DOUBLON","")</f>
        <v/>
      </c>
      <c r="AB388" s="64">
        <f>IF(COUNTIF($T$4:$T$863,$T388)&lt;&gt;COUNTIFS($T$4:$T$863,$T388,$D$4:$D$863,$D388,$F$4:$F$863,$F388,$G$4:$G$863,$G388,$K$4:$K$863,$K388,$M$4:$M$863,$M388),"⚠ INCOHÉRENT","")</f>
        <v/>
      </c>
      <c r="AC388" s="64">
        <f>COUNTIFS($A$4:$A388,$A388,$J$4:$J388,$J388,$E$4:$E388,$E388)</f>
        <v/>
      </c>
      <c r="AD388" s="65">
        <f>$A388&amp;"|"&amp;$J388&amp;"|"&amp;$E388&amp;"|"&amp;$AC388</f>
        <v/>
      </c>
      <c r="AE388" s="66">
        <f>IF($W388&lt;&gt;"","⚑ "&amp;$W388&amp;CHAR(10),"")&amp;TEXT($F388,"hh:mm")&amp;"-"&amp;TEXT($G388,"hh:mm")&amp;IF(OR($P388="Quinzaine A",AND($P388="Hebdo · groupes alternés",$C388="A"))," Q-A",IF(OR($P388="Quinzaine B",AND($P388="Hebdo · groupes alternés",$C388="B"))," Q-B",IF($P388="Exception"," PONCT.","")))&amp;IF($X388="Oui"," OPT","")&amp;CHAR(10)&amp;$K388&amp;CHAR(10)&amp;$M388&amp;IF($N388&lt;&gt;"",CHAR(10)&amp;"Salle "&amp;$N388,"")&amp;IF($O388="En ligne",CHAR(10)&amp;"EN LIGNE","")&amp;IF($V388&lt;&gt;"",CHAR(10)&amp;$V388,"")</f>
        <v/>
      </c>
      <c r="AF388" s="65" t="inlineStr"/>
      <c r="AG388" s="65" t="inlineStr">
        <is>
          <t>— généré —</t>
        </is>
      </c>
    </row>
    <row r="389" ht="15" customHeight="1">
      <c r="A389" s="68" t="inlineStr">
        <is>
          <t>S4</t>
        </is>
      </c>
      <c r="B389" s="69" t="inlineStr">
        <is>
          <t>du 5 au 11 octobre 2026</t>
        </is>
      </c>
      <c r="C389" s="68" t="inlineStr">
        <is>
          <t>B</t>
        </is>
      </c>
      <c r="D389" s="70" t="n">
        <v>46301</v>
      </c>
      <c r="E389" s="68" t="inlineStr">
        <is>
          <t>Mardi</t>
        </is>
      </c>
      <c r="F389" s="71" t="n">
        <v>0.8125</v>
      </c>
      <c r="G389" s="71" t="n">
        <v>0.875</v>
      </c>
      <c r="H389" s="72">
        <f>IF(OR($F389="",$G389=""),"",($G389-$F389)*24)</f>
        <v/>
      </c>
      <c r="I389" s="68" t="inlineStr">
        <is>
          <t>Collège</t>
        </is>
      </c>
      <c r="J389" s="69" t="inlineStr">
        <is>
          <t>8éme (B)</t>
        </is>
      </c>
      <c r="K389" s="63" t="inlineStr">
        <is>
          <t>Arabe</t>
        </is>
      </c>
      <c r="L389" s="63" t="inlineStr">
        <is>
          <t>Arabe</t>
        </is>
      </c>
      <c r="M389" s="69" t="inlineStr">
        <is>
          <t>Yahya</t>
        </is>
      </c>
      <c r="N389" s="68" t="n"/>
      <c r="O389" s="68" t="n"/>
      <c r="P389" s="68" t="inlineStr">
        <is>
          <t>Hebdomadaire</t>
        </is>
      </c>
      <c r="Q389" s="69" t="inlineStr">
        <is>
          <t>8éme (B) + 8éme (C)</t>
        </is>
      </c>
      <c r="R389" s="68" t="n">
        <v>2</v>
      </c>
      <c r="S389" s="68" t="inlineStr">
        <is>
          <t>Oui</t>
        </is>
      </c>
      <c r="T389" s="68" t="inlineStr">
        <is>
          <t>S4-012</t>
        </is>
      </c>
      <c r="U389" s="69" t="inlineStr">
        <is>
          <t>Généré (octobre)</t>
        </is>
      </c>
      <c r="V389" s="69" t="inlineStr"/>
      <c r="W389" s="10" t="n"/>
      <c r="X389" s="10" t="inlineStr"/>
      <c r="Y389" s="64">
        <f>IF($M389="","",IF(SUMPRODUCT(($D$4:$D$863=$D389)*($M$4:$M$863=$M389)*($T$4:$T$863&lt;&gt;$T389)*($F$4:$F$863&lt;$G389)*($G$4:$G$863&gt;$F389))&gt;0,"⚠ CONFLIT",""))</f>
        <v/>
      </c>
      <c r="Z389" s="64">
        <f>IF($J389="","",IF(SUMPRODUCT(($D$4:$D$863=$D389)*($J$4:$J$863=$J389)*($T$4:$T$863&lt;&gt;$T389)*($F$4:$F$863&lt;$G389)*($G$4:$G$863&gt;$F389)*(1-($X$4:$X$863="Oui")*($X389="Oui")))&gt;0,"⚠ CONFLIT",""))</f>
        <v/>
      </c>
      <c r="AA389" s="64">
        <f>IF(COUNTIFS($D$4:$D$863,$D389,$J$4:$J$863,$J389,$F$4:$F$863,$F389,$K$4:$K$863,$K389)&gt;1,"⚠ DOUBLON","")</f>
        <v/>
      </c>
      <c r="AB389" s="64">
        <f>IF(COUNTIF($T$4:$T$863,$T389)&lt;&gt;COUNTIFS($T$4:$T$863,$T389,$D$4:$D$863,$D389,$F$4:$F$863,$F389,$G$4:$G$863,$G389,$K$4:$K$863,$K389,$M$4:$M$863,$M389),"⚠ INCOHÉRENT","")</f>
        <v/>
      </c>
      <c r="AC389" s="64">
        <f>COUNTIFS($A$4:$A389,$A389,$J$4:$J389,$J389,$E$4:$E389,$E389)</f>
        <v/>
      </c>
      <c r="AD389" s="65">
        <f>$A389&amp;"|"&amp;$J389&amp;"|"&amp;$E389&amp;"|"&amp;$AC389</f>
        <v/>
      </c>
      <c r="AE389" s="66">
        <f>IF($W389&lt;&gt;"","⚑ "&amp;$W389&amp;CHAR(10),"")&amp;TEXT($F389,"hh:mm")&amp;"-"&amp;TEXT($G389,"hh:mm")&amp;IF(OR($P389="Quinzaine A",AND($P389="Hebdo · groupes alternés",$C389="A"))," Q-A",IF(OR($P389="Quinzaine B",AND($P389="Hebdo · groupes alternés",$C389="B"))," Q-B",IF($P389="Exception"," PONCT.","")))&amp;IF($X389="Oui"," OPT","")&amp;CHAR(10)&amp;$K389&amp;CHAR(10)&amp;$M389&amp;IF($N389&lt;&gt;"",CHAR(10)&amp;"Salle "&amp;$N389,"")&amp;IF($O389="En ligne",CHAR(10)&amp;"EN LIGNE","")&amp;IF($V389&lt;&gt;"",CHAR(10)&amp;$V389,"")</f>
        <v/>
      </c>
      <c r="AF389" s="65" t="inlineStr"/>
      <c r="AG389" s="65" t="inlineStr">
        <is>
          <t>— généré —</t>
        </is>
      </c>
    </row>
    <row r="390" ht="15" customHeight="1">
      <c r="A390" s="68" t="inlineStr">
        <is>
          <t>S4</t>
        </is>
      </c>
      <c r="B390" s="69" t="inlineStr">
        <is>
          <t>du 5 au 11 octobre 2026</t>
        </is>
      </c>
      <c r="C390" s="68" t="inlineStr">
        <is>
          <t>B</t>
        </is>
      </c>
      <c r="D390" s="70" t="n">
        <v>46301</v>
      </c>
      <c r="E390" s="68" t="inlineStr">
        <is>
          <t>Mardi</t>
        </is>
      </c>
      <c r="F390" s="71" t="n">
        <v>0.8125</v>
      </c>
      <c r="G390" s="71" t="n">
        <v>0.875</v>
      </c>
      <c r="H390" s="72">
        <f>IF(OR($F390="",$G390=""),"",($G390-$F390)*24)</f>
        <v/>
      </c>
      <c r="I390" s="68" t="inlineStr">
        <is>
          <t>Collège</t>
        </is>
      </c>
      <c r="J390" s="69" t="inlineStr">
        <is>
          <t>8éme (C)</t>
        </is>
      </c>
      <c r="K390" s="63" t="inlineStr">
        <is>
          <t>Arabe</t>
        </is>
      </c>
      <c r="L390" s="63" t="inlineStr">
        <is>
          <t>Arabe</t>
        </is>
      </c>
      <c r="M390" s="69" t="inlineStr">
        <is>
          <t>Yahya</t>
        </is>
      </c>
      <c r="N390" s="68" t="n"/>
      <c r="O390" s="68" t="n"/>
      <c r="P390" s="68" t="inlineStr">
        <is>
          <t>Hebdomadaire</t>
        </is>
      </c>
      <c r="Q390" s="69" t="inlineStr">
        <is>
          <t>8éme (B) + 8éme (C)</t>
        </is>
      </c>
      <c r="R390" s="68" t="n">
        <v>2</v>
      </c>
      <c r="S390" s="68" t="inlineStr"/>
      <c r="T390" s="68" t="inlineStr">
        <is>
          <t>S4-012</t>
        </is>
      </c>
      <c r="U390" s="69" t="inlineStr">
        <is>
          <t>Généré (octobre)</t>
        </is>
      </c>
      <c r="V390" s="69" t="inlineStr"/>
      <c r="W390" s="10" t="n"/>
      <c r="X390" s="10" t="inlineStr"/>
      <c r="Y390" s="64">
        <f>IF($M390="","",IF(SUMPRODUCT(($D$4:$D$863=$D390)*($M$4:$M$863=$M390)*($T$4:$T$863&lt;&gt;$T390)*($F$4:$F$863&lt;$G390)*($G$4:$G$863&gt;$F390))&gt;0,"⚠ CONFLIT",""))</f>
        <v/>
      </c>
      <c r="Z390" s="64">
        <f>IF($J390="","",IF(SUMPRODUCT(($D$4:$D$863=$D390)*($J$4:$J$863=$J390)*($T$4:$T$863&lt;&gt;$T390)*($F$4:$F$863&lt;$G390)*($G$4:$G$863&gt;$F390)*(1-($X$4:$X$863="Oui")*($X390="Oui")))&gt;0,"⚠ CONFLIT",""))</f>
        <v/>
      </c>
      <c r="AA390" s="64">
        <f>IF(COUNTIFS($D$4:$D$863,$D390,$J$4:$J$863,$J390,$F$4:$F$863,$F390,$K$4:$K$863,$K390)&gt;1,"⚠ DOUBLON","")</f>
        <v/>
      </c>
      <c r="AB390" s="64">
        <f>IF(COUNTIF($T$4:$T$863,$T390)&lt;&gt;COUNTIFS($T$4:$T$863,$T390,$D$4:$D$863,$D390,$F$4:$F$863,$F390,$G$4:$G$863,$G390,$K$4:$K$863,$K390,$M$4:$M$863,$M390),"⚠ INCOHÉRENT","")</f>
        <v/>
      </c>
      <c r="AC390" s="64">
        <f>COUNTIFS($A$4:$A390,$A390,$J$4:$J390,$J390,$E$4:$E390,$E390)</f>
        <v/>
      </c>
      <c r="AD390" s="65">
        <f>$A390&amp;"|"&amp;$J390&amp;"|"&amp;$E390&amp;"|"&amp;$AC390</f>
        <v/>
      </c>
      <c r="AE390" s="66">
        <f>IF($W390&lt;&gt;"","⚑ "&amp;$W390&amp;CHAR(10),"")&amp;TEXT($F390,"hh:mm")&amp;"-"&amp;TEXT($G390,"hh:mm")&amp;IF(OR($P390="Quinzaine A",AND($P390="Hebdo · groupes alternés",$C390="A"))," Q-A",IF(OR($P390="Quinzaine B",AND($P390="Hebdo · groupes alternés",$C390="B"))," Q-B",IF($P390="Exception"," PONCT.","")))&amp;IF($X390="Oui"," OPT","")&amp;CHAR(10)&amp;$K390&amp;CHAR(10)&amp;$M390&amp;IF($N390&lt;&gt;"",CHAR(10)&amp;"Salle "&amp;$N390,"")&amp;IF($O390="En ligne",CHAR(10)&amp;"EN LIGNE","")&amp;IF($V390&lt;&gt;"",CHAR(10)&amp;$V390,"")</f>
        <v/>
      </c>
      <c r="AF390" s="65" t="inlineStr"/>
      <c r="AG390" s="65" t="inlineStr">
        <is>
          <t>— généré —</t>
        </is>
      </c>
    </row>
    <row r="391" ht="15" customHeight="1">
      <c r="A391" s="68" t="inlineStr">
        <is>
          <t>S4</t>
        </is>
      </c>
      <c r="B391" s="69" t="inlineStr">
        <is>
          <t>du 5 au 11 octobre 2026</t>
        </is>
      </c>
      <c r="C391" s="68" t="inlineStr">
        <is>
          <t>B</t>
        </is>
      </c>
      <c r="D391" s="70" t="n">
        <v>46301</v>
      </c>
      <c r="E391" s="68" t="inlineStr">
        <is>
          <t>Mardi</t>
        </is>
      </c>
      <c r="F391" s="71" t="n">
        <v>0.7916666666666666</v>
      </c>
      <c r="G391" s="71" t="n">
        <v>0.8541666666666666</v>
      </c>
      <c r="H391" s="72">
        <f>IF(OR($F391="",$G391=""),"",($G391-$F391)*24)</f>
        <v/>
      </c>
      <c r="I391" s="68" t="inlineStr">
        <is>
          <t>Collège</t>
        </is>
      </c>
      <c r="J391" s="69" t="inlineStr">
        <is>
          <t>9éme (A)</t>
        </is>
      </c>
      <c r="K391" s="79" t="inlineStr">
        <is>
          <t>Math</t>
        </is>
      </c>
      <c r="L391" s="79" t="inlineStr">
        <is>
          <t>Math</t>
        </is>
      </c>
      <c r="M391" s="69" t="inlineStr">
        <is>
          <t>Faouzi</t>
        </is>
      </c>
      <c r="N391" s="68" t="n"/>
      <c r="O391" s="68" t="n"/>
      <c r="P391" s="68" t="inlineStr">
        <is>
          <t>Hebdomadaire</t>
        </is>
      </c>
      <c r="Q391" s="69" t="inlineStr"/>
      <c r="R391" s="68" t="n">
        <v>1</v>
      </c>
      <c r="S391" s="68" t="inlineStr">
        <is>
          <t>Oui</t>
        </is>
      </c>
      <c r="T391" s="68" t="inlineStr">
        <is>
          <t>S4-013</t>
        </is>
      </c>
      <c r="U391" s="69" t="inlineStr">
        <is>
          <t>Généré (octobre)</t>
        </is>
      </c>
      <c r="V391" s="69" t="inlineStr"/>
      <c r="W391" s="10" t="n"/>
      <c r="X391" s="10" t="inlineStr"/>
      <c r="Y391" s="64">
        <f>IF($M391="","",IF(SUMPRODUCT(($D$4:$D$863=$D391)*($M$4:$M$863=$M391)*($T$4:$T$863&lt;&gt;$T391)*($F$4:$F$863&lt;$G391)*($G$4:$G$863&gt;$F391))&gt;0,"⚠ CONFLIT",""))</f>
        <v/>
      </c>
      <c r="Z391" s="64">
        <f>IF($J391="","",IF(SUMPRODUCT(($D$4:$D$863=$D391)*($J$4:$J$863=$J391)*($T$4:$T$863&lt;&gt;$T391)*($F$4:$F$863&lt;$G391)*($G$4:$G$863&gt;$F391)*(1-($X$4:$X$863="Oui")*($X391="Oui")))&gt;0,"⚠ CONFLIT",""))</f>
        <v/>
      </c>
      <c r="AA391" s="64">
        <f>IF(COUNTIFS($D$4:$D$863,$D391,$J$4:$J$863,$J391,$F$4:$F$863,$F391,$K$4:$K$863,$K391)&gt;1,"⚠ DOUBLON","")</f>
        <v/>
      </c>
      <c r="AB391" s="64">
        <f>IF(COUNTIF($T$4:$T$863,$T391)&lt;&gt;COUNTIFS($T$4:$T$863,$T391,$D$4:$D$863,$D391,$F$4:$F$863,$F391,$G$4:$G$863,$G391,$K$4:$K$863,$K391,$M$4:$M$863,$M391),"⚠ INCOHÉRENT","")</f>
        <v/>
      </c>
      <c r="AC391" s="64">
        <f>COUNTIFS($A$4:$A391,$A391,$J$4:$J391,$J391,$E$4:$E391,$E391)</f>
        <v/>
      </c>
      <c r="AD391" s="65">
        <f>$A391&amp;"|"&amp;$J391&amp;"|"&amp;$E391&amp;"|"&amp;$AC391</f>
        <v/>
      </c>
      <c r="AE391" s="66">
        <f>IF($W391&lt;&gt;"","⚑ "&amp;$W391&amp;CHAR(10),"")&amp;TEXT($F391,"hh:mm")&amp;"-"&amp;TEXT($G391,"hh:mm")&amp;IF(OR($P391="Quinzaine A",AND($P391="Hebdo · groupes alternés",$C391="A"))," Q-A",IF(OR($P391="Quinzaine B",AND($P391="Hebdo · groupes alternés",$C391="B"))," Q-B",IF($P391="Exception"," PONCT.","")))&amp;IF($X391="Oui"," OPT","")&amp;CHAR(10)&amp;$K391&amp;CHAR(10)&amp;$M391&amp;IF($N391&lt;&gt;"",CHAR(10)&amp;"Salle "&amp;$N391,"")&amp;IF($O391="En ligne",CHAR(10)&amp;"EN LIGNE","")&amp;IF($V391&lt;&gt;"",CHAR(10)&amp;$V391,"")</f>
        <v/>
      </c>
      <c r="AF391" s="65" t="inlineStr"/>
      <c r="AG391" s="65" t="inlineStr">
        <is>
          <t>— généré —</t>
        </is>
      </c>
    </row>
    <row r="392" ht="15" customHeight="1">
      <c r="A392" s="68" t="inlineStr">
        <is>
          <t>S4</t>
        </is>
      </c>
      <c r="B392" s="69" t="inlineStr">
        <is>
          <t>du 5 au 11 octobre 2026</t>
        </is>
      </c>
      <c r="C392" s="68" t="inlineStr">
        <is>
          <t>B</t>
        </is>
      </c>
      <c r="D392" s="70" t="n">
        <v>46301</v>
      </c>
      <c r="E392" s="68" t="inlineStr">
        <is>
          <t>Mardi</t>
        </is>
      </c>
      <c r="F392" s="71" t="n">
        <v>0.8020833333333334</v>
      </c>
      <c r="G392" s="71" t="n">
        <v>0.8645833333333334</v>
      </c>
      <c r="H392" s="72">
        <f>IF(OR($F392="",$G392=""),"",($G392-$F392)*24)</f>
        <v/>
      </c>
      <c r="I392" s="68" t="inlineStr">
        <is>
          <t>Collège</t>
        </is>
      </c>
      <c r="J392" s="69" t="inlineStr">
        <is>
          <t>9éme (B)</t>
        </is>
      </c>
      <c r="K392" s="88" t="inlineStr">
        <is>
          <t>SVT</t>
        </is>
      </c>
      <c r="L392" s="88" t="inlineStr">
        <is>
          <t>SVT</t>
        </is>
      </c>
      <c r="M392" s="69" t="inlineStr">
        <is>
          <t>Imen Jribi</t>
        </is>
      </c>
      <c r="N392" s="68" t="n"/>
      <c r="O392" s="68" t="n"/>
      <c r="P392" s="68" t="inlineStr">
        <is>
          <t>Hebdomadaire</t>
        </is>
      </c>
      <c r="Q392" s="69" t="inlineStr"/>
      <c r="R392" s="68" t="n">
        <v>1</v>
      </c>
      <c r="S392" s="68" t="inlineStr">
        <is>
          <t>Oui</t>
        </is>
      </c>
      <c r="T392" s="68" t="inlineStr">
        <is>
          <t>S4-014</t>
        </is>
      </c>
      <c r="U392" s="69" t="inlineStr">
        <is>
          <t>Généré (octobre)</t>
        </is>
      </c>
      <c r="V392" s="69" t="inlineStr"/>
      <c r="W392" s="10" t="n"/>
      <c r="X392" s="10" t="inlineStr"/>
      <c r="Y392" s="64">
        <f>IF($M392="","",IF(SUMPRODUCT(($D$4:$D$863=$D392)*($M$4:$M$863=$M392)*($T$4:$T$863&lt;&gt;$T392)*($F$4:$F$863&lt;$G392)*($G$4:$G$863&gt;$F392))&gt;0,"⚠ CONFLIT",""))</f>
        <v/>
      </c>
      <c r="Z392" s="64">
        <f>IF($J392="","",IF(SUMPRODUCT(($D$4:$D$863=$D392)*($J$4:$J$863=$J392)*($T$4:$T$863&lt;&gt;$T392)*($F$4:$F$863&lt;$G392)*($G$4:$G$863&gt;$F392)*(1-($X$4:$X$863="Oui")*($X392="Oui")))&gt;0,"⚠ CONFLIT",""))</f>
        <v/>
      </c>
      <c r="AA392" s="64">
        <f>IF(COUNTIFS($D$4:$D$863,$D392,$J$4:$J$863,$J392,$F$4:$F$863,$F392,$K$4:$K$863,$K392)&gt;1,"⚠ DOUBLON","")</f>
        <v/>
      </c>
      <c r="AB392" s="64">
        <f>IF(COUNTIF($T$4:$T$863,$T392)&lt;&gt;COUNTIFS($T$4:$T$863,$T392,$D$4:$D$863,$D392,$F$4:$F$863,$F392,$G$4:$G$863,$G392,$K$4:$K$863,$K392,$M$4:$M$863,$M392),"⚠ INCOHÉRENT","")</f>
        <v/>
      </c>
      <c r="AC392" s="64">
        <f>COUNTIFS($A$4:$A392,$A392,$J$4:$J392,$J392,$E$4:$E392,$E392)</f>
        <v/>
      </c>
      <c r="AD392" s="65">
        <f>$A392&amp;"|"&amp;$J392&amp;"|"&amp;$E392&amp;"|"&amp;$AC392</f>
        <v/>
      </c>
      <c r="AE392" s="66">
        <f>IF($W392&lt;&gt;"","⚑ "&amp;$W392&amp;CHAR(10),"")&amp;TEXT($F392,"hh:mm")&amp;"-"&amp;TEXT($G392,"hh:mm")&amp;IF(OR($P392="Quinzaine A",AND($P392="Hebdo · groupes alternés",$C392="A"))," Q-A",IF(OR($P392="Quinzaine B",AND($P392="Hebdo · groupes alternés",$C392="B"))," Q-B",IF($P392="Exception"," PONCT.","")))&amp;IF($X392="Oui"," OPT","")&amp;CHAR(10)&amp;$K392&amp;CHAR(10)&amp;$M392&amp;IF($N392&lt;&gt;"",CHAR(10)&amp;"Salle "&amp;$N392,"")&amp;IF($O392="En ligne",CHAR(10)&amp;"EN LIGNE","")&amp;IF($V392&lt;&gt;"",CHAR(10)&amp;$V392,"")</f>
        <v/>
      </c>
      <c r="AF392" s="65" t="inlineStr"/>
      <c r="AG392" s="65" t="inlineStr">
        <is>
          <t>— généré —</t>
        </is>
      </c>
    </row>
    <row r="393" ht="15" customHeight="1">
      <c r="A393" s="74" t="inlineStr">
        <is>
          <t>S4</t>
        </is>
      </c>
      <c r="B393" s="75" t="inlineStr">
        <is>
          <t>du 5 au 11 octobre 2026</t>
        </is>
      </c>
      <c r="C393" s="74" t="inlineStr">
        <is>
          <t>B</t>
        </is>
      </c>
      <c r="D393" s="76" t="n">
        <v>46301</v>
      </c>
      <c r="E393" s="74" t="inlineStr">
        <is>
          <t>Mardi</t>
        </is>
      </c>
      <c r="F393" s="77" t="n">
        <v>0.8020833333333334</v>
      </c>
      <c r="G393" s="77" t="n">
        <v>0.8645833333333334</v>
      </c>
      <c r="H393" s="78">
        <f>IF(OR($F393="",$G393=""),"",($G393-$F393)*24)</f>
        <v/>
      </c>
      <c r="I393" s="74" t="inlineStr">
        <is>
          <t>Secondaire</t>
        </is>
      </c>
      <c r="J393" s="75" t="inlineStr">
        <is>
          <t>1ére (A)</t>
        </is>
      </c>
      <c r="K393" s="67" t="inlineStr">
        <is>
          <t>Français</t>
        </is>
      </c>
      <c r="L393" s="67" t="inlineStr">
        <is>
          <t>Français</t>
        </is>
      </c>
      <c r="M393" s="75" t="inlineStr">
        <is>
          <t>Nassima</t>
        </is>
      </c>
      <c r="N393" s="74" t="n"/>
      <c r="O393" s="74" t="n"/>
      <c r="P393" s="74" t="inlineStr">
        <is>
          <t>Hebdomadaire</t>
        </is>
      </c>
      <c r="Q393" s="75" t="inlineStr"/>
      <c r="R393" s="74" t="n">
        <v>1</v>
      </c>
      <c r="S393" s="74" t="inlineStr">
        <is>
          <t>Oui</t>
        </is>
      </c>
      <c r="T393" s="74" t="inlineStr">
        <is>
          <t>S4-015</t>
        </is>
      </c>
      <c r="U393" s="75" t="inlineStr">
        <is>
          <t>Généré (octobre)</t>
        </is>
      </c>
      <c r="V393" s="75" t="inlineStr"/>
      <c r="W393" s="10" t="n"/>
      <c r="X393" s="10" t="inlineStr"/>
      <c r="Y393" s="64">
        <f>IF($M393="","",IF(SUMPRODUCT(($D$4:$D$863=$D393)*($M$4:$M$863=$M393)*($T$4:$T$863&lt;&gt;$T393)*($F$4:$F$863&lt;$G393)*($G$4:$G$863&gt;$F393))&gt;0,"⚠ CONFLIT",""))</f>
        <v/>
      </c>
      <c r="Z393" s="64">
        <f>IF($J393="","",IF(SUMPRODUCT(($D$4:$D$863=$D393)*($J$4:$J$863=$J393)*($T$4:$T$863&lt;&gt;$T393)*($F$4:$F$863&lt;$G393)*($G$4:$G$863&gt;$F393)*(1-($X$4:$X$863="Oui")*($X393="Oui")))&gt;0,"⚠ CONFLIT",""))</f>
        <v/>
      </c>
      <c r="AA393" s="64">
        <f>IF(COUNTIFS($D$4:$D$863,$D393,$J$4:$J$863,$J393,$F$4:$F$863,$F393,$K$4:$K$863,$K393)&gt;1,"⚠ DOUBLON","")</f>
        <v/>
      </c>
      <c r="AB393" s="64">
        <f>IF(COUNTIF($T$4:$T$863,$T393)&lt;&gt;COUNTIFS($T$4:$T$863,$T393,$D$4:$D$863,$D393,$F$4:$F$863,$F393,$G$4:$G$863,$G393,$K$4:$K$863,$K393,$M$4:$M$863,$M393),"⚠ INCOHÉRENT","")</f>
        <v/>
      </c>
      <c r="AC393" s="64">
        <f>COUNTIFS($A$4:$A393,$A393,$J$4:$J393,$J393,$E$4:$E393,$E393)</f>
        <v/>
      </c>
      <c r="AD393" s="65">
        <f>$A393&amp;"|"&amp;$J393&amp;"|"&amp;$E393&amp;"|"&amp;$AC393</f>
        <v/>
      </c>
      <c r="AE393" s="66">
        <f>IF($W393&lt;&gt;"","⚑ "&amp;$W393&amp;CHAR(10),"")&amp;TEXT($F393,"hh:mm")&amp;"-"&amp;TEXT($G393,"hh:mm")&amp;IF(OR($P393="Quinzaine A",AND($P393="Hebdo · groupes alternés",$C393="A"))," Q-A",IF(OR($P393="Quinzaine B",AND($P393="Hebdo · groupes alternés",$C393="B"))," Q-B",IF($P393="Exception"," PONCT.","")))&amp;IF($X393="Oui"," OPT","")&amp;CHAR(10)&amp;$K393&amp;CHAR(10)&amp;$M393&amp;IF($N393&lt;&gt;"",CHAR(10)&amp;"Salle "&amp;$N393,"")&amp;IF($O393="En ligne",CHAR(10)&amp;"EN LIGNE","")&amp;IF($V393&lt;&gt;"",CHAR(10)&amp;$V393,"")</f>
        <v/>
      </c>
      <c r="AF393" s="65" t="inlineStr"/>
      <c r="AG393" s="65" t="inlineStr">
        <is>
          <t>— généré —</t>
        </is>
      </c>
    </row>
    <row r="394" ht="15" customHeight="1">
      <c r="A394" s="74" t="inlineStr">
        <is>
          <t>S4</t>
        </is>
      </c>
      <c r="B394" s="75" t="inlineStr">
        <is>
          <t>du 5 au 11 octobre 2026</t>
        </is>
      </c>
      <c r="C394" s="74" t="inlineStr">
        <is>
          <t>B</t>
        </is>
      </c>
      <c r="D394" s="76" t="n">
        <v>46301</v>
      </c>
      <c r="E394" s="74" t="inlineStr">
        <is>
          <t>Mardi</t>
        </is>
      </c>
      <c r="F394" s="77" t="n">
        <v>0.8125</v>
      </c>
      <c r="G394" s="77" t="n">
        <v>0.875</v>
      </c>
      <c r="H394" s="78">
        <f>IF(OR($F394="",$G394=""),"",($G394-$F394)*24)</f>
        <v/>
      </c>
      <c r="I394" s="74" t="inlineStr">
        <is>
          <t>Secondaire</t>
        </is>
      </c>
      <c r="J394" s="75" t="inlineStr">
        <is>
          <t>1ére (B)</t>
        </is>
      </c>
      <c r="K394" s="79" t="inlineStr">
        <is>
          <t>Math</t>
        </is>
      </c>
      <c r="L394" s="79" t="inlineStr">
        <is>
          <t>Math</t>
        </is>
      </c>
      <c r="M394" s="75" t="inlineStr">
        <is>
          <t>Haythem</t>
        </is>
      </c>
      <c r="N394" s="74" t="n"/>
      <c r="O394" s="74" t="n"/>
      <c r="P394" s="74" t="inlineStr">
        <is>
          <t>Hebdomadaire</t>
        </is>
      </c>
      <c r="Q394" s="75" t="inlineStr"/>
      <c r="R394" s="74" t="n">
        <v>1</v>
      </c>
      <c r="S394" s="74" t="inlineStr">
        <is>
          <t>Oui</t>
        </is>
      </c>
      <c r="T394" s="74" t="inlineStr">
        <is>
          <t>S4-016</t>
        </is>
      </c>
      <c r="U394" s="75" t="inlineStr">
        <is>
          <t>Généré (octobre)</t>
        </is>
      </c>
      <c r="V394" s="75" t="inlineStr"/>
      <c r="W394" s="10" t="n"/>
      <c r="X394" s="10" t="inlineStr"/>
      <c r="Y394" s="64">
        <f>IF($M394="","",IF(SUMPRODUCT(($D$4:$D$863=$D394)*($M$4:$M$863=$M394)*($T$4:$T$863&lt;&gt;$T394)*($F$4:$F$863&lt;$G394)*($G$4:$G$863&gt;$F394))&gt;0,"⚠ CONFLIT",""))</f>
        <v/>
      </c>
      <c r="Z394" s="64">
        <f>IF($J394="","",IF(SUMPRODUCT(($D$4:$D$863=$D394)*($J$4:$J$863=$J394)*($T$4:$T$863&lt;&gt;$T394)*($F$4:$F$863&lt;$G394)*($G$4:$G$863&gt;$F394)*(1-($X$4:$X$863="Oui")*($X394="Oui")))&gt;0,"⚠ CONFLIT",""))</f>
        <v/>
      </c>
      <c r="AA394" s="64">
        <f>IF(COUNTIFS($D$4:$D$863,$D394,$J$4:$J$863,$J394,$F$4:$F$863,$F394,$K$4:$K$863,$K394)&gt;1,"⚠ DOUBLON","")</f>
        <v/>
      </c>
      <c r="AB394" s="64">
        <f>IF(COUNTIF($T$4:$T$863,$T394)&lt;&gt;COUNTIFS($T$4:$T$863,$T394,$D$4:$D$863,$D394,$F$4:$F$863,$F394,$G$4:$G$863,$G394,$K$4:$K$863,$K394,$M$4:$M$863,$M394),"⚠ INCOHÉRENT","")</f>
        <v/>
      </c>
      <c r="AC394" s="64">
        <f>COUNTIFS($A$4:$A394,$A394,$J$4:$J394,$J394,$E$4:$E394,$E394)</f>
        <v/>
      </c>
      <c r="AD394" s="65">
        <f>$A394&amp;"|"&amp;$J394&amp;"|"&amp;$E394&amp;"|"&amp;$AC394</f>
        <v/>
      </c>
      <c r="AE394" s="66">
        <f>IF($W394&lt;&gt;"","⚑ "&amp;$W394&amp;CHAR(10),"")&amp;TEXT($F394,"hh:mm")&amp;"-"&amp;TEXT($G394,"hh:mm")&amp;IF(OR($P394="Quinzaine A",AND($P394="Hebdo · groupes alternés",$C394="A"))," Q-A",IF(OR($P394="Quinzaine B",AND($P394="Hebdo · groupes alternés",$C394="B"))," Q-B",IF($P394="Exception"," PONCT.","")))&amp;IF($X394="Oui"," OPT","")&amp;CHAR(10)&amp;$K394&amp;CHAR(10)&amp;$M394&amp;IF($N394&lt;&gt;"",CHAR(10)&amp;"Salle "&amp;$N394,"")&amp;IF($O394="En ligne",CHAR(10)&amp;"EN LIGNE","")&amp;IF($V394&lt;&gt;"",CHAR(10)&amp;$V394,"")</f>
        <v/>
      </c>
      <c r="AF394" s="65" t="inlineStr"/>
      <c r="AG394" s="65" t="inlineStr">
        <is>
          <t>— généré —</t>
        </is>
      </c>
    </row>
    <row r="395" ht="15" customHeight="1">
      <c r="A395" s="74" t="inlineStr">
        <is>
          <t>S4</t>
        </is>
      </c>
      <c r="B395" s="75" t="inlineStr">
        <is>
          <t>du 5 au 11 octobre 2026</t>
        </is>
      </c>
      <c r="C395" s="74" t="inlineStr">
        <is>
          <t>B</t>
        </is>
      </c>
      <c r="D395" s="76" t="n">
        <v>46301</v>
      </c>
      <c r="E395" s="74" t="inlineStr">
        <is>
          <t>Mardi</t>
        </is>
      </c>
      <c r="F395" s="77" t="n">
        <v>0.8125</v>
      </c>
      <c r="G395" s="77" t="n">
        <v>0.875</v>
      </c>
      <c r="H395" s="78">
        <f>IF(OR($F395="",$G395=""),"",($G395-$F395)*24)</f>
        <v/>
      </c>
      <c r="I395" s="74" t="inlineStr">
        <is>
          <t>Secondaire</t>
        </is>
      </c>
      <c r="J395" s="75" t="inlineStr">
        <is>
          <t>2éme Eco</t>
        </is>
      </c>
      <c r="K395" s="63" t="inlineStr">
        <is>
          <t>Arabe</t>
        </is>
      </c>
      <c r="L395" s="63" t="inlineStr">
        <is>
          <t>Arabe</t>
        </is>
      </c>
      <c r="M395" s="75" t="inlineStr">
        <is>
          <t>Najet</t>
        </is>
      </c>
      <c r="N395" s="74" t="n"/>
      <c r="O395" s="74" t="n"/>
      <c r="P395" s="74" t="inlineStr">
        <is>
          <t>Quinzaine B</t>
        </is>
      </c>
      <c r="Q395" s="75" t="inlineStr">
        <is>
          <t>2éme Eco + 2éme SCE + 2éme INFO</t>
        </is>
      </c>
      <c r="R395" s="74" t="n">
        <v>3</v>
      </c>
      <c r="S395" s="74" t="inlineStr">
        <is>
          <t>Oui</t>
        </is>
      </c>
      <c r="T395" s="74" t="inlineStr">
        <is>
          <t>S4-095</t>
        </is>
      </c>
      <c r="U395" s="75" t="inlineStr">
        <is>
          <t>Généré (octobre)</t>
        </is>
      </c>
      <c r="V395" s="75" t="inlineStr"/>
      <c r="W395" s="10" t="n"/>
      <c r="X395" s="10" t="inlineStr"/>
      <c r="Y395" s="64">
        <f>IF($M395="","",IF(SUMPRODUCT(($D$4:$D$863=$D395)*($M$4:$M$863=$M395)*($T$4:$T$863&lt;&gt;$T395)*($F$4:$F$863&lt;$G395)*($G$4:$G$863&gt;$F395))&gt;0,"⚠ CONFLIT",""))</f>
        <v/>
      </c>
      <c r="Z395" s="64">
        <f>IF($J395="","",IF(SUMPRODUCT(($D$4:$D$863=$D395)*($J$4:$J$863=$J395)*($T$4:$T$863&lt;&gt;$T395)*($F$4:$F$863&lt;$G395)*($G$4:$G$863&gt;$F395)*(1-($X$4:$X$863="Oui")*($X395="Oui")))&gt;0,"⚠ CONFLIT",""))</f>
        <v/>
      </c>
      <c r="AA395" s="64">
        <f>IF(COUNTIFS($D$4:$D$863,$D395,$J$4:$J$863,$J395,$F$4:$F$863,$F395,$K$4:$K$863,$K395)&gt;1,"⚠ DOUBLON","")</f>
        <v/>
      </c>
      <c r="AB395" s="64">
        <f>IF(COUNTIF($T$4:$T$863,$T395)&lt;&gt;COUNTIFS($T$4:$T$863,$T395,$D$4:$D$863,$D395,$F$4:$F$863,$F395,$G$4:$G$863,$G395,$K$4:$K$863,$K395,$M$4:$M$863,$M395),"⚠ INCOHÉRENT","")</f>
        <v/>
      </c>
      <c r="AC395" s="64">
        <f>COUNTIFS($A$4:$A395,$A395,$J$4:$J395,$J395,$E$4:$E395,$E395)</f>
        <v/>
      </c>
      <c r="AD395" s="65">
        <f>$A395&amp;"|"&amp;$J395&amp;"|"&amp;$E395&amp;"|"&amp;$AC395</f>
        <v/>
      </c>
      <c r="AE395" s="66">
        <f>IF($W395&lt;&gt;"","⚑ "&amp;$W395&amp;CHAR(10),"")&amp;TEXT($F395,"hh:mm")&amp;"-"&amp;TEXT($G395,"hh:mm")&amp;IF(OR($P395="Quinzaine A",AND($P395="Hebdo · groupes alternés",$C395="A"))," Q-A",IF(OR($P395="Quinzaine B",AND($P395="Hebdo · groupes alternés",$C395="B"))," Q-B",IF($P395="Exception"," PONCT.","")))&amp;IF($X395="Oui"," OPT","")&amp;CHAR(10)&amp;$K395&amp;CHAR(10)&amp;$M395&amp;IF($N395&lt;&gt;"",CHAR(10)&amp;"Salle "&amp;$N395,"")&amp;IF($O395="En ligne",CHAR(10)&amp;"EN LIGNE","")&amp;IF($V395&lt;&gt;"",CHAR(10)&amp;$V395,"")</f>
        <v/>
      </c>
      <c r="AF395" s="65" t="inlineStr"/>
      <c r="AG395" s="65" t="inlineStr">
        <is>
          <t>— généré —</t>
        </is>
      </c>
    </row>
    <row r="396" ht="15" customHeight="1">
      <c r="A396" s="74" t="inlineStr">
        <is>
          <t>S4</t>
        </is>
      </c>
      <c r="B396" s="75" t="inlineStr">
        <is>
          <t>du 5 au 11 octobre 2026</t>
        </is>
      </c>
      <c r="C396" s="74" t="inlineStr">
        <is>
          <t>B</t>
        </is>
      </c>
      <c r="D396" s="76" t="n">
        <v>46301</v>
      </c>
      <c r="E396" s="74" t="inlineStr">
        <is>
          <t>Mardi</t>
        </is>
      </c>
      <c r="F396" s="77" t="n">
        <v>0.8125</v>
      </c>
      <c r="G396" s="77" t="n">
        <v>0.875</v>
      </c>
      <c r="H396" s="78">
        <f>IF(OR($F396="",$G396=""),"",($G396-$F396)*24)</f>
        <v/>
      </c>
      <c r="I396" s="74" t="inlineStr">
        <is>
          <t>Secondaire</t>
        </is>
      </c>
      <c r="J396" s="75" t="inlineStr">
        <is>
          <t>2éme SCE</t>
        </is>
      </c>
      <c r="K396" s="63" t="inlineStr">
        <is>
          <t>Arabe</t>
        </is>
      </c>
      <c r="L396" s="63" t="inlineStr">
        <is>
          <t>Arabe</t>
        </is>
      </c>
      <c r="M396" s="75" t="inlineStr">
        <is>
          <t>Najet</t>
        </is>
      </c>
      <c r="N396" s="74" t="n"/>
      <c r="O396" s="74" t="n"/>
      <c r="P396" s="74" t="inlineStr">
        <is>
          <t>Quinzaine B</t>
        </is>
      </c>
      <c r="Q396" s="75" t="inlineStr">
        <is>
          <t>2éme Eco + 2éme SCE + 2éme INFO</t>
        </is>
      </c>
      <c r="R396" s="74" t="n">
        <v>3</v>
      </c>
      <c r="S396" s="74" t="inlineStr"/>
      <c r="T396" s="74" t="inlineStr">
        <is>
          <t>S4-095</t>
        </is>
      </c>
      <c r="U396" s="75" t="inlineStr">
        <is>
          <t>Généré (octobre)</t>
        </is>
      </c>
      <c r="V396" s="75" t="inlineStr"/>
      <c r="W396" s="10" t="n"/>
      <c r="X396" s="10" t="inlineStr"/>
      <c r="Y396" s="64">
        <f>IF($M396="","",IF(SUMPRODUCT(($D$4:$D$863=$D396)*($M$4:$M$863=$M396)*($T$4:$T$863&lt;&gt;$T396)*($F$4:$F$863&lt;$G396)*($G$4:$G$863&gt;$F396))&gt;0,"⚠ CONFLIT",""))</f>
        <v/>
      </c>
      <c r="Z396" s="64">
        <f>IF($J396="","",IF(SUMPRODUCT(($D$4:$D$863=$D396)*($J$4:$J$863=$J396)*($T$4:$T$863&lt;&gt;$T396)*($F$4:$F$863&lt;$G396)*($G$4:$G$863&gt;$F396)*(1-($X$4:$X$863="Oui")*($X396="Oui")))&gt;0,"⚠ CONFLIT",""))</f>
        <v/>
      </c>
      <c r="AA396" s="64">
        <f>IF(COUNTIFS($D$4:$D$863,$D396,$J$4:$J$863,$J396,$F$4:$F$863,$F396,$K$4:$K$863,$K396)&gt;1,"⚠ DOUBLON","")</f>
        <v/>
      </c>
      <c r="AB396" s="64">
        <f>IF(COUNTIF($T$4:$T$863,$T396)&lt;&gt;COUNTIFS($T$4:$T$863,$T396,$D$4:$D$863,$D396,$F$4:$F$863,$F396,$G$4:$G$863,$G396,$K$4:$K$863,$K396,$M$4:$M$863,$M396),"⚠ INCOHÉRENT","")</f>
        <v/>
      </c>
      <c r="AC396" s="64">
        <f>COUNTIFS($A$4:$A396,$A396,$J$4:$J396,$J396,$E$4:$E396,$E396)</f>
        <v/>
      </c>
      <c r="AD396" s="65">
        <f>$A396&amp;"|"&amp;$J396&amp;"|"&amp;$E396&amp;"|"&amp;$AC396</f>
        <v/>
      </c>
      <c r="AE396" s="66">
        <f>IF($W396&lt;&gt;"","⚑ "&amp;$W396&amp;CHAR(10),"")&amp;TEXT($F396,"hh:mm")&amp;"-"&amp;TEXT($G396,"hh:mm")&amp;IF(OR($P396="Quinzaine A",AND($P396="Hebdo · groupes alternés",$C396="A"))," Q-A",IF(OR($P396="Quinzaine B",AND($P396="Hebdo · groupes alternés",$C396="B"))," Q-B",IF($P396="Exception"," PONCT.","")))&amp;IF($X396="Oui"," OPT","")&amp;CHAR(10)&amp;$K396&amp;CHAR(10)&amp;$M396&amp;IF($N396&lt;&gt;"",CHAR(10)&amp;"Salle "&amp;$N396,"")&amp;IF($O396="En ligne",CHAR(10)&amp;"EN LIGNE","")&amp;IF($V396&lt;&gt;"",CHAR(10)&amp;$V396,"")</f>
        <v/>
      </c>
      <c r="AF396" s="65" t="inlineStr"/>
      <c r="AG396" s="65" t="inlineStr">
        <is>
          <t>— généré —</t>
        </is>
      </c>
    </row>
    <row r="397" ht="15" customHeight="1">
      <c r="A397" s="74" t="inlineStr">
        <is>
          <t>S4</t>
        </is>
      </c>
      <c r="B397" s="75" t="inlineStr">
        <is>
          <t>du 5 au 11 octobre 2026</t>
        </is>
      </c>
      <c r="C397" s="74" t="inlineStr">
        <is>
          <t>B</t>
        </is>
      </c>
      <c r="D397" s="76" t="n">
        <v>46301</v>
      </c>
      <c r="E397" s="74" t="inlineStr">
        <is>
          <t>Mardi</t>
        </is>
      </c>
      <c r="F397" s="77" t="n">
        <v>0.8125</v>
      </c>
      <c r="G397" s="77" t="n">
        <v>0.875</v>
      </c>
      <c r="H397" s="78">
        <f>IF(OR($F397="",$G397=""),"",($G397-$F397)*24)</f>
        <v/>
      </c>
      <c r="I397" s="74" t="inlineStr">
        <is>
          <t>Secondaire</t>
        </is>
      </c>
      <c r="J397" s="75" t="inlineStr">
        <is>
          <t>2éme INFO</t>
        </is>
      </c>
      <c r="K397" s="63" t="inlineStr">
        <is>
          <t>Arabe</t>
        </is>
      </c>
      <c r="L397" s="63" t="inlineStr">
        <is>
          <t>Arabe</t>
        </is>
      </c>
      <c r="M397" s="75" t="inlineStr">
        <is>
          <t>Najet</t>
        </is>
      </c>
      <c r="N397" s="74" t="n"/>
      <c r="O397" s="74" t="n"/>
      <c r="P397" s="74" t="inlineStr">
        <is>
          <t>Quinzaine B</t>
        </is>
      </c>
      <c r="Q397" s="75" t="inlineStr">
        <is>
          <t>2éme Eco + 2éme SCE + 2éme INFO</t>
        </is>
      </c>
      <c r="R397" s="74" t="n">
        <v>3</v>
      </c>
      <c r="S397" s="74" t="inlineStr"/>
      <c r="T397" s="74" t="inlineStr">
        <is>
          <t>S4-095</t>
        </is>
      </c>
      <c r="U397" s="75" t="inlineStr">
        <is>
          <t>Généré (octobre)</t>
        </is>
      </c>
      <c r="V397" s="75" t="inlineStr"/>
      <c r="W397" s="10" t="n"/>
      <c r="X397" s="10" t="inlineStr"/>
      <c r="Y397" s="64">
        <f>IF($M397="","",IF(SUMPRODUCT(($D$4:$D$863=$D397)*($M$4:$M$863=$M397)*($T$4:$T$863&lt;&gt;$T397)*($F$4:$F$863&lt;$G397)*($G$4:$G$863&gt;$F397))&gt;0,"⚠ CONFLIT",""))</f>
        <v/>
      </c>
      <c r="Z397" s="64">
        <f>IF($J397="","",IF(SUMPRODUCT(($D$4:$D$863=$D397)*($J$4:$J$863=$J397)*($T$4:$T$863&lt;&gt;$T397)*($F$4:$F$863&lt;$G397)*($G$4:$G$863&gt;$F397)*(1-($X$4:$X$863="Oui")*($X397="Oui")))&gt;0,"⚠ CONFLIT",""))</f>
        <v/>
      </c>
      <c r="AA397" s="64">
        <f>IF(COUNTIFS($D$4:$D$863,$D397,$J$4:$J$863,$J397,$F$4:$F$863,$F397,$K$4:$K$863,$K397)&gt;1,"⚠ DOUBLON","")</f>
        <v/>
      </c>
      <c r="AB397" s="64">
        <f>IF(COUNTIF($T$4:$T$863,$T397)&lt;&gt;COUNTIFS($T$4:$T$863,$T397,$D$4:$D$863,$D397,$F$4:$F$863,$F397,$G$4:$G$863,$G397,$K$4:$K$863,$K397,$M$4:$M$863,$M397),"⚠ INCOHÉRENT","")</f>
        <v/>
      </c>
      <c r="AC397" s="64">
        <f>COUNTIFS($A$4:$A397,$A397,$J$4:$J397,$J397,$E$4:$E397,$E397)</f>
        <v/>
      </c>
      <c r="AD397" s="65">
        <f>$A397&amp;"|"&amp;$J397&amp;"|"&amp;$E397&amp;"|"&amp;$AC397</f>
        <v/>
      </c>
      <c r="AE397" s="66">
        <f>IF($W397&lt;&gt;"","⚑ "&amp;$W397&amp;CHAR(10),"")&amp;TEXT($F397,"hh:mm")&amp;"-"&amp;TEXT($G397,"hh:mm")&amp;IF(OR($P397="Quinzaine A",AND($P397="Hebdo · groupes alternés",$C397="A"))," Q-A",IF(OR($P397="Quinzaine B",AND($P397="Hebdo · groupes alternés",$C397="B"))," Q-B",IF($P397="Exception"," PONCT.","")))&amp;IF($X397="Oui"," OPT","")&amp;CHAR(10)&amp;$K397&amp;CHAR(10)&amp;$M397&amp;IF($N397&lt;&gt;"",CHAR(10)&amp;"Salle "&amp;$N397,"")&amp;IF($O397="En ligne",CHAR(10)&amp;"EN LIGNE","")&amp;IF($V397&lt;&gt;"",CHAR(10)&amp;$V397,"")</f>
        <v/>
      </c>
      <c r="AF397" s="65" t="inlineStr"/>
      <c r="AG397" s="65" t="inlineStr">
        <is>
          <t>— généré —</t>
        </is>
      </c>
    </row>
    <row r="398" ht="15" customHeight="1">
      <c r="A398" s="74" t="inlineStr">
        <is>
          <t>S4</t>
        </is>
      </c>
      <c r="B398" s="75" t="inlineStr">
        <is>
          <t>du 5 au 11 octobre 2026</t>
        </is>
      </c>
      <c r="C398" s="74" t="inlineStr">
        <is>
          <t>B</t>
        </is>
      </c>
      <c r="D398" s="76" t="n">
        <v>46301</v>
      </c>
      <c r="E398" s="74" t="inlineStr">
        <is>
          <t>Mardi</t>
        </is>
      </c>
      <c r="F398" s="77" t="n">
        <v>0.8020833333333334</v>
      </c>
      <c r="G398" s="77" t="n">
        <v>0.8645833333333334</v>
      </c>
      <c r="H398" s="78">
        <f>IF(OR($F398="",$G398=""),"",($G398-$F398)*24)</f>
        <v/>
      </c>
      <c r="I398" s="74" t="inlineStr">
        <is>
          <t>Secondaire</t>
        </is>
      </c>
      <c r="J398" s="75" t="inlineStr">
        <is>
          <t>3éme Eco</t>
        </is>
      </c>
      <c r="K398" s="89" t="inlineStr">
        <is>
          <t>Espagnol</t>
        </is>
      </c>
      <c r="L398" s="89" t="inlineStr">
        <is>
          <t>Espagnol</t>
        </is>
      </c>
      <c r="M398" s="75" t="inlineStr">
        <is>
          <t>Imen</t>
        </is>
      </c>
      <c r="N398" s="74" t="n"/>
      <c r="O398" s="74" t="n"/>
      <c r="P398" s="74" t="inlineStr">
        <is>
          <t>Hebdo · groupes alternés</t>
        </is>
      </c>
      <c r="Q398" s="75" t="inlineStr">
        <is>
          <t>3éme Eco + 3éme INFO</t>
        </is>
      </c>
      <c r="R398" s="74" t="n">
        <v>2</v>
      </c>
      <c r="S398" s="74" t="inlineStr">
        <is>
          <t>Oui</t>
        </is>
      </c>
      <c r="T398" s="74" t="inlineStr">
        <is>
          <t>S4-017</t>
        </is>
      </c>
      <c r="U398" s="75" t="inlineStr">
        <is>
          <t>Généré (octobre)</t>
        </is>
      </c>
      <c r="V398" s="75" t="inlineStr"/>
      <c r="W398" s="10" t="n"/>
      <c r="X398" s="10" t="inlineStr">
        <is>
          <t>Oui</t>
        </is>
      </c>
      <c r="Y398" s="64">
        <f>IF($M398="","",IF(SUMPRODUCT(($D$4:$D$863=$D398)*($M$4:$M$863=$M398)*($T$4:$T$863&lt;&gt;$T398)*($F$4:$F$863&lt;$G398)*($G$4:$G$863&gt;$F398))&gt;0,"⚠ CONFLIT",""))</f>
        <v/>
      </c>
      <c r="Z398" s="64">
        <f>IF($J398="","",IF(SUMPRODUCT(($D$4:$D$863=$D398)*($J$4:$J$863=$J398)*($T$4:$T$863&lt;&gt;$T398)*($F$4:$F$863&lt;$G398)*($G$4:$G$863&gt;$F398)*(1-($X$4:$X$863="Oui")*($X398="Oui")))&gt;0,"⚠ CONFLIT",""))</f>
        <v/>
      </c>
      <c r="AA398" s="64">
        <f>IF(COUNTIFS($D$4:$D$863,$D398,$J$4:$J$863,$J398,$F$4:$F$863,$F398,$K$4:$K$863,$K398)&gt;1,"⚠ DOUBLON","")</f>
        <v/>
      </c>
      <c r="AB398" s="64">
        <f>IF(COUNTIF($T$4:$T$863,$T398)&lt;&gt;COUNTIFS($T$4:$T$863,$T398,$D$4:$D$863,$D398,$F$4:$F$863,$F398,$G$4:$G$863,$G398,$K$4:$K$863,$K398,$M$4:$M$863,$M398),"⚠ INCOHÉRENT","")</f>
        <v/>
      </c>
      <c r="AC398" s="64">
        <f>COUNTIFS($A$4:$A398,$A398,$J$4:$J398,$J398,$E$4:$E398,$E398)</f>
        <v/>
      </c>
      <c r="AD398" s="65">
        <f>$A398&amp;"|"&amp;$J398&amp;"|"&amp;$E398&amp;"|"&amp;$AC398</f>
        <v/>
      </c>
      <c r="AE398" s="66">
        <f>IF($W398&lt;&gt;"","⚑ "&amp;$W398&amp;CHAR(10),"")&amp;TEXT($F398,"hh:mm")&amp;"-"&amp;TEXT($G398,"hh:mm")&amp;IF(OR($P398="Quinzaine A",AND($P398="Hebdo · groupes alternés",$C398="A"))," Q-A",IF(OR($P398="Quinzaine B",AND($P398="Hebdo · groupes alternés",$C398="B"))," Q-B",IF($P398="Exception"," PONCT.","")))&amp;IF($X398="Oui"," OPT","")&amp;CHAR(10)&amp;$K398&amp;CHAR(10)&amp;$M398&amp;IF($N398&lt;&gt;"",CHAR(10)&amp;"Salle "&amp;$N398,"")&amp;IF($O398="En ligne",CHAR(10)&amp;"EN LIGNE","")&amp;IF($V398&lt;&gt;"",CHAR(10)&amp;$V398,"")</f>
        <v/>
      </c>
      <c r="AF398" s="65" t="inlineStr"/>
      <c r="AG398" s="65" t="inlineStr">
        <is>
          <t>— généré —</t>
        </is>
      </c>
    </row>
    <row r="399" ht="15" customHeight="1">
      <c r="A399" s="74" t="inlineStr">
        <is>
          <t>S4</t>
        </is>
      </c>
      <c r="B399" s="75" t="inlineStr">
        <is>
          <t>du 5 au 11 octobre 2026</t>
        </is>
      </c>
      <c r="C399" s="74" t="inlineStr">
        <is>
          <t>B</t>
        </is>
      </c>
      <c r="D399" s="76" t="n">
        <v>46301</v>
      </c>
      <c r="E399" s="74" t="inlineStr">
        <is>
          <t>Mardi</t>
        </is>
      </c>
      <c r="F399" s="77" t="n">
        <v>0.8020833333333334</v>
      </c>
      <c r="G399" s="77" t="n">
        <v>0.8645833333333334</v>
      </c>
      <c r="H399" s="78">
        <f>IF(OR($F399="",$G399=""),"",($G399-$F399)*24)</f>
        <v/>
      </c>
      <c r="I399" s="74" t="inlineStr">
        <is>
          <t>Secondaire</t>
        </is>
      </c>
      <c r="J399" s="75" t="inlineStr">
        <is>
          <t>3éme INFO</t>
        </is>
      </c>
      <c r="K399" s="89" t="inlineStr">
        <is>
          <t>Espagnol</t>
        </is>
      </c>
      <c r="L399" s="89" t="inlineStr">
        <is>
          <t>Espagnol</t>
        </is>
      </c>
      <c r="M399" s="75" t="inlineStr">
        <is>
          <t>Imen</t>
        </is>
      </c>
      <c r="N399" s="74" t="n"/>
      <c r="O399" s="74" t="n"/>
      <c r="P399" s="74" t="inlineStr">
        <is>
          <t>Hebdo · groupes alternés</t>
        </is>
      </c>
      <c r="Q399" s="75" t="inlineStr">
        <is>
          <t>3éme Eco + 3éme INFO</t>
        </is>
      </c>
      <c r="R399" s="74" t="n">
        <v>2</v>
      </c>
      <c r="S399" s="74" t="inlineStr"/>
      <c r="T399" s="74" t="inlineStr">
        <is>
          <t>S4-017</t>
        </is>
      </c>
      <c r="U399" s="75" t="inlineStr">
        <is>
          <t>Généré (octobre)</t>
        </is>
      </c>
      <c r="V399" s="75" t="inlineStr"/>
      <c r="W399" s="10" t="n"/>
      <c r="X399" s="10" t="inlineStr">
        <is>
          <t>Oui</t>
        </is>
      </c>
      <c r="Y399" s="64">
        <f>IF($M399="","",IF(SUMPRODUCT(($D$4:$D$863=$D399)*($M$4:$M$863=$M399)*($T$4:$T$863&lt;&gt;$T399)*($F$4:$F$863&lt;$G399)*($G$4:$G$863&gt;$F399))&gt;0,"⚠ CONFLIT",""))</f>
        <v/>
      </c>
      <c r="Z399" s="64">
        <f>IF($J399="","",IF(SUMPRODUCT(($D$4:$D$863=$D399)*($J$4:$J$863=$J399)*($T$4:$T$863&lt;&gt;$T399)*($F$4:$F$863&lt;$G399)*($G$4:$G$863&gt;$F399)*(1-($X$4:$X$863="Oui")*($X399="Oui")))&gt;0,"⚠ CONFLIT",""))</f>
        <v/>
      </c>
      <c r="AA399" s="64">
        <f>IF(COUNTIFS($D$4:$D$863,$D399,$J$4:$J$863,$J399,$F$4:$F$863,$F399,$K$4:$K$863,$K399)&gt;1,"⚠ DOUBLON","")</f>
        <v/>
      </c>
      <c r="AB399" s="64">
        <f>IF(COUNTIF($T$4:$T$863,$T399)&lt;&gt;COUNTIFS($T$4:$T$863,$T399,$D$4:$D$863,$D399,$F$4:$F$863,$F399,$G$4:$G$863,$G399,$K$4:$K$863,$K399,$M$4:$M$863,$M399),"⚠ INCOHÉRENT","")</f>
        <v/>
      </c>
      <c r="AC399" s="64">
        <f>COUNTIFS($A$4:$A399,$A399,$J$4:$J399,$J399,$E$4:$E399,$E399)</f>
        <v/>
      </c>
      <c r="AD399" s="65">
        <f>$A399&amp;"|"&amp;$J399&amp;"|"&amp;$E399&amp;"|"&amp;$AC399</f>
        <v/>
      </c>
      <c r="AE399" s="66">
        <f>IF($W399&lt;&gt;"","⚑ "&amp;$W399&amp;CHAR(10),"")&amp;TEXT($F399,"hh:mm")&amp;"-"&amp;TEXT($G399,"hh:mm")&amp;IF(OR($P399="Quinzaine A",AND($P399="Hebdo · groupes alternés",$C399="A"))," Q-A",IF(OR($P399="Quinzaine B",AND($P399="Hebdo · groupes alternés",$C399="B"))," Q-B",IF($P399="Exception"," PONCT.","")))&amp;IF($X399="Oui"," OPT","")&amp;CHAR(10)&amp;$K399&amp;CHAR(10)&amp;$M399&amp;IF($N399&lt;&gt;"",CHAR(10)&amp;"Salle "&amp;$N399,"")&amp;IF($O399="En ligne",CHAR(10)&amp;"EN LIGNE","")&amp;IF($V399&lt;&gt;"",CHAR(10)&amp;$V399,"")</f>
        <v/>
      </c>
      <c r="AF399" s="65" t="inlineStr"/>
      <c r="AG399" s="65" t="inlineStr">
        <is>
          <t>— généré —</t>
        </is>
      </c>
    </row>
    <row r="400" ht="15" customHeight="1">
      <c r="A400" s="74" t="inlineStr">
        <is>
          <t>S4</t>
        </is>
      </c>
      <c r="B400" s="75" t="inlineStr">
        <is>
          <t>du 5 au 11 octobre 2026</t>
        </is>
      </c>
      <c r="C400" s="74" t="inlineStr">
        <is>
          <t>B</t>
        </is>
      </c>
      <c r="D400" s="76" t="n">
        <v>46301</v>
      </c>
      <c r="E400" s="74" t="inlineStr">
        <is>
          <t>Mardi</t>
        </is>
      </c>
      <c r="F400" s="77" t="n">
        <v>0.8020833333333334</v>
      </c>
      <c r="G400" s="77" t="n">
        <v>0.8645833333333334</v>
      </c>
      <c r="H400" s="78">
        <f>IF(OR($F400="",$G400=""),"",($G400-$F400)*24)</f>
        <v/>
      </c>
      <c r="I400" s="74" t="inlineStr">
        <is>
          <t>Secondaire</t>
        </is>
      </c>
      <c r="J400" s="75" t="inlineStr">
        <is>
          <t>3éme INFO</t>
        </is>
      </c>
      <c r="K400" s="90" t="inlineStr">
        <is>
          <t>Italien</t>
        </is>
      </c>
      <c r="L400" s="90" t="inlineStr">
        <is>
          <t>Italien</t>
        </is>
      </c>
      <c r="M400" s="75" t="inlineStr">
        <is>
          <t>Amel</t>
        </is>
      </c>
      <c r="N400" s="74" t="n"/>
      <c r="O400" s="74" t="n"/>
      <c r="P400" s="74" t="inlineStr">
        <is>
          <t>Hebdo · groupes alternés</t>
        </is>
      </c>
      <c r="Q400" s="75" t="inlineStr">
        <is>
          <t>3éme INFO + 3éme SCE</t>
        </is>
      </c>
      <c r="R400" s="74" t="n">
        <v>2</v>
      </c>
      <c r="S400" s="74" t="inlineStr">
        <is>
          <t>Oui</t>
        </is>
      </c>
      <c r="T400" s="74" t="inlineStr">
        <is>
          <t>S4-018</t>
        </is>
      </c>
      <c r="U400" s="75" t="inlineStr">
        <is>
          <t>Généré (octobre)</t>
        </is>
      </c>
      <c r="V400" s="75" t="inlineStr"/>
      <c r="W400" s="10" t="n"/>
      <c r="X400" s="10" t="inlineStr">
        <is>
          <t>Oui</t>
        </is>
      </c>
      <c r="Y400" s="64">
        <f>IF($M400="","",IF(SUMPRODUCT(($D$4:$D$863=$D400)*($M$4:$M$863=$M400)*($T$4:$T$863&lt;&gt;$T400)*($F$4:$F$863&lt;$G400)*($G$4:$G$863&gt;$F400))&gt;0,"⚠ CONFLIT",""))</f>
        <v/>
      </c>
      <c r="Z400" s="64">
        <f>IF($J400="","",IF(SUMPRODUCT(($D$4:$D$863=$D400)*($J$4:$J$863=$J400)*($T$4:$T$863&lt;&gt;$T400)*($F$4:$F$863&lt;$G400)*($G$4:$G$863&gt;$F400)*(1-($X$4:$X$863="Oui")*($X400="Oui")))&gt;0,"⚠ CONFLIT",""))</f>
        <v/>
      </c>
      <c r="AA400" s="64">
        <f>IF(COUNTIFS($D$4:$D$863,$D400,$J$4:$J$863,$J400,$F$4:$F$863,$F400,$K$4:$K$863,$K400)&gt;1,"⚠ DOUBLON","")</f>
        <v/>
      </c>
      <c r="AB400" s="64">
        <f>IF(COUNTIF($T$4:$T$863,$T400)&lt;&gt;COUNTIFS($T$4:$T$863,$T400,$D$4:$D$863,$D400,$F$4:$F$863,$F400,$G$4:$G$863,$G400,$K$4:$K$863,$K400,$M$4:$M$863,$M400),"⚠ INCOHÉRENT","")</f>
        <v/>
      </c>
      <c r="AC400" s="64">
        <f>COUNTIFS($A$4:$A400,$A400,$J$4:$J400,$J400,$E$4:$E400,$E400)</f>
        <v/>
      </c>
      <c r="AD400" s="65">
        <f>$A400&amp;"|"&amp;$J400&amp;"|"&amp;$E400&amp;"|"&amp;$AC400</f>
        <v/>
      </c>
      <c r="AE400" s="66">
        <f>IF($W400&lt;&gt;"","⚑ "&amp;$W400&amp;CHAR(10),"")&amp;TEXT($F400,"hh:mm")&amp;"-"&amp;TEXT($G400,"hh:mm")&amp;IF(OR($P400="Quinzaine A",AND($P400="Hebdo · groupes alternés",$C400="A"))," Q-A",IF(OR($P400="Quinzaine B",AND($P400="Hebdo · groupes alternés",$C400="B"))," Q-B",IF($P400="Exception"," PONCT.","")))&amp;IF($X400="Oui"," OPT","")&amp;CHAR(10)&amp;$K400&amp;CHAR(10)&amp;$M400&amp;IF($N400&lt;&gt;"",CHAR(10)&amp;"Salle "&amp;$N400,"")&amp;IF($O400="En ligne",CHAR(10)&amp;"EN LIGNE","")&amp;IF($V400&lt;&gt;"",CHAR(10)&amp;$V400,"")</f>
        <v/>
      </c>
      <c r="AF400" s="65" t="inlineStr"/>
      <c r="AG400" s="65" t="inlineStr">
        <is>
          <t>— généré —</t>
        </is>
      </c>
    </row>
    <row r="401" ht="15" customHeight="1">
      <c r="A401" s="74" t="inlineStr">
        <is>
          <t>S4</t>
        </is>
      </c>
      <c r="B401" s="75" t="inlineStr">
        <is>
          <t>du 5 au 11 octobre 2026</t>
        </is>
      </c>
      <c r="C401" s="74" t="inlineStr">
        <is>
          <t>B</t>
        </is>
      </c>
      <c r="D401" s="76" t="n">
        <v>46301</v>
      </c>
      <c r="E401" s="74" t="inlineStr">
        <is>
          <t>Mardi</t>
        </is>
      </c>
      <c r="F401" s="77" t="n">
        <v>0.8020833333333334</v>
      </c>
      <c r="G401" s="77" t="n">
        <v>0.8645833333333334</v>
      </c>
      <c r="H401" s="78">
        <f>IF(OR($F401="",$G401=""),"",($G401-$F401)*24)</f>
        <v/>
      </c>
      <c r="I401" s="74" t="inlineStr">
        <is>
          <t>Secondaire</t>
        </is>
      </c>
      <c r="J401" s="75" t="inlineStr">
        <is>
          <t>3éme SCE</t>
        </is>
      </c>
      <c r="K401" s="90" t="inlineStr">
        <is>
          <t>Italien</t>
        </is>
      </c>
      <c r="L401" s="90" t="inlineStr">
        <is>
          <t>Italien</t>
        </is>
      </c>
      <c r="M401" s="75" t="inlineStr">
        <is>
          <t>Amel</t>
        </is>
      </c>
      <c r="N401" s="74" t="n"/>
      <c r="O401" s="74" t="n"/>
      <c r="P401" s="74" t="inlineStr">
        <is>
          <t>Hebdo · groupes alternés</t>
        </is>
      </c>
      <c r="Q401" s="75" t="inlineStr">
        <is>
          <t>3éme INFO + 3éme SCE</t>
        </is>
      </c>
      <c r="R401" s="74" t="n">
        <v>2</v>
      </c>
      <c r="S401" s="74" t="inlineStr"/>
      <c r="T401" s="74" t="inlineStr">
        <is>
          <t>S4-018</t>
        </is>
      </c>
      <c r="U401" s="75" t="inlineStr">
        <is>
          <t>Généré (octobre)</t>
        </is>
      </c>
      <c r="V401" s="75" t="inlineStr"/>
      <c r="W401" s="10" t="n"/>
      <c r="X401" s="10" t="inlineStr">
        <is>
          <t>Oui</t>
        </is>
      </c>
      <c r="Y401" s="64">
        <f>IF($M401="","",IF(SUMPRODUCT(($D$4:$D$863=$D401)*($M$4:$M$863=$M401)*($T$4:$T$863&lt;&gt;$T401)*($F$4:$F$863&lt;$G401)*($G$4:$G$863&gt;$F401))&gt;0,"⚠ CONFLIT",""))</f>
        <v/>
      </c>
      <c r="Z401" s="64">
        <f>IF($J401="","",IF(SUMPRODUCT(($D$4:$D$863=$D401)*($J$4:$J$863=$J401)*($T$4:$T$863&lt;&gt;$T401)*($F$4:$F$863&lt;$G401)*($G$4:$G$863&gt;$F401)*(1-($X$4:$X$863="Oui")*($X401="Oui")))&gt;0,"⚠ CONFLIT",""))</f>
        <v/>
      </c>
      <c r="AA401" s="64">
        <f>IF(COUNTIFS($D$4:$D$863,$D401,$J$4:$J$863,$J401,$F$4:$F$863,$F401,$K$4:$K$863,$K401)&gt;1,"⚠ DOUBLON","")</f>
        <v/>
      </c>
      <c r="AB401" s="64">
        <f>IF(COUNTIF($T$4:$T$863,$T401)&lt;&gt;COUNTIFS($T$4:$T$863,$T401,$D$4:$D$863,$D401,$F$4:$F$863,$F401,$G$4:$G$863,$G401,$K$4:$K$863,$K401,$M$4:$M$863,$M401),"⚠ INCOHÉRENT","")</f>
        <v/>
      </c>
      <c r="AC401" s="64">
        <f>COUNTIFS($A$4:$A401,$A401,$J$4:$J401,$J401,$E$4:$E401,$E401)</f>
        <v/>
      </c>
      <c r="AD401" s="65">
        <f>$A401&amp;"|"&amp;$J401&amp;"|"&amp;$E401&amp;"|"&amp;$AC401</f>
        <v/>
      </c>
      <c r="AE401" s="66">
        <f>IF($W401&lt;&gt;"","⚑ "&amp;$W401&amp;CHAR(10),"")&amp;TEXT($F401,"hh:mm")&amp;"-"&amp;TEXT($G401,"hh:mm")&amp;IF(OR($P401="Quinzaine A",AND($P401="Hebdo · groupes alternés",$C401="A"))," Q-A",IF(OR($P401="Quinzaine B",AND($P401="Hebdo · groupes alternés",$C401="B"))," Q-B",IF($P401="Exception"," PONCT.","")))&amp;IF($X401="Oui"," OPT","")&amp;CHAR(10)&amp;$K401&amp;CHAR(10)&amp;$M401&amp;IF($N401&lt;&gt;"",CHAR(10)&amp;"Salle "&amp;$N401,"")&amp;IF($O401="En ligne",CHAR(10)&amp;"EN LIGNE","")&amp;IF($V401&lt;&gt;"",CHAR(10)&amp;$V401,"")</f>
        <v/>
      </c>
      <c r="AF401" s="65" t="inlineStr"/>
      <c r="AG401" s="65" t="inlineStr">
        <is>
          <t>— généré —</t>
        </is>
      </c>
    </row>
    <row r="402" ht="15" customHeight="1">
      <c r="A402" s="58" t="inlineStr">
        <is>
          <t>S4</t>
        </is>
      </c>
      <c r="B402" s="59" t="inlineStr">
        <is>
          <t>du 5 au 11 octobre 2026</t>
        </is>
      </c>
      <c r="C402" s="58" t="inlineStr">
        <is>
          <t>B</t>
        </is>
      </c>
      <c r="D402" s="60" t="n">
        <v>46302</v>
      </c>
      <c r="E402" s="58" t="inlineStr">
        <is>
          <t>Mercredi</t>
        </is>
      </c>
      <c r="F402" s="61" t="n">
        <v>0.7916666666666666</v>
      </c>
      <c r="G402" s="61" t="n">
        <v>0.875</v>
      </c>
      <c r="H402" s="62">
        <f>IF(OR($F402="",$G402=""),"",($G402-$F402)*24)</f>
        <v/>
      </c>
      <c r="I402" s="58" t="inlineStr">
        <is>
          <t>Primaire</t>
        </is>
      </c>
      <c r="J402" s="59" t="inlineStr">
        <is>
          <t>4éme</t>
        </is>
      </c>
      <c r="K402" s="79" t="inlineStr">
        <is>
          <t>رياضيات</t>
        </is>
      </c>
      <c r="L402" s="79" t="inlineStr">
        <is>
          <t>Math</t>
        </is>
      </c>
      <c r="M402" s="59" t="inlineStr">
        <is>
          <t>Bassma</t>
        </is>
      </c>
      <c r="N402" s="58" t="n"/>
      <c r="O402" s="58" t="n"/>
      <c r="P402" s="58" t="inlineStr">
        <is>
          <t>Hebdomadaire</t>
        </is>
      </c>
      <c r="Q402" s="59" t="inlineStr"/>
      <c r="R402" s="58" t="n">
        <v>1</v>
      </c>
      <c r="S402" s="58" t="inlineStr">
        <is>
          <t>Oui</t>
        </is>
      </c>
      <c r="T402" s="58" t="inlineStr">
        <is>
          <t>S4-019</t>
        </is>
      </c>
      <c r="U402" s="59" t="inlineStr">
        <is>
          <t>Généré (octobre)</t>
        </is>
      </c>
      <c r="V402" s="59" t="inlineStr"/>
      <c r="W402" s="10" t="n"/>
      <c r="X402" s="10" t="inlineStr"/>
      <c r="Y402" s="64">
        <f>IF($M402="","",IF(SUMPRODUCT(($D$4:$D$863=$D402)*($M$4:$M$863=$M402)*($T$4:$T$863&lt;&gt;$T402)*($F$4:$F$863&lt;$G402)*($G$4:$G$863&gt;$F402))&gt;0,"⚠ CONFLIT",""))</f>
        <v/>
      </c>
      <c r="Z402" s="64">
        <f>IF($J402="","",IF(SUMPRODUCT(($D$4:$D$863=$D402)*($J$4:$J$863=$J402)*($T$4:$T$863&lt;&gt;$T402)*($F$4:$F$863&lt;$G402)*($G$4:$G$863&gt;$F402)*(1-($X$4:$X$863="Oui")*($X402="Oui")))&gt;0,"⚠ CONFLIT",""))</f>
        <v/>
      </c>
      <c r="AA402" s="64">
        <f>IF(COUNTIFS($D$4:$D$863,$D402,$J$4:$J$863,$J402,$F$4:$F$863,$F402,$K$4:$K$863,$K402)&gt;1,"⚠ DOUBLON","")</f>
        <v/>
      </c>
      <c r="AB402" s="64">
        <f>IF(COUNTIF($T$4:$T$863,$T402)&lt;&gt;COUNTIFS($T$4:$T$863,$T402,$D$4:$D$863,$D402,$F$4:$F$863,$F402,$G$4:$G$863,$G402,$K$4:$K$863,$K402,$M$4:$M$863,$M402),"⚠ INCOHÉRENT","")</f>
        <v/>
      </c>
      <c r="AC402" s="64">
        <f>COUNTIFS($A$4:$A402,$A402,$J$4:$J402,$J402,$E$4:$E402,$E402)</f>
        <v/>
      </c>
      <c r="AD402" s="65">
        <f>$A402&amp;"|"&amp;$J402&amp;"|"&amp;$E402&amp;"|"&amp;$AC402</f>
        <v/>
      </c>
      <c r="AE402" s="66">
        <f>IF($W402&lt;&gt;"","⚑ "&amp;$W402&amp;CHAR(10),"")&amp;TEXT($F402,"hh:mm")&amp;"-"&amp;TEXT($G402,"hh:mm")&amp;IF(OR($P402="Quinzaine A",AND($P402="Hebdo · groupes alternés",$C402="A"))," Q-A",IF(OR($P402="Quinzaine B",AND($P402="Hebdo · groupes alternés",$C402="B"))," Q-B",IF($P402="Exception"," PONCT.","")))&amp;IF($X402="Oui"," OPT","")&amp;CHAR(10)&amp;$K402&amp;CHAR(10)&amp;$M402&amp;IF($N402&lt;&gt;"",CHAR(10)&amp;"Salle "&amp;$N402,"")&amp;IF($O402="En ligne",CHAR(10)&amp;"EN LIGNE","")&amp;IF($V402&lt;&gt;"",CHAR(10)&amp;$V402,"")</f>
        <v/>
      </c>
      <c r="AF402" s="65" t="inlineStr"/>
      <c r="AG402" s="65" t="inlineStr">
        <is>
          <t>— généré —</t>
        </is>
      </c>
    </row>
    <row r="403" ht="15" customHeight="1">
      <c r="A403" s="58" t="inlineStr">
        <is>
          <t>S4</t>
        </is>
      </c>
      <c r="B403" s="59" t="inlineStr">
        <is>
          <t>du 5 au 11 octobre 2026</t>
        </is>
      </c>
      <c r="C403" s="58" t="inlineStr">
        <is>
          <t>B</t>
        </is>
      </c>
      <c r="D403" s="60" t="n">
        <v>46302</v>
      </c>
      <c r="E403" s="58" t="inlineStr">
        <is>
          <t>Mercredi</t>
        </is>
      </c>
      <c r="F403" s="61" t="n">
        <v>0.7916666666666666</v>
      </c>
      <c r="G403" s="61" t="n">
        <v>0.875</v>
      </c>
      <c r="H403" s="62">
        <f>IF(OR($F403="",$G403=""),"",($G403-$F403)*24)</f>
        <v/>
      </c>
      <c r="I403" s="58" t="inlineStr">
        <is>
          <t>Primaire</t>
        </is>
      </c>
      <c r="J403" s="59" t="inlineStr">
        <is>
          <t>6éme Pilote (A)</t>
        </is>
      </c>
      <c r="K403" s="79" t="inlineStr">
        <is>
          <t>رياضيات</t>
        </is>
      </c>
      <c r="L403" s="79" t="inlineStr">
        <is>
          <t>Math</t>
        </is>
      </c>
      <c r="M403" s="59" t="inlineStr">
        <is>
          <t>Noura</t>
        </is>
      </c>
      <c r="N403" s="58" t="n"/>
      <c r="O403" s="58" t="n"/>
      <c r="P403" s="58" t="inlineStr">
        <is>
          <t>Hebdomadaire</t>
        </is>
      </c>
      <c r="Q403" s="59" t="inlineStr"/>
      <c r="R403" s="58" t="n">
        <v>1</v>
      </c>
      <c r="S403" s="58" t="inlineStr">
        <is>
          <t>Oui</t>
        </is>
      </c>
      <c r="T403" s="58" t="inlineStr">
        <is>
          <t>S4-020</t>
        </is>
      </c>
      <c r="U403" s="59" t="inlineStr">
        <is>
          <t>Généré (octobre)</t>
        </is>
      </c>
      <c r="V403" s="59" t="inlineStr"/>
      <c r="W403" s="10" t="n"/>
      <c r="X403" s="10" t="inlineStr"/>
      <c r="Y403" s="64">
        <f>IF($M403="","",IF(SUMPRODUCT(($D$4:$D$863=$D403)*($M$4:$M$863=$M403)*($T$4:$T$863&lt;&gt;$T403)*($F$4:$F$863&lt;$G403)*($G$4:$G$863&gt;$F403))&gt;0,"⚠ CONFLIT",""))</f>
        <v/>
      </c>
      <c r="Z403" s="64">
        <f>IF($J403="","",IF(SUMPRODUCT(($D$4:$D$863=$D403)*($J$4:$J$863=$J403)*($T$4:$T$863&lt;&gt;$T403)*($F$4:$F$863&lt;$G403)*($G$4:$G$863&gt;$F403)*(1-($X$4:$X$863="Oui")*($X403="Oui")))&gt;0,"⚠ CONFLIT",""))</f>
        <v/>
      </c>
      <c r="AA403" s="64">
        <f>IF(COUNTIFS($D$4:$D$863,$D403,$J$4:$J$863,$J403,$F$4:$F$863,$F403,$K$4:$K$863,$K403)&gt;1,"⚠ DOUBLON","")</f>
        <v/>
      </c>
      <c r="AB403" s="64">
        <f>IF(COUNTIF($T$4:$T$863,$T403)&lt;&gt;COUNTIFS($T$4:$T$863,$T403,$D$4:$D$863,$D403,$F$4:$F$863,$F403,$G$4:$G$863,$G403,$K$4:$K$863,$K403,$M$4:$M$863,$M403),"⚠ INCOHÉRENT","")</f>
        <v/>
      </c>
      <c r="AC403" s="64">
        <f>COUNTIFS($A$4:$A403,$A403,$J$4:$J403,$J403,$E$4:$E403,$E403)</f>
        <v/>
      </c>
      <c r="AD403" s="65">
        <f>$A403&amp;"|"&amp;$J403&amp;"|"&amp;$E403&amp;"|"&amp;$AC403</f>
        <v/>
      </c>
      <c r="AE403" s="66">
        <f>IF($W403&lt;&gt;"","⚑ "&amp;$W403&amp;CHAR(10),"")&amp;TEXT($F403,"hh:mm")&amp;"-"&amp;TEXT($G403,"hh:mm")&amp;IF(OR($P403="Quinzaine A",AND($P403="Hebdo · groupes alternés",$C403="A"))," Q-A",IF(OR($P403="Quinzaine B",AND($P403="Hebdo · groupes alternés",$C403="B"))," Q-B",IF($P403="Exception"," PONCT.","")))&amp;IF($X403="Oui"," OPT","")&amp;CHAR(10)&amp;$K403&amp;CHAR(10)&amp;$M403&amp;IF($N403&lt;&gt;"",CHAR(10)&amp;"Salle "&amp;$N403,"")&amp;IF($O403="En ligne",CHAR(10)&amp;"EN LIGNE","")&amp;IF($V403&lt;&gt;"",CHAR(10)&amp;$V403,"")</f>
        <v/>
      </c>
      <c r="AF403" s="65" t="inlineStr"/>
      <c r="AG403" s="65" t="inlineStr">
        <is>
          <t>— généré —</t>
        </is>
      </c>
    </row>
    <row r="404" ht="15" customHeight="1">
      <c r="A404" s="68" t="inlineStr">
        <is>
          <t>S4</t>
        </is>
      </c>
      <c r="B404" s="69" t="inlineStr">
        <is>
          <t>du 5 au 11 octobre 2026</t>
        </is>
      </c>
      <c r="C404" s="68" t="inlineStr">
        <is>
          <t>B</t>
        </is>
      </c>
      <c r="D404" s="70" t="n">
        <v>46302</v>
      </c>
      <c r="E404" s="68" t="inlineStr">
        <is>
          <t>Mercredi</t>
        </is>
      </c>
      <c r="F404" s="71" t="n">
        <v>0.8125</v>
      </c>
      <c r="G404" s="71" t="n">
        <v>0.875</v>
      </c>
      <c r="H404" s="72">
        <f>IF(OR($F404="",$G404=""),"",($G404-$F404)*24)</f>
        <v/>
      </c>
      <c r="I404" s="68" t="inlineStr">
        <is>
          <t>Collège</t>
        </is>
      </c>
      <c r="J404" s="69" t="inlineStr">
        <is>
          <t>7éme (A)</t>
        </is>
      </c>
      <c r="K404" s="73" t="inlineStr">
        <is>
          <t>فيزياء</t>
        </is>
      </c>
      <c r="L404" s="73" t="inlineStr">
        <is>
          <t>Physique</t>
        </is>
      </c>
      <c r="M404" s="69" t="inlineStr">
        <is>
          <t>Melek</t>
        </is>
      </c>
      <c r="N404" s="68" t="n"/>
      <c r="O404" s="68" t="n"/>
      <c r="P404" s="68" t="inlineStr">
        <is>
          <t>Hebdomadaire</t>
        </is>
      </c>
      <c r="Q404" s="69" t="inlineStr">
        <is>
          <t>7éme (A) + 7éme (B)</t>
        </is>
      </c>
      <c r="R404" s="68" t="n">
        <v>2</v>
      </c>
      <c r="S404" s="68" t="inlineStr">
        <is>
          <t>Oui</t>
        </is>
      </c>
      <c r="T404" s="68" t="inlineStr">
        <is>
          <t>S4-021</t>
        </is>
      </c>
      <c r="U404" s="69" t="inlineStr">
        <is>
          <t>Généré (octobre)</t>
        </is>
      </c>
      <c r="V404" s="69" t="inlineStr"/>
      <c r="W404" s="10" t="n"/>
      <c r="X404" s="10" t="inlineStr"/>
      <c r="Y404" s="64">
        <f>IF($M404="","",IF(SUMPRODUCT(($D$4:$D$863=$D404)*($M$4:$M$863=$M404)*($T$4:$T$863&lt;&gt;$T404)*($F$4:$F$863&lt;$G404)*($G$4:$G$863&gt;$F404))&gt;0,"⚠ CONFLIT",""))</f>
        <v/>
      </c>
      <c r="Z404" s="64">
        <f>IF($J404="","",IF(SUMPRODUCT(($D$4:$D$863=$D404)*($J$4:$J$863=$J404)*($T$4:$T$863&lt;&gt;$T404)*($F$4:$F$863&lt;$G404)*($G$4:$G$863&gt;$F404)*(1-($X$4:$X$863="Oui")*($X404="Oui")))&gt;0,"⚠ CONFLIT",""))</f>
        <v/>
      </c>
      <c r="AA404" s="64">
        <f>IF(COUNTIFS($D$4:$D$863,$D404,$J$4:$J$863,$J404,$F$4:$F$863,$F404,$K$4:$K$863,$K404)&gt;1,"⚠ DOUBLON","")</f>
        <v/>
      </c>
      <c r="AB404" s="64">
        <f>IF(COUNTIF($T$4:$T$863,$T404)&lt;&gt;COUNTIFS($T$4:$T$863,$T404,$D$4:$D$863,$D404,$F$4:$F$863,$F404,$G$4:$G$863,$G404,$K$4:$K$863,$K404,$M$4:$M$863,$M404),"⚠ INCOHÉRENT","")</f>
        <v/>
      </c>
      <c r="AC404" s="64">
        <f>COUNTIFS($A$4:$A404,$A404,$J$4:$J404,$J404,$E$4:$E404,$E404)</f>
        <v/>
      </c>
      <c r="AD404" s="65">
        <f>$A404&amp;"|"&amp;$J404&amp;"|"&amp;$E404&amp;"|"&amp;$AC404</f>
        <v/>
      </c>
      <c r="AE404" s="66">
        <f>IF($W404&lt;&gt;"","⚑ "&amp;$W404&amp;CHAR(10),"")&amp;TEXT($F404,"hh:mm")&amp;"-"&amp;TEXT($G404,"hh:mm")&amp;IF(OR($P404="Quinzaine A",AND($P404="Hebdo · groupes alternés",$C404="A"))," Q-A",IF(OR($P404="Quinzaine B",AND($P404="Hebdo · groupes alternés",$C404="B"))," Q-B",IF($P404="Exception"," PONCT.","")))&amp;IF($X404="Oui"," OPT","")&amp;CHAR(10)&amp;$K404&amp;CHAR(10)&amp;$M404&amp;IF($N404&lt;&gt;"",CHAR(10)&amp;"Salle "&amp;$N404,"")&amp;IF($O404="En ligne",CHAR(10)&amp;"EN LIGNE","")&amp;IF($V404&lt;&gt;"",CHAR(10)&amp;$V404,"")</f>
        <v/>
      </c>
      <c r="AF404" s="65" t="inlineStr"/>
      <c r="AG404" s="65" t="inlineStr">
        <is>
          <t>— généré —</t>
        </is>
      </c>
    </row>
    <row r="405" ht="15" customHeight="1">
      <c r="A405" s="68" t="inlineStr">
        <is>
          <t>S4</t>
        </is>
      </c>
      <c r="B405" s="69" t="inlineStr">
        <is>
          <t>du 5 au 11 octobre 2026</t>
        </is>
      </c>
      <c r="C405" s="68" t="inlineStr">
        <is>
          <t>B</t>
        </is>
      </c>
      <c r="D405" s="70" t="n">
        <v>46302</v>
      </c>
      <c r="E405" s="68" t="inlineStr">
        <is>
          <t>Mercredi</t>
        </is>
      </c>
      <c r="F405" s="71" t="n">
        <v>0.8125</v>
      </c>
      <c r="G405" s="71" t="n">
        <v>0.875</v>
      </c>
      <c r="H405" s="72">
        <f>IF(OR($F405="",$G405=""),"",($G405-$F405)*24)</f>
        <v/>
      </c>
      <c r="I405" s="68" t="inlineStr">
        <is>
          <t>Collège</t>
        </is>
      </c>
      <c r="J405" s="69" t="inlineStr">
        <is>
          <t>7éme (B)</t>
        </is>
      </c>
      <c r="K405" s="73" t="inlineStr">
        <is>
          <t>فيزياء</t>
        </is>
      </c>
      <c r="L405" s="73" t="inlineStr">
        <is>
          <t>Physique</t>
        </is>
      </c>
      <c r="M405" s="69" t="inlineStr">
        <is>
          <t>Melek</t>
        </is>
      </c>
      <c r="N405" s="68" t="n"/>
      <c r="O405" s="68" t="n"/>
      <c r="P405" s="68" t="inlineStr">
        <is>
          <t>Hebdomadaire</t>
        </is>
      </c>
      <c r="Q405" s="69" t="inlineStr">
        <is>
          <t>7éme (A) + 7éme (B)</t>
        </is>
      </c>
      <c r="R405" s="68" t="n">
        <v>2</v>
      </c>
      <c r="S405" s="68" t="inlineStr"/>
      <c r="T405" s="68" t="inlineStr">
        <is>
          <t>S4-021</t>
        </is>
      </c>
      <c r="U405" s="69" t="inlineStr">
        <is>
          <t>Généré (octobre)</t>
        </is>
      </c>
      <c r="V405" s="69" t="inlineStr"/>
      <c r="W405" s="10" t="n"/>
      <c r="X405" s="10" t="inlineStr"/>
      <c r="Y405" s="64">
        <f>IF($M405="","",IF(SUMPRODUCT(($D$4:$D$863=$D405)*($M$4:$M$863=$M405)*($T$4:$T$863&lt;&gt;$T405)*($F$4:$F$863&lt;$G405)*($G$4:$G$863&gt;$F405))&gt;0,"⚠ CONFLIT",""))</f>
        <v/>
      </c>
      <c r="Z405" s="64">
        <f>IF($J405="","",IF(SUMPRODUCT(($D$4:$D$863=$D405)*($J$4:$J$863=$J405)*($T$4:$T$863&lt;&gt;$T405)*($F$4:$F$863&lt;$G405)*($G$4:$G$863&gt;$F405)*(1-($X$4:$X$863="Oui")*($X405="Oui")))&gt;0,"⚠ CONFLIT",""))</f>
        <v/>
      </c>
      <c r="AA405" s="64">
        <f>IF(COUNTIFS($D$4:$D$863,$D405,$J$4:$J$863,$J405,$F$4:$F$863,$F405,$K$4:$K$863,$K405)&gt;1,"⚠ DOUBLON","")</f>
        <v/>
      </c>
      <c r="AB405" s="64">
        <f>IF(COUNTIF($T$4:$T$863,$T405)&lt;&gt;COUNTIFS($T$4:$T$863,$T405,$D$4:$D$863,$D405,$F$4:$F$863,$F405,$G$4:$G$863,$G405,$K$4:$K$863,$K405,$M$4:$M$863,$M405),"⚠ INCOHÉRENT","")</f>
        <v/>
      </c>
      <c r="AC405" s="64">
        <f>COUNTIFS($A$4:$A405,$A405,$J$4:$J405,$J405,$E$4:$E405,$E405)</f>
        <v/>
      </c>
      <c r="AD405" s="65">
        <f>$A405&amp;"|"&amp;$J405&amp;"|"&amp;$E405&amp;"|"&amp;$AC405</f>
        <v/>
      </c>
      <c r="AE405" s="66">
        <f>IF($W405&lt;&gt;"","⚑ "&amp;$W405&amp;CHAR(10),"")&amp;TEXT($F405,"hh:mm")&amp;"-"&amp;TEXT($G405,"hh:mm")&amp;IF(OR($P405="Quinzaine A",AND($P405="Hebdo · groupes alternés",$C405="A"))," Q-A",IF(OR($P405="Quinzaine B",AND($P405="Hebdo · groupes alternés",$C405="B"))," Q-B",IF($P405="Exception"," PONCT.","")))&amp;IF($X405="Oui"," OPT","")&amp;CHAR(10)&amp;$K405&amp;CHAR(10)&amp;$M405&amp;IF($N405&lt;&gt;"",CHAR(10)&amp;"Salle "&amp;$N405,"")&amp;IF($O405="En ligne",CHAR(10)&amp;"EN LIGNE","")&amp;IF($V405&lt;&gt;"",CHAR(10)&amp;$V405,"")</f>
        <v/>
      </c>
      <c r="AF405" s="65" t="inlineStr"/>
      <c r="AG405" s="65" t="inlineStr">
        <is>
          <t>— généré —</t>
        </is>
      </c>
    </row>
    <row r="406" ht="15" customHeight="1">
      <c r="A406" s="68" t="inlineStr">
        <is>
          <t>S4</t>
        </is>
      </c>
      <c r="B406" s="69" t="inlineStr">
        <is>
          <t>du 5 au 11 octobre 2026</t>
        </is>
      </c>
      <c r="C406" s="68" t="inlineStr">
        <is>
          <t>B</t>
        </is>
      </c>
      <c r="D406" s="70" t="n">
        <v>46302</v>
      </c>
      <c r="E406" s="68" t="inlineStr">
        <is>
          <t>Mercredi</t>
        </is>
      </c>
      <c r="F406" s="71" t="n">
        <v>0.7916666666666666</v>
      </c>
      <c r="G406" s="71" t="n">
        <v>0.8541666666666666</v>
      </c>
      <c r="H406" s="72">
        <f>IF(OR($F406="",$G406=""),"",($G406-$F406)*24)</f>
        <v/>
      </c>
      <c r="I406" s="68" t="inlineStr">
        <is>
          <t>Collège</t>
        </is>
      </c>
      <c r="J406" s="69" t="inlineStr">
        <is>
          <t>8éme (A)</t>
        </is>
      </c>
      <c r="K406" s="63" t="inlineStr">
        <is>
          <t>Arabe</t>
        </is>
      </c>
      <c r="L406" s="63" t="inlineStr">
        <is>
          <t>Arabe</t>
        </is>
      </c>
      <c r="M406" s="69" t="inlineStr">
        <is>
          <t>Awatef</t>
        </is>
      </c>
      <c r="N406" s="68" t="n"/>
      <c r="O406" s="68" t="n"/>
      <c r="P406" s="68" t="inlineStr">
        <is>
          <t>Hebdomadaire</t>
        </is>
      </c>
      <c r="Q406" s="69" t="inlineStr"/>
      <c r="R406" s="68" t="n">
        <v>1</v>
      </c>
      <c r="S406" s="68" t="inlineStr">
        <is>
          <t>Oui</t>
        </is>
      </c>
      <c r="T406" s="68" t="inlineStr">
        <is>
          <t>S4-022</t>
        </is>
      </c>
      <c r="U406" s="69" t="inlineStr">
        <is>
          <t>Généré (octobre)</t>
        </is>
      </c>
      <c r="V406" s="69" t="inlineStr"/>
      <c r="W406" s="10" t="n"/>
      <c r="X406" s="10" t="inlineStr"/>
      <c r="Y406" s="64">
        <f>IF($M406="","",IF(SUMPRODUCT(($D$4:$D$863=$D406)*($M$4:$M$863=$M406)*($T$4:$T$863&lt;&gt;$T406)*($F$4:$F$863&lt;$G406)*($G$4:$G$863&gt;$F406))&gt;0,"⚠ CONFLIT",""))</f>
        <v/>
      </c>
      <c r="Z406" s="64">
        <f>IF($J406="","",IF(SUMPRODUCT(($D$4:$D$863=$D406)*($J$4:$J$863=$J406)*($T$4:$T$863&lt;&gt;$T406)*($F$4:$F$863&lt;$G406)*($G$4:$G$863&gt;$F406)*(1-($X$4:$X$863="Oui")*($X406="Oui")))&gt;0,"⚠ CONFLIT",""))</f>
        <v/>
      </c>
      <c r="AA406" s="64">
        <f>IF(COUNTIFS($D$4:$D$863,$D406,$J$4:$J$863,$J406,$F$4:$F$863,$F406,$K$4:$K$863,$K406)&gt;1,"⚠ DOUBLON","")</f>
        <v/>
      </c>
      <c r="AB406" s="64">
        <f>IF(COUNTIF($T$4:$T$863,$T406)&lt;&gt;COUNTIFS($T$4:$T$863,$T406,$D$4:$D$863,$D406,$F$4:$F$863,$F406,$G$4:$G$863,$G406,$K$4:$K$863,$K406,$M$4:$M$863,$M406),"⚠ INCOHÉRENT","")</f>
        <v/>
      </c>
      <c r="AC406" s="64">
        <f>COUNTIFS($A$4:$A406,$A406,$J$4:$J406,$J406,$E$4:$E406,$E406)</f>
        <v/>
      </c>
      <c r="AD406" s="65">
        <f>$A406&amp;"|"&amp;$J406&amp;"|"&amp;$E406&amp;"|"&amp;$AC406</f>
        <v/>
      </c>
      <c r="AE406" s="66">
        <f>IF($W406&lt;&gt;"","⚑ "&amp;$W406&amp;CHAR(10),"")&amp;TEXT($F406,"hh:mm")&amp;"-"&amp;TEXT($G406,"hh:mm")&amp;IF(OR($P406="Quinzaine A",AND($P406="Hebdo · groupes alternés",$C406="A"))," Q-A",IF(OR($P406="Quinzaine B",AND($P406="Hebdo · groupes alternés",$C406="B"))," Q-B",IF($P406="Exception"," PONCT.","")))&amp;IF($X406="Oui"," OPT","")&amp;CHAR(10)&amp;$K406&amp;CHAR(10)&amp;$M406&amp;IF($N406&lt;&gt;"",CHAR(10)&amp;"Salle "&amp;$N406,"")&amp;IF($O406="En ligne",CHAR(10)&amp;"EN LIGNE","")&amp;IF($V406&lt;&gt;"",CHAR(10)&amp;$V406,"")</f>
        <v/>
      </c>
      <c r="AF406" s="65" t="inlineStr"/>
      <c r="AG406" s="65" t="inlineStr">
        <is>
          <t>— généré —</t>
        </is>
      </c>
    </row>
    <row r="407" ht="15" customHeight="1">
      <c r="A407" s="68" t="inlineStr">
        <is>
          <t>S4</t>
        </is>
      </c>
      <c r="B407" s="69" t="inlineStr">
        <is>
          <t>du 5 au 11 octobre 2026</t>
        </is>
      </c>
      <c r="C407" s="68" t="inlineStr">
        <is>
          <t>B</t>
        </is>
      </c>
      <c r="D407" s="70" t="n">
        <v>46302</v>
      </c>
      <c r="E407" s="68" t="inlineStr">
        <is>
          <t>Mercredi</t>
        </is>
      </c>
      <c r="F407" s="71" t="n">
        <v>0.8020833333333334</v>
      </c>
      <c r="G407" s="71" t="n">
        <v>0.8645833333333334</v>
      </c>
      <c r="H407" s="72">
        <f>IF(OR($F407="",$G407=""),"",($G407-$F407)*24)</f>
        <v/>
      </c>
      <c r="I407" s="68" t="inlineStr">
        <is>
          <t>Collège</t>
        </is>
      </c>
      <c r="J407" s="69" t="inlineStr">
        <is>
          <t>8éme (B)</t>
        </is>
      </c>
      <c r="K407" s="79" t="inlineStr">
        <is>
          <t>Math</t>
        </is>
      </c>
      <c r="L407" s="79" t="inlineStr">
        <is>
          <t>Math</t>
        </is>
      </c>
      <c r="M407" s="69" t="inlineStr">
        <is>
          <t>Khouloud</t>
        </is>
      </c>
      <c r="N407" s="68" t="n"/>
      <c r="O407" s="68" t="n"/>
      <c r="P407" s="68" t="inlineStr">
        <is>
          <t>Hebdomadaire</t>
        </is>
      </c>
      <c r="Q407" s="69" t="inlineStr"/>
      <c r="R407" s="68" t="n">
        <v>1</v>
      </c>
      <c r="S407" s="68" t="inlineStr">
        <is>
          <t>Oui</t>
        </is>
      </c>
      <c r="T407" s="68" t="inlineStr">
        <is>
          <t>S4-023</t>
        </is>
      </c>
      <c r="U407" s="69" t="inlineStr">
        <is>
          <t>Généré (octobre)</t>
        </is>
      </c>
      <c r="V407" s="69" t="inlineStr"/>
      <c r="W407" s="10" t="n"/>
      <c r="X407" s="10" t="inlineStr"/>
      <c r="Y407" s="64">
        <f>IF($M407="","",IF(SUMPRODUCT(($D$4:$D$863=$D407)*($M$4:$M$863=$M407)*($T$4:$T$863&lt;&gt;$T407)*($F$4:$F$863&lt;$G407)*($G$4:$G$863&gt;$F407))&gt;0,"⚠ CONFLIT",""))</f>
        <v/>
      </c>
      <c r="Z407" s="64">
        <f>IF($J407="","",IF(SUMPRODUCT(($D$4:$D$863=$D407)*($J$4:$J$863=$J407)*($T$4:$T$863&lt;&gt;$T407)*($F$4:$F$863&lt;$G407)*($G$4:$G$863&gt;$F407)*(1-($X$4:$X$863="Oui")*($X407="Oui")))&gt;0,"⚠ CONFLIT",""))</f>
        <v/>
      </c>
      <c r="AA407" s="64">
        <f>IF(COUNTIFS($D$4:$D$863,$D407,$J$4:$J$863,$J407,$F$4:$F$863,$F407,$K$4:$K$863,$K407)&gt;1,"⚠ DOUBLON","")</f>
        <v/>
      </c>
      <c r="AB407" s="64">
        <f>IF(COUNTIF($T$4:$T$863,$T407)&lt;&gt;COUNTIFS($T$4:$T$863,$T407,$D$4:$D$863,$D407,$F$4:$F$863,$F407,$G$4:$G$863,$G407,$K$4:$K$863,$K407,$M$4:$M$863,$M407),"⚠ INCOHÉRENT","")</f>
        <v/>
      </c>
      <c r="AC407" s="64">
        <f>COUNTIFS($A$4:$A407,$A407,$J$4:$J407,$J407,$E$4:$E407,$E407)</f>
        <v/>
      </c>
      <c r="AD407" s="65">
        <f>$A407&amp;"|"&amp;$J407&amp;"|"&amp;$E407&amp;"|"&amp;$AC407</f>
        <v/>
      </c>
      <c r="AE407" s="66">
        <f>IF($W407&lt;&gt;"","⚑ "&amp;$W407&amp;CHAR(10),"")&amp;TEXT($F407,"hh:mm")&amp;"-"&amp;TEXT($G407,"hh:mm")&amp;IF(OR($P407="Quinzaine A",AND($P407="Hebdo · groupes alternés",$C407="A"))," Q-A",IF(OR($P407="Quinzaine B",AND($P407="Hebdo · groupes alternés",$C407="B"))," Q-B",IF($P407="Exception"," PONCT.","")))&amp;IF($X407="Oui"," OPT","")&amp;CHAR(10)&amp;$K407&amp;CHAR(10)&amp;$M407&amp;IF($N407&lt;&gt;"",CHAR(10)&amp;"Salle "&amp;$N407,"")&amp;IF($O407="En ligne",CHAR(10)&amp;"EN LIGNE","")&amp;IF($V407&lt;&gt;"",CHAR(10)&amp;$V407,"")</f>
        <v/>
      </c>
      <c r="AF407" s="65" t="inlineStr"/>
      <c r="AG407" s="65" t="inlineStr">
        <is>
          <t>— généré —</t>
        </is>
      </c>
    </row>
    <row r="408" ht="15" customHeight="1">
      <c r="A408" s="68" t="inlineStr">
        <is>
          <t>S4</t>
        </is>
      </c>
      <c r="B408" s="69" t="inlineStr">
        <is>
          <t>du 5 au 11 octobre 2026</t>
        </is>
      </c>
      <c r="C408" s="68" t="inlineStr">
        <is>
          <t>B</t>
        </is>
      </c>
      <c r="D408" s="70" t="n">
        <v>46302</v>
      </c>
      <c r="E408" s="68" t="inlineStr">
        <is>
          <t>Mercredi</t>
        </is>
      </c>
      <c r="F408" s="71" t="n">
        <v>0.8125</v>
      </c>
      <c r="G408" s="71" t="n">
        <v>0.875</v>
      </c>
      <c r="H408" s="72">
        <f>IF(OR($F408="",$G408=""),"",($G408-$F408)*24)</f>
        <v/>
      </c>
      <c r="I408" s="68" t="inlineStr">
        <is>
          <t>Collège</t>
        </is>
      </c>
      <c r="J408" s="69" t="inlineStr">
        <is>
          <t>8éme (C)</t>
        </is>
      </c>
      <c r="K408" s="67" t="inlineStr">
        <is>
          <t>Français</t>
        </is>
      </c>
      <c r="L408" s="67" t="inlineStr">
        <is>
          <t>Français</t>
        </is>
      </c>
      <c r="M408" s="69" t="inlineStr">
        <is>
          <t>Nabil</t>
        </is>
      </c>
      <c r="N408" s="68" t="n"/>
      <c r="O408" s="68" t="n"/>
      <c r="P408" s="68" t="inlineStr">
        <is>
          <t>Hebdomadaire</t>
        </is>
      </c>
      <c r="Q408" s="69" t="inlineStr"/>
      <c r="R408" s="68" t="n">
        <v>1</v>
      </c>
      <c r="S408" s="68" t="inlineStr">
        <is>
          <t>Oui</t>
        </is>
      </c>
      <c r="T408" s="68" t="inlineStr">
        <is>
          <t>S4-024</t>
        </is>
      </c>
      <c r="U408" s="69" t="inlineStr">
        <is>
          <t>Généré (octobre)</t>
        </is>
      </c>
      <c r="V408" s="69" t="inlineStr"/>
      <c r="W408" s="10" t="n"/>
      <c r="X408" s="10" t="inlineStr"/>
      <c r="Y408" s="64">
        <f>IF($M408="","",IF(SUMPRODUCT(($D$4:$D$863=$D408)*($M$4:$M$863=$M408)*($T$4:$T$863&lt;&gt;$T408)*($F$4:$F$863&lt;$G408)*($G$4:$G$863&gt;$F408))&gt;0,"⚠ CONFLIT",""))</f>
        <v/>
      </c>
      <c r="Z408" s="64">
        <f>IF($J408="","",IF(SUMPRODUCT(($D$4:$D$863=$D408)*($J$4:$J$863=$J408)*($T$4:$T$863&lt;&gt;$T408)*($F$4:$F$863&lt;$G408)*($G$4:$G$863&gt;$F408)*(1-($X$4:$X$863="Oui")*($X408="Oui")))&gt;0,"⚠ CONFLIT",""))</f>
        <v/>
      </c>
      <c r="AA408" s="64">
        <f>IF(COUNTIFS($D$4:$D$863,$D408,$J$4:$J$863,$J408,$F$4:$F$863,$F408,$K$4:$K$863,$K408)&gt;1,"⚠ DOUBLON","")</f>
        <v/>
      </c>
      <c r="AB408" s="64">
        <f>IF(COUNTIF($T$4:$T$863,$T408)&lt;&gt;COUNTIFS($T$4:$T$863,$T408,$D$4:$D$863,$D408,$F$4:$F$863,$F408,$G$4:$G$863,$G408,$K$4:$K$863,$K408,$M$4:$M$863,$M408),"⚠ INCOHÉRENT","")</f>
        <v/>
      </c>
      <c r="AC408" s="64">
        <f>COUNTIFS($A$4:$A408,$A408,$J$4:$J408,$J408,$E$4:$E408,$E408)</f>
        <v/>
      </c>
      <c r="AD408" s="65">
        <f>$A408&amp;"|"&amp;$J408&amp;"|"&amp;$E408&amp;"|"&amp;$AC408</f>
        <v/>
      </c>
      <c r="AE408" s="66">
        <f>IF($W408&lt;&gt;"","⚑ "&amp;$W408&amp;CHAR(10),"")&amp;TEXT($F408,"hh:mm")&amp;"-"&amp;TEXT($G408,"hh:mm")&amp;IF(OR($P408="Quinzaine A",AND($P408="Hebdo · groupes alternés",$C408="A"))," Q-A",IF(OR($P408="Quinzaine B",AND($P408="Hebdo · groupes alternés",$C408="B"))," Q-B",IF($P408="Exception"," PONCT.","")))&amp;IF($X408="Oui"," OPT","")&amp;CHAR(10)&amp;$K408&amp;CHAR(10)&amp;$M408&amp;IF($N408&lt;&gt;"",CHAR(10)&amp;"Salle "&amp;$N408,"")&amp;IF($O408="En ligne",CHAR(10)&amp;"EN LIGNE","")&amp;IF($V408&lt;&gt;"",CHAR(10)&amp;$V408,"")</f>
        <v/>
      </c>
      <c r="AF408" s="65" t="inlineStr"/>
      <c r="AG408" s="65" t="inlineStr">
        <is>
          <t>— généré —</t>
        </is>
      </c>
    </row>
    <row r="409" ht="15" customHeight="1">
      <c r="A409" s="68" t="inlineStr">
        <is>
          <t>S4</t>
        </is>
      </c>
      <c r="B409" s="69" t="inlineStr">
        <is>
          <t>du 5 au 11 octobre 2026</t>
        </is>
      </c>
      <c r="C409" s="68" t="inlineStr">
        <is>
          <t>B</t>
        </is>
      </c>
      <c r="D409" s="70" t="n">
        <v>46302</v>
      </c>
      <c r="E409" s="68" t="inlineStr">
        <is>
          <t>Mercredi</t>
        </is>
      </c>
      <c r="F409" s="71" t="n">
        <v>0.8125</v>
      </c>
      <c r="G409" s="71" t="n">
        <v>0.875</v>
      </c>
      <c r="H409" s="72">
        <f>IF(OR($F409="",$G409=""),"",($G409-$F409)*24)</f>
        <v/>
      </c>
      <c r="I409" s="68" t="inlineStr">
        <is>
          <t>Collège</t>
        </is>
      </c>
      <c r="J409" s="69" t="inlineStr">
        <is>
          <t>9éme (B)</t>
        </is>
      </c>
      <c r="K409" s="63" t="inlineStr">
        <is>
          <t>Arabe</t>
        </is>
      </c>
      <c r="L409" s="63" t="inlineStr">
        <is>
          <t>Arabe</t>
        </is>
      </c>
      <c r="M409" s="69" t="inlineStr">
        <is>
          <t>Yahya</t>
        </is>
      </c>
      <c r="N409" s="68" t="n"/>
      <c r="O409" s="68" t="n"/>
      <c r="P409" s="68" t="inlineStr">
        <is>
          <t>Hebdomadaire</t>
        </is>
      </c>
      <c r="Q409" s="69" t="inlineStr"/>
      <c r="R409" s="68" t="n">
        <v>1</v>
      </c>
      <c r="S409" s="68" t="inlineStr">
        <is>
          <t>Oui</t>
        </is>
      </c>
      <c r="T409" s="68" t="inlineStr">
        <is>
          <t>S4-025</t>
        </is>
      </c>
      <c r="U409" s="69" t="inlineStr">
        <is>
          <t>Généré (octobre)</t>
        </is>
      </c>
      <c r="V409" s="69" t="inlineStr"/>
      <c r="W409" s="10" t="n"/>
      <c r="X409" s="10" t="inlineStr"/>
      <c r="Y409" s="64">
        <f>IF($M409="","",IF(SUMPRODUCT(($D$4:$D$863=$D409)*($M$4:$M$863=$M409)*($T$4:$T$863&lt;&gt;$T409)*($F$4:$F$863&lt;$G409)*($G$4:$G$863&gt;$F409))&gt;0,"⚠ CONFLIT",""))</f>
        <v/>
      </c>
      <c r="Z409" s="64">
        <f>IF($J409="","",IF(SUMPRODUCT(($D$4:$D$863=$D409)*($J$4:$J$863=$J409)*($T$4:$T$863&lt;&gt;$T409)*($F$4:$F$863&lt;$G409)*($G$4:$G$863&gt;$F409)*(1-($X$4:$X$863="Oui")*($X409="Oui")))&gt;0,"⚠ CONFLIT",""))</f>
        <v/>
      </c>
      <c r="AA409" s="64">
        <f>IF(COUNTIFS($D$4:$D$863,$D409,$J$4:$J$863,$J409,$F$4:$F$863,$F409,$K$4:$K$863,$K409)&gt;1,"⚠ DOUBLON","")</f>
        <v/>
      </c>
      <c r="AB409" s="64">
        <f>IF(COUNTIF($T$4:$T$863,$T409)&lt;&gt;COUNTIFS($T$4:$T$863,$T409,$D$4:$D$863,$D409,$F$4:$F$863,$F409,$G$4:$G$863,$G409,$K$4:$K$863,$K409,$M$4:$M$863,$M409),"⚠ INCOHÉRENT","")</f>
        <v/>
      </c>
      <c r="AC409" s="64">
        <f>COUNTIFS($A$4:$A409,$A409,$J$4:$J409,$J409,$E$4:$E409,$E409)</f>
        <v/>
      </c>
      <c r="AD409" s="65">
        <f>$A409&amp;"|"&amp;$J409&amp;"|"&amp;$E409&amp;"|"&amp;$AC409</f>
        <v/>
      </c>
      <c r="AE409" s="66">
        <f>IF($W409&lt;&gt;"","⚑ "&amp;$W409&amp;CHAR(10),"")&amp;TEXT($F409,"hh:mm")&amp;"-"&amp;TEXT($G409,"hh:mm")&amp;IF(OR($P409="Quinzaine A",AND($P409="Hebdo · groupes alternés",$C409="A"))," Q-A",IF(OR($P409="Quinzaine B",AND($P409="Hebdo · groupes alternés",$C409="B"))," Q-B",IF($P409="Exception"," PONCT.","")))&amp;IF($X409="Oui"," OPT","")&amp;CHAR(10)&amp;$K409&amp;CHAR(10)&amp;$M409&amp;IF($N409&lt;&gt;"",CHAR(10)&amp;"Salle "&amp;$N409,"")&amp;IF($O409="En ligne",CHAR(10)&amp;"EN LIGNE","")&amp;IF($V409&lt;&gt;"",CHAR(10)&amp;$V409,"")</f>
        <v/>
      </c>
      <c r="AF409" s="65" t="inlineStr"/>
      <c r="AG409" s="65" t="inlineStr">
        <is>
          <t>— généré —</t>
        </is>
      </c>
    </row>
    <row r="410" ht="15" customHeight="1">
      <c r="A410" s="68" t="inlineStr">
        <is>
          <t>S4</t>
        </is>
      </c>
      <c r="B410" s="69" t="inlineStr">
        <is>
          <t>du 5 au 11 octobre 2026</t>
        </is>
      </c>
      <c r="C410" s="68" t="inlineStr">
        <is>
          <t>B</t>
        </is>
      </c>
      <c r="D410" s="70" t="n">
        <v>46302</v>
      </c>
      <c r="E410" s="68" t="inlineStr">
        <is>
          <t>Mercredi</t>
        </is>
      </c>
      <c r="F410" s="71" t="n">
        <v>0.8020833333333334</v>
      </c>
      <c r="G410" s="71" t="n">
        <v>0.8645833333333334</v>
      </c>
      <c r="H410" s="72">
        <f>IF(OR($F410="",$G410=""),"",($G410-$F410)*24)</f>
        <v/>
      </c>
      <c r="I410" s="68" t="inlineStr">
        <is>
          <t>Collège</t>
        </is>
      </c>
      <c r="J410" s="69" t="inlineStr">
        <is>
          <t>9éme (C)</t>
        </is>
      </c>
      <c r="K410" s="88" t="inlineStr">
        <is>
          <t>SVT</t>
        </is>
      </c>
      <c r="L410" s="88" t="inlineStr">
        <is>
          <t>SVT</t>
        </is>
      </c>
      <c r="M410" s="69" t="inlineStr">
        <is>
          <t>Imen Jribi</t>
        </is>
      </c>
      <c r="N410" s="68" t="n"/>
      <c r="O410" s="68" t="n"/>
      <c r="P410" s="68" t="inlineStr">
        <is>
          <t>Hebdomadaire</t>
        </is>
      </c>
      <c r="Q410" s="69" t="inlineStr"/>
      <c r="R410" s="68" t="n">
        <v>1</v>
      </c>
      <c r="S410" s="68" t="inlineStr">
        <is>
          <t>Oui</t>
        </is>
      </c>
      <c r="T410" s="68" t="inlineStr">
        <is>
          <t>S4-026</t>
        </is>
      </c>
      <c r="U410" s="69" t="inlineStr">
        <is>
          <t>Généré (octobre)</t>
        </is>
      </c>
      <c r="V410" s="69" t="inlineStr"/>
      <c r="W410" s="10" t="n"/>
      <c r="X410" s="10" t="inlineStr"/>
      <c r="Y410" s="64">
        <f>IF($M410="","",IF(SUMPRODUCT(($D$4:$D$863=$D410)*($M$4:$M$863=$M410)*($T$4:$T$863&lt;&gt;$T410)*($F$4:$F$863&lt;$G410)*($G$4:$G$863&gt;$F410))&gt;0,"⚠ CONFLIT",""))</f>
        <v/>
      </c>
      <c r="Z410" s="64">
        <f>IF($J410="","",IF(SUMPRODUCT(($D$4:$D$863=$D410)*($J$4:$J$863=$J410)*($T$4:$T$863&lt;&gt;$T410)*($F$4:$F$863&lt;$G410)*($G$4:$G$863&gt;$F410)*(1-($X$4:$X$863="Oui")*($X410="Oui")))&gt;0,"⚠ CONFLIT",""))</f>
        <v/>
      </c>
      <c r="AA410" s="64">
        <f>IF(COUNTIFS($D$4:$D$863,$D410,$J$4:$J$863,$J410,$F$4:$F$863,$F410,$K$4:$K$863,$K410)&gt;1,"⚠ DOUBLON","")</f>
        <v/>
      </c>
      <c r="AB410" s="64">
        <f>IF(COUNTIF($T$4:$T$863,$T410)&lt;&gt;COUNTIFS($T$4:$T$863,$T410,$D$4:$D$863,$D410,$F$4:$F$863,$F410,$G$4:$G$863,$G410,$K$4:$K$863,$K410,$M$4:$M$863,$M410),"⚠ INCOHÉRENT","")</f>
        <v/>
      </c>
      <c r="AC410" s="64">
        <f>COUNTIFS($A$4:$A410,$A410,$J$4:$J410,$J410,$E$4:$E410,$E410)</f>
        <v/>
      </c>
      <c r="AD410" s="65">
        <f>$A410&amp;"|"&amp;$J410&amp;"|"&amp;$E410&amp;"|"&amp;$AC410</f>
        <v/>
      </c>
      <c r="AE410" s="66">
        <f>IF($W410&lt;&gt;"","⚑ "&amp;$W410&amp;CHAR(10),"")&amp;TEXT($F410,"hh:mm")&amp;"-"&amp;TEXT($G410,"hh:mm")&amp;IF(OR($P410="Quinzaine A",AND($P410="Hebdo · groupes alternés",$C410="A"))," Q-A",IF(OR($P410="Quinzaine B",AND($P410="Hebdo · groupes alternés",$C410="B"))," Q-B",IF($P410="Exception"," PONCT.","")))&amp;IF($X410="Oui"," OPT","")&amp;CHAR(10)&amp;$K410&amp;CHAR(10)&amp;$M410&amp;IF($N410&lt;&gt;"",CHAR(10)&amp;"Salle "&amp;$N410,"")&amp;IF($O410="En ligne",CHAR(10)&amp;"EN LIGNE","")&amp;IF($V410&lt;&gt;"",CHAR(10)&amp;$V410,"")</f>
        <v/>
      </c>
      <c r="AF410" s="65" t="inlineStr"/>
      <c r="AG410" s="65" t="inlineStr">
        <is>
          <t>— généré —</t>
        </is>
      </c>
    </row>
    <row r="411" ht="15" customHeight="1">
      <c r="A411" s="74" t="inlineStr">
        <is>
          <t>S4</t>
        </is>
      </c>
      <c r="B411" s="75" t="inlineStr">
        <is>
          <t>du 5 au 11 octobre 2026</t>
        </is>
      </c>
      <c r="C411" s="74" t="inlineStr">
        <is>
          <t>B</t>
        </is>
      </c>
      <c r="D411" s="76" t="n">
        <v>46302</v>
      </c>
      <c r="E411" s="74" t="inlineStr">
        <is>
          <t>Mercredi</t>
        </is>
      </c>
      <c r="F411" s="77" t="n">
        <v>0.8020833333333334</v>
      </c>
      <c r="G411" s="77" t="n">
        <v>0.8645833333333334</v>
      </c>
      <c r="H411" s="78">
        <f>IF(OR($F411="",$G411=""),"",($G411-$F411)*24)</f>
        <v/>
      </c>
      <c r="I411" s="74" t="inlineStr">
        <is>
          <t>Secondaire</t>
        </is>
      </c>
      <c r="J411" s="75" t="inlineStr">
        <is>
          <t>1ére (B)</t>
        </is>
      </c>
      <c r="K411" s="67" t="inlineStr">
        <is>
          <t>Français</t>
        </is>
      </c>
      <c r="L411" s="67" t="inlineStr">
        <is>
          <t>Français</t>
        </is>
      </c>
      <c r="M411" s="75" t="inlineStr">
        <is>
          <t>Nassima</t>
        </is>
      </c>
      <c r="N411" s="74" t="n"/>
      <c r="O411" s="74" t="n"/>
      <c r="P411" s="74" t="inlineStr">
        <is>
          <t>Hebdomadaire</t>
        </is>
      </c>
      <c r="Q411" s="75" t="inlineStr"/>
      <c r="R411" s="74" t="n">
        <v>1</v>
      </c>
      <c r="S411" s="74" t="inlineStr">
        <is>
          <t>Oui</t>
        </is>
      </c>
      <c r="T411" s="74" t="inlineStr">
        <is>
          <t>S4-027</t>
        </is>
      </c>
      <c r="U411" s="75" t="inlineStr">
        <is>
          <t>Généré (octobre)</t>
        </is>
      </c>
      <c r="V411" s="75" t="inlineStr"/>
      <c r="W411" s="10" t="n"/>
      <c r="X411" s="10" t="inlineStr"/>
      <c r="Y411" s="64">
        <f>IF($M411="","",IF(SUMPRODUCT(($D$4:$D$863=$D411)*($M$4:$M$863=$M411)*($T$4:$T$863&lt;&gt;$T411)*($F$4:$F$863&lt;$G411)*($G$4:$G$863&gt;$F411))&gt;0,"⚠ CONFLIT",""))</f>
        <v/>
      </c>
      <c r="Z411" s="64">
        <f>IF($J411="","",IF(SUMPRODUCT(($D$4:$D$863=$D411)*($J$4:$J$863=$J411)*($T$4:$T$863&lt;&gt;$T411)*($F$4:$F$863&lt;$G411)*($G$4:$G$863&gt;$F411)*(1-($X$4:$X$863="Oui")*($X411="Oui")))&gt;0,"⚠ CONFLIT",""))</f>
        <v/>
      </c>
      <c r="AA411" s="64">
        <f>IF(COUNTIFS($D$4:$D$863,$D411,$J$4:$J$863,$J411,$F$4:$F$863,$F411,$K$4:$K$863,$K411)&gt;1,"⚠ DOUBLON","")</f>
        <v/>
      </c>
      <c r="AB411" s="64">
        <f>IF(COUNTIF($T$4:$T$863,$T411)&lt;&gt;COUNTIFS($T$4:$T$863,$T411,$D$4:$D$863,$D411,$F$4:$F$863,$F411,$G$4:$G$863,$G411,$K$4:$K$863,$K411,$M$4:$M$863,$M411),"⚠ INCOHÉRENT","")</f>
        <v/>
      </c>
      <c r="AC411" s="64">
        <f>COUNTIFS($A$4:$A411,$A411,$J$4:$J411,$J411,$E$4:$E411,$E411)</f>
        <v/>
      </c>
      <c r="AD411" s="65">
        <f>$A411&amp;"|"&amp;$J411&amp;"|"&amp;$E411&amp;"|"&amp;$AC411</f>
        <v/>
      </c>
      <c r="AE411" s="66">
        <f>IF($W411&lt;&gt;"","⚑ "&amp;$W411&amp;CHAR(10),"")&amp;TEXT($F411,"hh:mm")&amp;"-"&amp;TEXT($G411,"hh:mm")&amp;IF(OR($P411="Quinzaine A",AND($P411="Hebdo · groupes alternés",$C411="A"))," Q-A",IF(OR($P411="Quinzaine B",AND($P411="Hebdo · groupes alternés",$C411="B"))," Q-B",IF($P411="Exception"," PONCT.","")))&amp;IF($X411="Oui"," OPT","")&amp;CHAR(10)&amp;$K411&amp;CHAR(10)&amp;$M411&amp;IF($N411&lt;&gt;"",CHAR(10)&amp;"Salle "&amp;$N411,"")&amp;IF($O411="En ligne",CHAR(10)&amp;"EN LIGNE","")&amp;IF($V411&lt;&gt;"",CHAR(10)&amp;$V411,"")</f>
        <v/>
      </c>
      <c r="AF411" s="65" t="inlineStr"/>
      <c r="AG411" s="65" t="inlineStr">
        <is>
          <t>— généré —</t>
        </is>
      </c>
    </row>
    <row r="412" ht="15" customHeight="1">
      <c r="A412" s="74" t="inlineStr">
        <is>
          <t>S4</t>
        </is>
      </c>
      <c r="B412" s="75" t="inlineStr">
        <is>
          <t>du 5 au 11 octobre 2026</t>
        </is>
      </c>
      <c r="C412" s="74" t="inlineStr">
        <is>
          <t>B</t>
        </is>
      </c>
      <c r="D412" s="76" t="n">
        <v>46302</v>
      </c>
      <c r="E412" s="74" t="inlineStr">
        <is>
          <t>Mercredi</t>
        </is>
      </c>
      <c r="F412" s="77" t="n">
        <v>0.8125</v>
      </c>
      <c r="G412" s="77" t="n">
        <v>0.875</v>
      </c>
      <c r="H412" s="78">
        <f>IF(OR($F412="",$G412=""),"",($G412-$F412)*24)</f>
        <v/>
      </c>
      <c r="I412" s="74" t="inlineStr">
        <is>
          <t>Secondaire</t>
        </is>
      </c>
      <c r="J412" s="75" t="inlineStr">
        <is>
          <t>2éme Eco</t>
        </is>
      </c>
      <c r="K412" s="79" t="inlineStr">
        <is>
          <t>Math</t>
        </is>
      </c>
      <c r="L412" s="79" t="inlineStr">
        <is>
          <t>Math</t>
        </is>
      </c>
      <c r="M412" s="75" t="inlineStr">
        <is>
          <t>Haythem</t>
        </is>
      </c>
      <c r="N412" s="74" t="n"/>
      <c r="O412" s="74" t="n"/>
      <c r="P412" s="74" t="inlineStr">
        <is>
          <t>Hebdomadaire</t>
        </is>
      </c>
      <c r="Q412" s="75" t="inlineStr"/>
      <c r="R412" s="74" t="n">
        <v>1</v>
      </c>
      <c r="S412" s="74" t="inlineStr">
        <is>
          <t>Oui</t>
        </is>
      </c>
      <c r="T412" s="74" t="inlineStr">
        <is>
          <t>S4-028</t>
        </is>
      </c>
      <c r="U412" s="75" t="inlineStr">
        <is>
          <t>Généré (octobre)</t>
        </is>
      </c>
      <c r="V412" s="75" t="inlineStr"/>
      <c r="W412" s="10" t="n"/>
      <c r="X412" s="10" t="inlineStr"/>
      <c r="Y412" s="64">
        <f>IF($M412="","",IF(SUMPRODUCT(($D$4:$D$863=$D412)*($M$4:$M$863=$M412)*($T$4:$T$863&lt;&gt;$T412)*($F$4:$F$863&lt;$G412)*($G$4:$G$863&gt;$F412))&gt;0,"⚠ CONFLIT",""))</f>
        <v/>
      </c>
      <c r="Z412" s="64">
        <f>IF($J412="","",IF(SUMPRODUCT(($D$4:$D$863=$D412)*($J$4:$J$863=$J412)*($T$4:$T$863&lt;&gt;$T412)*($F$4:$F$863&lt;$G412)*($G$4:$G$863&gt;$F412)*(1-($X$4:$X$863="Oui")*($X412="Oui")))&gt;0,"⚠ CONFLIT",""))</f>
        <v/>
      </c>
      <c r="AA412" s="64">
        <f>IF(COUNTIFS($D$4:$D$863,$D412,$J$4:$J$863,$J412,$F$4:$F$863,$F412,$K$4:$K$863,$K412)&gt;1,"⚠ DOUBLON","")</f>
        <v/>
      </c>
      <c r="AB412" s="64">
        <f>IF(COUNTIF($T$4:$T$863,$T412)&lt;&gt;COUNTIFS($T$4:$T$863,$T412,$D$4:$D$863,$D412,$F$4:$F$863,$F412,$G$4:$G$863,$G412,$K$4:$K$863,$K412,$M$4:$M$863,$M412),"⚠ INCOHÉRENT","")</f>
        <v/>
      </c>
      <c r="AC412" s="64">
        <f>COUNTIFS($A$4:$A412,$A412,$J$4:$J412,$J412,$E$4:$E412,$E412)</f>
        <v/>
      </c>
      <c r="AD412" s="65">
        <f>$A412&amp;"|"&amp;$J412&amp;"|"&amp;$E412&amp;"|"&amp;$AC412</f>
        <v/>
      </c>
      <c r="AE412" s="66">
        <f>IF($W412&lt;&gt;"","⚑ "&amp;$W412&amp;CHAR(10),"")&amp;TEXT($F412,"hh:mm")&amp;"-"&amp;TEXT($G412,"hh:mm")&amp;IF(OR($P412="Quinzaine A",AND($P412="Hebdo · groupes alternés",$C412="A"))," Q-A",IF(OR($P412="Quinzaine B",AND($P412="Hebdo · groupes alternés",$C412="B"))," Q-B",IF($P412="Exception"," PONCT.","")))&amp;IF($X412="Oui"," OPT","")&amp;CHAR(10)&amp;$K412&amp;CHAR(10)&amp;$M412&amp;IF($N412&lt;&gt;"",CHAR(10)&amp;"Salle "&amp;$N412,"")&amp;IF($O412="En ligne",CHAR(10)&amp;"EN LIGNE","")&amp;IF($V412&lt;&gt;"",CHAR(10)&amp;$V412,"")</f>
        <v/>
      </c>
      <c r="AF412" s="65" t="inlineStr"/>
      <c r="AG412" s="65" t="inlineStr">
        <is>
          <t>— généré —</t>
        </is>
      </c>
    </row>
    <row r="413" ht="15" customHeight="1">
      <c r="A413" s="74" t="inlineStr">
        <is>
          <t>S4</t>
        </is>
      </c>
      <c r="B413" s="75" t="inlineStr">
        <is>
          <t>du 5 au 11 octobre 2026</t>
        </is>
      </c>
      <c r="C413" s="74" t="inlineStr">
        <is>
          <t>B</t>
        </is>
      </c>
      <c r="D413" s="76" t="n">
        <v>46302</v>
      </c>
      <c r="E413" s="74" t="inlineStr">
        <is>
          <t>Mercredi</t>
        </is>
      </c>
      <c r="F413" s="77" t="n">
        <v>0.7916666666666666</v>
      </c>
      <c r="G413" s="77" t="n">
        <v>0.8541666666666666</v>
      </c>
      <c r="H413" s="78">
        <f>IF(OR($F413="",$G413=""),"",($G413-$F413)*24)</f>
        <v/>
      </c>
      <c r="I413" s="74" t="inlineStr">
        <is>
          <t>Secondaire</t>
        </is>
      </c>
      <c r="J413" s="75" t="inlineStr">
        <is>
          <t>3éme Eco</t>
        </is>
      </c>
      <c r="K413" s="86" t="inlineStr">
        <is>
          <t>Gestion</t>
        </is>
      </c>
      <c r="L413" s="86" t="inlineStr">
        <is>
          <t>Gestion</t>
        </is>
      </c>
      <c r="M413" s="75" t="inlineStr">
        <is>
          <t>Yassine</t>
        </is>
      </c>
      <c r="N413" s="74" t="n"/>
      <c r="O413" s="74" t="n"/>
      <c r="P413" s="74" t="inlineStr">
        <is>
          <t>Hebdomadaire</t>
        </is>
      </c>
      <c r="Q413" s="75" t="inlineStr"/>
      <c r="R413" s="74" t="n">
        <v>1</v>
      </c>
      <c r="S413" s="74" t="inlineStr">
        <is>
          <t>Oui</t>
        </is>
      </c>
      <c r="T413" s="74" t="inlineStr">
        <is>
          <t>S4-029</t>
        </is>
      </c>
      <c r="U413" s="75" t="inlineStr">
        <is>
          <t>Généré (octobre)</t>
        </is>
      </c>
      <c r="V413" s="75" t="inlineStr"/>
      <c r="W413" s="10" t="n"/>
      <c r="X413" s="10" t="inlineStr"/>
      <c r="Y413" s="64">
        <f>IF($M413="","",IF(SUMPRODUCT(($D$4:$D$863=$D413)*($M$4:$M$863=$M413)*($T$4:$T$863&lt;&gt;$T413)*($F$4:$F$863&lt;$G413)*($G$4:$G$863&gt;$F413))&gt;0,"⚠ CONFLIT",""))</f>
        <v/>
      </c>
      <c r="Z413" s="64">
        <f>IF($J413="","",IF(SUMPRODUCT(($D$4:$D$863=$D413)*($J$4:$J$863=$J413)*($T$4:$T$863&lt;&gt;$T413)*($F$4:$F$863&lt;$G413)*($G$4:$G$863&gt;$F413)*(1-($X$4:$X$863="Oui")*($X413="Oui")))&gt;0,"⚠ CONFLIT",""))</f>
        <v/>
      </c>
      <c r="AA413" s="64">
        <f>IF(COUNTIFS($D$4:$D$863,$D413,$J$4:$J$863,$J413,$F$4:$F$863,$F413,$K$4:$K$863,$K413)&gt;1,"⚠ DOUBLON","")</f>
        <v/>
      </c>
      <c r="AB413" s="64">
        <f>IF(COUNTIF($T$4:$T$863,$T413)&lt;&gt;COUNTIFS($T$4:$T$863,$T413,$D$4:$D$863,$D413,$F$4:$F$863,$F413,$G$4:$G$863,$G413,$K$4:$K$863,$K413,$M$4:$M$863,$M413),"⚠ INCOHÉRENT","")</f>
        <v/>
      </c>
      <c r="AC413" s="64">
        <f>COUNTIFS($A$4:$A413,$A413,$J$4:$J413,$J413,$E$4:$E413,$E413)</f>
        <v/>
      </c>
      <c r="AD413" s="65">
        <f>$A413&amp;"|"&amp;$J413&amp;"|"&amp;$E413&amp;"|"&amp;$AC413</f>
        <v/>
      </c>
      <c r="AE413" s="66">
        <f>IF($W413&lt;&gt;"","⚑ "&amp;$W413&amp;CHAR(10),"")&amp;TEXT($F413,"hh:mm")&amp;"-"&amp;TEXT($G413,"hh:mm")&amp;IF(OR($P413="Quinzaine A",AND($P413="Hebdo · groupes alternés",$C413="A"))," Q-A",IF(OR($P413="Quinzaine B",AND($P413="Hebdo · groupes alternés",$C413="B"))," Q-B",IF($P413="Exception"," PONCT.","")))&amp;IF($X413="Oui"," OPT","")&amp;CHAR(10)&amp;$K413&amp;CHAR(10)&amp;$M413&amp;IF($N413&lt;&gt;"",CHAR(10)&amp;"Salle "&amp;$N413,"")&amp;IF($O413="En ligne",CHAR(10)&amp;"EN LIGNE","")&amp;IF($V413&lt;&gt;"",CHAR(10)&amp;$V413,"")</f>
        <v/>
      </c>
      <c r="AF413" s="65" t="inlineStr"/>
      <c r="AG413" s="65" t="inlineStr">
        <is>
          <t>— généré —</t>
        </is>
      </c>
    </row>
    <row r="414" ht="15" customHeight="1">
      <c r="A414" s="74" t="inlineStr">
        <is>
          <t>S4</t>
        </is>
      </c>
      <c r="B414" s="75" t="inlineStr">
        <is>
          <t>du 5 au 11 octobre 2026</t>
        </is>
      </c>
      <c r="C414" s="74" t="inlineStr">
        <is>
          <t>B</t>
        </is>
      </c>
      <c r="D414" s="76" t="n">
        <v>46302</v>
      </c>
      <c r="E414" s="74" t="inlineStr">
        <is>
          <t>Mercredi</t>
        </is>
      </c>
      <c r="F414" s="77" t="n">
        <v>0.8125</v>
      </c>
      <c r="G414" s="77" t="n">
        <v>0.875</v>
      </c>
      <c r="H414" s="78">
        <f>IF(OR($F414="",$G414=""),"",($G414-$F414)*24)</f>
        <v/>
      </c>
      <c r="I414" s="74" t="inlineStr">
        <is>
          <t>Secondaire</t>
        </is>
      </c>
      <c r="J414" s="75" t="inlineStr">
        <is>
          <t>3éme INFO</t>
        </is>
      </c>
      <c r="K414" s="73" t="inlineStr">
        <is>
          <t>Physique</t>
        </is>
      </c>
      <c r="L414" s="73" t="inlineStr">
        <is>
          <t>Physique</t>
        </is>
      </c>
      <c r="M414" s="75" t="inlineStr">
        <is>
          <t>Samia</t>
        </is>
      </c>
      <c r="N414" s="74" t="n"/>
      <c r="O414" s="74" t="n"/>
      <c r="P414" s="74" t="inlineStr">
        <is>
          <t>Hebdomadaire</t>
        </is>
      </c>
      <c r="Q414" s="75" t="inlineStr"/>
      <c r="R414" s="74" t="n">
        <v>1</v>
      </c>
      <c r="S414" s="74" t="inlineStr">
        <is>
          <t>Oui</t>
        </is>
      </c>
      <c r="T414" s="74" t="inlineStr">
        <is>
          <t>S4-030</t>
        </is>
      </c>
      <c r="U414" s="75" t="inlineStr">
        <is>
          <t>Généré (octobre)</t>
        </is>
      </c>
      <c r="V414" s="75" t="inlineStr"/>
      <c r="W414" s="10" t="n"/>
      <c r="X414" s="10" t="inlineStr"/>
      <c r="Y414" s="64">
        <f>IF($M414="","",IF(SUMPRODUCT(($D$4:$D$863=$D414)*($M$4:$M$863=$M414)*($T$4:$T$863&lt;&gt;$T414)*($F$4:$F$863&lt;$G414)*($G$4:$G$863&gt;$F414))&gt;0,"⚠ CONFLIT",""))</f>
        <v/>
      </c>
      <c r="Z414" s="64">
        <f>IF($J414="","",IF(SUMPRODUCT(($D$4:$D$863=$D414)*($J$4:$J$863=$J414)*($T$4:$T$863&lt;&gt;$T414)*($F$4:$F$863&lt;$G414)*($G$4:$G$863&gt;$F414)*(1-($X$4:$X$863="Oui")*($X414="Oui")))&gt;0,"⚠ CONFLIT",""))</f>
        <v/>
      </c>
      <c r="AA414" s="64">
        <f>IF(COUNTIFS($D$4:$D$863,$D414,$J$4:$J$863,$J414,$F$4:$F$863,$F414,$K$4:$K$863,$K414)&gt;1,"⚠ DOUBLON","")</f>
        <v/>
      </c>
      <c r="AB414" s="64">
        <f>IF(COUNTIF($T$4:$T$863,$T414)&lt;&gt;COUNTIFS($T$4:$T$863,$T414,$D$4:$D$863,$D414,$F$4:$F$863,$F414,$G$4:$G$863,$G414,$K$4:$K$863,$K414,$M$4:$M$863,$M414),"⚠ INCOHÉRENT","")</f>
        <v/>
      </c>
      <c r="AC414" s="64">
        <f>COUNTIFS($A$4:$A414,$A414,$J$4:$J414,$J414,$E$4:$E414,$E414)</f>
        <v/>
      </c>
      <c r="AD414" s="65">
        <f>$A414&amp;"|"&amp;$J414&amp;"|"&amp;$E414&amp;"|"&amp;$AC414</f>
        <v/>
      </c>
      <c r="AE414" s="66">
        <f>IF($W414&lt;&gt;"","⚑ "&amp;$W414&amp;CHAR(10),"")&amp;TEXT($F414,"hh:mm")&amp;"-"&amp;TEXT($G414,"hh:mm")&amp;IF(OR($P414="Quinzaine A",AND($P414="Hebdo · groupes alternés",$C414="A"))," Q-A",IF(OR($P414="Quinzaine B",AND($P414="Hebdo · groupes alternés",$C414="B"))," Q-B",IF($P414="Exception"," PONCT.","")))&amp;IF($X414="Oui"," OPT","")&amp;CHAR(10)&amp;$K414&amp;CHAR(10)&amp;$M414&amp;IF($N414&lt;&gt;"",CHAR(10)&amp;"Salle "&amp;$N414,"")&amp;IF($O414="En ligne",CHAR(10)&amp;"EN LIGNE","")&amp;IF($V414&lt;&gt;"",CHAR(10)&amp;$V414,"")</f>
        <v/>
      </c>
      <c r="AF414" s="65" t="inlineStr"/>
      <c r="AG414" s="65" t="inlineStr">
        <is>
          <t>— généré —</t>
        </is>
      </c>
    </row>
    <row r="415" ht="15" customHeight="1">
      <c r="A415" s="81" t="inlineStr">
        <is>
          <t>S4</t>
        </is>
      </c>
      <c r="B415" s="82" t="inlineStr">
        <is>
          <t>du 5 au 11 octobre 2026</t>
        </is>
      </c>
      <c r="C415" s="81" t="inlineStr">
        <is>
          <t>B</t>
        </is>
      </c>
      <c r="D415" s="83" t="n">
        <v>46302</v>
      </c>
      <c r="E415" s="81" t="inlineStr">
        <is>
          <t>Mercredi</t>
        </is>
      </c>
      <c r="F415" s="84" t="n">
        <v>0.7916666666666666</v>
      </c>
      <c r="G415" s="84" t="n">
        <v>0.875</v>
      </c>
      <c r="H415" s="85">
        <f>IF(OR($F415="",$G415=""),"",($G415-$F415)*24)</f>
        <v/>
      </c>
      <c r="I415" s="81" t="inlineStr">
        <is>
          <t>Bac</t>
        </is>
      </c>
      <c r="J415" s="82" t="inlineStr">
        <is>
          <t>Bac SCE</t>
        </is>
      </c>
      <c r="K415" s="79" t="inlineStr">
        <is>
          <t>Math</t>
        </is>
      </c>
      <c r="L415" s="79" t="inlineStr">
        <is>
          <t>Math</t>
        </is>
      </c>
      <c r="M415" s="82" t="inlineStr">
        <is>
          <t>Ahmed</t>
        </is>
      </c>
      <c r="N415" s="81" t="n"/>
      <c r="O415" s="81" t="n"/>
      <c r="P415" s="81" t="inlineStr">
        <is>
          <t>Hebdomadaire</t>
        </is>
      </c>
      <c r="Q415" s="82" t="inlineStr"/>
      <c r="R415" s="81" t="n">
        <v>1</v>
      </c>
      <c r="S415" s="81" t="inlineStr">
        <is>
          <t>Oui</t>
        </is>
      </c>
      <c r="T415" s="81" t="inlineStr">
        <is>
          <t>S4-031</t>
        </is>
      </c>
      <c r="U415" s="82" t="inlineStr">
        <is>
          <t>Généré (octobre)</t>
        </is>
      </c>
      <c r="V415" s="82" t="inlineStr"/>
      <c r="W415" s="10" t="n"/>
      <c r="X415" s="10" t="inlineStr"/>
      <c r="Y415" s="64">
        <f>IF($M415="","",IF(SUMPRODUCT(($D$4:$D$863=$D415)*($M$4:$M$863=$M415)*($T$4:$T$863&lt;&gt;$T415)*($F$4:$F$863&lt;$G415)*($G$4:$G$863&gt;$F415))&gt;0,"⚠ CONFLIT",""))</f>
        <v/>
      </c>
      <c r="Z415" s="64">
        <f>IF($J415="","",IF(SUMPRODUCT(($D$4:$D$863=$D415)*($J$4:$J$863=$J415)*($T$4:$T$863&lt;&gt;$T415)*($F$4:$F$863&lt;$G415)*($G$4:$G$863&gt;$F415)*(1-($X$4:$X$863="Oui")*($X415="Oui")))&gt;0,"⚠ CONFLIT",""))</f>
        <v/>
      </c>
      <c r="AA415" s="64">
        <f>IF(COUNTIFS($D$4:$D$863,$D415,$J$4:$J$863,$J415,$F$4:$F$863,$F415,$K$4:$K$863,$K415)&gt;1,"⚠ DOUBLON","")</f>
        <v/>
      </c>
      <c r="AB415" s="64">
        <f>IF(COUNTIF($T$4:$T$863,$T415)&lt;&gt;COUNTIFS($T$4:$T$863,$T415,$D$4:$D$863,$D415,$F$4:$F$863,$F415,$G$4:$G$863,$G415,$K$4:$K$863,$K415,$M$4:$M$863,$M415),"⚠ INCOHÉRENT","")</f>
        <v/>
      </c>
      <c r="AC415" s="64">
        <f>COUNTIFS($A$4:$A415,$A415,$J$4:$J415,$J415,$E$4:$E415,$E415)</f>
        <v/>
      </c>
      <c r="AD415" s="65">
        <f>$A415&amp;"|"&amp;$J415&amp;"|"&amp;$E415&amp;"|"&amp;$AC415</f>
        <v/>
      </c>
      <c r="AE415" s="66">
        <f>IF($W415&lt;&gt;"","⚑ "&amp;$W415&amp;CHAR(10),"")&amp;TEXT($F415,"hh:mm")&amp;"-"&amp;TEXT($G415,"hh:mm")&amp;IF(OR($P415="Quinzaine A",AND($P415="Hebdo · groupes alternés",$C415="A"))," Q-A",IF(OR($P415="Quinzaine B",AND($P415="Hebdo · groupes alternés",$C415="B"))," Q-B",IF($P415="Exception"," PONCT.","")))&amp;IF($X415="Oui"," OPT","")&amp;CHAR(10)&amp;$K415&amp;CHAR(10)&amp;$M415&amp;IF($N415&lt;&gt;"",CHAR(10)&amp;"Salle "&amp;$N415,"")&amp;IF($O415="En ligne",CHAR(10)&amp;"EN LIGNE","")&amp;IF($V415&lt;&gt;"",CHAR(10)&amp;$V415,"")</f>
        <v/>
      </c>
      <c r="AF415" s="65" t="inlineStr"/>
      <c r="AG415" s="65" t="inlineStr">
        <is>
          <t>— généré —</t>
        </is>
      </c>
    </row>
    <row r="416" ht="15" customHeight="1">
      <c r="A416" s="81" t="inlineStr">
        <is>
          <t>S4</t>
        </is>
      </c>
      <c r="B416" s="82" t="inlineStr">
        <is>
          <t>du 5 au 11 octobre 2026</t>
        </is>
      </c>
      <c r="C416" s="81" t="inlineStr">
        <is>
          <t>B</t>
        </is>
      </c>
      <c r="D416" s="83" t="n">
        <v>46302</v>
      </c>
      <c r="E416" s="81" t="inlineStr">
        <is>
          <t>Mercredi</t>
        </is>
      </c>
      <c r="F416" s="84" t="n">
        <v>0.7916666666666666</v>
      </c>
      <c r="G416" s="84" t="n">
        <v>0.875</v>
      </c>
      <c r="H416" s="85">
        <f>IF(OR($F416="",$G416=""),"",($G416-$F416)*24)</f>
        <v/>
      </c>
      <c r="I416" s="81" t="inlineStr">
        <is>
          <t>Bac</t>
        </is>
      </c>
      <c r="J416" s="82" t="inlineStr">
        <is>
          <t>Bac INFO</t>
        </is>
      </c>
      <c r="K416" s="96" t="inlineStr">
        <is>
          <t>STI</t>
        </is>
      </c>
      <c r="L416" s="96" t="inlineStr">
        <is>
          <t>STI</t>
        </is>
      </c>
      <c r="M416" s="82" t="inlineStr">
        <is>
          <t>Aymen</t>
        </is>
      </c>
      <c r="N416" s="81" t="n"/>
      <c r="O416" s="81" t="n"/>
      <c r="P416" s="81" t="inlineStr">
        <is>
          <t>Hebdomadaire</t>
        </is>
      </c>
      <c r="Q416" s="82" t="inlineStr"/>
      <c r="R416" s="81" t="n">
        <v>1</v>
      </c>
      <c r="S416" s="81" t="inlineStr">
        <is>
          <t>Oui</t>
        </is>
      </c>
      <c r="T416" s="81" t="inlineStr">
        <is>
          <t>S4-091</t>
        </is>
      </c>
      <c r="U416" s="82" t="inlineStr">
        <is>
          <t>Généré (octobre)</t>
        </is>
      </c>
      <c r="V416" s="82" t="inlineStr"/>
      <c r="W416" s="10" t="n"/>
      <c r="X416" s="10" t="inlineStr"/>
      <c r="Y416" s="64">
        <f>IF($M416="","",IF(SUMPRODUCT(($D$4:$D$863=$D416)*($M$4:$M$863=$M416)*($T$4:$T$863&lt;&gt;$T416)*($F$4:$F$863&lt;$G416)*($G$4:$G$863&gt;$F416))&gt;0,"⚠ CONFLIT",""))</f>
        <v/>
      </c>
      <c r="Z416" s="64">
        <f>IF($J416="","",IF(SUMPRODUCT(($D$4:$D$863=$D416)*($J$4:$J$863=$J416)*($T$4:$T$863&lt;&gt;$T416)*($F$4:$F$863&lt;$G416)*($G$4:$G$863&gt;$F416)*(1-($X$4:$X$863="Oui")*($X416="Oui")))&gt;0,"⚠ CONFLIT",""))</f>
        <v/>
      </c>
      <c r="AA416" s="64">
        <f>IF(COUNTIFS($D$4:$D$863,$D416,$J$4:$J$863,$J416,$F$4:$F$863,$F416,$K$4:$K$863,$K416)&gt;1,"⚠ DOUBLON","")</f>
        <v/>
      </c>
      <c r="AB416" s="64">
        <f>IF(COUNTIF($T$4:$T$863,$T416)&lt;&gt;COUNTIFS($T$4:$T$863,$T416,$D$4:$D$863,$D416,$F$4:$F$863,$F416,$G$4:$G$863,$G416,$K$4:$K$863,$K416,$M$4:$M$863,$M416),"⚠ INCOHÉRENT","")</f>
        <v/>
      </c>
      <c r="AC416" s="64">
        <f>COUNTIFS($A$4:$A416,$A416,$J$4:$J416,$J416,$E$4:$E416,$E416)</f>
        <v/>
      </c>
      <c r="AD416" s="65">
        <f>$A416&amp;"|"&amp;$J416&amp;"|"&amp;$E416&amp;"|"&amp;$AC416</f>
        <v/>
      </c>
      <c r="AE416" s="66">
        <f>IF($W416&lt;&gt;"","⚑ "&amp;$W416&amp;CHAR(10),"")&amp;TEXT($F416,"hh:mm")&amp;"-"&amp;TEXT($G416,"hh:mm")&amp;IF(OR($P416="Quinzaine A",AND($P416="Hebdo · groupes alternés",$C416="A"))," Q-A",IF(OR($P416="Quinzaine B",AND($P416="Hebdo · groupes alternés",$C416="B"))," Q-B",IF($P416="Exception"," PONCT.","")))&amp;IF($X416="Oui"," OPT","")&amp;CHAR(10)&amp;$K416&amp;CHAR(10)&amp;$M416&amp;IF($N416&lt;&gt;"",CHAR(10)&amp;"Salle "&amp;$N416,"")&amp;IF($O416="En ligne",CHAR(10)&amp;"EN LIGNE","")&amp;IF($V416&lt;&gt;"",CHAR(10)&amp;$V416,"")</f>
        <v/>
      </c>
      <c r="AF416" s="65" t="inlineStr"/>
      <c r="AG416" s="65" t="inlineStr">
        <is>
          <t>— généré —</t>
        </is>
      </c>
    </row>
    <row r="417" ht="15" customHeight="1">
      <c r="A417" s="58" t="inlineStr">
        <is>
          <t>S4</t>
        </is>
      </c>
      <c r="B417" s="59" t="inlineStr">
        <is>
          <t>du 5 au 11 octobre 2026</t>
        </is>
      </c>
      <c r="C417" s="58" t="inlineStr">
        <is>
          <t>B</t>
        </is>
      </c>
      <c r="D417" s="60" t="n">
        <v>46303</v>
      </c>
      <c r="E417" s="58" t="inlineStr">
        <is>
          <t>Jeudi</t>
        </is>
      </c>
      <c r="F417" s="61" t="n">
        <v>0.7916666666666666</v>
      </c>
      <c r="G417" s="61" t="n">
        <v>0.875</v>
      </c>
      <c r="H417" s="62">
        <f>IF(OR($F417="",$G417=""),"",($G417-$F417)*24)</f>
        <v/>
      </c>
      <c r="I417" s="58" t="inlineStr">
        <is>
          <t>Primaire</t>
        </is>
      </c>
      <c r="J417" s="59" t="inlineStr">
        <is>
          <t>5éme</t>
        </is>
      </c>
      <c r="K417" s="79" t="inlineStr">
        <is>
          <t>رياضيات</t>
        </is>
      </c>
      <c r="L417" s="79" t="inlineStr">
        <is>
          <t>Math</t>
        </is>
      </c>
      <c r="M417" s="59" t="inlineStr">
        <is>
          <t>Bassma</t>
        </is>
      </c>
      <c r="N417" s="58" t="n"/>
      <c r="O417" s="58" t="n"/>
      <c r="P417" s="58" t="inlineStr">
        <is>
          <t>Hebdomadaire</t>
        </is>
      </c>
      <c r="Q417" s="59" t="inlineStr"/>
      <c r="R417" s="58" t="n">
        <v>1</v>
      </c>
      <c r="S417" s="58" t="inlineStr">
        <is>
          <t>Oui</t>
        </is>
      </c>
      <c r="T417" s="58" t="inlineStr">
        <is>
          <t>S4-032</t>
        </is>
      </c>
      <c r="U417" s="59" t="inlineStr">
        <is>
          <t>Généré (octobre)</t>
        </is>
      </c>
      <c r="V417" s="59" t="inlineStr"/>
      <c r="W417" s="10" t="n"/>
      <c r="X417" s="10" t="inlineStr"/>
      <c r="Y417" s="64">
        <f>IF($M417="","",IF(SUMPRODUCT(($D$4:$D$863=$D417)*($M$4:$M$863=$M417)*($T$4:$T$863&lt;&gt;$T417)*($F$4:$F$863&lt;$G417)*($G$4:$G$863&gt;$F417))&gt;0,"⚠ CONFLIT",""))</f>
        <v/>
      </c>
      <c r="Z417" s="64">
        <f>IF($J417="","",IF(SUMPRODUCT(($D$4:$D$863=$D417)*($J$4:$J$863=$J417)*($T$4:$T$863&lt;&gt;$T417)*($F$4:$F$863&lt;$G417)*($G$4:$G$863&gt;$F417)*(1-($X$4:$X$863="Oui")*($X417="Oui")))&gt;0,"⚠ CONFLIT",""))</f>
        <v/>
      </c>
      <c r="AA417" s="64">
        <f>IF(COUNTIFS($D$4:$D$863,$D417,$J$4:$J$863,$J417,$F$4:$F$863,$F417,$K$4:$K$863,$K417)&gt;1,"⚠ DOUBLON","")</f>
        <v/>
      </c>
      <c r="AB417" s="64">
        <f>IF(COUNTIF($T$4:$T$863,$T417)&lt;&gt;COUNTIFS($T$4:$T$863,$T417,$D$4:$D$863,$D417,$F$4:$F$863,$F417,$G$4:$G$863,$G417,$K$4:$K$863,$K417,$M$4:$M$863,$M417),"⚠ INCOHÉRENT","")</f>
        <v/>
      </c>
      <c r="AC417" s="64">
        <f>COUNTIFS($A$4:$A417,$A417,$J$4:$J417,$J417,$E$4:$E417,$E417)</f>
        <v/>
      </c>
      <c r="AD417" s="65">
        <f>$A417&amp;"|"&amp;$J417&amp;"|"&amp;$E417&amp;"|"&amp;$AC417</f>
        <v/>
      </c>
      <c r="AE417" s="66">
        <f>IF($W417&lt;&gt;"","⚑ "&amp;$W417&amp;CHAR(10),"")&amp;TEXT($F417,"hh:mm")&amp;"-"&amp;TEXT($G417,"hh:mm")&amp;IF(OR($P417="Quinzaine A",AND($P417="Hebdo · groupes alternés",$C417="A"))," Q-A",IF(OR($P417="Quinzaine B",AND($P417="Hebdo · groupes alternés",$C417="B"))," Q-B",IF($P417="Exception"," PONCT.","")))&amp;IF($X417="Oui"," OPT","")&amp;CHAR(10)&amp;$K417&amp;CHAR(10)&amp;$M417&amp;IF($N417&lt;&gt;"",CHAR(10)&amp;"Salle "&amp;$N417,"")&amp;IF($O417="En ligne",CHAR(10)&amp;"EN LIGNE","")&amp;IF($V417&lt;&gt;"",CHAR(10)&amp;$V417,"")</f>
        <v/>
      </c>
      <c r="AF417" s="65" t="inlineStr"/>
      <c r="AG417" s="65" t="inlineStr">
        <is>
          <t>— généré —</t>
        </is>
      </c>
    </row>
    <row r="418" ht="15" customHeight="1">
      <c r="A418" s="58" t="inlineStr">
        <is>
          <t>S4</t>
        </is>
      </c>
      <c r="B418" s="59" t="inlineStr">
        <is>
          <t>du 5 au 11 octobre 2026</t>
        </is>
      </c>
      <c r="C418" s="58" t="inlineStr">
        <is>
          <t>B</t>
        </is>
      </c>
      <c r="D418" s="60" t="n">
        <v>46303</v>
      </c>
      <c r="E418" s="58" t="inlineStr">
        <is>
          <t>Jeudi</t>
        </is>
      </c>
      <c r="F418" s="61" t="n">
        <v>0.7916666666666666</v>
      </c>
      <c r="G418" s="61" t="n">
        <v>0.875</v>
      </c>
      <c r="H418" s="62">
        <f>IF(OR($F418="",$G418=""),"",($G418-$F418)*24)</f>
        <v/>
      </c>
      <c r="I418" s="58" t="inlineStr">
        <is>
          <t>Primaire</t>
        </is>
      </c>
      <c r="J418" s="59" t="inlineStr">
        <is>
          <t>6éme (B)</t>
        </is>
      </c>
      <c r="K418" s="79" t="inlineStr">
        <is>
          <t>رياضيات</t>
        </is>
      </c>
      <c r="L418" s="79" t="inlineStr">
        <is>
          <t>Math</t>
        </is>
      </c>
      <c r="M418" s="59" t="inlineStr">
        <is>
          <t>Noura</t>
        </is>
      </c>
      <c r="N418" s="58" t="n"/>
      <c r="O418" s="58" t="n"/>
      <c r="P418" s="58" t="inlineStr">
        <is>
          <t>Hebdomadaire</t>
        </is>
      </c>
      <c r="Q418" s="59" t="inlineStr"/>
      <c r="R418" s="58" t="n">
        <v>1</v>
      </c>
      <c r="S418" s="58" t="inlineStr">
        <is>
          <t>Oui</t>
        </is>
      </c>
      <c r="T418" s="58" t="inlineStr">
        <is>
          <t>S4-033</t>
        </is>
      </c>
      <c r="U418" s="59" t="inlineStr">
        <is>
          <t>Généré (octobre)</t>
        </is>
      </c>
      <c r="V418" s="59" t="inlineStr"/>
      <c r="W418" s="10" t="n"/>
      <c r="X418" s="10" t="inlineStr"/>
      <c r="Y418" s="64">
        <f>IF($M418="","",IF(SUMPRODUCT(($D$4:$D$863=$D418)*($M$4:$M$863=$M418)*($T$4:$T$863&lt;&gt;$T418)*($F$4:$F$863&lt;$G418)*($G$4:$G$863&gt;$F418))&gt;0,"⚠ CONFLIT",""))</f>
        <v/>
      </c>
      <c r="Z418" s="64">
        <f>IF($J418="","",IF(SUMPRODUCT(($D$4:$D$863=$D418)*($J$4:$J$863=$J418)*($T$4:$T$863&lt;&gt;$T418)*($F$4:$F$863&lt;$G418)*($G$4:$G$863&gt;$F418)*(1-($X$4:$X$863="Oui")*($X418="Oui")))&gt;0,"⚠ CONFLIT",""))</f>
        <v/>
      </c>
      <c r="AA418" s="64">
        <f>IF(COUNTIFS($D$4:$D$863,$D418,$J$4:$J$863,$J418,$F$4:$F$863,$F418,$K$4:$K$863,$K418)&gt;1,"⚠ DOUBLON","")</f>
        <v/>
      </c>
      <c r="AB418" s="64">
        <f>IF(COUNTIF($T$4:$T$863,$T418)&lt;&gt;COUNTIFS($T$4:$T$863,$T418,$D$4:$D$863,$D418,$F$4:$F$863,$F418,$G$4:$G$863,$G418,$K$4:$K$863,$K418,$M$4:$M$863,$M418),"⚠ INCOHÉRENT","")</f>
        <v/>
      </c>
      <c r="AC418" s="64">
        <f>COUNTIFS($A$4:$A418,$A418,$J$4:$J418,$J418,$E$4:$E418,$E418)</f>
        <v/>
      </c>
      <c r="AD418" s="65">
        <f>$A418&amp;"|"&amp;$J418&amp;"|"&amp;$E418&amp;"|"&amp;$AC418</f>
        <v/>
      </c>
      <c r="AE418" s="66">
        <f>IF($W418&lt;&gt;"","⚑ "&amp;$W418&amp;CHAR(10),"")&amp;TEXT($F418,"hh:mm")&amp;"-"&amp;TEXT($G418,"hh:mm")&amp;IF(OR($P418="Quinzaine A",AND($P418="Hebdo · groupes alternés",$C418="A"))," Q-A",IF(OR($P418="Quinzaine B",AND($P418="Hebdo · groupes alternés",$C418="B"))," Q-B",IF($P418="Exception"," PONCT.","")))&amp;IF($X418="Oui"," OPT","")&amp;CHAR(10)&amp;$K418&amp;CHAR(10)&amp;$M418&amp;IF($N418&lt;&gt;"",CHAR(10)&amp;"Salle "&amp;$N418,"")&amp;IF($O418="En ligne",CHAR(10)&amp;"EN LIGNE","")&amp;IF($V418&lt;&gt;"",CHAR(10)&amp;$V418,"")</f>
        <v/>
      </c>
      <c r="AF418" s="65" t="inlineStr"/>
      <c r="AG418" s="65" t="inlineStr">
        <is>
          <t>— généré —</t>
        </is>
      </c>
    </row>
    <row r="419" ht="15" customHeight="1">
      <c r="A419" s="68" t="inlineStr">
        <is>
          <t>S4</t>
        </is>
      </c>
      <c r="B419" s="69" t="inlineStr">
        <is>
          <t>du 5 au 11 octobre 2026</t>
        </is>
      </c>
      <c r="C419" s="68" t="inlineStr">
        <is>
          <t>B</t>
        </is>
      </c>
      <c r="D419" s="70" t="n">
        <v>46303</v>
      </c>
      <c r="E419" s="68" t="inlineStr">
        <is>
          <t>Jeudi</t>
        </is>
      </c>
      <c r="F419" s="71" t="n">
        <v>0.8020833333333334</v>
      </c>
      <c r="G419" s="71" t="n">
        <v>0.8645833333333334</v>
      </c>
      <c r="H419" s="72">
        <f>IF(OR($F419="",$G419=""),"",($G419-$F419)*24)</f>
        <v/>
      </c>
      <c r="I419" s="68" t="inlineStr">
        <is>
          <t>Collège</t>
        </is>
      </c>
      <c r="J419" s="69" t="inlineStr">
        <is>
          <t>8éme (A)</t>
        </is>
      </c>
      <c r="K419" s="67" t="inlineStr">
        <is>
          <t>Français</t>
        </is>
      </c>
      <c r="L419" s="67" t="inlineStr">
        <is>
          <t>Français</t>
        </is>
      </c>
      <c r="M419" s="69" t="inlineStr">
        <is>
          <t>Nassima</t>
        </is>
      </c>
      <c r="N419" s="68" t="n"/>
      <c r="O419" s="68" t="n"/>
      <c r="P419" s="68" t="inlineStr">
        <is>
          <t>Hebdomadaire</t>
        </is>
      </c>
      <c r="Q419" s="69" t="inlineStr"/>
      <c r="R419" s="68" t="n">
        <v>1</v>
      </c>
      <c r="S419" s="68" t="inlineStr">
        <is>
          <t>Oui</t>
        </is>
      </c>
      <c r="T419" s="68" t="inlineStr">
        <is>
          <t>S4-034</t>
        </is>
      </c>
      <c r="U419" s="69" t="inlineStr">
        <is>
          <t>Généré (octobre)</t>
        </is>
      </c>
      <c r="V419" s="69" t="inlineStr"/>
      <c r="W419" s="10" t="n"/>
      <c r="X419" s="10" t="inlineStr"/>
      <c r="Y419" s="64">
        <f>IF($M419="","",IF(SUMPRODUCT(($D$4:$D$863=$D419)*($M$4:$M$863=$M419)*($T$4:$T$863&lt;&gt;$T419)*($F$4:$F$863&lt;$G419)*($G$4:$G$863&gt;$F419))&gt;0,"⚠ CONFLIT",""))</f>
        <v/>
      </c>
      <c r="Z419" s="64">
        <f>IF($J419="","",IF(SUMPRODUCT(($D$4:$D$863=$D419)*($J$4:$J$863=$J419)*($T$4:$T$863&lt;&gt;$T419)*($F$4:$F$863&lt;$G419)*($G$4:$G$863&gt;$F419)*(1-($X$4:$X$863="Oui")*($X419="Oui")))&gt;0,"⚠ CONFLIT",""))</f>
        <v/>
      </c>
      <c r="AA419" s="64">
        <f>IF(COUNTIFS($D$4:$D$863,$D419,$J$4:$J$863,$J419,$F$4:$F$863,$F419,$K$4:$K$863,$K419)&gt;1,"⚠ DOUBLON","")</f>
        <v/>
      </c>
      <c r="AB419" s="64">
        <f>IF(COUNTIF($T$4:$T$863,$T419)&lt;&gt;COUNTIFS($T$4:$T$863,$T419,$D$4:$D$863,$D419,$F$4:$F$863,$F419,$G$4:$G$863,$G419,$K$4:$K$863,$K419,$M$4:$M$863,$M419),"⚠ INCOHÉRENT","")</f>
        <v/>
      </c>
      <c r="AC419" s="64">
        <f>COUNTIFS($A$4:$A419,$A419,$J$4:$J419,$J419,$E$4:$E419,$E419)</f>
        <v/>
      </c>
      <c r="AD419" s="65">
        <f>$A419&amp;"|"&amp;$J419&amp;"|"&amp;$E419&amp;"|"&amp;$AC419</f>
        <v/>
      </c>
      <c r="AE419" s="66">
        <f>IF($W419&lt;&gt;"","⚑ "&amp;$W419&amp;CHAR(10),"")&amp;TEXT($F419,"hh:mm")&amp;"-"&amp;TEXT($G419,"hh:mm")&amp;IF(OR($P419="Quinzaine A",AND($P419="Hebdo · groupes alternés",$C419="A"))," Q-A",IF(OR($P419="Quinzaine B",AND($P419="Hebdo · groupes alternés",$C419="B"))," Q-B",IF($P419="Exception"," PONCT.","")))&amp;IF($X419="Oui"," OPT","")&amp;CHAR(10)&amp;$K419&amp;CHAR(10)&amp;$M419&amp;IF($N419&lt;&gt;"",CHAR(10)&amp;"Salle "&amp;$N419,"")&amp;IF($O419="En ligne",CHAR(10)&amp;"EN LIGNE","")&amp;IF($V419&lt;&gt;"",CHAR(10)&amp;$V419,"")</f>
        <v/>
      </c>
      <c r="AF419" s="65" t="inlineStr"/>
      <c r="AG419" s="65" t="inlineStr">
        <is>
          <t>— généré —</t>
        </is>
      </c>
    </row>
    <row r="420" ht="15" customHeight="1">
      <c r="A420" s="68" t="inlineStr">
        <is>
          <t>S4</t>
        </is>
      </c>
      <c r="B420" s="69" t="inlineStr">
        <is>
          <t>du 5 au 11 octobre 2026</t>
        </is>
      </c>
      <c r="C420" s="68" t="inlineStr">
        <is>
          <t>B</t>
        </is>
      </c>
      <c r="D420" s="70" t="n">
        <v>46303</v>
      </c>
      <c r="E420" s="68" t="inlineStr">
        <is>
          <t>Jeudi</t>
        </is>
      </c>
      <c r="F420" s="71" t="n">
        <v>0.8020833333333334</v>
      </c>
      <c r="G420" s="71" t="n">
        <v>0.8645833333333334</v>
      </c>
      <c r="H420" s="72">
        <f>IF(OR($F420="",$G420=""),"",($G420-$F420)*24)</f>
        <v/>
      </c>
      <c r="I420" s="68" t="inlineStr">
        <is>
          <t>Collège</t>
        </is>
      </c>
      <c r="J420" s="69" t="inlineStr">
        <is>
          <t>8éme (C)</t>
        </is>
      </c>
      <c r="K420" s="79" t="inlineStr">
        <is>
          <t>Math</t>
        </is>
      </c>
      <c r="L420" s="79" t="inlineStr">
        <is>
          <t>Math</t>
        </is>
      </c>
      <c r="M420" s="69" t="inlineStr">
        <is>
          <t>Khouloud</t>
        </is>
      </c>
      <c r="N420" s="68" t="n"/>
      <c r="O420" s="68" t="n"/>
      <c r="P420" s="68" t="inlineStr">
        <is>
          <t>Hebdomadaire</t>
        </is>
      </c>
      <c r="Q420" s="69" t="inlineStr"/>
      <c r="R420" s="68" t="n">
        <v>1</v>
      </c>
      <c r="S420" s="68" t="inlineStr">
        <is>
          <t>Oui</t>
        </is>
      </c>
      <c r="T420" s="68" t="inlineStr">
        <is>
          <t>S4-035</t>
        </is>
      </c>
      <c r="U420" s="69" t="inlineStr">
        <is>
          <t>Généré (octobre)</t>
        </is>
      </c>
      <c r="V420" s="69" t="inlineStr"/>
      <c r="W420" s="10" t="n"/>
      <c r="X420" s="10" t="inlineStr"/>
      <c r="Y420" s="64">
        <f>IF($M420="","",IF(SUMPRODUCT(($D$4:$D$863=$D420)*($M$4:$M$863=$M420)*($T$4:$T$863&lt;&gt;$T420)*($F$4:$F$863&lt;$G420)*($G$4:$G$863&gt;$F420))&gt;0,"⚠ CONFLIT",""))</f>
        <v/>
      </c>
      <c r="Z420" s="64">
        <f>IF($J420="","",IF(SUMPRODUCT(($D$4:$D$863=$D420)*($J$4:$J$863=$J420)*($T$4:$T$863&lt;&gt;$T420)*($F$4:$F$863&lt;$G420)*($G$4:$G$863&gt;$F420)*(1-($X$4:$X$863="Oui")*($X420="Oui")))&gt;0,"⚠ CONFLIT",""))</f>
        <v/>
      </c>
      <c r="AA420" s="64">
        <f>IF(COUNTIFS($D$4:$D$863,$D420,$J$4:$J$863,$J420,$F$4:$F$863,$F420,$K$4:$K$863,$K420)&gt;1,"⚠ DOUBLON","")</f>
        <v/>
      </c>
      <c r="AB420" s="64">
        <f>IF(COUNTIF($T$4:$T$863,$T420)&lt;&gt;COUNTIFS($T$4:$T$863,$T420,$D$4:$D$863,$D420,$F$4:$F$863,$F420,$G$4:$G$863,$G420,$K$4:$K$863,$K420,$M$4:$M$863,$M420),"⚠ INCOHÉRENT","")</f>
        <v/>
      </c>
      <c r="AC420" s="64">
        <f>COUNTIFS($A$4:$A420,$A420,$J$4:$J420,$J420,$E$4:$E420,$E420)</f>
        <v/>
      </c>
      <c r="AD420" s="65">
        <f>$A420&amp;"|"&amp;$J420&amp;"|"&amp;$E420&amp;"|"&amp;$AC420</f>
        <v/>
      </c>
      <c r="AE420" s="66">
        <f>IF($W420&lt;&gt;"","⚑ "&amp;$W420&amp;CHAR(10),"")&amp;TEXT($F420,"hh:mm")&amp;"-"&amp;TEXT($G420,"hh:mm")&amp;IF(OR($P420="Quinzaine A",AND($P420="Hebdo · groupes alternés",$C420="A"))," Q-A",IF(OR($P420="Quinzaine B",AND($P420="Hebdo · groupes alternés",$C420="B"))," Q-B",IF($P420="Exception"," PONCT.","")))&amp;IF($X420="Oui"," OPT","")&amp;CHAR(10)&amp;$K420&amp;CHAR(10)&amp;$M420&amp;IF($N420&lt;&gt;"",CHAR(10)&amp;"Salle "&amp;$N420,"")&amp;IF($O420="En ligne",CHAR(10)&amp;"EN LIGNE","")&amp;IF($V420&lt;&gt;"",CHAR(10)&amp;$V420,"")</f>
        <v/>
      </c>
      <c r="AF420" s="65" t="inlineStr"/>
      <c r="AG420" s="65" t="inlineStr">
        <is>
          <t>— généré —</t>
        </is>
      </c>
    </row>
    <row r="421" ht="15" customHeight="1">
      <c r="A421" s="68" t="inlineStr">
        <is>
          <t>S4</t>
        </is>
      </c>
      <c r="B421" s="69" t="inlineStr">
        <is>
          <t>du 5 au 11 octobre 2026</t>
        </is>
      </c>
      <c r="C421" s="68" t="inlineStr">
        <is>
          <t>B</t>
        </is>
      </c>
      <c r="D421" s="70" t="n">
        <v>46303</v>
      </c>
      <c r="E421" s="68" t="inlineStr">
        <is>
          <t>Jeudi</t>
        </is>
      </c>
      <c r="F421" s="71" t="n">
        <v>0.8020833333333334</v>
      </c>
      <c r="G421" s="71" t="n">
        <v>0.8645833333333334</v>
      </c>
      <c r="H421" s="72">
        <f>IF(OR($F421="",$G421=""),"",($G421-$F421)*24)</f>
        <v/>
      </c>
      <c r="I421" s="68" t="inlineStr">
        <is>
          <t>Collège</t>
        </is>
      </c>
      <c r="J421" s="69" t="inlineStr">
        <is>
          <t>9éme (A)</t>
        </is>
      </c>
      <c r="K421" s="88" t="inlineStr">
        <is>
          <t>SVT</t>
        </is>
      </c>
      <c r="L421" s="88" t="inlineStr">
        <is>
          <t>SVT</t>
        </is>
      </c>
      <c r="M421" s="69" t="inlineStr">
        <is>
          <t>Imen Jribi</t>
        </is>
      </c>
      <c r="N421" s="68" t="n"/>
      <c r="O421" s="68" t="n"/>
      <c r="P421" s="68" t="inlineStr">
        <is>
          <t>Hebdomadaire</t>
        </is>
      </c>
      <c r="Q421" s="69" t="inlineStr"/>
      <c r="R421" s="68" t="n">
        <v>1</v>
      </c>
      <c r="S421" s="68" t="inlineStr">
        <is>
          <t>Oui</t>
        </is>
      </c>
      <c r="T421" s="68" t="inlineStr">
        <is>
          <t>S4-036</t>
        </is>
      </c>
      <c r="U421" s="69" t="inlineStr">
        <is>
          <t>Généré (octobre)</t>
        </is>
      </c>
      <c r="V421" s="69" t="inlineStr"/>
      <c r="W421" s="10" t="n"/>
      <c r="X421" s="10" t="inlineStr"/>
      <c r="Y421" s="64">
        <f>IF($M421="","",IF(SUMPRODUCT(($D$4:$D$863=$D421)*($M$4:$M$863=$M421)*($T$4:$T$863&lt;&gt;$T421)*($F$4:$F$863&lt;$G421)*($G$4:$G$863&gt;$F421))&gt;0,"⚠ CONFLIT",""))</f>
        <v/>
      </c>
      <c r="Z421" s="64">
        <f>IF($J421="","",IF(SUMPRODUCT(($D$4:$D$863=$D421)*($J$4:$J$863=$J421)*($T$4:$T$863&lt;&gt;$T421)*($F$4:$F$863&lt;$G421)*($G$4:$G$863&gt;$F421)*(1-($X$4:$X$863="Oui")*($X421="Oui")))&gt;0,"⚠ CONFLIT",""))</f>
        <v/>
      </c>
      <c r="AA421" s="64">
        <f>IF(COUNTIFS($D$4:$D$863,$D421,$J$4:$J$863,$J421,$F$4:$F$863,$F421,$K$4:$K$863,$K421)&gt;1,"⚠ DOUBLON","")</f>
        <v/>
      </c>
      <c r="AB421" s="64">
        <f>IF(COUNTIF($T$4:$T$863,$T421)&lt;&gt;COUNTIFS($T$4:$T$863,$T421,$D$4:$D$863,$D421,$F$4:$F$863,$F421,$G$4:$G$863,$G421,$K$4:$K$863,$K421,$M$4:$M$863,$M421),"⚠ INCOHÉRENT","")</f>
        <v/>
      </c>
      <c r="AC421" s="64">
        <f>COUNTIFS($A$4:$A421,$A421,$J$4:$J421,$J421,$E$4:$E421,$E421)</f>
        <v/>
      </c>
      <c r="AD421" s="65">
        <f>$A421&amp;"|"&amp;$J421&amp;"|"&amp;$E421&amp;"|"&amp;$AC421</f>
        <v/>
      </c>
      <c r="AE421" s="66">
        <f>IF($W421&lt;&gt;"","⚑ "&amp;$W421&amp;CHAR(10),"")&amp;TEXT($F421,"hh:mm")&amp;"-"&amp;TEXT($G421,"hh:mm")&amp;IF(OR($P421="Quinzaine A",AND($P421="Hebdo · groupes alternés",$C421="A"))," Q-A",IF(OR($P421="Quinzaine B",AND($P421="Hebdo · groupes alternés",$C421="B"))," Q-B",IF($P421="Exception"," PONCT.","")))&amp;IF($X421="Oui"," OPT","")&amp;CHAR(10)&amp;$K421&amp;CHAR(10)&amp;$M421&amp;IF($N421&lt;&gt;"",CHAR(10)&amp;"Salle "&amp;$N421,"")&amp;IF($O421="En ligne",CHAR(10)&amp;"EN LIGNE","")&amp;IF($V421&lt;&gt;"",CHAR(10)&amp;$V421,"")</f>
        <v/>
      </c>
      <c r="AF421" s="65" t="inlineStr"/>
      <c r="AG421" s="65" t="inlineStr">
        <is>
          <t>— généré —</t>
        </is>
      </c>
    </row>
    <row r="422" ht="15" customHeight="1">
      <c r="A422" s="68" t="inlineStr">
        <is>
          <t>S4</t>
        </is>
      </c>
      <c r="B422" s="69" t="inlineStr">
        <is>
          <t>du 5 au 11 octobre 2026</t>
        </is>
      </c>
      <c r="C422" s="68" t="inlineStr">
        <is>
          <t>B</t>
        </is>
      </c>
      <c r="D422" s="70" t="n">
        <v>46303</v>
      </c>
      <c r="E422" s="68" t="inlineStr">
        <is>
          <t>Jeudi</t>
        </is>
      </c>
      <c r="F422" s="71" t="n">
        <v>0.8125</v>
      </c>
      <c r="G422" s="71" t="n">
        <v>0.875</v>
      </c>
      <c r="H422" s="72">
        <f>IF(OR($F422="",$G422=""),"",($G422-$F422)*24)</f>
        <v/>
      </c>
      <c r="I422" s="68" t="inlineStr">
        <is>
          <t>Collège</t>
        </is>
      </c>
      <c r="J422" s="69" t="inlineStr">
        <is>
          <t>9éme (C)</t>
        </is>
      </c>
      <c r="K422" s="87" t="inlineStr">
        <is>
          <t>Anglais</t>
        </is>
      </c>
      <c r="L422" s="87" t="inlineStr">
        <is>
          <t>Anglais</t>
        </is>
      </c>
      <c r="M422" s="69" t="inlineStr">
        <is>
          <t>Saber</t>
        </is>
      </c>
      <c r="N422" s="68" t="n"/>
      <c r="O422" s="68" t="n"/>
      <c r="P422" s="68" t="inlineStr">
        <is>
          <t>Hebdomadaire</t>
        </is>
      </c>
      <c r="Q422" s="69" t="inlineStr"/>
      <c r="R422" s="68" t="n">
        <v>1</v>
      </c>
      <c r="S422" s="68" t="inlineStr">
        <is>
          <t>Oui</t>
        </is>
      </c>
      <c r="T422" s="68" t="inlineStr">
        <is>
          <t>S4-037</t>
        </is>
      </c>
      <c r="U422" s="69" t="inlineStr">
        <is>
          <t>Généré (octobre)</t>
        </is>
      </c>
      <c r="V422" s="69" t="inlineStr"/>
      <c r="W422" s="10" t="n"/>
      <c r="X422" s="10" t="inlineStr"/>
      <c r="Y422" s="64">
        <f>IF($M422="","",IF(SUMPRODUCT(($D$4:$D$863=$D422)*($M$4:$M$863=$M422)*($T$4:$T$863&lt;&gt;$T422)*($F$4:$F$863&lt;$G422)*($G$4:$G$863&gt;$F422))&gt;0,"⚠ CONFLIT",""))</f>
        <v/>
      </c>
      <c r="Z422" s="64">
        <f>IF($J422="","",IF(SUMPRODUCT(($D$4:$D$863=$D422)*($J$4:$J$863=$J422)*($T$4:$T$863&lt;&gt;$T422)*($F$4:$F$863&lt;$G422)*($G$4:$G$863&gt;$F422)*(1-($X$4:$X$863="Oui")*($X422="Oui")))&gt;0,"⚠ CONFLIT",""))</f>
        <v/>
      </c>
      <c r="AA422" s="64">
        <f>IF(COUNTIFS($D$4:$D$863,$D422,$J$4:$J$863,$J422,$F$4:$F$863,$F422,$K$4:$K$863,$K422)&gt;1,"⚠ DOUBLON","")</f>
        <v/>
      </c>
      <c r="AB422" s="64">
        <f>IF(COUNTIF($T$4:$T$863,$T422)&lt;&gt;COUNTIFS($T$4:$T$863,$T422,$D$4:$D$863,$D422,$F$4:$F$863,$F422,$G$4:$G$863,$G422,$K$4:$K$863,$K422,$M$4:$M$863,$M422),"⚠ INCOHÉRENT","")</f>
        <v/>
      </c>
      <c r="AC422" s="64">
        <f>COUNTIFS($A$4:$A422,$A422,$J$4:$J422,$J422,$E$4:$E422,$E422)</f>
        <v/>
      </c>
      <c r="AD422" s="65">
        <f>$A422&amp;"|"&amp;$J422&amp;"|"&amp;$E422&amp;"|"&amp;$AC422</f>
        <v/>
      </c>
      <c r="AE422" s="66">
        <f>IF($W422&lt;&gt;"","⚑ "&amp;$W422&amp;CHAR(10),"")&amp;TEXT($F422,"hh:mm")&amp;"-"&amp;TEXT($G422,"hh:mm")&amp;IF(OR($P422="Quinzaine A",AND($P422="Hebdo · groupes alternés",$C422="A"))," Q-A",IF(OR($P422="Quinzaine B",AND($P422="Hebdo · groupes alternés",$C422="B"))," Q-B",IF($P422="Exception"," PONCT.","")))&amp;IF($X422="Oui"," OPT","")&amp;CHAR(10)&amp;$K422&amp;CHAR(10)&amp;$M422&amp;IF($N422&lt;&gt;"",CHAR(10)&amp;"Salle "&amp;$N422,"")&amp;IF($O422="En ligne",CHAR(10)&amp;"EN LIGNE","")&amp;IF($V422&lt;&gt;"",CHAR(10)&amp;$V422,"")</f>
        <v/>
      </c>
      <c r="AF422" s="65" t="inlineStr"/>
      <c r="AG422" s="65" t="inlineStr">
        <is>
          <t>— généré —</t>
        </is>
      </c>
    </row>
    <row r="423" ht="15" customHeight="1">
      <c r="A423" s="74" t="inlineStr">
        <is>
          <t>S4</t>
        </is>
      </c>
      <c r="B423" s="75" t="inlineStr">
        <is>
          <t>du 5 au 11 octobre 2026</t>
        </is>
      </c>
      <c r="C423" s="74" t="inlineStr">
        <is>
          <t>B</t>
        </is>
      </c>
      <c r="D423" s="76" t="n">
        <v>46303</v>
      </c>
      <c r="E423" s="74" t="inlineStr">
        <is>
          <t>Jeudi</t>
        </is>
      </c>
      <c r="F423" s="77" t="n">
        <v>0.8020833333333334</v>
      </c>
      <c r="G423" s="77" t="n">
        <v>0.8645833333333334</v>
      </c>
      <c r="H423" s="78">
        <f>IF(OR($F423="",$G423=""),"",($G423-$F423)*24)</f>
        <v/>
      </c>
      <c r="I423" s="74" t="inlineStr">
        <is>
          <t>Secondaire</t>
        </is>
      </c>
      <c r="J423" s="75" t="inlineStr">
        <is>
          <t>1ére (B)</t>
        </is>
      </c>
      <c r="K423" s="87" t="inlineStr">
        <is>
          <t>Anglais</t>
        </is>
      </c>
      <c r="L423" s="87" t="inlineStr">
        <is>
          <t>Anglais</t>
        </is>
      </c>
      <c r="M423" s="75" t="inlineStr">
        <is>
          <t>Imen Bennour</t>
        </is>
      </c>
      <c r="N423" s="74" t="n"/>
      <c r="O423" s="74" t="n"/>
      <c r="P423" s="74" t="inlineStr">
        <is>
          <t>Hebdo · groupes alternés</t>
        </is>
      </c>
      <c r="Q423" s="75" t="inlineStr"/>
      <c r="R423" s="74" t="n">
        <v>1</v>
      </c>
      <c r="S423" s="74" t="inlineStr">
        <is>
          <t>Oui</t>
        </is>
      </c>
      <c r="T423" s="74" t="inlineStr">
        <is>
          <t>S4-038</t>
        </is>
      </c>
      <c r="U423" s="75" t="inlineStr">
        <is>
          <t>Généré (octobre)</t>
        </is>
      </c>
      <c r="V423" s="75" t="inlineStr"/>
      <c r="W423" s="10" t="n"/>
      <c r="X423" s="10" t="inlineStr"/>
      <c r="Y423" s="64">
        <f>IF($M423="","",IF(SUMPRODUCT(($D$4:$D$863=$D423)*($M$4:$M$863=$M423)*($T$4:$T$863&lt;&gt;$T423)*($F$4:$F$863&lt;$G423)*($G$4:$G$863&gt;$F423))&gt;0,"⚠ CONFLIT",""))</f>
        <v/>
      </c>
      <c r="Z423" s="64">
        <f>IF($J423="","",IF(SUMPRODUCT(($D$4:$D$863=$D423)*($J$4:$J$863=$J423)*($T$4:$T$863&lt;&gt;$T423)*($F$4:$F$863&lt;$G423)*($G$4:$G$863&gt;$F423)*(1-($X$4:$X$863="Oui")*($X423="Oui")))&gt;0,"⚠ CONFLIT",""))</f>
        <v/>
      </c>
      <c r="AA423" s="64">
        <f>IF(COUNTIFS($D$4:$D$863,$D423,$J$4:$J$863,$J423,$F$4:$F$863,$F423,$K$4:$K$863,$K423)&gt;1,"⚠ DOUBLON","")</f>
        <v/>
      </c>
      <c r="AB423" s="64">
        <f>IF(COUNTIF($T$4:$T$863,$T423)&lt;&gt;COUNTIFS($T$4:$T$863,$T423,$D$4:$D$863,$D423,$F$4:$F$863,$F423,$G$4:$G$863,$G423,$K$4:$K$863,$K423,$M$4:$M$863,$M423),"⚠ INCOHÉRENT","")</f>
        <v/>
      </c>
      <c r="AC423" s="64">
        <f>COUNTIFS($A$4:$A423,$A423,$J$4:$J423,$J423,$E$4:$E423,$E423)</f>
        <v/>
      </c>
      <c r="AD423" s="65">
        <f>$A423&amp;"|"&amp;$J423&amp;"|"&amp;$E423&amp;"|"&amp;$AC423</f>
        <v/>
      </c>
      <c r="AE423" s="66">
        <f>IF($W423&lt;&gt;"","⚑ "&amp;$W423&amp;CHAR(10),"")&amp;TEXT($F423,"hh:mm")&amp;"-"&amp;TEXT($G423,"hh:mm")&amp;IF(OR($P423="Quinzaine A",AND($P423="Hebdo · groupes alternés",$C423="A"))," Q-A",IF(OR($P423="Quinzaine B",AND($P423="Hebdo · groupes alternés",$C423="B"))," Q-B",IF($P423="Exception"," PONCT.","")))&amp;IF($X423="Oui"," OPT","")&amp;CHAR(10)&amp;$K423&amp;CHAR(10)&amp;$M423&amp;IF($N423&lt;&gt;"",CHAR(10)&amp;"Salle "&amp;$N423,"")&amp;IF($O423="En ligne",CHAR(10)&amp;"EN LIGNE","")&amp;IF($V423&lt;&gt;"",CHAR(10)&amp;$V423,"")</f>
        <v/>
      </c>
      <c r="AF423" s="65" t="inlineStr"/>
      <c r="AG423" s="65" t="inlineStr">
        <is>
          <t>— généré —</t>
        </is>
      </c>
    </row>
    <row r="424" ht="15" customHeight="1">
      <c r="A424" s="74" t="inlineStr">
        <is>
          <t>S4</t>
        </is>
      </c>
      <c r="B424" s="75" t="inlineStr">
        <is>
          <t>du 5 au 11 octobre 2026</t>
        </is>
      </c>
      <c r="C424" s="74" t="inlineStr">
        <is>
          <t>B</t>
        </is>
      </c>
      <c r="D424" s="76" t="n">
        <v>46303</v>
      </c>
      <c r="E424" s="74" t="inlineStr">
        <is>
          <t>Jeudi</t>
        </is>
      </c>
      <c r="F424" s="77" t="n">
        <v>0.7916666666666666</v>
      </c>
      <c r="G424" s="77" t="n">
        <v>0.8541666666666666</v>
      </c>
      <c r="H424" s="78">
        <f>IF(OR($F424="",$G424=""),"",($G424-$F424)*24)</f>
        <v/>
      </c>
      <c r="I424" s="74" t="inlineStr">
        <is>
          <t>Secondaire</t>
        </is>
      </c>
      <c r="J424" s="75" t="inlineStr">
        <is>
          <t>2éme Eco</t>
        </is>
      </c>
      <c r="K424" s="86" t="inlineStr">
        <is>
          <t>Gestion</t>
        </is>
      </c>
      <c r="L424" s="86" t="inlineStr">
        <is>
          <t>Gestion</t>
        </is>
      </c>
      <c r="M424" s="75" t="inlineStr">
        <is>
          <t>Yassine</t>
        </is>
      </c>
      <c r="N424" s="74" t="n"/>
      <c r="O424" s="74" t="n"/>
      <c r="P424" s="74" t="inlineStr">
        <is>
          <t>Hebdomadaire</t>
        </is>
      </c>
      <c r="Q424" s="75" t="inlineStr"/>
      <c r="R424" s="74" t="n">
        <v>1</v>
      </c>
      <c r="S424" s="74" t="inlineStr">
        <is>
          <t>Oui</t>
        </is>
      </c>
      <c r="T424" s="74" t="inlineStr">
        <is>
          <t>S4-039</t>
        </is>
      </c>
      <c r="U424" s="75" t="inlineStr">
        <is>
          <t>Généré (octobre)</t>
        </is>
      </c>
      <c r="V424" s="75" t="inlineStr"/>
      <c r="W424" s="10" t="n"/>
      <c r="X424" s="10" t="inlineStr"/>
      <c r="Y424" s="64">
        <f>IF($M424="","",IF(SUMPRODUCT(($D$4:$D$863=$D424)*($M$4:$M$863=$M424)*($T$4:$T$863&lt;&gt;$T424)*($F$4:$F$863&lt;$G424)*($G$4:$G$863&gt;$F424))&gt;0,"⚠ CONFLIT",""))</f>
        <v/>
      </c>
      <c r="Z424" s="64">
        <f>IF($J424="","",IF(SUMPRODUCT(($D$4:$D$863=$D424)*($J$4:$J$863=$J424)*($T$4:$T$863&lt;&gt;$T424)*($F$4:$F$863&lt;$G424)*($G$4:$G$863&gt;$F424)*(1-($X$4:$X$863="Oui")*($X424="Oui")))&gt;0,"⚠ CONFLIT",""))</f>
        <v/>
      </c>
      <c r="AA424" s="64">
        <f>IF(COUNTIFS($D$4:$D$863,$D424,$J$4:$J$863,$J424,$F$4:$F$863,$F424,$K$4:$K$863,$K424)&gt;1,"⚠ DOUBLON","")</f>
        <v/>
      </c>
      <c r="AB424" s="64">
        <f>IF(COUNTIF($T$4:$T$863,$T424)&lt;&gt;COUNTIFS($T$4:$T$863,$T424,$D$4:$D$863,$D424,$F$4:$F$863,$F424,$G$4:$G$863,$G424,$K$4:$K$863,$K424,$M$4:$M$863,$M424),"⚠ INCOHÉRENT","")</f>
        <v/>
      </c>
      <c r="AC424" s="64">
        <f>COUNTIFS($A$4:$A424,$A424,$J$4:$J424,$J424,$E$4:$E424,$E424)</f>
        <v/>
      </c>
      <c r="AD424" s="65">
        <f>$A424&amp;"|"&amp;$J424&amp;"|"&amp;$E424&amp;"|"&amp;$AC424</f>
        <v/>
      </c>
      <c r="AE424" s="66">
        <f>IF($W424&lt;&gt;"","⚑ "&amp;$W424&amp;CHAR(10),"")&amp;TEXT($F424,"hh:mm")&amp;"-"&amp;TEXT($G424,"hh:mm")&amp;IF(OR($P424="Quinzaine A",AND($P424="Hebdo · groupes alternés",$C424="A"))," Q-A",IF(OR($P424="Quinzaine B",AND($P424="Hebdo · groupes alternés",$C424="B"))," Q-B",IF($P424="Exception"," PONCT.","")))&amp;IF($X424="Oui"," OPT","")&amp;CHAR(10)&amp;$K424&amp;CHAR(10)&amp;$M424&amp;IF($N424&lt;&gt;"",CHAR(10)&amp;"Salle "&amp;$N424,"")&amp;IF($O424="En ligne",CHAR(10)&amp;"EN LIGNE","")&amp;IF($V424&lt;&gt;"",CHAR(10)&amp;$V424,"")</f>
        <v/>
      </c>
      <c r="AF424" s="65" t="inlineStr"/>
      <c r="AG424" s="65" t="inlineStr">
        <is>
          <t>— généré —</t>
        </is>
      </c>
    </row>
    <row r="425" ht="15" customHeight="1">
      <c r="A425" s="74" t="inlineStr">
        <is>
          <t>S4</t>
        </is>
      </c>
      <c r="B425" s="75" t="inlineStr">
        <is>
          <t>du 5 au 11 octobre 2026</t>
        </is>
      </c>
      <c r="C425" s="74" t="inlineStr">
        <is>
          <t>B</t>
        </is>
      </c>
      <c r="D425" s="76" t="n">
        <v>46303</v>
      </c>
      <c r="E425" s="74" t="inlineStr">
        <is>
          <t>Jeudi</t>
        </is>
      </c>
      <c r="F425" s="77" t="n">
        <v>0.8125</v>
      </c>
      <c r="G425" s="77" t="n">
        <v>0.875</v>
      </c>
      <c r="H425" s="78">
        <f>IF(OR($F425="",$G425=""),"",($G425-$F425)*24)</f>
        <v/>
      </c>
      <c r="I425" s="74" t="inlineStr">
        <is>
          <t>Secondaire</t>
        </is>
      </c>
      <c r="J425" s="75" t="inlineStr">
        <is>
          <t>2éme SCE</t>
        </is>
      </c>
      <c r="K425" s="79" t="inlineStr">
        <is>
          <t>Math</t>
        </is>
      </c>
      <c r="L425" s="79" t="inlineStr">
        <is>
          <t>Math</t>
        </is>
      </c>
      <c r="M425" s="75" t="inlineStr">
        <is>
          <t>Haythem</t>
        </is>
      </c>
      <c r="N425" s="74" t="n"/>
      <c r="O425" s="74" t="n"/>
      <c r="P425" s="74" t="inlineStr">
        <is>
          <t>Hebdomadaire</t>
        </is>
      </c>
      <c r="Q425" s="75" t="inlineStr"/>
      <c r="R425" s="74" t="n">
        <v>1</v>
      </c>
      <c r="S425" s="74" t="inlineStr">
        <is>
          <t>Oui</t>
        </is>
      </c>
      <c r="T425" s="74" t="inlineStr">
        <is>
          <t>S4-040</t>
        </is>
      </c>
      <c r="U425" s="75" t="inlineStr">
        <is>
          <t>Généré (octobre)</t>
        </is>
      </c>
      <c r="V425" s="75" t="inlineStr"/>
      <c r="W425" s="10" t="n"/>
      <c r="X425" s="10" t="inlineStr"/>
      <c r="Y425" s="64">
        <f>IF($M425="","",IF(SUMPRODUCT(($D$4:$D$863=$D425)*($M$4:$M$863=$M425)*($T$4:$T$863&lt;&gt;$T425)*($F$4:$F$863&lt;$G425)*($G$4:$G$863&gt;$F425))&gt;0,"⚠ CONFLIT",""))</f>
        <v/>
      </c>
      <c r="Z425" s="64">
        <f>IF($J425="","",IF(SUMPRODUCT(($D$4:$D$863=$D425)*($J$4:$J$863=$J425)*($T$4:$T$863&lt;&gt;$T425)*($F$4:$F$863&lt;$G425)*($G$4:$G$863&gt;$F425)*(1-($X$4:$X$863="Oui")*($X425="Oui")))&gt;0,"⚠ CONFLIT",""))</f>
        <v/>
      </c>
      <c r="AA425" s="64">
        <f>IF(COUNTIFS($D$4:$D$863,$D425,$J$4:$J$863,$J425,$F$4:$F$863,$F425,$K$4:$K$863,$K425)&gt;1,"⚠ DOUBLON","")</f>
        <v/>
      </c>
      <c r="AB425" s="64">
        <f>IF(COUNTIF($T$4:$T$863,$T425)&lt;&gt;COUNTIFS($T$4:$T$863,$T425,$D$4:$D$863,$D425,$F$4:$F$863,$F425,$G$4:$G$863,$G425,$K$4:$K$863,$K425,$M$4:$M$863,$M425),"⚠ INCOHÉRENT","")</f>
        <v/>
      </c>
      <c r="AC425" s="64">
        <f>COUNTIFS($A$4:$A425,$A425,$J$4:$J425,$J425,$E$4:$E425,$E425)</f>
        <v/>
      </c>
      <c r="AD425" s="65">
        <f>$A425&amp;"|"&amp;$J425&amp;"|"&amp;$E425&amp;"|"&amp;$AC425</f>
        <v/>
      </c>
      <c r="AE425" s="66">
        <f>IF($W425&lt;&gt;"","⚑ "&amp;$W425&amp;CHAR(10),"")&amp;TEXT($F425,"hh:mm")&amp;"-"&amp;TEXT($G425,"hh:mm")&amp;IF(OR($P425="Quinzaine A",AND($P425="Hebdo · groupes alternés",$C425="A"))," Q-A",IF(OR($P425="Quinzaine B",AND($P425="Hebdo · groupes alternés",$C425="B"))," Q-B",IF($P425="Exception"," PONCT.","")))&amp;IF($X425="Oui"," OPT","")&amp;CHAR(10)&amp;$K425&amp;CHAR(10)&amp;$M425&amp;IF($N425&lt;&gt;"",CHAR(10)&amp;"Salle "&amp;$N425,"")&amp;IF($O425="En ligne",CHAR(10)&amp;"EN LIGNE","")&amp;IF($V425&lt;&gt;"",CHAR(10)&amp;$V425,"")</f>
        <v/>
      </c>
      <c r="AF425" s="65" t="inlineStr"/>
      <c r="AG425" s="65" t="inlineStr">
        <is>
          <t>— généré —</t>
        </is>
      </c>
    </row>
    <row r="426" ht="15" customHeight="1">
      <c r="A426" s="74" t="inlineStr">
        <is>
          <t>S4</t>
        </is>
      </c>
      <c r="B426" s="75" t="inlineStr">
        <is>
          <t>du 5 au 11 octobre 2026</t>
        </is>
      </c>
      <c r="C426" s="74" t="inlineStr">
        <is>
          <t>B</t>
        </is>
      </c>
      <c r="D426" s="76" t="n">
        <v>46303</v>
      </c>
      <c r="E426" s="74" t="inlineStr">
        <is>
          <t>Jeudi</t>
        </is>
      </c>
      <c r="F426" s="77" t="n">
        <v>0.8125</v>
      </c>
      <c r="G426" s="77" t="n">
        <v>0.875</v>
      </c>
      <c r="H426" s="78">
        <f>IF(OR($F426="",$G426=""),"",($G426-$F426)*24)</f>
        <v/>
      </c>
      <c r="I426" s="74" t="inlineStr">
        <is>
          <t>Secondaire</t>
        </is>
      </c>
      <c r="J426" s="75" t="inlineStr">
        <is>
          <t>2éme INFO</t>
        </is>
      </c>
      <c r="K426" s="73" t="inlineStr">
        <is>
          <t>Physique</t>
        </is>
      </c>
      <c r="L426" s="73" t="inlineStr">
        <is>
          <t>Physique</t>
        </is>
      </c>
      <c r="M426" s="75" t="inlineStr">
        <is>
          <t>Samia</t>
        </is>
      </c>
      <c r="N426" s="74" t="n"/>
      <c r="O426" s="74" t="n"/>
      <c r="P426" s="74" t="inlineStr">
        <is>
          <t>Hebdomadaire</t>
        </is>
      </c>
      <c r="Q426" s="75" t="inlineStr"/>
      <c r="R426" s="74" t="n">
        <v>1</v>
      </c>
      <c r="S426" s="74" t="inlineStr">
        <is>
          <t>Oui</t>
        </is>
      </c>
      <c r="T426" s="74" t="inlineStr">
        <is>
          <t>S4-041</t>
        </is>
      </c>
      <c r="U426" s="75" t="inlineStr">
        <is>
          <t>Généré (octobre)</t>
        </is>
      </c>
      <c r="V426" s="75" t="inlineStr"/>
      <c r="W426" s="10" t="n"/>
      <c r="X426" s="10" t="inlineStr"/>
      <c r="Y426" s="64">
        <f>IF($M426="","",IF(SUMPRODUCT(($D$4:$D$863=$D426)*($M$4:$M$863=$M426)*($T$4:$T$863&lt;&gt;$T426)*($F$4:$F$863&lt;$G426)*($G$4:$G$863&gt;$F426))&gt;0,"⚠ CONFLIT",""))</f>
        <v/>
      </c>
      <c r="Z426" s="64">
        <f>IF($J426="","",IF(SUMPRODUCT(($D$4:$D$863=$D426)*($J$4:$J$863=$J426)*($T$4:$T$863&lt;&gt;$T426)*($F$4:$F$863&lt;$G426)*($G$4:$G$863&gt;$F426)*(1-($X$4:$X$863="Oui")*($X426="Oui")))&gt;0,"⚠ CONFLIT",""))</f>
        <v/>
      </c>
      <c r="AA426" s="64">
        <f>IF(COUNTIFS($D$4:$D$863,$D426,$J$4:$J$863,$J426,$F$4:$F$863,$F426,$K$4:$K$863,$K426)&gt;1,"⚠ DOUBLON","")</f>
        <v/>
      </c>
      <c r="AB426" s="64">
        <f>IF(COUNTIF($T$4:$T$863,$T426)&lt;&gt;COUNTIFS($T$4:$T$863,$T426,$D$4:$D$863,$D426,$F$4:$F$863,$F426,$G$4:$G$863,$G426,$K$4:$K$863,$K426,$M$4:$M$863,$M426),"⚠ INCOHÉRENT","")</f>
        <v/>
      </c>
      <c r="AC426" s="64">
        <f>COUNTIFS($A$4:$A426,$A426,$J$4:$J426,$J426,$E$4:$E426,$E426)</f>
        <v/>
      </c>
      <c r="AD426" s="65">
        <f>$A426&amp;"|"&amp;$J426&amp;"|"&amp;$E426&amp;"|"&amp;$AC426</f>
        <v/>
      </c>
      <c r="AE426" s="66">
        <f>IF($W426&lt;&gt;"","⚑ "&amp;$W426&amp;CHAR(10),"")&amp;TEXT($F426,"hh:mm")&amp;"-"&amp;TEXT($G426,"hh:mm")&amp;IF(OR($P426="Quinzaine A",AND($P426="Hebdo · groupes alternés",$C426="A"))," Q-A",IF(OR($P426="Quinzaine B",AND($P426="Hebdo · groupes alternés",$C426="B"))," Q-B",IF($P426="Exception"," PONCT.","")))&amp;IF($X426="Oui"," OPT","")&amp;CHAR(10)&amp;$K426&amp;CHAR(10)&amp;$M426&amp;IF($N426&lt;&gt;"",CHAR(10)&amp;"Salle "&amp;$N426,"")&amp;IF($O426="En ligne",CHAR(10)&amp;"EN LIGNE","")&amp;IF($V426&lt;&gt;"",CHAR(10)&amp;$V426,"")</f>
        <v/>
      </c>
      <c r="AF426" s="65" t="inlineStr"/>
      <c r="AG426" s="65" t="inlineStr">
        <is>
          <t>— généré —</t>
        </is>
      </c>
    </row>
    <row r="427" ht="15" customHeight="1">
      <c r="A427" s="74" t="inlineStr">
        <is>
          <t>S4</t>
        </is>
      </c>
      <c r="B427" s="75" t="inlineStr">
        <is>
          <t>du 5 au 11 octobre 2026</t>
        </is>
      </c>
      <c r="C427" s="74" t="inlineStr">
        <is>
          <t>B</t>
        </is>
      </c>
      <c r="D427" s="76" t="n">
        <v>46303</v>
      </c>
      <c r="E427" s="74" t="inlineStr">
        <is>
          <t>Jeudi</t>
        </is>
      </c>
      <c r="F427" s="77" t="n">
        <v>0.7916666666666666</v>
      </c>
      <c r="G427" s="77" t="n">
        <v>0.8541666666666666</v>
      </c>
      <c r="H427" s="78">
        <f>IF(OR($F427="",$G427=""),"",($G427-$F427)*24)</f>
        <v/>
      </c>
      <c r="I427" s="74" t="inlineStr">
        <is>
          <t>Secondaire</t>
        </is>
      </c>
      <c r="J427" s="75" t="inlineStr">
        <is>
          <t>3éme Eco</t>
        </is>
      </c>
      <c r="K427" s="91" t="inlineStr">
        <is>
          <t>Philo</t>
        </is>
      </c>
      <c r="L427" s="91" t="inlineStr">
        <is>
          <t>Philo</t>
        </is>
      </c>
      <c r="M427" s="75" t="inlineStr">
        <is>
          <t>Fayssel</t>
        </is>
      </c>
      <c r="N427" s="74" t="n"/>
      <c r="O427" s="74" t="n"/>
      <c r="P427" s="74" t="inlineStr">
        <is>
          <t>Hebdo · groupes alternés</t>
        </is>
      </c>
      <c r="Q427" s="75" t="inlineStr">
        <is>
          <t>3éme Eco + 3éme INFO + 3éme SCE</t>
        </is>
      </c>
      <c r="R427" s="74" t="n">
        <v>3</v>
      </c>
      <c r="S427" s="74" t="inlineStr">
        <is>
          <t>Oui</t>
        </is>
      </c>
      <c r="T427" s="74" t="inlineStr">
        <is>
          <t>S4-043</t>
        </is>
      </c>
      <c r="U427" s="75" t="inlineStr">
        <is>
          <t>Généré (octobre)</t>
        </is>
      </c>
      <c r="V427" s="75" t="inlineStr"/>
      <c r="W427" s="10" t="n"/>
      <c r="X427" s="10" t="inlineStr"/>
      <c r="Y427" s="64">
        <f>IF($M427="","",IF(SUMPRODUCT(($D$4:$D$863=$D427)*($M$4:$M$863=$M427)*($T$4:$T$863&lt;&gt;$T427)*($F$4:$F$863&lt;$G427)*($G$4:$G$863&gt;$F427))&gt;0,"⚠ CONFLIT",""))</f>
        <v/>
      </c>
      <c r="Z427" s="64">
        <f>IF($J427="","",IF(SUMPRODUCT(($D$4:$D$863=$D427)*($J$4:$J$863=$J427)*($T$4:$T$863&lt;&gt;$T427)*($F$4:$F$863&lt;$G427)*($G$4:$G$863&gt;$F427)*(1-($X$4:$X$863="Oui")*($X427="Oui")))&gt;0,"⚠ CONFLIT",""))</f>
        <v/>
      </c>
      <c r="AA427" s="64">
        <f>IF(COUNTIFS($D$4:$D$863,$D427,$J$4:$J$863,$J427,$F$4:$F$863,$F427,$K$4:$K$863,$K427)&gt;1,"⚠ DOUBLON","")</f>
        <v/>
      </c>
      <c r="AB427" s="64">
        <f>IF(COUNTIF($T$4:$T$863,$T427)&lt;&gt;COUNTIFS($T$4:$T$863,$T427,$D$4:$D$863,$D427,$F$4:$F$863,$F427,$G$4:$G$863,$G427,$K$4:$K$863,$K427,$M$4:$M$863,$M427),"⚠ INCOHÉRENT","")</f>
        <v/>
      </c>
      <c r="AC427" s="64">
        <f>COUNTIFS($A$4:$A427,$A427,$J$4:$J427,$J427,$E$4:$E427,$E427)</f>
        <v/>
      </c>
      <c r="AD427" s="65">
        <f>$A427&amp;"|"&amp;$J427&amp;"|"&amp;$E427&amp;"|"&amp;$AC427</f>
        <v/>
      </c>
      <c r="AE427" s="66">
        <f>IF($W427&lt;&gt;"","⚑ "&amp;$W427&amp;CHAR(10),"")&amp;TEXT($F427,"hh:mm")&amp;"-"&amp;TEXT($G427,"hh:mm")&amp;IF(OR($P427="Quinzaine A",AND($P427="Hebdo · groupes alternés",$C427="A"))," Q-A",IF(OR($P427="Quinzaine B",AND($P427="Hebdo · groupes alternés",$C427="B"))," Q-B",IF($P427="Exception"," PONCT.","")))&amp;IF($X427="Oui"," OPT","")&amp;CHAR(10)&amp;$K427&amp;CHAR(10)&amp;$M427&amp;IF($N427&lt;&gt;"",CHAR(10)&amp;"Salle "&amp;$N427,"")&amp;IF($O427="En ligne",CHAR(10)&amp;"EN LIGNE","")&amp;IF($V427&lt;&gt;"",CHAR(10)&amp;$V427,"")</f>
        <v/>
      </c>
      <c r="AF427" s="65" t="inlineStr"/>
      <c r="AG427" s="65" t="inlineStr">
        <is>
          <t>— généré —</t>
        </is>
      </c>
    </row>
    <row r="428" ht="15" customHeight="1">
      <c r="A428" s="74" t="inlineStr">
        <is>
          <t>S4</t>
        </is>
      </c>
      <c r="B428" s="75" t="inlineStr">
        <is>
          <t>du 5 au 11 octobre 2026</t>
        </is>
      </c>
      <c r="C428" s="74" t="inlineStr">
        <is>
          <t>B</t>
        </is>
      </c>
      <c r="D428" s="76" t="n">
        <v>46303</v>
      </c>
      <c r="E428" s="74" t="inlineStr">
        <is>
          <t>Jeudi</t>
        </is>
      </c>
      <c r="F428" s="77" t="n">
        <v>0.7916666666666666</v>
      </c>
      <c r="G428" s="77" t="n">
        <v>0.8541666666666666</v>
      </c>
      <c r="H428" s="78">
        <f>IF(OR($F428="",$G428=""),"",($G428-$F428)*24)</f>
        <v/>
      </c>
      <c r="I428" s="74" t="inlineStr">
        <is>
          <t>Secondaire</t>
        </is>
      </c>
      <c r="J428" s="75" t="inlineStr">
        <is>
          <t>3éme INFO</t>
        </is>
      </c>
      <c r="K428" s="91" t="inlineStr">
        <is>
          <t>Philo</t>
        </is>
      </c>
      <c r="L428" s="91" t="inlineStr">
        <is>
          <t>Philo</t>
        </is>
      </c>
      <c r="M428" s="75" t="inlineStr">
        <is>
          <t>Fayssel</t>
        </is>
      </c>
      <c r="N428" s="74" t="n"/>
      <c r="O428" s="74" t="n"/>
      <c r="P428" s="74" t="inlineStr">
        <is>
          <t>Hebdo · groupes alternés</t>
        </is>
      </c>
      <c r="Q428" s="75" t="inlineStr">
        <is>
          <t>3éme Eco + 3éme INFO + 3éme SCE</t>
        </is>
      </c>
      <c r="R428" s="74" t="n">
        <v>3</v>
      </c>
      <c r="S428" s="74" t="inlineStr"/>
      <c r="T428" s="74" t="inlineStr">
        <is>
          <t>S4-043</t>
        </is>
      </c>
      <c r="U428" s="75" t="inlineStr">
        <is>
          <t>Généré (octobre)</t>
        </is>
      </c>
      <c r="V428" s="75" t="inlineStr"/>
      <c r="W428" s="10" t="n"/>
      <c r="X428" s="10" t="inlineStr"/>
      <c r="Y428" s="64">
        <f>IF($M428="","",IF(SUMPRODUCT(($D$4:$D$863=$D428)*($M$4:$M$863=$M428)*($T$4:$T$863&lt;&gt;$T428)*($F$4:$F$863&lt;$G428)*($G$4:$G$863&gt;$F428))&gt;0,"⚠ CONFLIT",""))</f>
        <v/>
      </c>
      <c r="Z428" s="64">
        <f>IF($J428="","",IF(SUMPRODUCT(($D$4:$D$863=$D428)*($J$4:$J$863=$J428)*($T$4:$T$863&lt;&gt;$T428)*($F$4:$F$863&lt;$G428)*($G$4:$G$863&gt;$F428)*(1-($X$4:$X$863="Oui")*($X428="Oui")))&gt;0,"⚠ CONFLIT",""))</f>
        <v/>
      </c>
      <c r="AA428" s="64">
        <f>IF(COUNTIFS($D$4:$D$863,$D428,$J$4:$J$863,$J428,$F$4:$F$863,$F428,$K$4:$K$863,$K428)&gt;1,"⚠ DOUBLON","")</f>
        <v/>
      </c>
      <c r="AB428" s="64">
        <f>IF(COUNTIF($T$4:$T$863,$T428)&lt;&gt;COUNTIFS($T$4:$T$863,$T428,$D$4:$D$863,$D428,$F$4:$F$863,$F428,$G$4:$G$863,$G428,$K$4:$K$863,$K428,$M$4:$M$863,$M428),"⚠ INCOHÉRENT","")</f>
        <v/>
      </c>
      <c r="AC428" s="64">
        <f>COUNTIFS($A$4:$A428,$A428,$J$4:$J428,$J428,$E$4:$E428,$E428)</f>
        <v/>
      </c>
      <c r="AD428" s="65">
        <f>$A428&amp;"|"&amp;$J428&amp;"|"&amp;$E428&amp;"|"&amp;$AC428</f>
        <v/>
      </c>
      <c r="AE428" s="66">
        <f>IF($W428&lt;&gt;"","⚑ "&amp;$W428&amp;CHAR(10),"")&amp;TEXT($F428,"hh:mm")&amp;"-"&amp;TEXT($G428,"hh:mm")&amp;IF(OR($P428="Quinzaine A",AND($P428="Hebdo · groupes alternés",$C428="A"))," Q-A",IF(OR($P428="Quinzaine B",AND($P428="Hebdo · groupes alternés",$C428="B"))," Q-B",IF($P428="Exception"," PONCT.","")))&amp;IF($X428="Oui"," OPT","")&amp;CHAR(10)&amp;$K428&amp;CHAR(10)&amp;$M428&amp;IF($N428&lt;&gt;"",CHAR(10)&amp;"Salle "&amp;$N428,"")&amp;IF($O428="En ligne",CHAR(10)&amp;"EN LIGNE","")&amp;IF($V428&lt;&gt;"",CHAR(10)&amp;$V428,"")</f>
        <v/>
      </c>
      <c r="AF428" s="65" t="inlineStr"/>
      <c r="AG428" s="65" t="inlineStr">
        <is>
          <t>— généré —</t>
        </is>
      </c>
    </row>
    <row r="429" ht="15" customHeight="1">
      <c r="A429" s="74" t="inlineStr">
        <is>
          <t>S4</t>
        </is>
      </c>
      <c r="B429" s="75" t="inlineStr">
        <is>
          <t>du 5 au 11 octobre 2026</t>
        </is>
      </c>
      <c r="C429" s="74" t="inlineStr">
        <is>
          <t>B</t>
        </is>
      </c>
      <c r="D429" s="76" t="n">
        <v>46303</v>
      </c>
      <c r="E429" s="74" t="inlineStr">
        <is>
          <t>Jeudi</t>
        </is>
      </c>
      <c r="F429" s="77" t="n">
        <v>0.7916666666666666</v>
      </c>
      <c r="G429" s="77" t="n">
        <v>0.8541666666666666</v>
      </c>
      <c r="H429" s="78">
        <f>IF(OR($F429="",$G429=""),"",($G429-$F429)*24)</f>
        <v/>
      </c>
      <c r="I429" s="74" t="inlineStr">
        <is>
          <t>Secondaire</t>
        </is>
      </c>
      <c r="J429" s="75" t="inlineStr">
        <is>
          <t>3éme SCE</t>
        </is>
      </c>
      <c r="K429" s="91" t="inlineStr">
        <is>
          <t>Philo</t>
        </is>
      </c>
      <c r="L429" s="91" t="inlineStr">
        <is>
          <t>Philo</t>
        </is>
      </c>
      <c r="M429" s="75" t="inlineStr">
        <is>
          <t>Fayssel</t>
        </is>
      </c>
      <c r="N429" s="74" t="n"/>
      <c r="O429" s="74" t="n"/>
      <c r="P429" s="74" t="inlineStr">
        <is>
          <t>Hebdo · groupes alternés</t>
        </is>
      </c>
      <c r="Q429" s="75" t="inlineStr">
        <is>
          <t>3éme Eco + 3éme INFO + 3éme SCE</t>
        </is>
      </c>
      <c r="R429" s="74" t="n">
        <v>3</v>
      </c>
      <c r="S429" s="74" t="inlineStr"/>
      <c r="T429" s="74" t="inlineStr">
        <is>
          <t>S4-043</t>
        </is>
      </c>
      <c r="U429" s="75" t="inlineStr">
        <is>
          <t>Généré (octobre)</t>
        </is>
      </c>
      <c r="V429" s="75" t="inlineStr"/>
      <c r="W429" s="10" t="n"/>
      <c r="X429" s="10" t="inlineStr"/>
      <c r="Y429" s="64">
        <f>IF($M429="","",IF(SUMPRODUCT(($D$4:$D$863=$D429)*($M$4:$M$863=$M429)*($T$4:$T$863&lt;&gt;$T429)*($F$4:$F$863&lt;$G429)*($G$4:$G$863&gt;$F429))&gt;0,"⚠ CONFLIT",""))</f>
        <v/>
      </c>
      <c r="Z429" s="64">
        <f>IF($J429="","",IF(SUMPRODUCT(($D$4:$D$863=$D429)*($J$4:$J$863=$J429)*($T$4:$T$863&lt;&gt;$T429)*($F$4:$F$863&lt;$G429)*($G$4:$G$863&gt;$F429)*(1-($X$4:$X$863="Oui")*($X429="Oui")))&gt;0,"⚠ CONFLIT",""))</f>
        <v/>
      </c>
      <c r="AA429" s="64">
        <f>IF(COUNTIFS($D$4:$D$863,$D429,$J$4:$J$863,$J429,$F$4:$F$863,$F429,$K$4:$K$863,$K429)&gt;1,"⚠ DOUBLON","")</f>
        <v/>
      </c>
      <c r="AB429" s="64">
        <f>IF(COUNTIF($T$4:$T$863,$T429)&lt;&gt;COUNTIFS($T$4:$T$863,$T429,$D$4:$D$863,$D429,$F$4:$F$863,$F429,$G$4:$G$863,$G429,$K$4:$K$863,$K429,$M$4:$M$863,$M429),"⚠ INCOHÉRENT","")</f>
        <v/>
      </c>
      <c r="AC429" s="64">
        <f>COUNTIFS($A$4:$A429,$A429,$J$4:$J429,$J429,$E$4:$E429,$E429)</f>
        <v/>
      </c>
      <c r="AD429" s="65">
        <f>$A429&amp;"|"&amp;$J429&amp;"|"&amp;$E429&amp;"|"&amp;$AC429</f>
        <v/>
      </c>
      <c r="AE429" s="66">
        <f>IF($W429&lt;&gt;"","⚑ "&amp;$W429&amp;CHAR(10),"")&amp;TEXT($F429,"hh:mm")&amp;"-"&amp;TEXT($G429,"hh:mm")&amp;IF(OR($P429="Quinzaine A",AND($P429="Hebdo · groupes alternés",$C429="A"))," Q-A",IF(OR($P429="Quinzaine B",AND($P429="Hebdo · groupes alternés",$C429="B"))," Q-B",IF($P429="Exception"," PONCT.","")))&amp;IF($X429="Oui"," OPT","")&amp;CHAR(10)&amp;$K429&amp;CHAR(10)&amp;$M429&amp;IF($N429&lt;&gt;"",CHAR(10)&amp;"Salle "&amp;$N429,"")&amp;IF($O429="En ligne",CHAR(10)&amp;"EN LIGNE","")&amp;IF($V429&lt;&gt;"",CHAR(10)&amp;$V429,"")</f>
        <v/>
      </c>
      <c r="AF429" s="65" t="inlineStr"/>
      <c r="AG429" s="65" t="inlineStr">
        <is>
          <t>— généré —</t>
        </is>
      </c>
    </row>
    <row r="430" ht="15" customHeight="1">
      <c r="A430" s="81" t="inlineStr">
        <is>
          <t>S4</t>
        </is>
      </c>
      <c r="B430" s="82" t="inlineStr">
        <is>
          <t>du 5 au 11 octobre 2026</t>
        </is>
      </c>
      <c r="C430" s="81" t="inlineStr">
        <is>
          <t>B</t>
        </is>
      </c>
      <c r="D430" s="83" t="n">
        <v>46303</v>
      </c>
      <c r="E430" s="81" t="inlineStr">
        <is>
          <t>Jeudi</t>
        </is>
      </c>
      <c r="F430" s="84" t="n">
        <v>0.8125</v>
      </c>
      <c r="G430" s="84" t="n">
        <v>0.875</v>
      </c>
      <c r="H430" s="85">
        <f>IF(OR($F430="",$G430=""),"",($G430-$F430)*24)</f>
        <v/>
      </c>
      <c r="I430" s="81" t="inlineStr">
        <is>
          <t>Bac</t>
        </is>
      </c>
      <c r="J430" s="82" t="inlineStr">
        <is>
          <t>Bac Eco</t>
        </is>
      </c>
      <c r="K430" s="63" t="inlineStr">
        <is>
          <t>Arabe</t>
        </is>
      </c>
      <c r="L430" s="63" t="inlineStr">
        <is>
          <t>Arabe</t>
        </is>
      </c>
      <c r="M430" s="82" t="inlineStr">
        <is>
          <t>Najet</t>
        </is>
      </c>
      <c r="N430" s="81" t="n"/>
      <c r="O430" s="81" t="n"/>
      <c r="P430" s="81" t="inlineStr">
        <is>
          <t>Hebdo · groupes alternés</t>
        </is>
      </c>
      <c r="Q430" s="82" t="inlineStr">
        <is>
          <t>Bac Eco + Bac SCE + Bac INFO</t>
        </is>
      </c>
      <c r="R430" s="81" t="n">
        <v>3</v>
      </c>
      <c r="S430" s="81" t="inlineStr">
        <is>
          <t>Oui</t>
        </is>
      </c>
      <c r="T430" s="81" t="inlineStr">
        <is>
          <t>S4-042</t>
        </is>
      </c>
      <c r="U430" s="82" t="inlineStr">
        <is>
          <t>Généré (octobre)</t>
        </is>
      </c>
      <c r="V430" s="82" t="inlineStr"/>
      <c r="W430" s="10" t="n"/>
      <c r="X430" s="10" t="inlineStr"/>
      <c r="Y430" s="64">
        <f>IF($M430="","",IF(SUMPRODUCT(($D$4:$D$863=$D430)*($M$4:$M$863=$M430)*($T$4:$T$863&lt;&gt;$T430)*($F$4:$F$863&lt;$G430)*($G$4:$G$863&gt;$F430))&gt;0,"⚠ CONFLIT",""))</f>
        <v/>
      </c>
      <c r="Z430" s="64">
        <f>IF($J430="","",IF(SUMPRODUCT(($D$4:$D$863=$D430)*($J$4:$J$863=$J430)*($T$4:$T$863&lt;&gt;$T430)*($F$4:$F$863&lt;$G430)*($G$4:$G$863&gt;$F430)*(1-($X$4:$X$863="Oui")*($X430="Oui")))&gt;0,"⚠ CONFLIT",""))</f>
        <v/>
      </c>
      <c r="AA430" s="64">
        <f>IF(COUNTIFS($D$4:$D$863,$D430,$J$4:$J$863,$J430,$F$4:$F$863,$F430,$K$4:$K$863,$K430)&gt;1,"⚠ DOUBLON","")</f>
        <v/>
      </c>
      <c r="AB430" s="64">
        <f>IF(COUNTIF($T$4:$T$863,$T430)&lt;&gt;COUNTIFS($T$4:$T$863,$T430,$D$4:$D$863,$D430,$F$4:$F$863,$F430,$G$4:$G$863,$G430,$K$4:$K$863,$K430,$M$4:$M$863,$M430),"⚠ INCOHÉRENT","")</f>
        <v/>
      </c>
      <c r="AC430" s="64">
        <f>COUNTIFS($A$4:$A430,$A430,$J$4:$J430,$J430,$E$4:$E430,$E430)</f>
        <v/>
      </c>
      <c r="AD430" s="65">
        <f>$A430&amp;"|"&amp;$J430&amp;"|"&amp;$E430&amp;"|"&amp;$AC430</f>
        <v/>
      </c>
      <c r="AE430" s="66">
        <f>IF($W430&lt;&gt;"","⚑ "&amp;$W430&amp;CHAR(10),"")&amp;TEXT($F430,"hh:mm")&amp;"-"&amp;TEXT($G430,"hh:mm")&amp;IF(OR($P430="Quinzaine A",AND($P430="Hebdo · groupes alternés",$C430="A"))," Q-A",IF(OR($P430="Quinzaine B",AND($P430="Hebdo · groupes alternés",$C430="B"))," Q-B",IF($P430="Exception"," PONCT.","")))&amp;IF($X430="Oui"," OPT","")&amp;CHAR(10)&amp;$K430&amp;CHAR(10)&amp;$M430&amp;IF($N430&lt;&gt;"",CHAR(10)&amp;"Salle "&amp;$N430,"")&amp;IF($O430="En ligne",CHAR(10)&amp;"EN LIGNE","")&amp;IF($V430&lt;&gt;"",CHAR(10)&amp;$V430,"")</f>
        <v/>
      </c>
      <c r="AF430" s="65" t="inlineStr"/>
      <c r="AG430" s="65" t="inlineStr">
        <is>
          <t>— généré —</t>
        </is>
      </c>
    </row>
    <row r="431" ht="15" customHeight="1">
      <c r="A431" s="81" t="inlineStr">
        <is>
          <t>S4</t>
        </is>
      </c>
      <c r="B431" s="82" t="inlineStr">
        <is>
          <t>du 5 au 11 octobre 2026</t>
        </is>
      </c>
      <c r="C431" s="81" t="inlineStr">
        <is>
          <t>B</t>
        </is>
      </c>
      <c r="D431" s="83" t="n">
        <v>46303</v>
      </c>
      <c r="E431" s="81" t="inlineStr">
        <is>
          <t>Jeudi</t>
        </is>
      </c>
      <c r="F431" s="84" t="n">
        <v>0.8125</v>
      </c>
      <c r="G431" s="84" t="n">
        <v>0.875</v>
      </c>
      <c r="H431" s="85">
        <f>IF(OR($F431="",$G431=""),"",($G431-$F431)*24)</f>
        <v/>
      </c>
      <c r="I431" s="81" t="inlineStr">
        <is>
          <t>Bac</t>
        </is>
      </c>
      <c r="J431" s="82" t="inlineStr">
        <is>
          <t>Bac SCE</t>
        </is>
      </c>
      <c r="K431" s="63" t="inlineStr">
        <is>
          <t>Arabe</t>
        </is>
      </c>
      <c r="L431" s="63" t="inlineStr">
        <is>
          <t>Arabe</t>
        </is>
      </c>
      <c r="M431" s="82" t="inlineStr">
        <is>
          <t>Najet</t>
        </is>
      </c>
      <c r="N431" s="81" t="n"/>
      <c r="O431" s="81" t="n"/>
      <c r="P431" s="81" t="inlineStr">
        <is>
          <t>Hebdo · groupes alternés</t>
        </is>
      </c>
      <c r="Q431" s="82" t="inlineStr">
        <is>
          <t>Bac Eco + Bac SCE + Bac INFO</t>
        </is>
      </c>
      <c r="R431" s="81" t="n">
        <v>3</v>
      </c>
      <c r="S431" s="81" t="inlineStr"/>
      <c r="T431" s="81" t="inlineStr">
        <is>
          <t>S4-042</t>
        </is>
      </c>
      <c r="U431" s="82" t="inlineStr">
        <is>
          <t>Généré (octobre)</t>
        </is>
      </c>
      <c r="V431" s="82" t="inlineStr"/>
      <c r="W431" s="10" t="n"/>
      <c r="X431" s="10" t="inlineStr"/>
      <c r="Y431" s="64">
        <f>IF($M431="","",IF(SUMPRODUCT(($D$4:$D$863=$D431)*($M$4:$M$863=$M431)*($T$4:$T$863&lt;&gt;$T431)*($F$4:$F$863&lt;$G431)*($G$4:$G$863&gt;$F431))&gt;0,"⚠ CONFLIT",""))</f>
        <v/>
      </c>
      <c r="Z431" s="64">
        <f>IF($J431="","",IF(SUMPRODUCT(($D$4:$D$863=$D431)*($J$4:$J$863=$J431)*($T$4:$T$863&lt;&gt;$T431)*($F$4:$F$863&lt;$G431)*($G$4:$G$863&gt;$F431)*(1-($X$4:$X$863="Oui")*($X431="Oui")))&gt;0,"⚠ CONFLIT",""))</f>
        <v/>
      </c>
      <c r="AA431" s="64">
        <f>IF(COUNTIFS($D$4:$D$863,$D431,$J$4:$J$863,$J431,$F$4:$F$863,$F431,$K$4:$K$863,$K431)&gt;1,"⚠ DOUBLON","")</f>
        <v/>
      </c>
      <c r="AB431" s="64">
        <f>IF(COUNTIF($T$4:$T$863,$T431)&lt;&gt;COUNTIFS($T$4:$T$863,$T431,$D$4:$D$863,$D431,$F$4:$F$863,$F431,$G$4:$G$863,$G431,$K$4:$K$863,$K431,$M$4:$M$863,$M431),"⚠ INCOHÉRENT","")</f>
        <v/>
      </c>
      <c r="AC431" s="64">
        <f>COUNTIFS($A$4:$A431,$A431,$J$4:$J431,$J431,$E$4:$E431,$E431)</f>
        <v/>
      </c>
      <c r="AD431" s="65">
        <f>$A431&amp;"|"&amp;$J431&amp;"|"&amp;$E431&amp;"|"&amp;$AC431</f>
        <v/>
      </c>
      <c r="AE431" s="66">
        <f>IF($W431&lt;&gt;"","⚑ "&amp;$W431&amp;CHAR(10),"")&amp;TEXT($F431,"hh:mm")&amp;"-"&amp;TEXT($G431,"hh:mm")&amp;IF(OR($P431="Quinzaine A",AND($P431="Hebdo · groupes alternés",$C431="A"))," Q-A",IF(OR($P431="Quinzaine B",AND($P431="Hebdo · groupes alternés",$C431="B"))," Q-B",IF($P431="Exception"," PONCT.","")))&amp;IF($X431="Oui"," OPT","")&amp;CHAR(10)&amp;$K431&amp;CHAR(10)&amp;$M431&amp;IF($N431&lt;&gt;"",CHAR(10)&amp;"Salle "&amp;$N431,"")&amp;IF($O431="En ligne",CHAR(10)&amp;"EN LIGNE","")&amp;IF($V431&lt;&gt;"",CHAR(10)&amp;$V431,"")</f>
        <v/>
      </c>
      <c r="AF431" s="65" t="inlineStr"/>
      <c r="AG431" s="65" t="inlineStr">
        <is>
          <t>— généré —</t>
        </is>
      </c>
    </row>
    <row r="432" ht="15" customHeight="1">
      <c r="A432" s="81" t="inlineStr">
        <is>
          <t>S4</t>
        </is>
      </c>
      <c r="B432" s="82" t="inlineStr">
        <is>
          <t>du 5 au 11 octobre 2026</t>
        </is>
      </c>
      <c r="C432" s="81" t="inlineStr">
        <is>
          <t>B</t>
        </is>
      </c>
      <c r="D432" s="83" t="n">
        <v>46303</v>
      </c>
      <c r="E432" s="81" t="inlineStr">
        <is>
          <t>Jeudi</t>
        </is>
      </c>
      <c r="F432" s="84" t="n">
        <v>0.8125</v>
      </c>
      <c r="G432" s="84" t="n">
        <v>0.875</v>
      </c>
      <c r="H432" s="85">
        <f>IF(OR($F432="",$G432=""),"",($G432-$F432)*24)</f>
        <v/>
      </c>
      <c r="I432" s="81" t="inlineStr">
        <is>
          <t>Bac</t>
        </is>
      </c>
      <c r="J432" s="82" t="inlineStr">
        <is>
          <t>Bac INFO</t>
        </is>
      </c>
      <c r="K432" s="63" t="inlineStr">
        <is>
          <t>Arabe</t>
        </is>
      </c>
      <c r="L432" s="63" t="inlineStr">
        <is>
          <t>Arabe</t>
        </is>
      </c>
      <c r="M432" s="82" t="inlineStr">
        <is>
          <t>Najet</t>
        </is>
      </c>
      <c r="N432" s="81" t="n"/>
      <c r="O432" s="81" t="n"/>
      <c r="P432" s="81" t="inlineStr">
        <is>
          <t>Hebdo · groupes alternés</t>
        </is>
      </c>
      <c r="Q432" s="82" t="inlineStr">
        <is>
          <t>Bac Eco + Bac SCE + Bac INFO</t>
        </is>
      </c>
      <c r="R432" s="81" t="n">
        <v>3</v>
      </c>
      <c r="S432" s="81" t="inlineStr"/>
      <c r="T432" s="81" t="inlineStr">
        <is>
          <t>S4-042</t>
        </is>
      </c>
      <c r="U432" s="82" t="inlineStr">
        <is>
          <t>Généré (octobre)</t>
        </is>
      </c>
      <c r="V432" s="82" t="inlineStr"/>
      <c r="W432" s="10" t="n"/>
      <c r="X432" s="10" t="inlineStr"/>
      <c r="Y432" s="64">
        <f>IF($M432="","",IF(SUMPRODUCT(($D$4:$D$863=$D432)*($M$4:$M$863=$M432)*($T$4:$T$863&lt;&gt;$T432)*($F$4:$F$863&lt;$G432)*($G$4:$G$863&gt;$F432))&gt;0,"⚠ CONFLIT",""))</f>
        <v/>
      </c>
      <c r="Z432" s="64">
        <f>IF($J432="","",IF(SUMPRODUCT(($D$4:$D$863=$D432)*($J$4:$J$863=$J432)*($T$4:$T$863&lt;&gt;$T432)*($F$4:$F$863&lt;$G432)*($G$4:$G$863&gt;$F432)*(1-($X$4:$X$863="Oui")*($X432="Oui")))&gt;0,"⚠ CONFLIT",""))</f>
        <v/>
      </c>
      <c r="AA432" s="64">
        <f>IF(COUNTIFS($D$4:$D$863,$D432,$J$4:$J$863,$J432,$F$4:$F$863,$F432,$K$4:$K$863,$K432)&gt;1,"⚠ DOUBLON","")</f>
        <v/>
      </c>
      <c r="AB432" s="64">
        <f>IF(COUNTIF($T$4:$T$863,$T432)&lt;&gt;COUNTIFS($T$4:$T$863,$T432,$D$4:$D$863,$D432,$F$4:$F$863,$F432,$G$4:$G$863,$G432,$K$4:$K$863,$K432,$M$4:$M$863,$M432),"⚠ INCOHÉRENT","")</f>
        <v/>
      </c>
      <c r="AC432" s="64">
        <f>COUNTIFS($A$4:$A432,$A432,$J$4:$J432,$J432,$E$4:$E432,$E432)</f>
        <v/>
      </c>
      <c r="AD432" s="65">
        <f>$A432&amp;"|"&amp;$J432&amp;"|"&amp;$E432&amp;"|"&amp;$AC432</f>
        <v/>
      </c>
      <c r="AE432" s="66">
        <f>IF($W432&lt;&gt;"","⚑ "&amp;$W432&amp;CHAR(10),"")&amp;TEXT($F432,"hh:mm")&amp;"-"&amp;TEXT($G432,"hh:mm")&amp;IF(OR($P432="Quinzaine A",AND($P432="Hebdo · groupes alternés",$C432="A"))," Q-A",IF(OR($P432="Quinzaine B",AND($P432="Hebdo · groupes alternés",$C432="B"))," Q-B",IF($P432="Exception"," PONCT.","")))&amp;IF($X432="Oui"," OPT","")&amp;CHAR(10)&amp;$K432&amp;CHAR(10)&amp;$M432&amp;IF($N432&lt;&gt;"",CHAR(10)&amp;"Salle "&amp;$N432,"")&amp;IF($O432="En ligne",CHAR(10)&amp;"EN LIGNE","")&amp;IF($V432&lt;&gt;"",CHAR(10)&amp;$V432,"")</f>
        <v/>
      </c>
      <c r="AF432" s="65" t="inlineStr"/>
      <c r="AG432" s="65" t="inlineStr">
        <is>
          <t>— généré —</t>
        </is>
      </c>
    </row>
    <row r="433" ht="15" customHeight="1">
      <c r="A433" s="58" t="inlineStr">
        <is>
          <t>S4</t>
        </is>
      </c>
      <c r="B433" s="59" t="inlineStr">
        <is>
          <t>du 5 au 11 octobre 2026</t>
        </is>
      </c>
      <c r="C433" s="58" t="inlineStr">
        <is>
          <t>B</t>
        </is>
      </c>
      <c r="D433" s="60" t="n">
        <v>46304</v>
      </c>
      <c r="E433" s="58" t="inlineStr">
        <is>
          <t>Vendredi</t>
        </is>
      </c>
      <c r="F433" s="61" t="n">
        <v>0.7916666666666666</v>
      </c>
      <c r="G433" s="61" t="n">
        <v>0.8541666666666666</v>
      </c>
      <c r="H433" s="62">
        <f>IF(OR($F433="",$G433=""),"",($G433-$F433)*24)</f>
        <v/>
      </c>
      <c r="I433" s="58" t="inlineStr">
        <is>
          <t>Primaire</t>
        </is>
      </c>
      <c r="J433" s="59" t="inlineStr">
        <is>
          <t>5éme</t>
        </is>
      </c>
      <c r="K433" s="92" t="inlineStr">
        <is>
          <t>إيقاظ علمي</t>
        </is>
      </c>
      <c r="L433" s="92" t="inlineStr">
        <is>
          <t>Éveil scientifique</t>
        </is>
      </c>
      <c r="M433" s="59" t="inlineStr">
        <is>
          <t>Bassma</t>
        </is>
      </c>
      <c r="N433" s="58" t="n"/>
      <c r="O433" s="58" t="n"/>
      <c r="P433" s="58" t="inlineStr">
        <is>
          <t>Hebdo · groupes alternés</t>
        </is>
      </c>
      <c r="Q433" s="59" t="inlineStr"/>
      <c r="R433" s="58" t="n">
        <v>1</v>
      </c>
      <c r="S433" s="58" t="inlineStr">
        <is>
          <t>Oui</t>
        </is>
      </c>
      <c r="T433" s="58" t="inlineStr">
        <is>
          <t>S4-044</t>
        </is>
      </c>
      <c r="U433" s="59" t="inlineStr">
        <is>
          <t>Généré (octobre)</t>
        </is>
      </c>
      <c r="V433" s="59" t="inlineStr"/>
      <c r="W433" s="10" t="n"/>
      <c r="X433" s="10" t="inlineStr"/>
      <c r="Y433" s="64">
        <f>IF($M433="","",IF(SUMPRODUCT(($D$4:$D$863=$D433)*($M$4:$M$863=$M433)*($T$4:$T$863&lt;&gt;$T433)*($F$4:$F$863&lt;$G433)*($G$4:$G$863&gt;$F433))&gt;0,"⚠ CONFLIT",""))</f>
        <v/>
      </c>
      <c r="Z433" s="64">
        <f>IF($J433="","",IF(SUMPRODUCT(($D$4:$D$863=$D433)*($J$4:$J$863=$J433)*($T$4:$T$863&lt;&gt;$T433)*($F$4:$F$863&lt;$G433)*($G$4:$G$863&gt;$F433)*(1-($X$4:$X$863="Oui")*($X433="Oui")))&gt;0,"⚠ CONFLIT",""))</f>
        <v/>
      </c>
      <c r="AA433" s="64">
        <f>IF(COUNTIFS($D$4:$D$863,$D433,$J$4:$J$863,$J433,$F$4:$F$863,$F433,$K$4:$K$863,$K433)&gt;1,"⚠ DOUBLON","")</f>
        <v/>
      </c>
      <c r="AB433" s="64">
        <f>IF(COUNTIF($T$4:$T$863,$T433)&lt;&gt;COUNTIFS($T$4:$T$863,$T433,$D$4:$D$863,$D433,$F$4:$F$863,$F433,$G$4:$G$863,$G433,$K$4:$K$863,$K433,$M$4:$M$863,$M433),"⚠ INCOHÉRENT","")</f>
        <v/>
      </c>
      <c r="AC433" s="64">
        <f>COUNTIFS($A$4:$A433,$A433,$J$4:$J433,$J433,$E$4:$E433,$E433)</f>
        <v/>
      </c>
      <c r="AD433" s="65">
        <f>$A433&amp;"|"&amp;$J433&amp;"|"&amp;$E433&amp;"|"&amp;$AC433</f>
        <v/>
      </c>
      <c r="AE433" s="66">
        <f>IF($W433&lt;&gt;"","⚑ "&amp;$W433&amp;CHAR(10),"")&amp;TEXT($F433,"hh:mm")&amp;"-"&amp;TEXT($G433,"hh:mm")&amp;IF(OR($P433="Quinzaine A",AND($P433="Hebdo · groupes alternés",$C433="A"))," Q-A",IF(OR($P433="Quinzaine B",AND($P433="Hebdo · groupes alternés",$C433="B"))," Q-B",IF($P433="Exception"," PONCT.","")))&amp;IF($X433="Oui"," OPT","")&amp;CHAR(10)&amp;$K433&amp;CHAR(10)&amp;$M433&amp;IF($N433&lt;&gt;"",CHAR(10)&amp;"Salle "&amp;$N433,"")&amp;IF($O433="En ligne",CHAR(10)&amp;"EN LIGNE","")&amp;IF($V433&lt;&gt;"",CHAR(10)&amp;$V433,"")</f>
        <v/>
      </c>
      <c r="AF433" s="65" t="inlineStr"/>
      <c r="AG433" s="65" t="inlineStr">
        <is>
          <t>— généré —</t>
        </is>
      </c>
    </row>
    <row r="434" ht="15" customHeight="1">
      <c r="A434" s="58" t="inlineStr">
        <is>
          <t>S4</t>
        </is>
      </c>
      <c r="B434" s="59" t="inlineStr">
        <is>
          <t>du 5 au 11 octobre 2026</t>
        </is>
      </c>
      <c r="C434" s="58" t="inlineStr">
        <is>
          <t>B</t>
        </is>
      </c>
      <c r="D434" s="60" t="n">
        <v>46304</v>
      </c>
      <c r="E434" s="58" t="inlineStr">
        <is>
          <t>Vendredi</t>
        </is>
      </c>
      <c r="F434" s="61" t="n">
        <v>0.8125</v>
      </c>
      <c r="G434" s="61" t="n">
        <v>0.875</v>
      </c>
      <c r="H434" s="62">
        <f>IF(OR($F434="",$G434=""),"",($G434-$F434)*24)</f>
        <v/>
      </c>
      <c r="I434" s="58" t="inlineStr">
        <is>
          <t>Primaire</t>
        </is>
      </c>
      <c r="J434" s="59" t="inlineStr">
        <is>
          <t>6éme Pilote (A)</t>
        </is>
      </c>
      <c r="K434" s="92" t="inlineStr">
        <is>
          <t>إيقاظ علمي</t>
        </is>
      </c>
      <c r="L434" s="92" t="inlineStr">
        <is>
          <t>Éveil scientifique</t>
        </is>
      </c>
      <c r="M434" s="59" t="inlineStr">
        <is>
          <t>Noura</t>
        </is>
      </c>
      <c r="N434" s="58" t="n"/>
      <c r="O434" s="58" t="n"/>
      <c r="P434" s="58" t="inlineStr">
        <is>
          <t>Hebdomadaire</t>
        </is>
      </c>
      <c r="Q434" s="59" t="inlineStr">
        <is>
          <t>6éme Pilote (A) + 6éme (B)</t>
        </is>
      </c>
      <c r="R434" s="58" t="n">
        <v>2</v>
      </c>
      <c r="S434" s="58" t="inlineStr">
        <is>
          <t>Oui</t>
        </is>
      </c>
      <c r="T434" s="58" t="inlineStr">
        <is>
          <t>S4-045</t>
        </is>
      </c>
      <c r="U434" s="59" t="inlineStr">
        <is>
          <t>Généré (octobre)</t>
        </is>
      </c>
      <c r="V434" s="59" t="inlineStr"/>
      <c r="W434" s="10" t="n"/>
      <c r="X434" s="10" t="inlineStr"/>
      <c r="Y434" s="64">
        <f>IF($M434="","",IF(SUMPRODUCT(($D$4:$D$863=$D434)*($M$4:$M$863=$M434)*($T$4:$T$863&lt;&gt;$T434)*($F$4:$F$863&lt;$G434)*($G$4:$G$863&gt;$F434))&gt;0,"⚠ CONFLIT",""))</f>
        <v/>
      </c>
      <c r="Z434" s="64">
        <f>IF($J434="","",IF(SUMPRODUCT(($D$4:$D$863=$D434)*($J$4:$J$863=$J434)*($T$4:$T$863&lt;&gt;$T434)*($F$4:$F$863&lt;$G434)*($G$4:$G$863&gt;$F434)*(1-($X$4:$X$863="Oui")*($X434="Oui")))&gt;0,"⚠ CONFLIT",""))</f>
        <v/>
      </c>
      <c r="AA434" s="64">
        <f>IF(COUNTIFS($D$4:$D$863,$D434,$J$4:$J$863,$J434,$F$4:$F$863,$F434,$K$4:$K$863,$K434)&gt;1,"⚠ DOUBLON","")</f>
        <v/>
      </c>
      <c r="AB434" s="64">
        <f>IF(COUNTIF($T$4:$T$863,$T434)&lt;&gt;COUNTIFS($T$4:$T$863,$T434,$D$4:$D$863,$D434,$F$4:$F$863,$F434,$G$4:$G$863,$G434,$K$4:$K$863,$K434,$M$4:$M$863,$M434),"⚠ INCOHÉRENT","")</f>
        <v/>
      </c>
      <c r="AC434" s="64">
        <f>COUNTIFS($A$4:$A434,$A434,$J$4:$J434,$J434,$E$4:$E434,$E434)</f>
        <v/>
      </c>
      <c r="AD434" s="65">
        <f>$A434&amp;"|"&amp;$J434&amp;"|"&amp;$E434&amp;"|"&amp;$AC434</f>
        <v/>
      </c>
      <c r="AE434" s="66">
        <f>IF($W434&lt;&gt;"","⚑ "&amp;$W434&amp;CHAR(10),"")&amp;TEXT($F434,"hh:mm")&amp;"-"&amp;TEXT($G434,"hh:mm")&amp;IF(OR($P434="Quinzaine A",AND($P434="Hebdo · groupes alternés",$C434="A"))," Q-A",IF(OR($P434="Quinzaine B",AND($P434="Hebdo · groupes alternés",$C434="B"))," Q-B",IF($P434="Exception"," PONCT.","")))&amp;IF($X434="Oui"," OPT","")&amp;CHAR(10)&amp;$K434&amp;CHAR(10)&amp;$M434&amp;IF($N434&lt;&gt;"",CHAR(10)&amp;"Salle "&amp;$N434,"")&amp;IF($O434="En ligne",CHAR(10)&amp;"EN LIGNE","")&amp;IF($V434&lt;&gt;"",CHAR(10)&amp;$V434,"")</f>
        <v/>
      </c>
      <c r="AF434" s="65" t="inlineStr"/>
      <c r="AG434" s="65" t="inlineStr">
        <is>
          <t>— généré —</t>
        </is>
      </c>
    </row>
    <row r="435" ht="15" customHeight="1">
      <c r="A435" s="58" t="inlineStr">
        <is>
          <t>S4</t>
        </is>
      </c>
      <c r="B435" s="59" t="inlineStr">
        <is>
          <t>du 5 au 11 octobre 2026</t>
        </is>
      </c>
      <c r="C435" s="58" t="inlineStr">
        <is>
          <t>B</t>
        </is>
      </c>
      <c r="D435" s="60" t="n">
        <v>46304</v>
      </c>
      <c r="E435" s="58" t="inlineStr">
        <is>
          <t>Vendredi</t>
        </is>
      </c>
      <c r="F435" s="61" t="n">
        <v>0.8125</v>
      </c>
      <c r="G435" s="61" t="n">
        <v>0.875</v>
      </c>
      <c r="H435" s="62">
        <f>IF(OR($F435="",$G435=""),"",($G435-$F435)*24)</f>
        <v/>
      </c>
      <c r="I435" s="58" t="inlineStr">
        <is>
          <t>Primaire</t>
        </is>
      </c>
      <c r="J435" s="59" t="inlineStr">
        <is>
          <t>6éme (B)</t>
        </is>
      </c>
      <c r="K435" s="92" t="inlineStr">
        <is>
          <t>إيقاظ علمي</t>
        </is>
      </c>
      <c r="L435" s="92" t="inlineStr">
        <is>
          <t>Éveil scientifique</t>
        </is>
      </c>
      <c r="M435" s="59" t="inlineStr">
        <is>
          <t>Noura</t>
        </is>
      </c>
      <c r="N435" s="58" t="n"/>
      <c r="O435" s="58" t="n"/>
      <c r="P435" s="58" t="inlineStr">
        <is>
          <t>Hebdomadaire</t>
        </is>
      </c>
      <c r="Q435" s="59" t="inlineStr">
        <is>
          <t>6éme Pilote (A) + 6éme (B)</t>
        </is>
      </c>
      <c r="R435" s="58" t="n">
        <v>2</v>
      </c>
      <c r="S435" s="58" t="inlineStr"/>
      <c r="T435" s="58" t="inlineStr">
        <is>
          <t>S4-045</t>
        </is>
      </c>
      <c r="U435" s="59" t="inlineStr">
        <is>
          <t>Généré (octobre)</t>
        </is>
      </c>
      <c r="V435" s="59" t="inlineStr"/>
      <c r="W435" s="10" t="n"/>
      <c r="X435" s="10" t="inlineStr"/>
      <c r="Y435" s="64">
        <f>IF($M435="","",IF(SUMPRODUCT(($D$4:$D$863=$D435)*($M$4:$M$863=$M435)*($T$4:$T$863&lt;&gt;$T435)*($F$4:$F$863&lt;$G435)*($G$4:$G$863&gt;$F435))&gt;0,"⚠ CONFLIT",""))</f>
        <v/>
      </c>
      <c r="Z435" s="64">
        <f>IF($J435="","",IF(SUMPRODUCT(($D$4:$D$863=$D435)*($J$4:$J$863=$J435)*($T$4:$T$863&lt;&gt;$T435)*($F$4:$F$863&lt;$G435)*($G$4:$G$863&gt;$F435)*(1-($X$4:$X$863="Oui")*($X435="Oui")))&gt;0,"⚠ CONFLIT",""))</f>
        <v/>
      </c>
      <c r="AA435" s="64">
        <f>IF(COUNTIFS($D$4:$D$863,$D435,$J$4:$J$863,$J435,$F$4:$F$863,$F435,$K$4:$K$863,$K435)&gt;1,"⚠ DOUBLON","")</f>
        <v/>
      </c>
      <c r="AB435" s="64">
        <f>IF(COUNTIF($T$4:$T$863,$T435)&lt;&gt;COUNTIFS($T$4:$T$863,$T435,$D$4:$D$863,$D435,$F$4:$F$863,$F435,$G$4:$G$863,$G435,$K$4:$K$863,$K435,$M$4:$M$863,$M435),"⚠ INCOHÉRENT","")</f>
        <v/>
      </c>
      <c r="AC435" s="64">
        <f>COUNTIFS($A$4:$A435,$A435,$J$4:$J435,$J435,$E$4:$E435,$E435)</f>
        <v/>
      </c>
      <c r="AD435" s="65">
        <f>$A435&amp;"|"&amp;$J435&amp;"|"&amp;$E435&amp;"|"&amp;$AC435</f>
        <v/>
      </c>
      <c r="AE435" s="66">
        <f>IF($W435&lt;&gt;"","⚑ "&amp;$W435&amp;CHAR(10),"")&amp;TEXT($F435,"hh:mm")&amp;"-"&amp;TEXT($G435,"hh:mm")&amp;IF(OR($P435="Quinzaine A",AND($P435="Hebdo · groupes alternés",$C435="A"))," Q-A",IF(OR($P435="Quinzaine B",AND($P435="Hebdo · groupes alternés",$C435="B"))," Q-B",IF($P435="Exception"," PONCT.","")))&amp;IF($X435="Oui"," OPT","")&amp;CHAR(10)&amp;$K435&amp;CHAR(10)&amp;$M435&amp;IF($N435&lt;&gt;"",CHAR(10)&amp;"Salle "&amp;$N435,"")&amp;IF($O435="En ligne",CHAR(10)&amp;"EN LIGNE","")&amp;IF($V435&lt;&gt;"",CHAR(10)&amp;$V435,"")</f>
        <v/>
      </c>
      <c r="AF435" s="65" t="inlineStr"/>
      <c r="AG435" s="65" t="inlineStr">
        <is>
          <t>— généré —</t>
        </is>
      </c>
    </row>
    <row r="436" ht="15" customHeight="1">
      <c r="A436" s="68" t="inlineStr">
        <is>
          <t>S4</t>
        </is>
      </c>
      <c r="B436" s="69" t="inlineStr">
        <is>
          <t>du 5 au 11 octobre 2026</t>
        </is>
      </c>
      <c r="C436" s="68" t="inlineStr">
        <is>
          <t>B</t>
        </is>
      </c>
      <c r="D436" s="70" t="n">
        <v>46304</v>
      </c>
      <c r="E436" s="68" t="inlineStr">
        <is>
          <t>Vendredi</t>
        </is>
      </c>
      <c r="F436" s="71" t="n">
        <v>0.75</v>
      </c>
      <c r="G436" s="71" t="n">
        <v>0.8125</v>
      </c>
      <c r="H436" s="72">
        <f>IF(OR($F436="",$G436=""),"",($G436-$F436)*24)</f>
        <v/>
      </c>
      <c r="I436" s="68" t="inlineStr">
        <is>
          <t>Collège</t>
        </is>
      </c>
      <c r="J436" s="69" t="inlineStr">
        <is>
          <t>7éme (A)</t>
        </is>
      </c>
      <c r="K436" s="79" t="inlineStr">
        <is>
          <t>Math</t>
        </is>
      </c>
      <c r="L436" s="79" t="inlineStr">
        <is>
          <t>Math</t>
        </is>
      </c>
      <c r="M436" s="69" t="inlineStr">
        <is>
          <t>Khouloud</t>
        </is>
      </c>
      <c r="N436" s="68" t="n"/>
      <c r="O436" s="68" t="n"/>
      <c r="P436" s="68" t="inlineStr">
        <is>
          <t>Hebdomadaire</t>
        </is>
      </c>
      <c r="Q436" s="69" t="inlineStr"/>
      <c r="R436" s="68" t="n">
        <v>1</v>
      </c>
      <c r="S436" s="68" t="inlineStr">
        <is>
          <t>Oui</t>
        </is>
      </c>
      <c r="T436" s="68" t="inlineStr">
        <is>
          <t>S4-046</t>
        </is>
      </c>
      <c r="U436" s="69" t="inlineStr">
        <is>
          <t>Généré (octobre)</t>
        </is>
      </c>
      <c r="V436" s="69" t="inlineStr"/>
      <c r="W436" s="10" t="n"/>
      <c r="X436" s="10" t="inlineStr"/>
      <c r="Y436" s="64">
        <f>IF($M436="","",IF(SUMPRODUCT(($D$4:$D$863=$D436)*($M$4:$M$863=$M436)*($T$4:$T$863&lt;&gt;$T436)*($F$4:$F$863&lt;$G436)*($G$4:$G$863&gt;$F436))&gt;0,"⚠ CONFLIT",""))</f>
        <v/>
      </c>
      <c r="Z436" s="64">
        <f>IF($J436="","",IF(SUMPRODUCT(($D$4:$D$863=$D436)*($J$4:$J$863=$J436)*($T$4:$T$863&lt;&gt;$T436)*($F$4:$F$863&lt;$G436)*($G$4:$G$863&gt;$F436)*(1-($X$4:$X$863="Oui")*($X436="Oui")))&gt;0,"⚠ CONFLIT",""))</f>
        <v/>
      </c>
      <c r="AA436" s="64">
        <f>IF(COUNTIFS($D$4:$D$863,$D436,$J$4:$J$863,$J436,$F$4:$F$863,$F436,$K$4:$K$863,$K436)&gt;1,"⚠ DOUBLON","")</f>
        <v/>
      </c>
      <c r="AB436" s="64">
        <f>IF(COUNTIF($T$4:$T$863,$T436)&lt;&gt;COUNTIFS($T$4:$T$863,$T436,$D$4:$D$863,$D436,$F$4:$F$863,$F436,$G$4:$G$863,$G436,$K$4:$K$863,$K436,$M$4:$M$863,$M436),"⚠ INCOHÉRENT","")</f>
        <v/>
      </c>
      <c r="AC436" s="64">
        <f>COUNTIFS($A$4:$A436,$A436,$J$4:$J436,$J436,$E$4:$E436,$E436)</f>
        <v/>
      </c>
      <c r="AD436" s="65">
        <f>$A436&amp;"|"&amp;$J436&amp;"|"&amp;$E436&amp;"|"&amp;$AC436</f>
        <v/>
      </c>
      <c r="AE436" s="66">
        <f>IF($W436&lt;&gt;"","⚑ "&amp;$W436&amp;CHAR(10),"")&amp;TEXT($F436,"hh:mm")&amp;"-"&amp;TEXT($G436,"hh:mm")&amp;IF(OR($P436="Quinzaine A",AND($P436="Hebdo · groupes alternés",$C436="A"))," Q-A",IF(OR($P436="Quinzaine B",AND($P436="Hebdo · groupes alternés",$C436="B"))," Q-B",IF($P436="Exception"," PONCT.","")))&amp;IF($X436="Oui"," OPT","")&amp;CHAR(10)&amp;$K436&amp;CHAR(10)&amp;$M436&amp;IF($N436&lt;&gt;"",CHAR(10)&amp;"Salle "&amp;$N436,"")&amp;IF($O436="En ligne",CHAR(10)&amp;"EN LIGNE","")&amp;IF($V436&lt;&gt;"",CHAR(10)&amp;$V436,"")</f>
        <v/>
      </c>
      <c r="AF436" s="65" t="inlineStr"/>
      <c r="AG436" s="65" t="inlineStr">
        <is>
          <t>— généré —</t>
        </is>
      </c>
    </row>
    <row r="437" ht="15" customHeight="1">
      <c r="A437" s="68" t="inlineStr">
        <is>
          <t>S4</t>
        </is>
      </c>
      <c r="B437" s="69" t="inlineStr">
        <is>
          <t>du 5 au 11 octobre 2026</t>
        </is>
      </c>
      <c r="C437" s="68" t="inlineStr">
        <is>
          <t>B</t>
        </is>
      </c>
      <c r="D437" s="70" t="n">
        <v>46304</v>
      </c>
      <c r="E437" s="68" t="inlineStr">
        <is>
          <t>Vendredi</t>
        </is>
      </c>
      <c r="F437" s="71" t="n">
        <v>0.8125</v>
      </c>
      <c r="G437" s="71" t="n">
        <v>0.875</v>
      </c>
      <c r="H437" s="72">
        <f>IF(OR($F437="",$G437=""),"",($G437-$F437)*24)</f>
        <v/>
      </c>
      <c r="I437" s="68" t="inlineStr">
        <is>
          <t>Collège</t>
        </is>
      </c>
      <c r="J437" s="69" t="inlineStr">
        <is>
          <t>7éme (B)</t>
        </is>
      </c>
      <c r="K437" s="79" t="inlineStr">
        <is>
          <t>Math</t>
        </is>
      </c>
      <c r="L437" s="79" t="inlineStr">
        <is>
          <t>Math</t>
        </is>
      </c>
      <c r="M437" s="69" t="inlineStr">
        <is>
          <t>Khouloud</t>
        </is>
      </c>
      <c r="N437" s="68" t="n"/>
      <c r="O437" s="68" t="n"/>
      <c r="P437" s="68" t="inlineStr">
        <is>
          <t>Hebdomadaire</t>
        </is>
      </c>
      <c r="Q437" s="69" t="inlineStr"/>
      <c r="R437" s="68" t="n">
        <v>1</v>
      </c>
      <c r="S437" s="68" t="inlineStr">
        <is>
          <t>Oui</t>
        </is>
      </c>
      <c r="T437" s="68" t="inlineStr">
        <is>
          <t>S4-047</t>
        </is>
      </c>
      <c r="U437" s="69" t="inlineStr">
        <is>
          <t>Généré (octobre)</t>
        </is>
      </c>
      <c r="V437" s="69" t="inlineStr"/>
      <c r="W437" s="10" t="n"/>
      <c r="X437" s="10" t="inlineStr"/>
      <c r="Y437" s="64">
        <f>IF($M437="","",IF(SUMPRODUCT(($D$4:$D$863=$D437)*($M$4:$M$863=$M437)*($T$4:$T$863&lt;&gt;$T437)*($F$4:$F$863&lt;$G437)*($G$4:$G$863&gt;$F437))&gt;0,"⚠ CONFLIT",""))</f>
        <v/>
      </c>
      <c r="Z437" s="64">
        <f>IF($J437="","",IF(SUMPRODUCT(($D$4:$D$863=$D437)*($J$4:$J$863=$J437)*($T$4:$T$863&lt;&gt;$T437)*($F$4:$F$863&lt;$G437)*($G$4:$G$863&gt;$F437)*(1-($X$4:$X$863="Oui")*($X437="Oui")))&gt;0,"⚠ CONFLIT",""))</f>
        <v/>
      </c>
      <c r="AA437" s="64">
        <f>IF(COUNTIFS($D$4:$D$863,$D437,$J$4:$J$863,$J437,$F$4:$F$863,$F437,$K$4:$K$863,$K437)&gt;1,"⚠ DOUBLON","")</f>
        <v/>
      </c>
      <c r="AB437" s="64">
        <f>IF(COUNTIF($T$4:$T$863,$T437)&lt;&gt;COUNTIFS($T$4:$T$863,$T437,$D$4:$D$863,$D437,$F$4:$F$863,$F437,$G$4:$G$863,$G437,$K$4:$K$863,$K437,$M$4:$M$863,$M437),"⚠ INCOHÉRENT","")</f>
        <v/>
      </c>
      <c r="AC437" s="64">
        <f>COUNTIFS($A$4:$A437,$A437,$J$4:$J437,$J437,$E$4:$E437,$E437)</f>
        <v/>
      </c>
      <c r="AD437" s="65">
        <f>$A437&amp;"|"&amp;$J437&amp;"|"&amp;$E437&amp;"|"&amp;$AC437</f>
        <v/>
      </c>
      <c r="AE437" s="66">
        <f>IF($W437&lt;&gt;"","⚑ "&amp;$W437&amp;CHAR(10),"")&amp;TEXT($F437,"hh:mm")&amp;"-"&amp;TEXT($G437,"hh:mm")&amp;IF(OR($P437="Quinzaine A",AND($P437="Hebdo · groupes alternés",$C437="A"))," Q-A",IF(OR($P437="Quinzaine B",AND($P437="Hebdo · groupes alternés",$C437="B"))," Q-B",IF($P437="Exception"," PONCT.","")))&amp;IF($X437="Oui"," OPT","")&amp;CHAR(10)&amp;$K437&amp;CHAR(10)&amp;$M437&amp;IF($N437&lt;&gt;"",CHAR(10)&amp;"Salle "&amp;$N437,"")&amp;IF($O437="En ligne",CHAR(10)&amp;"EN LIGNE","")&amp;IF($V437&lt;&gt;"",CHAR(10)&amp;$V437,"")</f>
        <v/>
      </c>
      <c r="AF437" s="65" t="inlineStr"/>
      <c r="AG437" s="65" t="inlineStr">
        <is>
          <t>— généré —</t>
        </is>
      </c>
    </row>
    <row r="438" ht="15" customHeight="1">
      <c r="A438" s="68" t="inlineStr">
        <is>
          <t>S4</t>
        </is>
      </c>
      <c r="B438" s="69" t="inlineStr">
        <is>
          <t>du 5 au 11 octobre 2026</t>
        </is>
      </c>
      <c r="C438" s="68" t="inlineStr">
        <is>
          <t>B</t>
        </is>
      </c>
      <c r="D438" s="70" t="n">
        <v>46304</v>
      </c>
      <c r="E438" s="68" t="inlineStr">
        <is>
          <t>Vendredi</t>
        </is>
      </c>
      <c r="F438" s="71" t="n">
        <v>0.8125</v>
      </c>
      <c r="G438" s="71" t="n">
        <v>0.875</v>
      </c>
      <c r="H438" s="72">
        <f>IF(OR($F438="",$G438=""),"",($G438-$F438)*24)</f>
        <v/>
      </c>
      <c r="I438" s="68" t="inlineStr">
        <is>
          <t>Collège</t>
        </is>
      </c>
      <c r="J438" s="69" t="inlineStr">
        <is>
          <t>8éme (A)</t>
        </is>
      </c>
      <c r="K438" s="73" t="inlineStr">
        <is>
          <t>فيزياء</t>
        </is>
      </c>
      <c r="L438" s="73" t="inlineStr">
        <is>
          <t>Physique</t>
        </is>
      </c>
      <c r="M438" s="69" t="inlineStr">
        <is>
          <t>Melek</t>
        </is>
      </c>
      <c r="N438" s="68" t="n"/>
      <c r="O438" s="68" t="n"/>
      <c r="P438" s="68" t="inlineStr">
        <is>
          <t>Hebdomadaire</t>
        </is>
      </c>
      <c r="Q438" s="69" t="inlineStr">
        <is>
          <t>8éme (A) + 8éme (B) + 8éme (C)</t>
        </is>
      </c>
      <c r="R438" s="68" t="n">
        <v>3</v>
      </c>
      <c r="S438" s="68" t="inlineStr">
        <is>
          <t>Oui</t>
        </is>
      </c>
      <c r="T438" s="68" t="inlineStr">
        <is>
          <t>S4-048</t>
        </is>
      </c>
      <c r="U438" s="69" t="inlineStr">
        <is>
          <t>Généré (octobre)</t>
        </is>
      </c>
      <c r="V438" s="69" t="inlineStr"/>
      <c r="W438" s="10" t="n"/>
      <c r="X438" s="10" t="inlineStr"/>
      <c r="Y438" s="64">
        <f>IF($M438="","",IF(SUMPRODUCT(($D$4:$D$863=$D438)*($M$4:$M$863=$M438)*($T$4:$T$863&lt;&gt;$T438)*($F$4:$F$863&lt;$G438)*($G$4:$G$863&gt;$F438))&gt;0,"⚠ CONFLIT",""))</f>
        <v/>
      </c>
      <c r="Z438" s="64">
        <f>IF($J438="","",IF(SUMPRODUCT(($D$4:$D$863=$D438)*($J$4:$J$863=$J438)*($T$4:$T$863&lt;&gt;$T438)*($F$4:$F$863&lt;$G438)*($G$4:$G$863&gt;$F438)*(1-($X$4:$X$863="Oui")*($X438="Oui")))&gt;0,"⚠ CONFLIT",""))</f>
        <v/>
      </c>
      <c r="AA438" s="64">
        <f>IF(COUNTIFS($D$4:$D$863,$D438,$J$4:$J$863,$J438,$F$4:$F$863,$F438,$K$4:$K$863,$K438)&gt;1,"⚠ DOUBLON","")</f>
        <v/>
      </c>
      <c r="AB438" s="64">
        <f>IF(COUNTIF($T$4:$T$863,$T438)&lt;&gt;COUNTIFS($T$4:$T$863,$T438,$D$4:$D$863,$D438,$F$4:$F$863,$F438,$G$4:$G$863,$G438,$K$4:$K$863,$K438,$M$4:$M$863,$M438),"⚠ INCOHÉRENT","")</f>
        <v/>
      </c>
      <c r="AC438" s="64">
        <f>COUNTIFS($A$4:$A438,$A438,$J$4:$J438,$J438,$E$4:$E438,$E438)</f>
        <v/>
      </c>
      <c r="AD438" s="65">
        <f>$A438&amp;"|"&amp;$J438&amp;"|"&amp;$E438&amp;"|"&amp;$AC438</f>
        <v/>
      </c>
      <c r="AE438" s="66">
        <f>IF($W438&lt;&gt;"","⚑ "&amp;$W438&amp;CHAR(10),"")&amp;TEXT($F438,"hh:mm")&amp;"-"&amp;TEXT($G438,"hh:mm")&amp;IF(OR($P438="Quinzaine A",AND($P438="Hebdo · groupes alternés",$C438="A"))," Q-A",IF(OR($P438="Quinzaine B",AND($P438="Hebdo · groupes alternés",$C438="B"))," Q-B",IF($P438="Exception"," PONCT.","")))&amp;IF($X438="Oui"," OPT","")&amp;CHAR(10)&amp;$K438&amp;CHAR(10)&amp;$M438&amp;IF($N438&lt;&gt;"",CHAR(10)&amp;"Salle "&amp;$N438,"")&amp;IF($O438="En ligne",CHAR(10)&amp;"EN LIGNE","")&amp;IF($V438&lt;&gt;"",CHAR(10)&amp;$V438,"")</f>
        <v/>
      </c>
      <c r="AF438" s="65" t="inlineStr"/>
      <c r="AG438" s="65" t="inlineStr">
        <is>
          <t>— généré —</t>
        </is>
      </c>
    </row>
    <row r="439" ht="15" customHeight="1">
      <c r="A439" s="68" t="inlineStr">
        <is>
          <t>S4</t>
        </is>
      </c>
      <c r="B439" s="69" t="inlineStr">
        <is>
          <t>du 5 au 11 octobre 2026</t>
        </is>
      </c>
      <c r="C439" s="68" t="inlineStr">
        <is>
          <t>B</t>
        </is>
      </c>
      <c r="D439" s="70" t="n">
        <v>46304</v>
      </c>
      <c r="E439" s="68" t="inlineStr">
        <is>
          <t>Vendredi</t>
        </is>
      </c>
      <c r="F439" s="71" t="n">
        <v>0.8125</v>
      </c>
      <c r="G439" s="71" t="n">
        <v>0.875</v>
      </c>
      <c r="H439" s="72">
        <f>IF(OR($F439="",$G439=""),"",($G439-$F439)*24)</f>
        <v/>
      </c>
      <c r="I439" s="68" t="inlineStr">
        <is>
          <t>Collège</t>
        </is>
      </c>
      <c r="J439" s="69" t="inlineStr">
        <is>
          <t>8éme (B)</t>
        </is>
      </c>
      <c r="K439" s="73" t="inlineStr">
        <is>
          <t>فيزياء</t>
        </is>
      </c>
      <c r="L439" s="73" t="inlineStr">
        <is>
          <t>Physique</t>
        </is>
      </c>
      <c r="M439" s="69" t="inlineStr">
        <is>
          <t>Melek</t>
        </is>
      </c>
      <c r="N439" s="68" t="n"/>
      <c r="O439" s="68" t="n"/>
      <c r="P439" s="68" t="inlineStr">
        <is>
          <t>Hebdomadaire</t>
        </is>
      </c>
      <c r="Q439" s="69" t="inlineStr">
        <is>
          <t>8éme (A) + 8éme (B) + 8éme (C)</t>
        </is>
      </c>
      <c r="R439" s="68" t="n">
        <v>3</v>
      </c>
      <c r="S439" s="68" t="inlineStr"/>
      <c r="T439" s="68" t="inlineStr">
        <is>
          <t>S4-048</t>
        </is>
      </c>
      <c r="U439" s="69" t="inlineStr">
        <is>
          <t>Généré (octobre)</t>
        </is>
      </c>
      <c r="V439" s="69" t="inlineStr"/>
      <c r="W439" s="10" t="n"/>
      <c r="X439" s="10" t="inlineStr"/>
      <c r="Y439" s="64">
        <f>IF($M439="","",IF(SUMPRODUCT(($D$4:$D$863=$D439)*($M$4:$M$863=$M439)*($T$4:$T$863&lt;&gt;$T439)*($F$4:$F$863&lt;$G439)*($G$4:$G$863&gt;$F439))&gt;0,"⚠ CONFLIT",""))</f>
        <v/>
      </c>
      <c r="Z439" s="64">
        <f>IF($J439="","",IF(SUMPRODUCT(($D$4:$D$863=$D439)*($J$4:$J$863=$J439)*($T$4:$T$863&lt;&gt;$T439)*($F$4:$F$863&lt;$G439)*($G$4:$G$863&gt;$F439)*(1-($X$4:$X$863="Oui")*($X439="Oui")))&gt;0,"⚠ CONFLIT",""))</f>
        <v/>
      </c>
      <c r="AA439" s="64">
        <f>IF(COUNTIFS($D$4:$D$863,$D439,$J$4:$J$863,$J439,$F$4:$F$863,$F439,$K$4:$K$863,$K439)&gt;1,"⚠ DOUBLON","")</f>
        <v/>
      </c>
      <c r="AB439" s="64">
        <f>IF(COUNTIF($T$4:$T$863,$T439)&lt;&gt;COUNTIFS($T$4:$T$863,$T439,$D$4:$D$863,$D439,$F$4:$F$863,$F439,$G$4:$G$863,$G439,$K$4:$K$863,$K439,$M$4:$M$863,$M439),"⚠ INCOHÉRENT","")</f>
        <v/>
      </c>
      <c r="AC439" s="64">
        <f>COUNTIFS($A$4:$A439,$A439,$J$4:$J439,$J439,$E$4:$E439,$E439)</f>
        <v/>
      </c>
      <c r="AD439" s="65">
        <f>$A439&amp;"|"&amp;$J439&amp;"|"&amp;$E439&amp;"|"&amp;$AC439</f>
        <v/>
      </c>
      <c r="AE439" s="66">
        <f>IF($W439&lt;&gt;"","⚑ "&amp;$W439&amp;CHAR(10),"")&amp;TEXT($F439,"hh:mm")&amp;"-"&amp;TEXT($G439,"hh:mm")&amp;IF(OR($P439="Quinzaine A",AND($P439="Hebdo · groupes alternés",$C439="A"))," Q-A",IF(OR($P439="Quinzaine B",AND($P439="Hebdo · groupes alternés",$C439="B"))," Q-B",IF($P439="Exception"," PONCT.","")))&amp;IF($X439="Oui"," OPT","")&amp;CHAR(10)&amp;$K439&amp;CHAR(10)&amp;$M439&amp;IF($N439&lt;&gt;"",CHAR(10)&amp;"Salle "&amp;$N439,"")&amp;IF($O439="En ligne",CHAR(10)&amp;"EN LIGNE","")&amp;IF($V439&lt;&gt;"",CHAR(10)&amp;$V439,"")</f>
        <v/>
      </c>
      <c r="AF439" s="65" t="inlineStr"/>
      <c r="AG439" s="65" t="inlineStr">
        <is>
          <t>— généré —</t>
        </is>
      </c>
    </row>
    <row r="440" ht="15" customHeight="1">
      <c r="A440" s="68" t="inlineStr">
        <is>
          <t>S4</t>
        </is>
      </c>
      <c r="B440" s="69" t="inlineStr">
        <is>
          <t>du 5 au 11 octobre 2026</t>
        </is>
      </c>
      <c r="C440" s="68" t="inlineStr">
        <is>
          <t>B</t>
        </is>
      </c>
      <c r="D440" s="70" t="n">
        <v>46304</v>
      </c>
      <c r="E440" s="68" t="inlineStr">
        <is>
          <t>Vendredi</t>
        </is>
      </c>
      <c r="F440" s="71" t="n">
        <v>0.8125</v>
      </c>
      <c r="G440" s="71" t="n">
        <v>0.875</v>
      </c>
      <c r="H440" s="72">
        <f>IF(OR($F440="",$G440=""),"",($G440-$F440)*24)</f>
        <v/>
      </c>
      <c r="I440" s="68" t="inlineStr">
        <is>
          <t>Collège</t>
        </is>
      </c>
      <c r="J440" s="69" t="inlineStr">
        <is>
          <t>8éme (C)</t>
        </is>
      </c>
      <c r="K440" s="73" t="inlineStr">
        <is>
          <t>فيزياء</t>
        </is>
      </c>
      <c r="L440" s="73" t="inlineStr">
        <is>
          <t>Physique</t>
        </is>
      </c>
      <c r="M440" s="69" t="inlineStr">
        <is>
          <t>Melek</t>
        </is>
      </c>
      <c r="N440" s="68" t="n"/>
      <c r="O440" s="68" t="n"/>
      <c r="P440" s="68" t="inlineStr">
        <is>
          <t>Hebdomadaire</t>
        </is>
      </c>
      <c r="Q440" s="69" t="inlineStr">
        <is>
          <t>8éme (A) + 8éme (B) + 8éme (C)</t>
        </is>
      </c>
      <c r="R440" s="68" t="n">
        <v>3</v>
      </c>
      <c r="S440" s="68" t="inlineStr"/>
      <c r="T440" s="68" t="inlineStr">
        <is>
          <t>S4-048</t>
        </is>
      </c>
      <c r="U440" s="69" t="inlineStr">
        <is>
          <t>Généré (octobre)</t>
        </is>
      </c>
      <c r="V440" s="69" t="inlineStr"/>
      <c r="W440" s="10" t="n"/>
      <c r="X440" s="10" t="inlineStr"/>
      <c r="Y440" s="64">
        <f>IF($M440="","",IF(SUMPRODUCT(($D$4:$D$863=$D440)*($M$4:$M$863=$M440)*($T$4:$T$863&lt;&gt;$T440)*($F$4:$F$863&lt;$G440)*($G$4:$G$863&gt;$F440))&gt;0,"⚠ CONFLIT",""))</f>
        <v/>
      </c>
      <c r="Z440" s="64">
        <f>IF($J440="","",IF(SUMPRODUCT(($D$4:$D$863=$D440)*($J$4:$J$863=$J440)*($T$4:$T$863&lt;&gt;$T440)*($F$4:$F$863&lt;$G440)*($G$4:$G$863&gt;$F440)*(1-($X$4:$X$863="Oui")*($X440="Oui")))&gt;0,"⚠ CONFLIT",""))</f>
        <v/>
      </c>
      <c r="AA440" s="64">
        <f>IF(COUNTIFS($D$4:$D$863,$D440,$J$4:$J$863,$J440,$F$4:$F$863,$F440,$K$4:$K$863,$K440)&gt;1,"⚠ DOUBLON","")</f>
        <v/>
      </c>
      <c r="AB440" s="64">
        <f>IF(COUNTIF($T$4:$T$863,$T440)&lt;&gt;COUNTIFS($T$4:$T$863,$T440,$D$4:$D$863,$D440,$F$4:$F$863,$F440,$G$4:$G$863,$G440,$K$4:$K$863,$K440,$M$4:$M$863,$M440),"⚠ INCOHÉRENT","")</f>
        <v/>
      </c>
      <c r="AC440" s="64">
        <f>COUNTIFS($A$4:$A440,$A440,$J$4:$J440,$J440,$E$4:$E440,$E440)</f>
        <v/>
      </c>
      <c r="AD440" s="65">
        <f>$A440&amp;"|"&amp;$J440&amp;"|"&amp;$E440&amp;"|"&amp;$AC440</f>
        <v/>
      </c>
      <c r="AE440" s="66">
        <f>IF($W440&lt;&gt;"","⚑ "&amp;$W440&amp;CHAR(10),"")&amp;TEXT($F440,"hh:mm")&amp;"-"&amp;TEXT($G440,"hh:mm")&amp;IF(OR($P440="Quinzaine A",AND($P440="Hebdo · groupes alternés",$C440="A"))," Q-A",IF(OR($P440="Quinzaine B",AND($P440="Hebdo · groupes alternés",$C440="B"))," Q-B",IF($P440="Exception"," PONCT.","")))&amp;IF($X440="Oui"," OPT","")&amp;CHAR(10)&amp;$K440&amp;CHAR(10)&amp;$M440&amp;IF($N440&lt;&gt;"",CHAR(10)&amp;"Salle "&amp;$N440,"")&amp;IF($O440="En ligne",CHAR(10)&amp;"EN LIGNE","")&amp;IF($V440&lt;&gt;"",CHAR(10)&amp;$V440,"")</f>
        <v/>
      </c>
      <c r="AF440" s="65" t="inlineStr"/>
      <c r="AG440" s="65" t="inlineStr">
        <is>
          <t>— généré —</t>
        </is>
      </c>
    </row>
    <row r="441" ht="15" customHeight="1">
      <c r="A441" s="68" t="inlineStr">
        <is>
          <t>S4</t>
        </is>
      </c>
      <c r="B441" s="69" t="inlineStr">
        <is>
          <t>du 5 au 11 octobre 2026</t>
        </is>
      </c>
      <c r="C441" s="68" t="inlineStr">
        <is>
          <t>B</t>
        </is>
      </c>
      <c r="D441" s="70" t="n">
        <v>46304</v>
      </c>
      <c r="E441" s="68" t="inlineStr">
        <is>
          <t>Vendredi</t>
        </is>
      </c>
      <c r="F441" s="71" t="n">
        <v>0.8125</v>
      </c>
      <c r="G441" s="71" t="n">
        <v>0.875</v>
      </c>
      <c r="H441" s="72">
        <f>IF(OR($F441="",$G441=""),"",($G441-$F441)*24)</f>
        <v/>
      </c>
      <c r="I441" s="68" t="inlineStr">
        <is>
          <t>Collège</t>
        </is>
      </c>
      <c r="J441" s="69" t="inlineStr">
        <is>
          <t>9éme (C)</t>
        </is>
      </c>
      <c r="K441" s="63" t="inlineStr">
        <is>
          <t>Arabe</t>
        </is>
      </c>
      <c r="L441" s="63" t="inlineStr">
        <is>
          <t>Arabe</t>
        </is>
      </c>
      <c r="M441" s="69" t="inlineStr">
        <is>
          <t>Yahya</t>
        </is>
      </c>
      <c r="N441" s="68" t="n"/>
      <c r="O441" s="68" t="n"/>
      <c r="P441" s="68" t="inlineStr">
        <is>
          <t>Hebdomadaire</t>
        </is>
      </c>
      <c r="Q441" s="69" t="inlineStr"/>
      <c r="R441" s="68" t="n">
        <v>1</v>
      </c>
      <c r="S441" s="68" t="inlineStr">
        <is>
          <t>Oui</t>
        </is>
      </c>
      <c r="T441" s="68" t="inlineStr">
        <is>
          <t>S4-049</t>
        </is>
      </c>
      <c r="U441" s="69" t="inlineStr">
        <is>
          <t>Généré (octobre)</t>
        </is>
      </c>
      <c r="V441" s="69" t="inlineStr"/>
      <c r="W441" s="10" t="n"/>
      <c r="X441" s="10" t="inlineStr"/>
      <c r="Y441" s="64">
        <f>IF($M441="","",IF(SUMPRODUCT(($D$4:$D$863=$D441)*($M$4:$M$863=$M441)*($T$4:$T$863&lt;&gt;$T441)*($F$4:$F$863&lt;$G441)*($G$4:$G$863&gt;$F441))&gt;0,"⚠ CONFLIT",""))</f>
        <v/>
      </c>
      <c r="Z441" s="64">
        <f>IF($J441="","",IF(SUMPRODUCT(($D$4:$D$863=$D441)*($J$4:$J$863=$J441)*($T$4:$T$863&lt;&gt;$T441)*($F$4:$F$863&lt;$G441)*($G$4:$G$863&gt;$F441)*(1-($X$4:$X$863="Oui")*($X441="Oui")))&gt;0,"⚠ CONFLIT",""))</f>
        <v/>
      </c>
      <c r="AA441" s="64">
        <f>IF(COUNTIFS($D$4:$D$863,$D441,$J$4:$J$863,$J441,$F$4:$F$863,$F441,$K$4:$K$863,$K441)&gt;1,"⚠ DOUBLON","")</f>
        <v/>
      </c>
      <c r="AB441" s="64">
        <f>IF(COUNTIF($T$4:$T$863,$T441)&lt;&gt;COUNTIFS($T$4:$T$863,$T441,$D$4:$D$863,$D441,$F$4:$F$863,$F441,$G$4:$G$863,$G441,$K$4:$K$863,$K441,$M$4:$M$863,$M441),"⚠ INCOHÉRENT","")</f>
        <v/>
      </c>
      <c r="AC441" s="64">
        <f>COUNTIFS($A$4:$A441,$A441,$J$4:$J441,$J441,$E$4:$E441,$E441)</f>
        <v/>
      </c>
      <c r="AD441" s="65">
        <f>$A441&amp;"|"&amp;$J441&amp;"|"&amp;$E441&amp;"|"&amp;$AC441</f>
        <v/>
      </c>
      <c r="AE441" s="66">
        <f>IF($W441&lt;&gt;"","⚑ "&amp;$W441&amp;CHAR(10),"")&amp;TEXT($F441,"hh:mm")&amp;"-"&amp;TEXT($G441,"hh:mm")&amp;IF(OR($P441="Quinzaine A",AND($P441="Hebdo · groupes alternés",$C441="A"))," Q-A",IF(OR($P441="Quinzaine B",AND($P441="Hebdo · groupes alternés",$C441="B"))," Q-B",IF($P441="Exception"," PONCT.","")))&amp;IF($X441="Oui"," OPT","")&amp;CHAR(10)&amp;$K441&amp;CHAR(10)&amp;$M441&amp;IF($N441&lt;&gt;"",CHAR(10)&amp;"Salle "&amp;$N441,"")&amp;IF($O441="En ligne",CHAR(10)&amp;"EN LIGNE","")&amp;IF($V441&lt;&gt;"",CHAR(10)&amp;$V441,"")</f>
        <v/>
      </c>
      <c r="AF441" s="65" t="inlineStr"/>
      <c r="AG441" s="65" t="inlineStr">
        <is>
          <t>— généré —</t>
        </is>
      </c>
    </row>
    <row r="442" ht="15" customHeight="1">
      <c r="A442" s="74" t="inlineStr">
        <is>
          <t>S4</t>
        </is>
      </c>
      <c r="B442" s="75" t="inlineStr">
        <is>
          <t>du 5 au 11 octobre 2026</t>
        </is>
      </c>
      <c r="C442" s="74" t="inlineStr">
        <is>
          <t>B</t>
        </is>
      </c>
      <c r="D442" s="76" t="n">
        <v>46304</v>
      </c>
      <c r="E442" s="74" t="inlineStr">
        <is>
          <t>Vendredi</t>
        </is>
      </c>
      <c r="F442" s="77" t="n">
        <v>0.7291666666666666</v>
      </c>
      <c r="G442" s="77" t="n">
        <v>0.7916666666666666</v>
      </c>
      <c r="H442" s="78">
        <f>IF(OR($F442="",$G442=""),"",($G442-$F442)*24)</f>
        <v/>
      </c>
      <c r="I442" s="74" t="inlineStr">
        <is>
          <t>Secondaire</t>
        </is>
      </c>
      <c r="J442" s="75" t="inlineStr">
        <is>
          <t>1ére (A)</t>
        </is>
      </c>
      <c r="K442" s="63" t="inlineStr">
        <is>
          <t>Arabe</t>
        </is>
      </c>
      <c r="L442" s="63" t="inlineStr">
        <is>
          <t>Arabe</t>
        </is>
      </c>
      <c r="M442" s="75" t="inlineStr">
        <is>
          <t>Najet</t>
        </is>
      </c>
      <c r="N442" s="74" t="n"/>
      <c r="O442" s="74" t="n"/>
      <c r="P442" s="74" t="inlineStr">
        <is>
          <t>Hebdomadaire</t>
        </is>
      </c>
      <c r="Q442" s="75" t="inlineStr"/>
      <c r="R442" s="74" t="n">
        <v>1</v>
      </c>
      <c r="S442" s="74" t="inlineStr">
        <is>
          <t>Oui</t>
        </is>
      </c>
      <c r="T442" s="74" t="inlineStr">
        <is>
          <t>S4-050</t>
        </is>
      </c>
      <c r="U442" s="75" t="inlineStr">
        <is>
          <t>Généré (octobre)</t>
        </is>
      </c>
      <c r="V442" s="75" t="inlineStr"/>
      <c r="W442" s="10" t="n"/>
      <c r="X442" s="10" t="inlineStr"/>
      <c r="Y442" s="64">
        <f>IF($M442="","",IF(SUMPRODUCT(($D$4:$D$863=$D442)*($M$4:$M$863=$M442)*($T$4:$T$863&lt;&gt;$T442)*($F$4:$F$863&lt;$G442)*($G$4:$G$863&gt;$F442))&gt;0,"⚠ CONFLIT",""))</f>
        <v/>
      </c>
      <c r="Z442" s="64">
        <f>IF($J442="","",IF(SUMPRODUCT(($D$4:$D$863=$D442)*($J$4:$J$863=$J442)*($T$4:$T$863&lt;&gt;$T442)*($F$4:$F$863&lt;$G442)*($G$4:$G$863&gt;$F442)*(1-($X$4:$X$863="Oui")*($X442="Oui")))&gt;0,"⚠ CONFLIT",""))</f>
        <v/>
      </c>
      <c r="AA442" s="64">
        <f>IF(COUNTIFS($D$4:$D$863,$D442,$J$4:$J$863,$J442,$F$4:$F$863,$F442,$K$4:$K$863,$K442)&gt;1,"⚠ DOUBLON","")</f>
        <v/>
      </c>
      <c r="AB442" s="64">
        <f>IF(COUNTIF($T$4:$T$863,$T442)&lt;&gt;COUNTIFS($T$4:$T$863,$T442,$D$4:$D$863,$D442,$F$4:$F$863,$F442,$G$4:$G$863,$G442,$K$4:$K$863,$K442,$M$4:$M$863,$M442),"⚠ INCOHÉRENT","")</f>
        <v/>
      </c>
      <c r="AC442" s="64">
        <f>COUNTIFS($A$4:$A442,$A442,$J$4:$J442,$J442,$E$4:$E442,$E442)</f>
        <v/>
      </c>
      <c r="AD442" s="65">
        <f>$A442&amp;"|"&amp;$J442&amp;"|"&amp;$E442&amp;"|"&amp;$AC442</f>
        <v/>
      </c>
      <c r="AE442" s="66">
        <f>IF($W442&lt;&gt;"","⚑ "&amp;$W442&amp;CHAR(10),"")&amp;TEXT($F442,"hh:mm")&amp;"-"&amp;TEXT($G442,"hh:mm")&amp;IF(OR($P442="Quinzaine A",AND($P442="Hebdo · groupes alternés",$C442="A"))," Q-A",IF(OR($P442="Quinzaine B",AND($P442="Hebdo · groupes alternés",$C442="B"))," Q-B",IF($P442="Exception"," PONCT.","")))&amp;IF($X442="Oui"," OPT","")&amp;CHAR(10)&amp;$K442&amp;CHAR(10)&amp;$M442&amp;IF($N442&lt;&gt;"",CHAR(10)&amp;"Salle "&amp;$N442,"")&amp;IF($O442="En ligne",CHAR(10)&amp;"EN LIGNE","")&amp;IF($V442&lt;&gt;"",CHAR(10)&amp;$V442,"")</f>
        <v/>
      </c>
      <c r="AF442" s="65" t="inlineStr"/>
      <c r="AG442" s="65" t="inlineStr">
        <is>
          <t>— généré —</t>
        </is>
      </c>
    </row>
    <row r="443" ht="15" customHeight="1">
      <c r="A443" s="74" t="inlineStr">
        <is>
          <t>S4</t>
        </is>
      </c>
      <c r="B443" s="75" t="inlineStr">
        <is>
          <t>du 5 au 11 octobre 2026</t>
        </is>
      </c>
      <c r="C443" s="74" t="inlineStr">
        <is>
          <t>B</t>
        </is>
      </c>
      <c r="D443" s="76" t="n">
        <v>46304</v>
      </c>
      <c r="E443" s="74" t="inlineStr">
        <is>
          <t>Vendredi</t>
        </is>
      </c>
      <c r="F443" s="77" t="n">
        <v>0.7916666666666666</v>
      </c>
      <c r="G443" s="77" t="n">
        <v>0.8541666666666666</v>
      </c>
      <c r="H443" s="78">
        <f>IF(OR($F443="",$G443=""),"",($G443-$F443)*24)</f>
        <v/>
      </c>
      <c r="I443" s="74" t="inlineStr">
        <is>
          <t>Secondaire</t>
        </is>
      </c>
      <c r="J443" s="75" t="inlineStr">
        <is>
          <t>1ére (B)</t>
        </is>
      </c>
      <c r="K443" s="63" t="inlineStr">
        <is>
          <t>Arabe</t>
        </is>
      </c>
      <c r="L443" s="63" t="inlineStr">
        <is>
          <t>Arabe</t>
        </is>
      </c>
      <c r="M443" s="75" t="inlineStr">
        <is>
          <t>Najet</t>
        </is>
      </c>
      <c r="N443" s="74" t="n"/>
      <c r="O443" s="74" t="n"/>
      <c r="P443" s="74" t="inlineStr">
        <is>
          <t>Hebdomadaire</t>
        </is>
      </c>
      <c r="Q443" s="75" t="inlineStr"/>
      <c r="R443" s="74" t="n">
        <v>1</v>
      </c>
      <c r="S443" s="74" t="inlineStr">
        <is>
          <t>Oui</t>
        </is>
      </c>
      <c r="T443" s="74" t="inlineStr">
        <is>
          <t>S4-051</t>
        </is>
      </c>
      <c r="U443" s="75" t="inlineStr">
        <is>
          <t>Généré (octobre)</t>
        </is>
      </c>
      <c r="V443" s="75" t="inlineStr"/>
      <c r="W443" s="10" t="n"/>
      <c r="X443" s="10" t="inlineStr"/>
      <c r="Y443" s="64">
        <f>IF($M443="","",IF(SUMPRODUCT(($D$4:$D$863=$D443)*($M$4:$M$863=$M443)*($T$4:$T$863&lt;&gt;$T443)*($F$4:$F$863&lt;$G443)*($G$4:$G$863&gt;$F443))&gt;0,"⚠ CONFLIT",""))</f>
        <v/>
      </c>
      <c r="Z443" s="64">
        <f>IF($J443="","",IF(SUMPRODUCT(($D$4:$D$863=$D443)*($J$4:$J$863=$J443)*($T$4:$T$863&lt;&gt;$T443)*($F$4:$F$863&lt;$G443)*($G$4:$G$863&gt;$F443)*(1-($X$4:$X$863="Oui")*($X443="Oui")))&gt;0,"⚠ CONFLIT",""))</f>
        <v/>
      </c>
      <c r="AA443" s="64">
        <f>IF(COUNTIFS($D$4:$D$863,$D443,$J$4:$J$863,$J443,$F$4:$F$863,$F443,$K$4:$K$863,$K443)&gt;1,"⚠ DOUBLON","")</f>
        <v/>
      </c>
      <c r="AB443" s="64">
        <f>IF(COUNTIF($T$4:$T$863,$T443)&lt;&gt;COUNTIFS($T$4:$T$863,$T443,$D$4:$D$863,$D443,$F$4:$F$863,$F443,$G$4:$G$863,$G443,$K$4:$K$863,$K443,$M$4:$M$863,$M443),"⚠ INCOHÉRENT","")</f>
        <v/>
      </c>
      <c r="AC443" s="64">
        <f>COUNTIFS($A$4:$A443,$A443,$J$4:$J443,$J443,$E$4:$E443,$E443)</f>
        <v/>
      </c>
      <c r="AD443" s="65">
        <f>$A443&amp;"|"&amp;$J443&amp;"|"&amp;$E443&amp;"|"&amp;$AC443</f>
        <v/>
      </c>
      <c r="AE443" s="66">
        <f>IF($W443&lt;&gt;"","⚑ "&amp;$W443&amp;CHAR(10),"")&amp;TEXT($F443,"hh:mm")&amp;"-"&amp;TEXT($G443,"hh:mm")&amp;IF(OR($P443="Quinzaine A",AND($P443="Hebdo · groupes alternés",$C443="A"))," Q-A",IF(OR($P443="Quinzaine B",AND($P443="Hebdo · groupes alternés",$C443="B"))," Q-B",IF($P443="Exception"," PONCT.","")))&amp;IF($X443="Oui"," OPT","")&amp;CHAR(10)&amp;$K443&amp;CHAR(10)&amp;$M443&amp;IF($N443&lt;&gt;"",CHAR(10)&amp;"Salle "&amp;$N443,"")&amp;IF($O443="En ligne",CHAR(10)&amp;"EN LIGNE","")&amp;IF($V443&lt;&gt;"",CHAR(10)&amp;$V443,"")</f>
        <v/>
      </c>
      <c r="AF443" s="65" t="inlineStr"/>
      <c r="AG443" s="65" t="inlineStr">
        <is>
          <t>— généré —</t>
        </is>
      </c>
    </row>
    <row r="444" ht="15" customHeight="1">
      <c r="A444" s="74" t="inlineStr">
        <is>
          <t>S4</t>
        </is>
      </c>
      <c r="B444" s="75" t="inlineStr">
        <is>
          <t>du 5 au 11 octobre 2026</t>
        </is>
      </c>
      <c r="C444" s="74" t="inlineStr">
        <is>
          <t>B</t>
        </is>
      </c>
      <c r="D444" s="76" t="n">
        <v>46304</v>
      </c>
      <c r="E444" s="74" t="inlineStr">
        <is>
          <t>Vendredi</t>
        </is>
      </c>
      <c r="F444" s="77" t="n">
        <v>0.8125</v>
      </c>
      <c r="G444" s="77" t="n">
        <v>0.875</v>
      </c>
      <c r="H444" s="78">
        <f>IF(OR($F444="",$G444=""),"",($G444-$F444)*24)</f>
        <v/>
      </c>
      <c r="I444" s="74" t="inlineStr">
        <is>
          <t>Secondaire</t>
        </is>
      </c>
      <c r="J444" s="75" t="inlineStr">
        <is>
          <t>2éme INFO</t>
        </is>
      </c>
      <c r="K444" s="79" t="inlineStr">
        <is>
          <t>Math</t>
        </is>
      </c>
      <c r="L444" s="79" t="inlineStr">
        <is>
          <t>Math</t>
        </is>
      </c>
      <c r="M444" s="75" t="inlineStr">
        <is>
          <t>Haythem</t>
        </is>
      </c>
      <c r="N444" s="74" t="n"/>
      <c r="O444" s="74" t="n"/>
      <c r="P444" s="74" t="inlineStr">
        <is>
          <t>Hebdomadaire</t>
        </is>
      </c>
      <c r="Q444" s="75" t="inlineStr"/>
      <c r="R444" s="74" t="n">
        <v>1</v>
      </c>
      <c r="S444" s="74" t="inlineStr">
        <is>
          <t>Oui</t>
        </is>
      </c>
      <c r="T444" s="74" t="inlineStr">
        <is>
          <t>S4-053</t>
        </is>
      </c>
      <c r="U444" s="75" t="inlineStr">
        <is>
          <t>Généré (octobre)</t>
        </is>
      </c>
      <c r="V444" s="75" t="inlineStr"/>
      <c r="W444" s="10" t="n"/>
      <c r="X444" s="10" t="inlineStr"/>
      <c r="Y444" s="64">
        <f>IF($M444="","",IF(SUMPRODUCT(($D$4:$D$863=$D444)*($M$4:$M$863=$M444)*($T$4:$T$863&lt;&gt;$T444)*($F$4:$F$863&lt;$G444)*($G$4:$G$863&gt;$F444))&gt;0,"⚠ CONFLIT",""))</f>
        <v/>
      </c>
      <c r="Z444" s="64">
        <f>IF($J444="","",IF(SUMPRODUCT(($D$4:$D$863=$D444)*($J$4:$J$863=$J444)*($T$4:$T$863&lt;&gt;$T444)*($F$4:$F$863&lt;$G444)*($G$4:$G$863&gt;$F444)*(1-($X$4:$X$863="Oui")*($X444="Oui")))&gt;0,"⚠ CONFLIT",""))</f>
        <v/>
      </c>
      <c r="AA444" s="64">
        <f>IF(COUNTIFS($D$4:$D$863,$D444,$J$4:$J$863,$J444,$F$4:$F$863,$F444,$K$4:$K$863,$K444)&gt;1,"⚠ DOUBLON","")</f>
        <v/>
      </c>
      <c r="AB444" s="64">
        <f>IF(COUNTIF($T$4:$T$863,$T444)&lt;&gt;COUNTIFS($T$4:$T$863,$T444,$D$4:$D$863,$D444,$F$4:$F$863,$F444,$G$4:$G$863,$G444,$K$4:$K$863,$K444,$M$4:$M$863,$M444),"⚠ INCOHÉRENT","")</f>
        <v/>
      </c>
      <c r="AC444" s="64">
        <f>COUNTIFS($A$4:$A444,$A444,$J$4:$J444,$J444,$E$4:$E444,$E444)</f>
        <v/>
      </c>
      <c r="AD444" s="65">
        <f>$A444&amp;"|"&amp;$J444&amp;"|"&amp;$E444&amp;"|"&amp;$AC444</f>
        <v/>
      </c>
      <c r="AE444" s="66">
        <f>IF($W444&lt;&gt;"","⚑ "&amp;$W444&amp;CHAR(10),"")&amp;TEXT($F444,"hh:mm")&amp;"-"&amp;TEXT($G444,"hh:mm")&amp;IF(OR($P444="Quinzaine A",AND($P444="Hebdo · groupes alternés",$C444="A"))," Q-A",IF(OR($P444="Quinzaine B",AND($P444="Hebdo · groupes alternés",$C444="B"))," Q-B",IF($P444="Exception"," PONCT.","")))&amp;IF($X444="Oui"," OPT","")&amp;CHAR(10)&amp;$K444&amp;CHAR(10)&amp;$M444&amp;IF($N444&lt;&gt;"",CHAR(10)&amp;"Salle "&amp;$N444,"")&amp;IF($O444="En ligne",CHAR(10)&amp;"EN LIGNE","")&amp;IF($V444&lt;&gt;"",CHAR(10)&amp;$V444,"")</f>
        <v/>
      </c>
      <c r="AF444" s="65" t="inlineStr"/>
      <c r="AG444" s="65" t="inlineStr">
        <is>
          <t>— généré —</t>
        </is>
      </c>
    </row>
    <row r="445" ht="15" customHeight="1">
      <c r="A445" s="74" t="inlineStr">
        <is>
          <t>S4</t>
        </is>
      </c>
      <c r="B445" s="75" t="inlineStr">
        <is>
          <t>du 5 au 11 octobre 2026</t>
        </is>
      </c>
      <c r="C445" s="74" t="inlineStr">
        <is>
          <t>B</t>
        </is>
      </c>
      <c r="D445" s="76" t="n">
        <v>46304</v>
      </c>
      <c r="E445" s="74" t="inlineStr">
        <is>
          <t>Vendredi</t>
        </is>
      </c>
      <c r="F445" s="77" t="n">
        <v>0.7291666666666666</v>
      </c>
      <c r="G445" s="77" t="n">
        <v>0.7916666666666666</v>
      </c>
      <c r="H445" s="78">
        <f>IF(OR($F445="",$G445=""),"",($G445-$F445)*24)</f>
        <v/>
      </c>
      <c r="I445" s="74" t="inlineStr">
        <is>
          <t>Secondaire</t>
        </is>
      </c>
      <c r="J445" s="75" t="inlineStr">
        <is>
          <t>3éme Eco</t>
        </is>
      </c>
      <c r="K445" s="87" t="inlineStr">
        <is>
          <t>Anglais</t>
        </is>
      </c>
      <c r="L445" s="87" t="inlineStr">
        <is>
          <t>Anglais</t>
        </is>
      </c>
      <c r="M445" s="75" t="inlineStr">
        <is>
          <t>Khaled</t>
        </is>
      </c>
      <c r="N445" s="74" t="n"/>
      <c r="O445" s="74" t="n"/>
      <c r="P445" s="74" t="inlineStr">
        <is>
          <t>Hebdo · groupes alternés</t>
        </is>
      </c>
      <c r="Q445" s="75" t="inlineStr">
        <is>
          <t>3éme Eco + 3éme INFO + 3éme SCE</t>
        </is>
      </c>
      <c r="R445" s="74" t="n">
        <v>3</v>
      </c>
      <c r="S445" s="74" t="inlineStr">
        <is>
          <t>Oui</t>
        </is>
      </c>
      <c r="T445" s="74" t="inlineStr">
        <is>
          <t>S4-054</t>
        </is>
      </c>
      <c r="U445" s="75" t="inlineStr">
        <is>
          <t>Généré (octobre)</t>
        </is>
      </c>
      <c r="V445" s="75" t="inlineStr"/>
      <c r="W445" s="10" t="n"/>
      <c r="X445" s="10" t="inlineStr"/>
      <c r="Y445" s="64">
        <f>IF($M445="","",IF(SUMPRODUCT(($D$4:$D$863=$D445)*($M$4:$M$863=$M445)*($T$4:$T$863&lt;&gt;$T445)*($F$4:$F$863&lt;$G445)*($G$4:$G$863&gt;$F445))&gt;0,"⚠ CONFLIT",""))</f>
        <v/>
      </c>
      <c r="Z445" s="64">
        <f>IF($J445="","",IF(SUMPRODUCT(($D$4:$D$863=$D445)*($J$4:$J$863=$J445)*($T$4:$T$863&lt;&gt;$T445)*($F$4:$F$863&lt;$G445)*($G$4:$G$863&gt;$F445)*(1-($X$4:$X$863="Oui")*($X445="Oui")))&gt;0,"⚠ CONFLIT",""))</f>
        <v/>
      </c>
      <c r="AA445" s="64">
        <f>IF(COUNTIFS($D$4:$D$863,$D445,$J$4:$J$863,$J445,$F$4:$F$863,$F445,$K$4:$K$863,$K445)&gt;1,"⚠ DOUBLON","")</f>
        <v/>
      </c>
      <c r="AB445" s="64">
        <f>IF(COUNTIF($T$4:$T$863,$T445)&lt;&gt;COUNTIFS($T$4:$T$863,$T445,$D$4:$D$863,$D445,$F$4:$F$863,$F445,$G$4:$G$863,$G445,$K$4:$K$863,$K445,$M$4:$M$863,$M445),"⚠ INCOHÉRENT","")</f>
        <v/>
      </c>
      <c r="AC445" s="64">
        <f>COUNTIFS($A$4:$A445,$A445,$J$4:$J445,$J445,$E$4:$E445,$E445)</f>
        <v/>
      </c>
      <c r="AD445" s="65">
        <f>$A445&amp;"|"&amp;$J445&amp;"|"&amp;$E445&amp;"|"&amp;$AC445</f>
        <v/>
      </c>
      <c r="AE445" s="66">
        <f>IF($W445&lt;&gt;"","⚑ "&amp;$W445&amp;CHAR(10),"")&amp;TEXT($F445,"hh:mm")&amp;"-"&amp;TEXT($G445,"hh:mm")&amp;IF(OR($P445="Quinzaine A",AND($P445="Hebdo · groupes alternés",$C445="A"))," Q-A",IF(OR($P445="Quinzaine B",AND($P445="Hebdo · groupes alternés",$C445="B"))," Q-B",IF($P445="Exception"," PONCT.","")))&amp;IF($X445="Oui"," OPT","")&amp;CHAR(10)&amp;$K445&amp;CHAR(10)&amp;$M445&amp;IF($N445&lt;&gt;"",CHAR(10)&amp;"Salle "&amp;$N445,"")&amp;IF($O445="En ligne",CHAR(10)&amp;"EN LIGNE","")&amp;IF($V445&lt;&gt;"",CHAR(10)&amp;$V445,"")</f>
        <v/>
      </c>
      <c r="AF445" s="65" t="inlineStr"/>
      <c r="AG445" s="65" t="inlineStr">
        <is>
          <t>— généré —</t>
        </is>
      </c>
    </row>
    <row r="446" ht="15" customHeight="1">
      <c r="A446" s="74" t="inlineStr">
        <is>
          <t>S4</t>
        </is>
      </c>
      <c r="B446" s="75" t="inlineStr">
        <is>
          <t>du 5 au 11 octobre 2026</t>
        </is>
      </c>
      <c r="C446" s="74" t="inlineStr">
        <is>
          <t>B</t>
        </is>
      </c>
      <c r="D446" s="76" t="n">
        <v>46304</v>
      </c>
      <c r="E446" s="74" t="inlineStr">
        <is>
          <t>Vendredi</t>
        </is>
      </c>
      <c r="F446" s="77" t="n">
        <v>0.7291666666666666</v>
      </c>
      <c r="G446" s="77" t="n">
        <v>0.7916666666666666</v>
      </c>
      <c r="H446" s="78">
        <f>IF(OR($F446="",$G446=""),"",($G446-$F446)*24)</f>
        <v/>
      </c>
      <c r="I446" s="74" t="inlineStr">
        <is>
          <t>Secondaire</t>
        </is>
      </c>
      <c r="J446" s="75" t="inlineStr">
        <is>
          <t>3éme INFO</t>
        </is>
      </c>
      <c r="K446" s="87" t="inlineStr">
        <is>
          <t>Anglais</t>
        </is>
      </c>
      <c r="L446" s="87" t="inlineStr">
        <is>
          <t>Anglais</t>
        </is>
      </c>
      <c r="M446" s="75" t="inlineStr">
        <is>
          <t>Khaled</t>
        </is>
      </c>
      <c r="N446" s="74" t="n"/>
      <c r="O446" s="74" t="n"/>
      <c r="P446" s="74" t="inlineStr">
        <is>
          <t>Hebdo · groupes alternés</t>
        </is>
      </c>
      <c r="Q446" s="75" t="inlineStr">
        <is>
          <t>3éme Eco + 3éme INFO + 3éme SCE</t>
        </is>
      </c>
      <c r="R446" s="74" t="n">
        <v>3</v>
      </c>
      <c r="S446" s="74" t="inlineStr"/>
      <c r="T446" s="74" t="inlineStr">
        <is>
          <t>S4-054</t>
        </is>
      </c>
      <c r="U446" s="75" t="inlineStr">
        <is>
          <t>Généré (octobre)</t>
        </is>
      </c>
      <c r="V446" s="75" t="inlineStr"/>
      <c r="W446" s="10" t="n"/>
      <c r="X446" s="10" t="inlineStr"/>
      <c r="Y446" s="64">
        <f>IF($M446="","",IF(SUMPRODUCT(($D$4:$D$863=$D446)*($M$4:$M$863=$M446)*($T$4:$T$863&lt;&gt;$T446)*($F$4:$F$863&lt;$G446)*($G$4:$G$863&gt;$F446))&gt;0,"⚠ CONFLIT",""))</f>
        <v/>
      </c>
      <c r="Z446" s="64">
        <f>IF($J446="","",IF(SUMPRODUCT(($D$4:$D$863=$D446)*($J$4:$J$863=$J446)*($T$4:$T$863&lt;&gt;$T446)*($F$4:$F$863&lt;$G446)*($G$4:$G$863&gt;$F446)*(1-($X$4:$X$863="Oui")*($X446="Oui")))&gt;0,"⚠ CONFLIT",""))</f>
        <v/>
      </c>
      <c r="AA446" s="64">
        <f>IF(COUNTIFS($D$4:$D$863,$D446,$J$4:$J$863,$J446,$F$4:$F$863,$F446,$K$4:$K$863,$K446)&gt;1,"⚠ DOUBLON","")</f>
        <v/>
      </c>
      <c r="AB446" s="64">
        <f>IF(COUNTIF($T$4:$T$863,$T446)&lt;&gt;COUNTIFS($T$4:$T$863,$T446,$D$4:$D$863,$D446,$F$4:$F$863,$F446,$G$4:$G$863,$G446,$K$4:$K$863,$K446,$M$4:$M$863,$M446),"⚠ INCOHÉRENT","")</f>
        <v/>
      </c>
      <c r="AC446" s="64">
        <f>COUNTIFS($A$4:$A446,$A446,$J$4:$J446,$J446,$E$4:$E446,$E446)</f>
        <v/>
      </c>
      <c r="AD446" s="65">
        <f>$A446&amp;"|"&amp;$J446&amp;"|"&amp;$E446&amp;"|"&amp;$AC446</f>
        <v/>
      </c>
      <c r="AE446" s="66">
        <f>IF($W446&lt;&gt;"","⚑ "&amp;$W446&amp;CHAR(10),"")&amp;TEXT($F446,"hh:mm")&amp;"-"&amp;TEXT($G446,"hh:mm")&amp;IF(OR($P446="Quinzaine A",AND($P446="Hebdo · groupes alternés",$C446="A"))," Q-A",IF(OR($P446="Quinzaine B",AND($P446="Hebdo · groupes alternés",$C446="B"))," Q-B",IF($P446="Exception"," PONCT.","")))&amp;IF($X446="Oui"," OPT","")&amp;CHAR(10)&amp;$K446&amp;CHAR(10)&amp;$M446&amp;IF($N446&lt;&gt;"",CHAR(10)&amp;"Salle "&amp;$N446,"")&amp;IF($O446="En ligne",CHAR(10)&amp;"EN LIGNE","")&amp;IF($V446&lt;&gt;"",CHAR(10)&amp;$V446,"")</f>
        <v/>
      </c>
      <c r="AF446" s="65" t="inlineStr"/>
      <c r="AG446" s="65" t="inlineStr">
        <is>
          <t>— généré —</t>
        </is>
      </c>
    </row>
    <row r="447" ht="15" customHeight="1">
      <c r="A447" s="74" t="inlineStr">
        <is>
          <t>S4</t>
        </is>
      </c>
      <c r="B447" s="75" t="inlineStr">
        <is>
          <t>du 5 au 11 octobre 2026</t>
        </is>
      </c>
      <c r="C447" s="74" t="inlineStr">
        <is>
          <t>B</t>
        </is>
      </c>
      <c r="D447" s="76" t="n">
        <v>46304</v>
      </c>
      <c r="E447" s="74" t="inlineStr">
        <is>
          <t>Vendredi</t>
        </is>
      </c>
      <c r="F447" s="77" t="n">
        <v>0.7291666666666666</v>
      </c>
      <c r="G447" s="77" t="n">
        <v>0.7916666666666666</v>
      </c>
      <c r="H447" s="78">
        <f>IF(OR($F447="",$G447=""),"",($G447-$F447)*24)</f>
        <v/>
      </c>
      <c r="I447" s="74" t="inlineStr">
        <is>
          <t>Secondaire</t>
        </is>
      </c>
      <c r="J447" s="75" t="inlineStr">
        <is>
          <t>3éme SCE</t>
        </is>
      </c>
      <c r="K447" s="87" t="inlineStr">
        <is>
          <t>Anglais</t>
        </is>
      </c>
      <c r="L447" s="87" t="inlineStr">
        <is>
          <t>Anglais</t>
        </is>
      </c>
      <c r="M447" s="75" t="inlineStr">
        <is>
          <t>Khaled</t>
        </is>
      </c>
      <c r="N447" s="74" t="n"/>
      <c r="O447" s="74" t="n"/>
      <c r="P447" s="74" t="inlineStr">
        <is>
          <t>Hebdo · groupes alternés</t>
        </is>
      </c>
      <c r="Q447" s="75" t="inlineStr">
        <is>
          <t>3éme Eco + 3éme INFO + 3éme SCE</t>
        </is>
      </c>
      <c r="R447" s="74" t="n">
        <v>3</v>
      </c>
      <c r="S447" s="74" t="inlineStr"/>
      <c r="T447" s="74" t="inlineStr">
        <is>
          <t>S4-054</t>
        </is>
      </c>
      <c r="U447" s="75" t="inlineStr">
        <is>
          <t>Généré (octobre)</t>
        </is>
      </c>
      <c r="V447" s="75" t="inlineStr"/>
      <c r="W447" s="10" t="n"/>
      <c r="X447" s="10" t="inlineStr"/>
      <c r="Y447" s="64">
        <f>IF($M447="","",IF(SUMPRODUCT(($D$4:$D$863=$D447)*($M$4:$M$863=$M447)*($T$4:$T$863&lt;&gt;$T447)*($F$4:$F$863&lt;$G447)*($G$4:$G$863&gt;$F447))&gt;0,"⚠ CONFLIT",""))</f>
        <v/>
      </c>
      <c r="Z447" s="64">
        <f>IF($J447="","",IF(SUMPRODUCT(($D$4:$D$863=$D447)*($J$4:$J$863=$J447)*($T$4:$T$863&lt;&gt;$T447)*($F$4:$F$863&lt;$G447)*($G$4:$G$863&gt;$F447)*(1-($X$4:$X$863="Oui")*($X447="Oui")))&gt;0,"⚠ CONFLIT",""))</f>
        <v/>
      </c>
      <c r="AA447" s="64">
        <f>IF(COUNTIFS($D$4:$D$863,$D447,$J$4:$J$863,$J447,$F$4:$F$863,$F447,$K$4:$K$863,$K447)&gt;1,"⚠ DOUBLON","")</f>
        <v/>
      </c>
      <c r="AB447" s="64">
        <f>IF(COUNTIF($T$4:$T$863,$T447)&lt;&gt;COUNTIFS($T$4:$T$863,$T447,$D$4:$D$863,$D447,$F$4:$F$863,$F447,$G$4:$G$863,$G447,$K$4:$K$863,$K447,$M$4:$M$863,$M447),"⚠ INCOHÉRENT","")</f>
        <v/>
      </c>
      <c r="AC447" s="64">
        <f>COUNTIFS($A$4:$A447,$A447,$J$4:$J447,$J447,$E$4:$E447,$E447)</f>
        <v/>
      </c>
      <c r="AD447" s="65">
        <f>$A447&amp;"|"&amp;$J447&amp;"|"&amp;$E447&amp;"|"&amp;$AC447</f>
        <v/>
      </c>
      <c r="AE447" s="66">
        <f>IF($W447&lt;&gt;"","⚑ "&amp;$W447&amp;CHAR(10),"")&amp;TEXT($F447,"hh:mm")&amp;"-"&amp;TEXT($G447,"hh:mm")&amp;IF(OR($P447="Quinzaine A",AND($P447="Hebdo · groupes alternés",$C447="A"))," Q-A",IF(OR($P447="Quinzaine B",AND($P447="Hebdo · groupes alternés",$C447="B"))," Q-B",IF($P447="Exception"," PONCT.","")))&amp;IF($X447="Oui"," OPT","")&amp;CHAR(10)&amp;$K447&amp;CHAR(10)&amp;$M447&amp;IF($N447&lt;&gt;"",CHAR(10)&amp;"Salle "&amp;$N447,"")&amp;IF($O447="En ligne",CHAR(10)&amp;"EN LIGNE","")&amp;IF($V447&lt;&gt;"",CHAR(10)&amp;$V447,"")</f>
        <v/>
      </c>
      <c r="AF447" s="65" t="inlineStr"/>
      <c r="AG447" s="65" t="inlineStr">
        <is>
          <t>— généré —</t>
        </is>
      </c>
    </row>
    <row r="448" ht="15" customHeight="1">
      <c r="A448" s="81" t="inlineStr">
        <is>
          <t>S4</t>
        </is>
      </c>
      <c r="B448" s="82" t="inlineStr">
        <is>
          <t>du 5 au 11 octobre 2026</t>
        </is>
      </c>
      <c r="C448" s="81" t="inlineStr">
        <is>
          <t>B</t>
        </is>
      </c>
      <c r="D448" s="83" t="n">
        <v>46304</v>
      </c>
      <c r="E448" s="81" t="inlineStr">
        <is>
          <t>Vendredi</t>
        </is>
      </c>
      <c r="F448" s="84" t="n">
        <v>0.7291666666666666</v>
      </c>
      <c r="G448" s="84" t="n">
        <v>0.7916666666666666</v>
      </c>
      <c r="H448" s="85">
        <f>IF(OR($F448="",$G448=""),"",($G448-$F448)*24)</f>
        <v/>
      </c>
      <c r="I448" s="81" t="inlineStr">
        <is>
          <t>Bac</t>
        </is>
      </c>
      <c r="J448" s="82" t="inlineStr">
        <is>
          <t>Bac Eco</t>
        </is>
      </c>
      <c r="K448" s="67" t="inlineStr">
        <is>
          <t>Français</t>
        </is>
      </c>
      <c r="L448" s="67" t="inlineStr">
        <is>
          <t>Français</t>
        </is>
      </c>
      <c r="M448" s="82" t="inlineStr">
        <is>
          <t>Nabil</t>
        </is>
      </c>
      <c r="N448" s="81" t="n"/>
      <c r="O448" s="81" t="n"/>
      <c r="P448" s="81" t="inlineStr">
        <is>
          <t>Hebdo · groupes alternés</t>
        </is>
      </c>
      <c r="Q448" s="82" t="inlineStr">
        <is>
          <t>Bac Eco + Bac SCE + Bac INFO</t>
        </is>
      </c>
      <c r="R448" s="81" t="n">
        <v>3</v>
      </c>
      <c r="S448" s="81" t="inlineStr">
        <is>
          <t>Oui</t>
        </is>
      </c>
      <c r="T448" s="81" t="inlineStr">
        <is>
          <t>S4-052</t>
        </is>
      </c>
      <c r="U448" s="82" t="inlineStr">
        <is>
          <t>Généré (octobre)</t>
        </is>
      </c>
      <c r="V448" s="82" t="inlineStr"/>
      <c r="W448" s="10" t="n"/>
      <c r="X448" s="10" t="inlineStr"/>
      <c r="Y448" s="64">
        <f>IF($M448="","",IF(SUMPRODUCT(($D$4:$D$863=$D448)*($M$4:$M$863=$M448)*($T$4:$T$863&lt;&gt;$T448)*($F$4:$F$863&lt;$G448)*($G$4:$G$863&gt;$F448))&gt;0,"⚠ CONFLIT",""))</f>
        <v/>
      </c>
      <c r="Z448" s="64">
        <f>IF($J448="","",IF(SUMPRODUCT(($D$4:$D$863=$D448)*($J$4:$J$863=$J448)*($T$4:$T$863&lt;&gt;$T448)*($F$4:$F$863&lt;$G448)*($G$4:$G$863&gt;$F448)*(1-($X$4:$X$863="Oui")*($X448="Oui")))&gt;0,"⚠ CONFLIT",""))</f>
        <v/>
      </c>
      <c r="AA448" s="64">
        <f>IF(COUNTIFS($D$4:$D$863,$D448,$J$4:$J$863,$J448,$F$4:$F$863,$F448,$K$4:$K$863,$K448)&gt;1,"⚠ DOUBLON","")</f>
        <v/>
      </c>
      <c r="AB448" s="64">
        <f>IF(COUNTIF($T$4:$T$863,$T448)&lt;&gt;COUNTIFS($T$4:$T$863,$T448,$D$4:$D$863,$D448,$F$4:$F$863,$F448,$G$4:$G$863,$G448,$K$4:$K$863,$K448,$M$4:$M$863,$M448),"⚠ INCOHÉRENT","")</f>
        <v/>
      </c>
      <c r="AC448" s="64">
        <f>COUNTIFS($A$4:$A448,$A448,$J$4:$J448,$J448,$E$4:$E448,$E448)</f>
        <v/>
      </c>
      <c r="AD448" s="65">
        <f>$A448&amp;"|"&amp;$J448&amp;"|"&amp;$E448&amp;"|"&amp;$AC448</f>
        <v/>
      </c>
      <c r="AE448" s="66">
        <f>IF($W448&lt;&gt;"","⚑ "&amp;$W448&amp;CHAR(10),"")&amp;TEXT($F448,"hh:mm")&amp;"-"&amp;TEXT($G448,"hh:mm")&amp;IF(OR($P448="Quinzaine A",AND($P448="Hebdo · groupes alternés",$C448="A"))," Q-A",IF(OR($P448="Quinzaine B",AND($P448="Hebdo · groupes alternés",$C448="B"))," Q-B",IF($P448="Exception"," PONCT.","")))&amp;IF($X448="Oui"," OPT","")&amp;CHAR(10)&amp;$K448&amp;CHAR(10)&amp;$M448&amp;IF($N448&lt;&gt;"",CHAR(10)&amp;"Salle "&amp;$N448,"")&amp;IF($O448="En ligne",CHAR(10)&amp;"EN LIGNE","")&amp;IF($V448&lt;&gt;"",CHAR(10)&amp;$V448,"")</f>
        <v/>
      </c>
      <c r="AF448" s="65" t="inlineStr"/>
      <c r="AG448" s="65" t="inlineStr">
        <is>
          <t>— généré —</t>
        </is>
      </c>
    </row>
    <row r="449" ht="15" customHeight="1">
      <c r="A449" s="81" t="inlineStr">
        <is>
          <t>S4</t>
        </is>
      </c>
      <c r="B449" s="82" t="inlineStr">
        <is>
          <t>du 5 au 11 octobre 2026</t>
        </is>
      </c>
      <c r="C449" s="81" t="inlineStr">
        <is>
          <t>B</t>
        </is>
      </c>
      <c r="D449" s="83" t="n">
        <v>46304</v>
      </c>
      <c r="E449" s="81" t="inlineStr">
        <is>
          <t>Vendredi</t>
        </is>
      </c>
      <c r="F449" s="84" t="n">
        <v>0.7291666666666666</v>
      </c>
      <c r="G449" s="84" t="n">
        <v>0.7916666666666666</v>
      </c>
      <c r="H449" s="85">
        <f>IF(OR($F449="",$G449=""),"",($G449-$F449)*24)</f>
        <v/>
      </c>
      <c r="I449" s="81" t="inlineStr">
        <is>
          <t>Bac</t>
        </is>
      </c>
      <c r="J449" s="82" t="inlineStr">
        <is>
          <t>Bac SCE</t>
        </is>
      </c>
      <c r="K449" s="67" t="inlineStr">
        <is>
          <t>Français</t>
        </is>
      </c>
      <c r="L449" s="67" t="inlineStr">
        <is>
          <t>Français</t>
        </is>
      </c>
      <c r="M449" s="82" t="inlineStr">
        <is>
          <t>Nabil</t>
        </is>
      </c>
      <c r="N449" s="81" t="n"/>
      <c r="O449" s="81" t="n"/>
      <c r="P449" s="81" t="inlineStr">
        <is>
          <t>Hebdo · groupes alternés</t>
        </is>
      </c>
      <c r="Q449" s="82" t="inlineStr">
        <is>
          <t>Bac Eco + Bac SCE + Bac INFO</t>
        </is>
      </c>
      <c r="R449" s="81" t="n">
        <v>3</v>
      </c>
      <c r="S449" s="81" t="inlineStr"/>
      <c r="T449" s="81" t="inlineStr">
        <is>
          <t>S4-052</t>
        </is>
      </c>
      <c r="U449" s="82" t="inlineStr">
        <is>
          <t>Généré (octobre)</t>
        </is>
      </c>
      <c r="V449" s="82" t="inlineStr"/>
      <c r="W449" s="10" t="n"/>
      <c r="X449" s="10" t="inlineStr"/>
      <c r="Y449" s="64">
        <f>IF($M449="","",IF(SUMPRODUCT(($D$4:$D$863=$D449)*($M$4:$M$863=$M449)*($T$4:$T$863&lt;&gt;$T449)*($F$4:$F$863&lt;$G449)*($G$4:$G$863&gt;$F449))&gt;0,"⚠ CONFLIT",""))</f>
        <v/>
      </c>
      <c r="Z449" s="64">
        <f>IF($J449="","",IF(SUMPRODUCT(($D$4:$D$863=$D449)*($J$4:$J$863=$J449)*($T$4:$T$863&lt;&gt;$T449)*($F$4:$F$863&lt;$G449)*($G$4:$G$863&gt;$F449)*(1-($X$4:$X$863="Oui")*($X449="Oui")))&gt;0,"⚠ CONFLIT",""))</f>
        <v/>
      </c>
      <c r="AA449" s="64">
        <f>IF(COUNTIFS($D$4:$D$863,$D449,$J$4:$J$863,$J449,$F$4:$F$863,$F449,$K$4:$K$863,$K449)&gt;1,"⚠ DOUBLON","")</f>
        <v/>
      </c>
      <c r="AB449" s="64">
        <f>IF(COUNTIF($T$4:$T$863,$T449)&lt;&gt;COUNTIFS($T$4:$T$863,$T449,$D$4:$D$863,$D449,$F$4:$F$863,$F449,$G$4:$G$863,$G449,$K$4:$K$863,$K449,$M$4:$M$863,$M449),"⚠ INCOHÉRENT","")</f>
        <v/>
      </c>
      <c r="AC449" s="64">
        <f>COUNTIFS($A$4:$A449,$A449,$J$4:$J449,$J449,$E$4:$E449,$E449)</f>
        <v/>
      </c>
      <c r="AD449" s="65">
        <f>$A449&amp;"|"&amp;$J449&amp;"|"&amp;$E449&amp;"|"&amp;$AC449</f>
        <v/>
      </c>
      <c r="AE449" s="66">
        <f>IF($W449&lt;&gt;"","⚑ "&amp;$W449&amp;CHAR(10),"")&amp;TEXT($F449,"hh:mm")&amp;"-"&amp;TEXT($G449,"hh:mm")&amp;IF(OR($P449="Quinzaine A",AND($P449="Hebdo · groupes alternés",$C449="A"))," Q-A",IF(OR($P449="Quinzaine B",AND($P449="Hebdo · groupes alternés",$C449="B"))," Q-B",IF($P449="Exception"," PONCT.","")))&amp;IF($X449="Oui"," OPT","")&amp;CHAR(10)&amp;$K449&amp;CHAR(10)&amp;$M449&amp;IF($N449&lt;&gt;"",CHAR(10)&amp;"Salle "&amp;$N449,"")&amp;IF($O449="En ligne",CHAR(10)&amp;"EN LIGNE","")&amp;IF($V449&lt;&gt;"",CHAR(10)&amp;$V449,"")</f>
        <v/>
      </c>
      <c r="AF449" s="65" t="inlineStr"/>
      <c r="AG449" s="65" t="inlineStr">
        <is>
          <t>— généré —</t>
        </is>
      </c>
    </row>
    <row r="450" ht="15" customHeight="1">
      <c r="A450" s="81" t="inlineStr">
        <is>
          <t>S4</t>
        </is>
      </c>
      <c r="B450" s="82" t="inlineStr">
        <is>
          <t>du 5 au 11 octobre 2026</t>
        </is>
      </c>
      <c r="C450" s="81" t="inlineStr">
        <is>
          <t>B</t>
        </is>
      </c>
      <c r="D450" s="83" t="n">
        <v>46304</v>
      </c>
      <c r="E450" s="81" t="inlineStr">
        <is>
          <t>Vendredi</t>
        </is>
      </c>
      <c r="F450" s="84" t="n">
        <v>0.7291666666666666</v>
      </c>
      <c r="G450" s="84" t="n">
        <v>0.7916666666666666</v>
      </c>
      <c r="H450" s="85">
        <f>IF(OR($F450="",$G450=""),"",($G450-$F450)*24)</f>
        <v/>
      </c>
      <c r="I450" s="81" t="inlineStr">
        <is>
          <t>Bac</t>
        </is>
      </c>
      <c r="J450" s="82" t="inlineStr">
        <is>
          <t>Bac INFO</t>
        </is>
      </c>
      <c r="K450" s="67" t="inlineStr">
        <is>
          <t>Français</t>
        </is>
      </c>
      <c r="L450" s="67" t="inlineStr">
        <is>
          <t>Français</t>
        </is>
      </c>
      <c r="M450" s="82" t="inlineStr">
        <is>
          <t>Nabil</t>
        </is>
      </c>
      <c r="N450" s="81" t="n"/>
      <c r="O450" s="81" t="n"/>
      <c r="P450" s="81" t="inlineStr">
        <is>
          <t>Hebdo · groupes alternés</t>
        </is>
      </c>
      <c r="Q450" s="82" t="inlineStr">
        <is>
          <t>Bac Eco + Bac SCE + Bac INFO</t>
        </is>
      </c>
      <c r="R450" s="81" t="n">
        <v>3</v>
      </c>
      <c r="S450" s="81" t="inlineStr"/>
      <c r="T450" s="81" t="inlineStr">
        <is>
          <t>S4-052</t>
        </is>
      </c>
      <c r="U450" s="82" t="inlineStr">
        <is>
          <t>Généré (octobre)</t>
        </is>
      </c>
      <c r="V450" s="82" t="inlineStr"/>
      <c r="W450" s="10" t="n"/>
      <c r="X450" s="10" t="inlineStr"/>
      <c r="Y450" s="64">
        <f>IF($M450="","",IF(SUMPRODUCT(($D$4:$D$863=$D450)*($M$4:$M$863=$M450)*($T$4:$T$863&lt;&gt;$T450)*($F$4:$F$863&lt;$G450)*($G$4:$G$863&gt;$F450))&gt;0,"⚠ CONFLIT",""))</f>
        <v/>
      </c>
      <c r="Z450" s="64">
        <f>IF($J450="","",IF(SUMPRODUCT(($D$4:$D$863=$D450)*($J$4:$J$863=$J450)*($T$4:$T$863&lt;&gt;$T450)*($F$4:$F$863&lt;$G450)*($G$4:$G$863&gt;$F450)*(1-($X$4:$X$863="Oui")*($X450="Oui")))&gt;0,"⚠ CONFLIT",""))</f>
        <v/>
      </c>
      <c r="AA450" s="64">
        <f>IF(COUNTIFS($D$4:$D$863,$D450,$J$4:$J$863,$J450,$F$4:$F$863,$F450,$K$4:$K$863,$K450)&gt;1,"⚠ DOUBLON","")</f>
        <v/>
      </c>
      <c r="AB450" s="64">
        <f>IF(COUNTIF($T$4:$T$863,$T450)&lt;&gt;COUNTIFS($T$4:$T$863,$T450,$D$4:$D$863,$D450,$F$4:$F$863,$F450,$G$4:$G$863,$G450,$K$4:$K$863,$K450,$M$4:$M$863,$M450),"⚠ INCOHÉRENT","")</f>
        <v/>
      </c>
      <c r="AC450" s="64">
        <f>COUNTIFS($A$4:$A450,$A450,$J$4:$J450,$J450,$E$4:$E450,$E450)</f>
        <v/>
      </c>
      <c r="AD450" s="65">
        <f>$A450&amp;"|"&amp;$J450&amp;"|"&amp;$E450&amp;"|"&amp;$AC450</f>
        <v/>
      </c>
      <c r="AE450" s="66">
        <f>IF($W450&lt;&gt;"","⚑ "&amp;$W450&amp;CHAR(10),"")&amp;TEXT($F450,"hh:mm")&amp;"-"&amp;TEXT($G450,"hh:mm")&amp;IF(OR($P450="Quinzaine A",AND($P450="Hebdo · groupes alternés",$C450="A"))," Q-A",IF(OR($P450="Quinzaine B",AND($P450="Hebdo · groupes alternés",$C450="B"))," Q-B",IF($P450="Exception"," PONCT.","")))&amp;IF($X450="Oui"," OPT","")&amp;CHAR(10)&amp;$K450&amp;CHAR(10)&amp;$M450&amp;IF($N450&lt;&gt;"",CHAR(10)&amp;"Salle "&amp;$N450,"")&amp;IF($O450="En ligne",CHAR(10)&amp;"EN LIGNE","")&amp;IF($V450&lt;&gt;"",CHAR(10)&amp;$V450,"")</f>
        <v/>
      </c>
      <c r="AF450" s="65" t="inlineStr"/>
      <c r="AG450" s="65" t="inlineStr">
        <is>
          <t>— généré —</t>
        </is>
      </c>
    </row>
    <row r="451" ht="15" customHeight="1">
      <c r="A451" s="58" t="inlineStr">
        <is>
          <t>S4</t>
        </is>
      </c>
      <c r="B451" s="59" t="inlineStr">
        <is>
          <t>du 5 au 11 octobre 2026</t>
        </is>
      </c>
      <c r="C451" s="58" t="inlineStr">
        <is>
          <t>B</t>
        </is>
      </c>
      <c r="D451" s="60" t="n">
        <v>46305</v>
      </c>
      <c r="E451" s="58" t="inlineStr">
        <is>
          <t>Samedi</t>
        </is>
      </c>
      <c r="F451" s="61" t="n">
        <v>0.6666666666666666</v>
      </c>
      <c r="G451" s="61" t="n">
        <v>0.7291666666666666</v>
      </c>
      <c r="H451" s="62">
        <f>IF(OR($F451="",$G451=""),"",($G451-$F451)*24)</f>
        <v/>
      </c>
      <c r="I451" s="58" t="inlineStr">
        <is>
          <t>Primaire</t>
        </is>
      </c>
      <c r="J451" s="59" t="inlineStr">
        <is>
          <t>4éme</t>
        </is>
      </c>
      <c r="K451" s="67" t="inlineStr">
        <is>
          <t>Français</t>
        </is>
      </c>
      <c r="L451" s="67" t="inlineStr">
        <is>
          <t>Français</t>
        </is>
      </c>
      <c r="M451" s="59" t="inlineStr">
        <is>
          <t>Hend</t>
        </is>
      </c>
      <c r="N451" s="58" t="n"/>
      <c r="O451" s="58" t="n"/>
      <c r="P451" s="58" t="inlineStr">
        <is>
          <t>Hebdomadaire</t>
        </is>
      </c>
      <c r="Q451" s="59" t="inlineStr"/>
      <c r="R451" s="58" t="n">
        <v>1</v>
      </c>
      <c r="S451" s="58" t="inlineStr">
        <is>
          <t>Oui</t>
        </is>
      </c>
      <c r="T451" s="58" t="inlineStr">
        <is>
          <t>S4-055</t>
        </is>
      </c>
      <c r="U451" s="59" t="inlineStr">
        <is>
          <t>Généré (octobre)</t>
        </is>
      </c>
      <c r="V451" s="59" t="inlineStr"/>
      <c r="W451" s="10" t="n"/>
      <c r="X451" s="10" t="inlineStr"/>
      <c r="Y451" s="64">
        <f>IF($M451="","",IF(SUMPRODUCT(($D$4:$D$863=$D451)*($M$4:$M$863=$M451)*($T$4:$T$863&lt;&gt;$T451)*($F$4:$F$863&lt;$G451)*($G$4:$G$863&gt;$F451))&gt;0,"⚠ CONFLIT",""))</f>
        <v/>
      </c>
      <c r="Z451" s="64">
        <f>IF($J451="","",IF(SUMPRODUCT(($D$4:$D$863=$D451)*($J$4:$J$863=$J451)*($T$4:$T$863&lt;&gt;$T451)*($F$4:$F$863&lt;$G451)*($G$4:$G$863&gt;$F451)*(1-($X$4:$X$863="Oui")*($X451="Oui")))&gt;0,"⚠ CONFLIT",""))</f>
        <v/>
      </c>
      <c r="AA451" s="64">
        <f>IF(COUNTIFS($D$4:$D$863,$D451,$J$4:$J$863,$J451,$F$4:$F$863,$F451,$K$4:$K$863,$K451)&gt;1,"⚠ DOUBLON","")</f>
        <v/>
      </c>
      <c r="AB451" s="64">
        <f>IF(COUNTIF($T$4:$T$863,$T451)&lt;&gt;COUNTIFS($T$4:$T$863,$T451,$D$4:$D$863,$D451,$F$4:$F$863,$F451,$G$4:$G$863,$G451,$K$4:$K$863,$K451,$M$4:$M$863,$M451),"⚠ INCOHÉRENT","")</f>
        <v/>
      </c>
      <c r="AC451" s="64">
        <f>COUNTIFS($A$4:$A451,$A451,$J$4:$J451,$J451,$E$4:$E451,$E451)</f>
        <v/>
      </c>
      <c r="AD451" s="65">
        <f>$A451&amp;"|"&amp;$J451&amp;"|"&amp;$E451&amp;"|"&amp;$AC451</f>
        <v/>
      </c>
      <c r="AE451" s="66">
        <f>IF($W451&lt;&gt;"","⚑ "&amp;$W451&amp;CHAR(10),"")&amp;TEXT($F451,"hh:mm")&amp;"-"&amp;TEXT($G451,"hh:mm")&amp;IF(OR($P451="Quinzaine A",AND($P451="Hebdo · groupes alternés",$C451="A"))," Q-A",IF(OR($P451="Quinzaine B",AND($P451="Hebdo · groupes alternés",$C451="B"))," Q-B",IF($P451="Exception"," PONCT.","")))&amp;IF($X451="Oui"," OPT","")&amp;CHAR(10)&amp;$K451&amp;CHAR(10)&amp;$M451&amp;IF($N451&lt;&gt;"",CHAR(10)&amp;"Salle "&amp;$N451,"")&amp;IF($O451="En ligne",CHAR(10)&amp;"EN LIGNE","")&amp;IF($V451&lt;&gt;"",CHAR(10)&amp;$V451,"")</f>
        <v/>
      </c>
      <c r="AF451" s="65" t="inlineStr"/>
      <c r="AG451" s="65" t="inlineStr">
        <is>
          <t>— généré —</t>
        </is>
      </c>
    </row>
    <row r="452" ht="15" customHeight="1">
      <c r="A452" s="58" t="inlineStr">
        <is>
          <t>S4</t>
        </is>
      </c>
      <c r="B452" s="59" t="inlineStr">
        <is>
          <t>du 5 au 11 octobre 2026</t>
        </is>
      </c>
      <c r="C452" s="58" t="inlineStr">
        <is>
          <t>B</t>
        </is>
      </c>
      <c r="D452" s="60" t="n">
        <v>46305</v>
      </c>
      <c r="E452" s="58" t="inlineStr">
        <is>
          <t>Samedi</t>
        </is>
      </c>
      <c r="F452" s="61" t="n">
        <v>0.75</v>
      </c>
      <c r="G452" s="61" t="n">
        <v>0.8125</v>
      </c>
      <c r="H452" s="62">
        <f>IF(OR($F452="",$G452=""),"",($G452-$F452)*24)</f>
        <v/>
      </c>
      <c r="I452" s="58" t="inlineStr">
        <is>
          <t>Primaire</t>
        </is>
      </c>
      <c r="J452" s="59" t="inlineStr">
        <is>
          <t>5éme</t>
        </is>
      </c>
      <c r="K452" s="67" t="inlineStr">
        <is>
          <t>Français</t>
        </is>
      </c>
      <c r="L452" s="67" t="inlineStr">
        <is>
          <t>Français</t>
        </is>
      </c>
      <c r="M452" s="59" t="inlineStr">
        <is>
          <t>Hend</t>
        </is>
      </c>
      <c r="N452" s="58" t="n"/>
      <c r="O452" s="58" t="n"/>
      <c r="P452" s="58" t="inlineStr">
        <is>
          <t>Hebdomadaire</t>
        </is>
      </c>
      <c r="Q452" s="59" t="inlineStr"/>
      <c r="R452" s="58" t="n">
        <v>1</v>
      </c>
      <c r="S452" s="58" t="inlineStr">
        <is>
          <t>Oui</t>
        </is>
      </c>
      <c r="T452" s="58" t="inlineStr">
        <is>
          <t>S4-056</t>
        </is>
      </c>
      <c r="U452" s="59" t="inlineStr">
        <is>
          <t>Généré (octobre)</t>
        </is>
      </c>
      <c r="V452" s="59" t="inlineStr"/>
      <c r="W452" s="10" t="n"/>
      <c r="X452" s="10" t="inlineStr"/>
      <c r="Y452" s="64">
        <f>IF($M452="","",IF(SUMPRODUCT(($D$4:$D$863=$D452)*($M$4:$M$863=$M452)*($T$4:$T$863&lt;&gt;$T452)*($F$4:$F$863&lt;$G452)*($G$4:$G$863&gt;$F452))&gt;0,"⚠ CONFLIT",""))</f>
        <v/>
      </c>
      <c r="Z452" s="64">
        <f>IF($J452="","",IF(SUMPRODUCT(($D$4:$D$863=$D452)*($J$4:$J$863=$J452)*($T$4:$T$863&lt;&gt;$T452)*($F$4:$F$863&lt;$G452)*($G$4:$G$863&gt;$F452)*(1-($X$4:$X$863="Oui")*($X452="Oui")))&gt;0,"⚠ CONFLIT",""))</f>
        <v/>
      </c>
      <c r="AA452" s="64">
        <f>IF(COUNTIFS($D$4:$D$863,$D452,$J$4:$J$863,$J452,$F$4:$F$863,$F452,$K$4:$K$863,$K452)&gt;1,"⚠ DOUBLON","")</f>
        <v/>
      </c>
      <c r="AB452" s="64">
        <f>IF(COUNTIF($T$4:$T$863,$T452)&lt;&gt;COUNTIFS($T$4:$T$863,$T452,$D$4:$D$863,$D452,$F$4:$F$863,$F452,$G$4:$G$863,$G452,$K$4:$K$863,$K452,$M$4:$M$863,$M452),"⚠ INCOHÉRENT","")</f>
        <v/>
      </c>
      <c r="AC452" s="64">
        <f>COUNTIFS($A$4:$A452,$A452,$J$4:$J452,$J452,$E$4:$E452,$E452)</f>
        <v/>
      </c>
      <c r="AD452" s="65">
        <f>$A452&amp;"|"&amp;$J452&amp;"|"&amp;$E452&amp;"|"&amp;$AC452</f>
        <v/>
      </c>
      <c r="AE452" s="66">
        <f>IF($W452&lt;&gt;"","⚑ "&amp;$W452&amp;CHAR(10),"")&amp;TEXT($F452,"hh:mm")&amp;"-"&amp;TEXT($G452,"hh:mm")&amp;IF(OR($P452="Quinzaine A",AND($P452="Hebdo · groupes alternés",$C452="A"))," Q-A",IF(OR($P452="Quinzaine B",AND($P452="Hebdo · groupes alternés",$C452="B"))," Q-B",IF($P452="Exception"," PONCT.","")))&amp;IF($X452="Oui"," OPT","")&amp;CHAR(10)&amp;$K452&amp;CHAR(10)&amp;$M452&amp;IF($N452&lt;&gt;"",CHAR(10)&amp;"Salle "&amp;$N452,"")&amp;IF($O452="En ligne",CHAR(10)&amp;"EN LIGNE","")&amp;IF($V452&lt;&gt;"",CHAR(10)&amp;$V452,"")</f>
        <v/>
      </c>
      <c r="AF452" s="65" t="inlineStr"/>
      <c r="AG452" s="65" t="inlineStr">
        <is>
          <t>— généré —</t>
        </is>
      </c>
    </row>
    <row r="453" ht="15" customHeight="1">
      <c r="A453" s="58" t="inlineStr">
        <is>
          <t>S4</t>
        </is>
      </c>
      <c r="B453" s="59" t="inlineStr">
        <is>
          <t>du 5 au 11 octobre 2026</t>
        </is>
      </c>
      <c r="C453" s="58" t="inlineStr">
        <is>
          <t>B</t>
        </is>
      </c>
      <c r="D453" s="60" t="n">
        <v>46305</v>
      </c>
      <c r="E453" s="58" t="inlineStr">
        <is>
          <t>Samedi</t>
        </is>
      </c>
      <c r="F453" s="61" t="n">
        <v>0.7916666666666666</v>
      </c>
      <c r="G453" s="61" t="n">
        <v>0.875</v>
      </c>
      <c r="H453" s="62">
        <f>IF(OR($F453="",$G453=""),"",($G453-$F453)*24)</f>
        <v/>
      </c>
      <c r="I453" s="58" t="inlineStr">
        <is>
          <t>Primaire</t>
        </is>
      </c>
      <c r="J453" s="59" t="inlineStr">
        <is>
          <t>6éme Pilote (A)</t>
        </is>
      </c>
      <c r="K453" s="63" t="inlineStr">
        <is>
          <t>عربية</t>
        </is>
      </c>
      <c r="L453" s="63" t="inlineStr">
        <is>
          <t>Arabe</t>
        </is>
      </c>
      <c r="M453" s="59" t="inlineStr">
        <is>
          <t>Lobna</t>
        </is>
      </c>
      <c r="N453" s="58" t="n"/>
      <c r="O453" s="58" t="n"/>
      <c r="P453" s="58" t="inlineStr">
        <is>
          <t>Hebdomadaire</t>
        </is>
      </c>
      <c r="Q453" s="59" t="inlineStr"/>
      <c r="R453" s="58" t="n">
        <v>1</v>
      </c>
      <c r="S453" s="58" t="inlineStr">
        <is>
          <t>Oui</t>
        </is>
      </c>
      <c r="T453" s="58" t="inlineStr">
        <is>
          <t>S4-057</t>
        </is>
      </c>
      <c r="U453" s="59" t="inlineStr">
        <is>
          <t>Généré (octobre)</t>
        </is>
      </c>
      <c r="V453" s="59" t="inlineStr"/>
      <c r="W453" s="10" t="n"/>
      <c r="X453" s="10" t="inlineStr"/>
      <c r="Y453" s="64">
        <f>IF($M453="","",IF(SUMPRODUCT(($D$4:$D$863=$D453)*($M$4:$M$863=$M453)*($T$4:$T$863&lt;&gt;$T453)*($F$4:$F$863&lt;$G453)*($G$4:$G$863&gt;$F453))&gt;0,"⚠ CONFLIT",""))</f>
        <v/>
      </c>
      <c r="Z453" s="64">
        <f>IF($J453="","",IF(SUMPRODUCT(($D$4:$D$863=$D453)*($J$4:$J$863=$J453)*($T$4:$T$863&lt;&gt;$T453)*($F$4:$F$863&lt;$G453)*($G$4:$G$863&gt;$F453)*(1-($X$4:$X$863="Oui")*($X453="Oui")))&gt;0,"⚠ CONFLIT",""))</f>
        <v/>
      </c>
      <c r="AA453" s="64">
        <f>IF(COUNTIFS($D$4:$D$863,$D453,$J$4:$J$863,$J453,$F$4:$F$863,$F453,$K$4:$K$863,$K453)&gt;1,"⚠ DOUBLON","")</f>
        <v/>
      </c>
      <c r="AB453" s="64">
        <f>IF(COUNTIF($T$4:$T$863,$T453)&lt;&gt;COUNTIFS($T$4:$T$863,$T453,$D$4:$D$863,$D453,$F$4:$F$863,$F453,$G$4:$G$863,$G453,$K$4:$K$863,$K453,$M$4:$M$863,$M453),"⚠ INCOHÉRENT","")</f>
        <v/>
      </c>
      <c r="AC453" s="64">
        <f>COUNTIFS($A$4:$A453,$A453,$J$4:$J453,$J453,$E$4:$E453,$E453)</f>
        <v/>
      </c>
      <c r="AD453" s="65">
        <f>$A453&amp;"|"&amp;$J453&amp;"|"&amp;$E453&amp;"|"&amp;$AC453</f>
        <v/>
      </c>
      <c r="AE453" s="66">
        <f>IF($W453&lt;&gt;"","⚑ "&amp;$W453&amp;CHAR(10),"")&amp;TEXT($F453,"hh:mm")&amp;"-"&amp;TEXT($G453,"hh:mm")&amp;IF(OR($P453="Quinzaine A",AND($P453="Hebdo · groupes alternés",$C453="A"))," Q-A",IF(OR($P453="Quinzaine B",AND($P453="Hebdo · groupes alternés",$C453="B"))," Q-B",IF($P453="Exception"," PONCT.","")))&amp;IF($X453="Oui"," OPT","")&amp;CHAR(10)&amp;$K453&amp;CHAR(10)&amp;$M453&amp;IF($N453&lt;&gt;"",CHAR(10)&amp;"Salle "&amp;$N453,"")&amp;IF($O453="En ligne",CHAR(10)&amp;"EN LIGNE","")&amp;IF($V453&lt;&gt;"",CHAR(10)&amp;$V453,"")</f>
        <v/>
      </c>
      <c r="AF453" s="65" t="inlineStr"/>
      <c r="AG453" s="65" t="inlineStr">
        <is>
          <t>— généré —</t>
        </is>
      </c>
    </row>
    <row r="454" ht="15" customHeight="1">
      <c r="A454" s="58" t="inlineStr">
        <is>
          <t>S4</t>
        </is>
      </c>
      <c r="B454" s="59" t="inlineStr">
        <is>
          <t>du 5 au 11 octobre 2026</t>
        </is>
      </c>
      <c r="C454" s="58" t="inlineStr">
        <is>
          <t>B</t>
        </is>
      </c>
      <c r="D454" s="60" t="n">
        <v>46305</v>
      </c>
      <c r="E454" s="58" t="inlineStr">
        <is>
          <t>Samedi</t>
        </is>
      </c>
      <c r="F454" s="61" t="n">
        <v>0.7083333333333334</v>
      </c>
      <c r="G454" s="61" t="n">
        <v>0.7916666666666666</v>
      </c>
      <c r="H454" s="62">
        <f>IF(OR($F454="",$G454=""),"",($G454-$F454)*24)</f>
        <v/>
      </c>
      <c r="I454" s="58" t="inlineStr">
        <is>
          <t>Primaire</t>
        </is>
      </c>
      <c r="J454" s="59" t="inlineStr">
        <is>
          <t>6éme (B)</t>
        </is>
      </c>
      <c r="K454" s="63" t="inlineStr">
        <is>
          <t>عربية</t>
        </is>
      </c>
      <c r="L454" s="63" t="inlineStr">
        <is>
          <t>Arabe</t>
        </is>
      </c>
      <c r="M454" s="59" t="inlineStr">
        <is>
          <t>Lobna</t>
        </is>
      </c>
      <c r="N454" s="58" t="n"/>
      <c r="O454" s="58" t="n"/>
      <c r="P454" s="58" t="inlineStr">
        <is>
          <t>Hebdomadaire</t>
        </is>
      </c>
      <c r="Q454" s="59" t="inlineStr"/>
      <c r="R454" s="58" t="n">
        <v>1</v>
      </c>
      <c r="S454" s="58" t="inlineStr">
        <is>
          <t>Oui</t>
        </is>
      </c>
      <c r="T454" s="58" t="inlineStr">
        <is>
          <t>S4-058</t>
        </is>
      </c>
      <c r="U454" s="59" t="inlineStr">
        <is>
          <t>Généré (octobre)</t>
        </is>
      </c>
      <c r="V454" s="59" t="inlineStr"/>
      <c r="W454" s="10" t="n"/>
      <c r="X454" s="10" t="inlineStr"/>
      <c r="Y454" s="64">
        <f>IF($M454="","",IF(SUMPRODUCT(($D$4:$D$863=$D454)*($M$4:$M$863=$M454)*($T$4:$T$863&lt;&gt;$T454)*($F$4:$F$863&lt;$G454)*($G$4:$G$863&gt;$F454))&gt;0,"⚠ CONFLIT",""))</f>
        <v/>
      </c>
      <c r="Z454" s="64">
        <f>IF($J454="","",IF(SUMPRODUCT(($D$4:$D$863=$D454)*($J$4:$J$863=$J454)*($T$4:$T$863&lt;&gt;$T454)*($F$4:$F$863&lt;$G454)*($G$4:$G$863&gt;$F454)*(1-($X$4:$X$863="Oui")*($X454="Oui")))&gt;0,"⚠ CONFLIT",""))</f>
        <v/>
      </c>
      <c r="AA454" s="64">
        <f>IF(COUNTIFS($D$4:$D$863,$D454,$J$4:$J$863,$J454,$F$4:$F$863,$F454,$K$4:$K$863,$K454)&gt;1,"⚠ DOUBLON","")</f>
        <v/>
      </c>
      <c r="AB454" s="64">
        <f>IF(COUNTIF($T$4:$T$863,$T454)&lt;&gt;COUNTIFS($T$4:$T$863,$T454,$D$4:$D$863,$D454,$F$4:$F$863,$F454,$G$4:$G$863,$G454,$K$4:$K$863,$K454,$M$4:$M$863,$M454),"⚠ INCOHÉRENT","")</f>
        <v/>
      </c>
      <c r="AC454" s="64">
        <f>COUNTIFS($A$4:$A454,$A454,$J$4:$J454,$J454,$E$4:$E454,$E454)</f>
        <v/>
      </c>
      <c r="AD454" s="65">
        <f>$A454&amp;"|"&amp;$J454&amp;"|"&amp;$E454&amp;"|"&amp;$AC454</f>
        <v/>
      </c>
      <c r="AE454" s="66">
        <f>IF($W454&lt;&gt;"","⚑ "&amp;$W454&amp;CHAR(10),"")&amp;TEXT($F454,"hh:mm")&amp;"-"&amp;TEXT($G454,"hh:mm")&amp;IF(OR($P454="Quinzaine A",AND($P454="Hebdo · groupes alternés",$C454="A"))," Q-A",IF(OR($P454="Quinzaine B",AND($P454="Hebdo · groupes alternés",$C454="B"))," Q-B",IF($P454="Exception"," PONCT.","")))&amp;IF($X454="Oui"," OPT","")&amp;CHAR(10)&amp;$K454&amp;CHAR(10)&amp;$M454&amp;IF($N454&lt;&gt;"",CHAR(10)&amp;"Salle "&amp;$N454,"")&amp;IF($O454="En ligne",CHAR(10)&amp;"EN LIGNE","")&amp;IF($V454&lt;&gt;"",CHAR(10)&amp;$V454,"")</f>
        <v/>
      </c>
      <c r="AF454" s="65" t="inlineStr"/>
      <c r="AG454" s="65" t="inlineStr">
        <is>
          <t>— généré —</t>
        </is>
      </c>
    </row>
    <row r="455" ht="15" customHeight="1">
      <c r="A455" s="68" t="inlineStr">
        <is>
          <t>S4</t>
        </is>
      </c>
      <c r="B455" s="69" t="inlineStr">
        <is>
          <t>du 5 au 11 octobre 2026</t>
        </is>
      </c>
      <c r="C455" s="68" t="inlineStr">
        <is>
          <t>B</t>
        </is>
      </c>
      <c r="D455" s="70" t="n">
        <v>46305</v>
      </c>
      <c r="E455" s="68" t="inlineStr">
        <is>
          <t>Samedi</t>
        </is>
      </c>
      <c r="F455" s="71" t="n">
        <v>0.75</v>
      </c>
      <c r="G455" s="71" t="n">
        <v>0.8125</v>
      </c>
      <c r="H455" s="72">
        <f>IF(OR($F455="",$G455=""),"",($G455-$F455)*24)</f>
        <v/>
      </c>
      <c r="I455" s="68" t="inlineStr">
        <is>
          <t>Collège</t>
        </is>
      </c>
      <c r="J455" s="69" t="inlineStr">
        <is>
          <t>7éme (A)</t>
        </is>
      </c>
      <c r="K455" s="63" t="inlineStr">
        <is>
          <t>Arabe</t>
        </is>
      </c>
      <c r="L455" s="63" t="inlineStr">
        <is>
          <t>Arabe</t>
        </is>
      </c>
      <c r="M455" s="69" t="inlineStr">
        <is>
          <t>Awatef</t>
        </is>
      </c>
      <c r="N455" s="68" t="n"/>
      <c r="O455" s="68" t="n"/>
      <c r="P455" s="68" t="inlineStr">
        <is>
          <t>Hebdomadaire</t>
        </is>
      </c>
      <c r="Q455" s="69" t="inlineStr"/>
      <c r="R455" s="68" t="n">
        <v>1</v>
      </c>
      <c r="S455" s="68" t="inlineStr">
        <is>
          <t>Oui</t>
        </is>
      </c>
      <c r="T455" s="68" t="inlineStr">
        <is>
          <t>S4-060</t>
        </is>
      </c>
      <c r="U455" s="69" t="inlineStr">
        <is>
          <t>Généré (octobre)</t>
        </is>
      </c>
      <c r="V455" s="69" t="inlineStr"/>
      <c r="W455" s="10" t="n"/>
      <c r="X455" s="10" t="inlineStr"/>
      <c r="Y455" s="64">
        <f>IF($M455="","",IF(SUMPRODUCT(($D$4:$D$863=$D455)*($M$4:$M$863=$M455)*($T$4:$T$863&lt;&gt;$T455)*($F$4:$F$863&lt;$G455)*($G$4:$G$863&gt;$F455))&gt;0,"⚠ CONFLIT",""))</f>
        <v/>
      </c>
      <c r="Z455" s="64">
        <f>IF($J455="","",IF(SUMPRODUCT(($D$4:$D$863=$D455)*($J$4:$J$863=$J455)*($T$4:$T$863&lt;&gt;$T455)*($F$4:$F$863&lt;$G455)*($G$4:$G$863&gt;$F455)*(1-($X$4:$X$863="Oui")*($X455="Oui")))&gt;0,"⚠ CONFLIT",""))</f>
        <v/>
      </c>
      <c r="AA455" s="64">
        <f>IF(COUNTIFS($D$4:$D$863,$D455,$J$4:$J$863,$J455,$F$4:$F$863,$F455,$K$4:$K$863,$K455)&gt;1,"⚠ DOUBLON","")</f>
        <v/>
      </c>
      <c r="AB455" s="64">
        <f>IF(COUNTIF($T$4:$T$863,$T455)&lt;&gt;COUNTIFS($T$4:$T$863,$T455,$D$4:$D$863,$D455,$F$4:$F$863,$F455,$G$4:$G$863,$G455,$K$4:$K$863,$K455,$M$4:$M$863,$M455),"⚠ INCOHÉRENT","")</f>
        <v/>
      </c>
      <c r="AC455" s="64">
        <f>COUNTIFS($A$4:$A455,$A455,$J$4:$J455,$J455,$E$4:$E455,$E455)</f>
        <v/>
      </c>
      <c r="AD455" s="65">
        <f>$A455&amp;"|"&amp;$J455&amp;"|"&amp;$E455&amp;"|"&amp;$AC455</f>
        <v/>
      </c>
      <c r="AE455" s="66">
        <f>IF($W455&lt;&gt;"","⚑ "&amp;$W455&amp;CHAR(10),"")&amp;TEXT($F455,"hh:mm")&amp;"-"&amp;TEXT($G455,"hh:mm")&amp;IF(OR($P455="Quinzaine A",AND($P455="Hebdo · groupes alternés",$C455="A"))," Q-A",IF(OR($P455="Quinzaine B",AND($P455="Hebdo · groupes alternés",$C455="B"))," Q-B",IF($P455="Exception"," PONCT.","")))&amp;IF($X455="Oui"," OPT","")&amp;CHAR(10)&amp;$K455&amp;CHAR(10)&amp;$M455&amp;IF($N455&lt;&gt;"",CHAR(10)&amp;"Salle "&amp;$N455,"")&amp;IF($O455="En ligne",CHAR(10)&amp;"EN LIGNE","")&amp;IF($V455&lt;&gt;"",CHAR(10)&amp;$V455,"")</f>
        <v/>
      </c>
      <c r="AF455" s="65" t="inlineStr"/>
      <c r="AG455" s="65" t="inlineStr">
        <is>
          <t>— généré —</t>
        </is>
      </c>
    </row>
    <row r="456" ht="15" customHeight="1">
      <c r="A456" s="68" t="inlineStr">
        <is>
          <t>S4</t>
        </is>
      </c>
      <c r="B456" s="69" t="inlineStr">
        <is>
          <t>du 5 au 11 octobre 2026</t>
        </is>
      </c>
      <c r="C456" s="68" t="inlineStr">
        <is>
          <t>B</t>
        </is>
      </c>
      <c r="D456" s="70" t="n">
        <v>46305</v>
      </c>
      <c r="E456" s="68" t="inlineStr">
        <is>
          <t>Samedi</t>
        </is>
      </c>
      <c r="F456" s="71" t="n">
        <v>0.6666666666666666</v>
      </c>
      <c r="G456" s="71" t="n">
        <v>0.7291666666666666</v>
      </c>
      <c r="H456" s="72">
        <f>IF(OR($F456="",$G456=""),"",($G456-$F456)*24)</f>
        <v/>
      </c>
      <c r="I456" s="68" t="inlineStr">
        <is>
          <t>Collège</t>
        </is>
      </c>
      <c r="J456" s="69" t="inlineStr">
        <is>
          <t>7éme (B)</t>
        </is>
      </c>
      <c r="K456" s="88" t="inlineStr">
        <is>
          <t>SVT</t>
        </is>
      </c>
      <c r="L456" s="88" t="inlineStr">
        <is>
          <t>SVT</t>
        </is>
      </c>
      <c r="M456" s="69" t="inlineStr">
        <is>
          <t>Sabrine</t>
        </is>
      </c>
      <c r="N456" s="68" t="n"/>
      <c r="O456" s="68" t="n"/>
      <c r="P456" s="68" t="inlineStr">
        <is>
          <t>Hebdo · groupes alternés</t>
        </is>
      </c>
      <c r="Q456" s="69" t="inlineStr"/>
      <c r="R456" s="68" t="n">
        <v>1</v>
      </c>
      <c r="S456" s="68" t="inlineStr">
        <is>
          <t>Oui</t>
        </is>
      </c>
      <c r="T456" s="68" t="inlineStr">
        <is>
          <t>S4-059</t>
        </is>
      </c>
      <c r="U456" s="69" t="inlineStr">
        <is>
          <t>Généré (octobre)</t>
        </is>
      </c>
      <c r="V456" s="69" t="inlineStr"/>
      <c r="W456" s="10" t="n"/>
      <c r="X456" s="10" t="inlineStr"/>
      <c r="Y456" s="64">
        <f>IF($M456="","",IF(SUMPRODUCT(($D$4:$D$863=$D456)*($M$4:$M$863=$M456)*($T$4:$T$863&lt;&gt;$T456)*($F$4:$F$863&lt;$G456)*($G$4:$G$863&gt;$F456))&gt;0,"⚠ CONFLIT",""))</f>
        <v/>
      </c>
      <c r="Z456" s="64">
        <f>IF($J456="","",IF(SUMPRODUCT(($D$4:$D$863=$D456)*($J$4:$J$863=$J456)*($T$4:$T$863&lt;&gt;$T456)*($F$4:$F$863&lt;$G456)*($G$4:$G$863&gt;$F456)*(1-($X$4:$X$863="Oui")*($X456="Oui")))&gt;0,"⚠ CONFLIT",""))</f>
        <v/>
      </c>
      <c r="AA456" s="64">
        <f>IF(COUNTIFS($D$4:$D$863,$D456,$J$4:$J$863,$J456,$F$4:$F$863,$F456,$K$4:$K$863,$K456)&gt;1,"⚠ DOUBLON","")</f>
        <v/>
      </c>
      <c r="AB456" s="64">
        <f>IF(COUNTIF($T$4:$T$863,$T456)&lt;&gt;COUNTIFS($T$4:$T$863,$T456,$D$4:$D$863,$D456,$F$4:$F$863,$F456,$G$4:$G$863,$G456,$K$4:$K$863,$K456,$M$4:$M$863,$M456),"⚠ INCOHÉRENT","")</f>
        <v/>
      </c>
      <c r="AC456" s="64">
        <f>COUNTIFS($A$4:$A456,$A456,$J$4:$J456,$J456,$E$4:$E456,$E456)</f>
        <v/>
      </c>
      <c r="AD456" s="65">
        <f>$A456&amp;"|"&amp;$J456&amp;"|"&amp;$E456&amp;"|"&amp;$AC456</f>
        <v/>
      </c>
      <c r="AE456" s="66">
        <f>IF($W456&lt;&gt;"","⚑ "&amp;$W456&amp;CHAR(10),"")&amp;TEXT($F456,"hh:mm")&amp;"-"&amp;TEXT($G456,"hh:mm")&amp;IF(OR($P456="Quinzaine A",AND($P456="Hebdo · groupes alternés",$C456="A"))," Q-A",IF(OR($P456="Quinzaine B",AND($P456="Hebdo · groupes alternés",$C456="B"))," Q-B",IF($P456="Exception"," PONCT.","")))&amp;IF($X456="Oui"," OPT","")&amp;CHAR(10)&amp;$K456&amp;CHAR(10)&amp;$M456&amp;IF($N456&lt;&gt;"",CHAR(10)&amp;"Salle "&amp;$N456,"")&amp;IF($O456="En ligne",CHAR(10)&amp;"EN LIGNE","")&amp;IF($V456&lt;&gt;"",CHAR(10)&amp;$V456,"")</f>
        <v/>
      </c>
      <c r="AF456" s="65" t="inlineStr"/>
      <c r="AG456" s="65" t="inlineStr">
        <is>
          <t>— généré —</t>
        </is>
      </c>
    </row>
    <row r="457" ht="15" customHeight="1">
      <c r="A457" s="68" t="inlineStr">
        <is>
          <t>S4</t>
        </is>
      </c>
      <c r="B457" s="69" t="inlineStr">
        <is>
          <t>du 5 au 11 octobre 2026</t>
        </is>
      </c>
      <c r="C457" s="68" t="inlineStr">
        <is>
          <t>B</t>
        </is>
      </c>
      <c r="D457" s="70" t="n">
        <v>46305</v>
      </c>
      <c r="E457" s="68" t="inlineStr">
        <is>
          <t>Samedi</t>
        </is>
      </c>
      <c r="F457" s="71" t="n">
        <v>0.7291666666666666</v>
      </c>
      <c r="G457" s="71" t="n">
        <v>0.7916666666666666</v>
      </c>
      <c r="H457" s="72">
        <f>IF(OR($F457="",$G457=""),"",($G457-$F457)*24)</f>
        <v/>
      </c>
      <c r="I457" s="68" t="inlineStr">
        <is>
          <t>Collège</t>
        </is>
      </c>
      <c r="J457" s="69" t="inlineStr">
        <is>
          <t>8éme (A)</t>
        </is>
      </c>
      <c r="K457" s="87" t="inlineStr">
        <is>
          <t>Anglais</t>
        </is>
      </c>
      <c r="L457" s="87" t="inlineStr">
        <is>
          <t>Anglais</t>
        </is>
      </c>
      <c r="M457" s="69" t="inlineStr">
        <is>
          <t>Imen Ben Lazrak</t>
        </is>
      </c>
      <c r="N457" s="68" t="n"/>
      <c r="O457" s="68" t="n"/>
      <c r="P457" s="68" t="inlineStr">
        <is>
          <t>Hebdo · groupes alternés</t>
        </is>
      </c>
      <c r="Q457" s="69" t="inlineStr"/>
      <c r="R457" s="68" t="n">
        <v>1</v>
      </c>
      <c r="S457" s="68" t="inlineStr">
        <is>
          <t>Oui</t>
        </is>
      </c>
      <c r="T457" s="68" t="inlineStr">
        <is>
          <t>S4-062</t>
        </is>
      </c>
      <c r="U457" s="69" t="inlineStr">
        <is>
          <t>Généré (octobre)</t>
        </is>
      </c>
      <c r="V457" s="69" t="inlineStr"/>
      <c r="W457" s="10" t="n"/>
      <c r="X457" s="10" t="inlineStr"/>
      <c r="Y457" s="64">
        <f>IF($M457="","",IF(SUMPRODUCT(($D$4:$D$863=$D457)*($M$4:$M$863=$M457)*($T$4:$T$863&lt;&gt;$T457)*($F$4:$F$863&lt;$G457)*($G$4:$G$863&gt;$F457))&gt;0,"⚠ CONFLIT",""))</f>
        <v/>
      </c>
      <c r="Z457" s="64">
        <f>IF($J457="","",IF(SUMPRODUCT(($D$4:$D$863=$D457)*($J$4:$J$863=$J457)*($T$4:$T$863&lt;&gt;$T457)*($F$4:$F$863&lt;$G457)*($G$4:$G$863&gt;$F457)*(1-($X$4:$X$863="Oui")*($X457="Oui")))&gt;0,"⚠ CONFLIT",""))</f>
        <v/>
      </c>
      <c r="AA457" s="64">
        <f>IF(COUNTIFS($D$4:$D$863,$D457,$J$4:$J$863,$J457,$F$4:$F$863,$F457,$K$4:$K$863,$K457)&gt;1,"⚠ DOUBLON","")</f>
        <v/>
      </c>
      <c r="AB457" s="64">
        <f>IF(COUNTIF($T$4:$T$863,$T457)&lt;&gt;COUNTIFS($T$4:$T$863,$T457,$D$4:$D$863,$D457,$F$4:$F$863,$F457,$G$4:$G$863,$G457,$K$4:$K$863,$K457,$M$4:$M$863,$M457),"⚠ INCOHÉRENT","")</f>
        <v/>
      </c>
      <c r="AC457" s="64">
        <f>COUNTIFS($A$4:$A457,$A457,$J$4:$J457,$J457,$E$4:$E457,$E457)</f>
        <v/>
      </c>
      <c r="AD457" s="65">
        <f>$A457&amp;"|"&amp;$J457&amp;"|"&amp;$E457&amp;"|"&amp;$AC457</f>
        <v/>
      </c>
      <c r="AE457" s="66">
        <f>IF($W457&lt;&gt;"","⚑ "&amp;$W457&amp;CHAR(10),"")&amp;TEXT($F457,"hh:mm")&amp;"-"&amp;TEXT($G457,"hh:mm")&amp;IF(OR($P457="Quinzaine A",AND($P457="Hebdo · groupes alternés",$C457="A"))," Q-A",IF(OR($P457="Quinzaine B",AND($P457="Hebdo · groupes alternés",$C457="B"))," Q-B",IF($P457="Exception"," PONCT.","")))&amp;IF($X457="Oui"," OPT","")&amp;CHAR(10)&amp;$K457&amp;CHAR(10)&amp;$M457&amp;IF($N457&lt;&gt;"",CHAR(10)&amp;"Salle "&amp;$N457,"")&amp;IF($O457="En ligne",CHAR(10)&amp;"EN LIGNE","")&amp;IF($V457&lt;&gt;"",CHAR(10)&amp;$V457,"")</f>
        <v/>
      </c>
      <c r="AF457" s="65" t="inlineStr"/>
      <c r="AG457" s="65" t="inlineStr">
        <is>
          <t>— généré —</t>
        </is>
      </c>
    </row>
    <row r="458" ht="15" customHeight="1">
      <c r="A458" s="68" t="inlineStr">
        <is>
          <t>S4</t>
        </is>
      </c>
      <c r="B458" s="69" t="inlineStr">
        <is>
          <t>du 5 au 11 octobre 2026</t>
        </is>
      </c>
      <c r="C458" s="68" t="inlineStr">
        <is>
          <t>B</t>
        </is>
      </c>
      <c r="D458" s="70" t="n">
        <v>46305</v>
      </c>
      <c r="E458" s="68" t="inlineStr">
        <is>
          <t>Samedi</t>
        </is>
      </c>
      <c r="F458" s="71" t="n">
        <v>0.7291666666666666</v>
      </c>
      <c r="G458" s="71" t="n">
        <v>0.7916666666666666</v>
      </c>
      <c r="H458" s="72">
        <f>IF(OR($F458="",$G458=""),"",($G458-$F458)*24)</f>
        <v/>
      </c>
      <c r="I458" s="68" t="inlineStr">
        <is>
          <t>Collège</t>
        </is>
      </c>
      <c r="J458" s="69" t="inlineStr">
        <is>
          <t>8éme (B)</t>
        </is>
      </c>
      <c r="K458" s="88" t="inlineStr">
        <is>
          <t>SVT</t>
        </is>
      </c>
      <c r="L458" s="88" t="inlineStr">
        <is>
          <t>SVT</t>
        </is>
      </c>
      <c r="M458" s="69" t="inlineStr">
        <is>
          <t>Sabrine</t>
        </is>
      </c>
      <c r="N458" s="68" t="n"/>
      <c r="O458" s="68" t="n"/>
      <c r="P458" s="68" t="inlineStr">
        <is>
          <t>Hebdo · groupes alternés</t>
        </is>
      </c>
      <c r="Q458" s="69" t="inlineStr">
        <is>
          <t>8éme (B) + 8éme (C)</t>
        </is>
      </c>
      <c r="R458" s="68" t="n">
        <v>2</v>
      </c>
      <c r="S458" s="68" t="inlineStr">
        <is>
          <t>Oui</t>
        </is>
      </c>
      <c r="T458" s="68" t="inlineStr">
        <is>
          <t>S4-061</t>
        </is>
      </c>
      <c r="U458" s="69" t="inlineStr">
        <is>
          <t>Généré (octobre)</t>
        </is>
      </c>
      <c r="V458" s="69" t="inlineStr"/>
      <c r="W458" s="10" t="n"/>
      <c r="X458" s="10" t="inlineStr"/>
      <c r="Y458" s="64">
        <f>IF($M458="","",IF(SUMPRODUCT(($D$4:$D$863=$D458)*($M$4:$M$863=$M458)*($T$4:$T$863&lt;&gt;$T458)*($F$4:$F$863&lt;$G458)*($G$4:$G$863&gt;$F458))&gt;0,"⚠ CONFLIT",""))</f>
        <v/>
      </c>
      <c r="Z458" s="64">
        <f>IF($J458="","",IF(SUMPRODUCT(($D$4:$D$863=$D458)*($J$4:$J$863=$J458)*($T$4:$T$863&lt;&gt;$T458)*($F$4:$F$863&lt;$G458)*($G$4:$G$863&gt;$F458)*(1-($X$4:$X$863="Oui")*($X458="Oui")))&gt;0,"⚠ CONFLIT",""))</f>
        <v/>
      </c>
      <c r="AA458" s="64">
        <f>IF(COUNTIFS($D$4:$D$863,$D458,$J$4:$J$863,$J458,$F$4:$F$863,$F458,$K$4:$K$863,$K458)&gt;1,"⚠ DOUBLON","")</f>
        <v/>
      </c>
      <c r="AB458" s="64">
        <f>IF(COUNTIF($T$4:$T$863,$T458)&lt;&gt;COUNTIFS($T$4:$T$863,$T458,$D$4:$D$863,$D458,$F$4:$F$863,$F458,$G$4:$G$863,$G458,$K$4:$K$863,$K458,$M$4:$M$863,$M458),"⚠ INCOHÉRENT","")</f>
        <v/>
      </c>
      <c r="AC458" s="64">
        <f>COUNTIFS($A$4:$A458,$A458,$J$4:$J458,$J458,$E$4:$E458,$E458)</f>
        <v/>
      </c>
      <c r="AD458" s="65">
        <f>$A458&amp;"|"&amp;$J458&amp;"|"&amp;$E458&amp;"|"&amp;$AC458</f>
        <v/>
      </c>
      <c r="AE458" s="66">
        <f>IF($W458&lt;&gt;"","⚑ "&amp;$W458&amp;CHAR(10),"")&amp;TEXT($F458,"hh:mm")&amp;"-"&amp;TEXT($G458,"hh:mm")&amp;IF(OR($P458="Quinzaine A",AND($P458="Hebdo · groupes alternés",$C458="A"))," Q-A",IF(OR($P458="Quinzaine B",AND($P458="Hebdo · groupes alternés",$C458="B"))," Q-B",IF($P458="Exception"," PONCT.","")))&amp;IF($X458="Oui"," OPT","")&amp;CHAR(10)&amp;$K458&amp;CHAR(10)&amp;$M458&amp;IF($N458&lt;&gt;"",CHAR(10)&amp;"Salle "&amp;$N458,"")&amp;IF($O458="En ligne",CHAR(10)&amp;"EN LIGNE","")&amp;IF($V458&lt;&gt;"",CHAR(10)&amp;$V458,"")</f>
        <v/>
      </c>
      <c r="AF458" s="65" t="inlineStr"/>
      <c r="AG458" s="65" t="inlineStr">
        <is>
          <t>— généré —</t>
        </is>
      </c>
    </row>
    <row r="459" ht="15" customHeight="1">
      <c r="A459" s="68" t="inlineStr">
        <is>
          <t>S4</t>
        </is>
      </c>
      <c r="B459" s="69" t="inlineStr">
        <is>
          <t>du 5 au 11 octobre 2026</t>
        </is>
      </c>
      <c r="C459" s="68" t="inlineStr">
        <is>
          <t>B</t>
        </is>
      </c>
      <c r="D459" s="70" t="n">
        <v>46305</v>
      </c>
      <c r="E459" s="68" t="inlineStr">
        <is>
          <t>Samedi</t>
        </is>
      </c>
      <c r="F459" s="71" t="n">
        <v>0.7291666666666666</v>
      </c>
      <c r="G459" s="71" t="n">
        <v>0.7916666666666666</v>
      </c>
      <c r="H459" s="72">
        <f>IF(OR($F459="",$G459=""),"",($G459-$F459)*24)</f>
        <v/>
      </c>
      <c r="I459" s="68" t="inlineStr">
        <is>
          <t>Collège</t>
        </is>
      </c>
      <c r="J459" s="69" t="inlineStr">
        <is>
          <t>8éme (C)</t>
        </is>
      </c>
      <c r="K459" s="88" t="inlineStr">
        <is>
          <t>SVT</t>
        </is>
      </c>
      <c r="L459" s="88" t="inlineStr">
        <is>
          <t>SVT</t>
        </is>
      </c>
      <c r="M459" s="69" t="inlineStr">
        <is>
          <t>Sabrine</t>
        </is>
      </c>
      <c r="N459" s="68" t="n"/>
      <c r="O459" s="68" t="n"/>
      <c r="P459" s="68" t="inlineStr">
        <is>
          <t>Hebdo · groupes alternés</t>
        </is>
      </c>
      <c r="Q459" s="69" t="inlineStr">
        <is>
          <t>8éme (B) + 8éme (C)</t>
        </is>
      </c>
      <c r="R459" s="68" t="n">
        <v>2</v>
      </c>
      <c r="S459" s="68" t="inlineStr"/>
      <c r="T459" s="68" t="inlineStr">
        <is>
          <t>S4-061</t>
        </is>
      </c>
      <c r="U459" s="69" t="inlineStr">
        <is>
          <t>Généré (octobre)</t>
        </is>
      </c>
      <c r="V459" s="69" t="inlineStr"/>
      <c r="W459" s="10" t="n"/>
      <c r="X459" s="10" t="inlineStr"/>
      <c r="Y459" s="64">
        <f>IF($M459="","",IF(SUMPRODUCT(($D$4:$D$863=$D459)*($M$4:$M$863=$M459)*($T$4:$T$863&lt;&gt;$T459)*($F$4:$F$863&lt;$G459)*($G$4:$G$863&gt;$F459))&gt;0,"⚠ CONFLIT",""))</f>
        <v/>
      </c>
      <c r="Z459" s="64">
        <f>IF($J459="","",IF(SUMPRODUCT(($D$4:$D$863=$D459)*($J$4:$J$863=$J459)*($T$4:$T$863&lt;&gt;$T459)*($F$4:$F$863&lt;$G459)*($G$4:$G$863&gt;$F459)*(1-($X$4:$X$863="Oui")*($X459="Oui")))&gt;0,"⚠ CONFLIT",""))</f>
        <v/>
      </c>
      <c r="AA459" s="64">
        <f>IF(COUNTIFS($D$4:$D$863,$D459,$J$4:$J$863,$J459,$F$4:$F$863,$F459,$K$4:$K$863,$K459)&gt;1,"⚠ DOUBLON","")</f>
        <v/>
      </c>
      <c r="AB459" s="64">
        <f>IF(COUNTIF($T$4:$T$863,$T459)&lt;&gt;COUNTIFS($T$4:$T$863,$T459,$D$4:$D$863,$D459,$F$4:$F$863,$F459,$G$4:$G$863,$G459,$K$4:$K$863,$K459,$M$4:$M$863,$M459),"⚠ INCOHÉRENT","")</f>
        <v/>
      </c>
      <c r="AC459" s="64">
        <f>COUNTIFS($A$4:$A459,$A459,$J$4:$J459,$J459,$E$4:$E459,$E459)</f>
        <v/>
      </c>
      <c r="AD459" s="65">
        <f>$A459&amp;"|"&amp;$J459&amp;"|"&amp;$E459&amp;"|"&amp;$AC459</f>
        <v/>
      </c>
      <c r="AE459" s="66">
        <f>IF($W459&lt;&gt;"","⚑ "&amp;$W459&amp;CHAR(10),"")&amp;TEXT($F459,"hh:mm")&amp;"-"&amp;TEXT($G459,"hh:mm")&amp;IF(OR($P459="Quinzaine A",AND($P459="Hebdo · groupes alternés",$C459="A"))," Q-A",IF(OR($P459="Quinzaine B",AND($P459="Hebdo · groupes alternés",$C459="B"))," Q-B",IF($P459="Exception"," PONCT.","")))&amp;IF($X459="Oui"," OPT","")&amp;CHAR(10)&amp;$K459&amp;CHAR(10)&amp;$M459&amp;IF($N459&lt;&gt;"",CHAR(10)&amp;"Salle "&amp;$N459,"")&amp;IF($O459="En ligne",CHAR(10)&amp;"EN LIGNE","")&amp;IF($V459&lt;&gt;"",CHAR(10)&amp;$V459,"")</f>
        <v/>
      </c>
      <c r="AF459" s="65" t="inlineStr"/>
      <c r="AG459" s="65" t="inlineStr">
        <is>
          <t>— généré —</t>
        </is>
      </c>
    </row>
    <row r="460" ht="15" customHeight="1">
      <c r="A460" s="68" t="inlineStr">
        <is>
          <t>S4</t>
        </is>
      </c>
      <c r="B460" s="69" t="inlineStr">
        <is>
          <t>du 5 au 11 octobre 2026</t>
        </is>
      </c>
      <c r="C460" s="68" t="inlineStr">
        <is>
          <t>B</t>
        </is>
      </c>
      <c r="D460" s="70" t="n">
        <v>46305</v>
      </c>
      <c r="E460" s="68" t="inlineStr">
        <is>
          <t>Samedi</t>
        </is>
      </c>
      <c r="F460" s="71" t="n">
        <v>0.6875</v>
      </c>
      <c r="G460" s="71" t="n">
        <v>0.75</v>
      </c>
      <c r="H460" s="72">
        <f>IF(OR($F460="",$G460=""),"",($G460-$F460)*24)</f>
        <v/>
      </c>
      <c r="I460" s="68" t="inlineStr">
        <is>
          <t>Collège</t>
        </is>
      </c>
      <c r="J460" s="69" t="inlineStr">
        <is>
          <t>9éme (A)</t>
        </is>
      </c>
      <c r="K460" s="63" t="inlineStr">
        <is>
          <t>Arabe</t>
        </is>
      </c>
      <c r="L460" s="63" t="inlineStr">
        <is>
          <t>Arabe</t>
        </is>
      </c>
      <c r="M460" s="69" t="inlineStr">
        <is>
          <t>Awatef</t>
        </is>
      </c>
      <c r="N460" s="68" t="n"/>
      <c r="O460" s="68" t="n"/>
      <c r="P460" s="68" t="inlineStr">
        <is>
          <t>Hebdomadaire</t>
        </is>
      </c>
      <c r="Q460" s="69" t="inlineStr"/>
      <c r="R460" s="68" t="n">
        <v>1</v>
      </c>
      <c r="S460" s="68" t="inlineStr">
        <is>
          <t>Oui</t>
        </is>
      </c>
      <c r="T460" s="68" t="inlineStr">
        <is>
          <t>S4-063</t>
        </is>
      </c>
      <c r="U460" s="69" t="inlineStr">
        <is>
          <t>Généré (octobre)</t>
        </is>
      </c>
      <c r="V460" s="69" t="inlineStr"/>
      <c r="W460" s="10" t="n"/>
      <c r="X460" s="10" t="inlineStr"/>
      <c r="Y460" s="64">
        <f>IF($M460="","",IF(SUMPRODUCT(($D$4:$D$863=$D460)*($M$4:$M$863=$M460)*($T$4:$T$863&lt;&gt;$T460)*($F$4:$F$863&lt;$G460)*($G$4:$G$863&gt;$F460))&gt;0,"⚠ CONFLIT",""))</f>
        <v/>
      </c>
      <c r="Z460" s="64">
        <f>IF($J460="","",IF(SUMPRODUCT(($D$4:$D$863=$D460)*($J$4:$J$863=$J460)*($T$4:$T$863&lt;&gt;$T460)*($F$4:$F$863&lt;$G460)*($G$4:$G$863&gt;$F460)*(1-($X$4:$X$863="Oui")*($X460="Oui")))&gt;0,"⚠ CONFLIT",""))</f>
        <v/>
      </c>
      <c r="AA460" s="64">
        <f>IF(COUNTIFS($D$4:$D$863,$D460,$J$4:$J$863,$J460,$F$4:$F$863,$F460,$K$4:$K$863,$K460)&gt;1,"⚠ DOUBLON","")</f>
        <v/>
      </c>
      <c r="AB460" s="64">
        <f>IF(COUNTIF($T$4:$T$863,$T460)&lt;&gt;COUNTIFS($T$4:$T$863,$T460,$D$4:$D$863,$D460,$F$4:$F$863,$F460,$G$4:$G$863,$G460,$K$4:$K$863,$K460,$M$4:$M$863,$M460),"⚠ INCOHÉRENT","")</f>
        <v/>
      </c>
      <c r="AC460" s="64">
        <f>COUNTIFS($A$4:$A460,$A460,$J$4:$J460,$J460,$E$4:$E460,$E460)</f>
        <v/>
      </c>
      <c r="AD460" s="65">
        <f>$A460&amp;"|"&amp;$J460&amp;"|"&amp;$E460&amp;"|"&amp;$AC460</f>
        <v/>
      </c>
      <c r="AE460" s="66">
        <f>IF($W460&lt;&gt;"","⚑ "&amp;$W460&amp;CHAR(10),"")&amp;TEXT($F460,"hh:mm")&amp;"-"&amp;TEXT($G460,"hh:mm")&amp;IF(OR($P460="Quinzaine A",AND($P460="Hebdo · groupes alternés",$C460="A"))," Q-A",IF(OR($P460="Quinzaine B",AND($P460="Hebdo · groupes alternés",$C460="B"))," Q-B",IF($P460="Exception"," PONCT.","")))&amp;IF($X460="Oui"," OPT","")&amp;CHAR(10)&amp;$K460&amp;CHAR(10)&amp;$M460&amp;IF($N460&lt;&gt;"",CHAR(10)&amp;"Salle "&amp;$N460,"")&amp;IF($O460="En ligne",CHAR(10)&amp;"EN LIGNE","")&amp;IF($V460&lt;&gt;"",CHAR(10)&amp;$V460,"")</f>
        <v/>
      </c>
      <c r="AF460" s="65" t="inlineStr"/>
      <c r="AG460" s="65" t="inlineStr">
        <is>
          <t>— généré —</t>
        </is>
      </c>
    </row>
    <row r="461" ht="15" customHeight="1">
      <c r="A461" s="68" t="inlineStr">
        <is>
          <t>S4</t>
        </is>
      </c>
      <c r="B461" s="69" t="inlineStr">
        <is>
          <t>du 5 au 11 octobre 2026</t>
        </is>
      </c>
      <c r="C461" s="68" t="inlineStr">
        <is>
          <t>B</t>
        </is>
      </c>
      <c r="D461" s="70" t="n">
        <v>46305</v>
      </c>
      <c r="E461" s="68" t="inlineStr">
        <is>
          <t>Samedi</t>
        </is>
      </c>
      <c r="F461" s="71" t="n">
        <v>0.7291666666666666</v>
      </c>
      <c r="G461" s="71" t="n">
        <v>0.7916666666666666</v>
      </c>
      <c r="H461" s="72">
        <f>IF(OR($F461="",$G461=""),"",($G461-$F461)*24)</f>
        <v/>
      </c>
      <c r="I461" s="68" t="inlineStr">
        <is>
          <t>Collège</t>
        </is>
      </c>
      <c r="J461" s="69" t="inlineStr">
        <is>
          <t>9éme (B)</t>
        </is>
      </c>
      <c r="K461" s="79" t="inlineStr">
        <is>
          <t>Math</t>
        </is>
      </c>
      <c r="L461" s="79" t="inlineStr">
        <is>
          <t>Math</t>
        </is>
      </c>
      <c r="M461" s="69" t="inlineStr">
        <is>
          <t>Hajer</t>
        </is>
      </c>
      <c r="N461" s="68" t="n"/>
      <c r="O461" s="68" t="n"/>
      <c r="P461" s="68" t="inlineStr">
        <is>
          <t>Hebdomadaire</t>
        </is>
      </c>
      <c r="Q461" s="69" t="inlineStr"/>
      <c r="R461" s="68" t="n">
        <v>1</v>
      </c>
      <c r="S461" s="68" t="inlineStr">
        <is>
          <t>Oui</t>
        </is>
      </c>
      <c r="T461" s="68" t="inlineStr">
        <is>
          <t>S4-064</t>
        </is>
      </c>
      <c r="U461" s="69" t="inlineStr">
        <is>
          <t>Généré (octobre)</t>
        </is>
      </c>
      <c r="V461" s="69" t="inlineStr"/>
      <c r="W461" s="10" t="n"/>
      <c r="X461" s="10" t="inlineStr"/>
      <c r="Y461" s="64">
        <f>IF($M461="","",IF(SUMPRODUCT(($D$4:$D$863=$D461)*($M$4:$M$863=$M461)*($T$4:$T$863&lt;&gt;$T461)*($F$4:$F$863&lt;$G461)*($G$4:$G$863&gt;$F461))&gt;0,"⚠ CONFLIT",""))</f>
        <v/>
      </c>
      <c r="Z461" s="64">
        <f>IF($J461="","",IF(SUMPRODUCT(($D$4:$D$863=$D461)*($J$4:$J$863=$J461)*($T$4:$T$863&lt;&gt;$T461)*($F$4:$F$863&lt;$G461)*($G$4:$G$863&gt;$F461)*(1-($X$4:$X$863="Oui")*($X461="Oui")))&gt;0,"⚠ CONFLIT",""))</f>
        <v/>
      </c>
      <c r="AA461" s="64">
        <f>IF(COUNTIFS($D$4:$D$863,$D461,$J$4:$J$863,$J461,$F$4:$F$863,$F461,$K$4:$K$863,$K461)&gt;1,"⚠ DOUBLON","")</f>
        <v/>
      </c>
      <c r="AB461" s="64">
        <f>IF(COUNTIF($T$4:$T$863,$T461)&lt;&gt;COUNTIFS($T$4:$T$863,$T461,$D$4:$D$863,$D461,$F$4:$F$863,$F461,$G$4:$G$863,$G461,$K$4:$K$863,$K461,$M$4:$M$863,$M461),"⚠ INCOHÉRENT","")</f>
        <v/>
      </c>
      <c r="AC461" s="64">
        <f>COUNTIFS($A$4:$A461,$A461,$J$4:$J461,$J461,$E$4:$E461,$E461)</f>
        <v/>
      </c>
      <c r="AD461" s="65">
        <f>$A461&amp;"|"&amp;$J461&amp;"|"&amp;$E461&amp;"|"&amp;$AC461</f>
        <v/>
      </c>
      <c r="AE461" s="66">
        <f>IF($W461&lt;&gt;"","⚑ "&amp;$W461&amp;CHAR(10),"")&amp;TEXT($F461,"hh:mm")&amp;"-"&amp;TEXT($G461,"hh:mm")&amp;IF(OR($P461="Quinzaine A",AND($P461="Hebdo · groupes alternés",$C461="A"))," Q-A",IF(OR($P461="Quinzaine B",AND($P461="Hebdo · groupes alternés",$C461="B"))," Q-B",IF($P461="Exception"," PONCT.","")))&amp;IF($X461="Oui"," OPT","")&amp;CHAR(10)&amp;$K461&amp;CHAR(10)&amp;$M461&amp;IF($N461&lt;&gt;"",CHAR(10)&amp;"Salle "&amp;$N461,"")&amp;IF($O461="En ligne",CHAR(10)&amp;"EN LIGNE","")&amp;IF($V461&lt;&gt;"",CHAR(10)&amp;$V461,"")</f>
        <v/>
      </c>
      <c r="AF461" s="65" t="inlineStr"/>
      <c r="AG461" s="65" t="inlineStr">
        <is>
          <t>— généré —</t>
        </is>
      </c>
    </row>
    <row r="462" ht="15" customHeight="1">
      <c r="A462" s="68" t="inlineStr">
        <is>
          <t>S4</t>
        </is>
      </c>
      <c r="B462" s="69" t="inlineStr">
        <is>
          <t>du 5 au 11 octobre 2026</t>
        </is>
      </c>
      <c r="C462" s="68" t="inlineStr">
        <is>
          <t>B</t>
        </is>
      </c>
      <c r="D462" s="70" t="n">
        <v>46305</v>
      </c>
      <c r="E462" s="68" t="inlineStr">
        <is>
          <t>Samedi</t>
        </is>
      </c>
      <c r="F462" s="71" t="n">
        <v>0.7916666666666666</v>
      </c>
      <c r="G462" s="71" t="n">
        <v>0.8541666666666666</v>
      </c>
      <c r="H462" s="72">
        <f>IF(OR($F462="",$G462=""),"",($G462-$F462)*24)</f>
        <v/>
      </c>
      <c r="I462" s="68" t="inlineStr">
        <is>
          <t>Collège</t>
        </is>
      </c>
      <c r="J462" s="69" t="inlineStr">
        <is>
          <t>9éme (C)</t>
        </is>
      </c>
      <c r="K462" s="79" t="inlineStr">
        <is>
          <t>Math</t>
        </is>
      </c>
      <c r="L462" s="79" t="inlineStr">
        <is>
          <t>Math</t>
        </is>
      </c>
      <c r="M462" s="69" t="inlineStr">
        <is>
          <t>Hajer</t>
        </is>
      </c>
      <c r="N462" s="68" t="n"/>
      <c r="O462" s="68" t="n"/>
      <c r="P462" s="68" t="inlineStr">
        <is>
          <t>Hebdomadaire</t>
        </is>
      </c>
      <c r="Q462" s="69" t="inlineStr"/>
      <c r="R462" s="68" t="n">
        <v>1</v>
      </c>
      <c r="S462" s="68" t="inlineStr">
        <is>
          <t>Oui</t>
        </is>
      </c>
      <c r="T462" s="68" t="inlineStr">
        <is>
          <t>S4-065</t>
        </is>
      </c>
      <c r="U462" s="69" t="inlineStr">
        <is>
          <t>Généré (octobre)</t>
        </is>
      </c>
      <c r="V462" s="69" t="inlineStr"/>
      <c r="W462" s="10" t="n"/>
      <c r="X462" s="10" t="inlineStr"/>
      <c r="Y462" s="64">
        <f>IF($M462="","",IF(SUMPRODUCT(($D$4:$D$863=$D462)*($M$4:$M$863=$M462)*($T$4:$T$863&lt;&gt;$T462)*($F$4:$F$863&lt;$G462)*($G$4:$G$863&gt;$F462))&gt;0,"⚠ CONFLIT",""))</f>
        <v/>
      </c>
      <c r="Z462" s="64">
        <f>IF($J462="","",IF(SUMPRODUCT(($D$4:$D$863=$D462)*($J$4:$J$863=$J462)*($T$4:$T$863&lt;&gt;$T462)*($F$4:$F$863&lt;$G462)*($G$4:$G$863&gt;$F462)*(1-($X$4:$X$863="Oui")*($X462="Oui")))&gt;0,"⚠ CONFLIT",""))</f>
        <v/>
      </c>
      <c r="AA462" s="64">
        <f>IF(COUNTIFS($D$4:$D$863,$D462,$J$4:$J$863,$J462,$F$4:$F$863,$F462,$K$4:$K$863,$K462)&gt;1,"⚠ DOUBLON","")</f>
        <v/>
      </c>
      <c r="AB462" s="64">
        <f>IF(COUNTIF($T$4:$T$863,$T462)&lt;&gt;COUNTIFS($T$4:$T$863,$T462,$D$4:$D$863,$D462,$F$4:$F$863,$F462,$G$4:$G$863,$G462,$K$4:$K$863,$K462,$M$4:$M$863,$M462),"⚠ INCOHÉRENT","")</f>
        <v/>
      </c>
      <c r="AC462" s="64">
        <f>COUNTIFS($A$4:$A462,$A462,$J$4:$J462,$J462,$E$4:$E462,$E462)</f>
        <v/>
      </c>
      <c r="AD462" s="65">
        <f>$A462&amp;"|"&amp;$J462&amp;"|"&amp;$E462&amp;"|"&amp;$AC462</f>
        <v/>
      </c>
      <c r="AE462" s="66">
        <f>IF($W462&lt;&gt;"","⚑ "&amp;$W462&amp;CHAR(10),"")&amp;TEXT($F462,"hh:mm")&amp;"-"&amp;TEXT($G462,"hh:mm")&amp;IF(OR($P462="Quinzaine A",AND($P462="Hebdo · groupes alternés",$C462="A"))," Q-A",IF(OR($P462="Quinzaine B",AND($P462="Hebdo · groupes alternés",$C462="B"))," Q-B",IF($P462="Exception"," PONCT.","")))&amp;IF($X462="Oui"," OPT","")&amp;CHAR(10)&amp;$K462&amp;CHAR(10)&amp;$M462&amp;IF($N462&lt;&gt;"",CHAR(10)&amp;"Salle "&amp;$N462,"")&amp;IF($O462="En ligne",CHAR(10)&amp;"EN LIGNE","")&amp;IF($V462&lt;&gt;"",CHAR(10)&amp;$V462,"")</f>
        <v/>
      </c>
      <c r="AF462" s="65" t="inlineStr"/>
      <c r="AG462" s="65" t="inlineStr">
        <is>
          <t>— généré —</t>
        </is>
      </c>
    </row>
    <row r="463" ht="15" customHeight="1">
      <c r="A463" s="74" t="inlineStr">
        <is>
          <t>S4</t>
        </is>
      </c>
      <c r="B463" s="75" t="inlineStr">
        <is>
          <t>du 5 au 11 octobre 2026</t>
        </is>
      </c>
      <c r="C463" s="74" t="inlineStr">
        <is>
          <t>B</t>
        </is>
      </c>
      <c r="D463" s="76" t="n">
        <v>46305</v>
      </c>
      <c r="E463" s="74" t="inlineStr">
        <is>
          <t>Samedi</t>
        </is>
      </c>
      <c r="F463" s="77" t="n">
        <v>0.6458333333333334</v>
      </c>
      <c r="G463" s="77" t="n">
        <v>0.7083333333333334</v>
      </c>
      <c r="H463" s="78">
        <f>IF(OR($F463="",$G463=""),"",($G463-$F463)*24)</f>
        <v/>
      </c>
      <c r="I463" s="74" t="inlineStr">
        <is>
          <t>Secondaire</t>
        </is>
      </c>
      <c r="J463" s="75" t="inlineStr">
        <is>
          <t>2éme Eco</t>
        </is>
      </c>
      <c r="K463" s="97" t="inlineStr">
        <is>
          <t>Géographie</t>
        </is>
      </c>
      <c r="L463" s="97" t="inlineStr">
        <is>
          <t>Géographie</t>
        </is>
      </c>
      <c r="M463" s="75" t="inlineStr">
        <is>
          <t>Abdelwaheb</t>
        </is>
      </c>
      <c r="N463" s="74" t="n"/>
      <c r="O463" s="74" t="n"/>
      <c r="P463" s="74" t="inlineStr">
        <is>
          <t>Quinzaine B</t>
        </is>
      </c>
      <c r="Q463" s="75" t="inlineStr"/>
      <c r="R463" s="74" t="n">
        <v>1</v>
      </c>
      <c r="S463" s="74" t="inlineStr">
        <is>
          <t>Oui</t>
        </is>
      </c>
      <c r="T463" s="74" t="inlineStr">
        <is>
          <t>S4-096</t>
        </is>
      </c>
      <c r="U463" s="75" t="inlineStr">
        <is>
          <t>Généré (octobre)</t>
        </is>
      </c>
      <c r="V463" s="75" t="inlineStr"/>
      <c r="W463" s="10" t="n"/>
      <c r="X463" s="10" t="inlineStr"/>
      <c r="Y463" s="64">
        <f>IF($M463="","",IF(SUMPRODUCT(($D$4:$D$863=$D463)*($M$4:$M$863=$M463)*($T$4:$T$863&lt;&gt;$T463)*($F$4:$F$863&lt;$G463)*($G$4:$G$863&gt;$F463))&gt;0,"⚠ CONFLIT",""))</f>
        <v/>
      </c>
      <c r="Z463" s="64">
        <f>IF($J463="","",IF(SUMPRODUCT(($D$4:$D$863=$D463)*($J$4:$J$863=$J463)*($T$4:$T$863&lt;&gt;$T463)*($F$4:$F$863&lt;$G463)*($G$4:$G$863&gt;$F463)*(1-($X$4:$X$863="Oui")*($X463="Oui")))&gt;0,"⚠ CONFLIT",""))</f>
        <v/>
      </c>
      <c r="AA463" s="64">
        <f>IF(COUNTIFS($D$4:$D$863,$D463,$J$4:$J$863,$J463,$F$4:$F$863,$F463,$K$4:$K$863,$K463)&gt;1,"⚠ DOUBLON","")</f>
        <v/>
      </c>
      <c r="AB463" s="64">
        <f>IF(COUNTIF($T$4:$T$863,$T463)&lt;&gt;COUNTIFS($T$4:$T$863,$T463,$D$4:$D$863,$D463,$F$4:$F$863,$F463,$G$4:$G$863,$G463,$K$4:$K$863,$K463,$M$4:$M$863,$M463),"⚠ INCOHÉRENT","")</f>
        <v/>
      </c>
      <c r="AC463" s="64">
        <f>COUNTIFS($A$4:$A463,$A463,$J$4:$J463,$J463,$E$4:$E463,$E463)</f>
        <v/>
      </c>
      <c r="AD463" s="65">
        <f>$A463&amp;"|"&amp;$J463&amp;"|"&amp;$E463&amp;"|"&amp;$AC463</f>
        <v/>
      </c>
      <c r="AE463" s="66">
        <f>IF($W463&lt;&gt;"","⚑ "&amp;$W463&amp;CHAR(10),"")&amp;TEXT($F463,"hh:mm")&amp;"-"&amp;TEXT($G463,"hh:mm")&amp;IF(OR($P463="Quinzaine A",AND($P463="Hebdo · groupes alternés",$C463="A"))," Q-A",IF(OR($P463="Quinzaine B",AND($P463="Hebdo · groupes alternés",$C463="B"))," Q-B",IF($P463="Exception"," PONCT.","")))&amp;IF($X463="Oui"," OPT","")&amp;CHAR(10)&amp;$K463&amp;CHAR(10)&amp;$M463&amp;IF($N463&lt;&gt;"",CHAR(10)&amp;"Salle "&amp;$N463,"")&amp;IF($O463="En ligne",CHAR(10)&amp;"EN LIGNE","")&amp;IF($V463&lt;&gt;"",CHAR(10)&amp;$V463,"")</f>
        <v/>
      </c>
      <c r="AF463" s="65" t="inlineStr"/>
      <c r="AG463" s="65" t="inlineStr">
        <is>
          <t>— généré —</t>
        </is>
      </c>
    </row>
    <row r="464" ht="15" customHeight="1">
      <c r="A464" s="74" t="inlineStr">
        <is>
          <t>S4</t>
        </is>
      </c>
      <c r="B464" s="75" t="inlineStr">
        <is>
          <t>du 5 au 11 octobre 2026</t>
        </is>
      </c>
      <c r="C464" s="74" t="inlineStr">
        <is>
          <t>B</t>
        </is>
      </c>
      <c r="D464" s="76" t="n">
        <v>46305</v>
      </c>
      <c r="E464" s="74" t="inlineStr">
        <is>
          <t>Samedi</t>
        </is>
      </c>
      <c r="F464" s="77" t="n">
        <v>0.6666666666666666</v>
      </c>
      <c r="G464" s="77" t="n">
        <v>0.7291666666666666</v>
      </c>
      <c r="H464" s="78">
        <f>IF(OR($F464="",$G464=""),"",($G464-$F464)*24)</f>
        <v/>
      </c>
      <c r="I464" s="74" t="inlineStr">
        <is>
          <t>Secondaire</t>
        </is>
      </c>
      <c r="J464" s="75" t="inlineStr">
        <is>
          <t>2éme SCE</t>
        </is>
      </c>
      <c r="K464" s="88" t="inlineStr">
        <is>
          <t>SVT</t>
        </is>
      </c>
      <c r="L464" s="88" t="inlineStr">
        <is>
          <t>SVT</t>
        </is>
      </c>
      <c r="M464" s="75" t="inlineStr">
        <is>
          <t>Rym</t>
        </is>
      </c>
      <c r="N464" s="74" t="n"/>
      <c r="O464" s="74" t="n"/>
      <c r="P464" s="74" t="inlineStr">
        <is>
          <t>Hebdomadaire</t>
        </is>
      </c>
      <c r="Q464" s="75" t="inlineStr"/>
      <c r="R464" s="74" t="n">
        <v>1</v>
      </c>
      <c r="S464" s="74" t="inlineStr">
        <is>
          <t>Oui</t>
        </is>
      </c>
      <c r="T464" s="74" t="inlineStr">
        <is>
          <t>S4-066</t>
        </is>
      </c>
      <c r="U464" s="75" t="inlineStr">
        <is>
          <t>Généré (octobre)</t>
        </is>
      </c>
      <c r="V464" s="75" t="inlineStr"/>
      <c r="W464" s="10" t="n"/>
      <c r="X464" s="10" t="inlineStr"/>
      <c r="Y464" s="64">
        <f>IF($M464="","",IF(SUMPRODUCT(($D$4:$D$863=$D464)*($M$4:$M$863=$M464)*($T$4:$T$863&lt;&gt;$T464)*($F$4:$F$863&lt;$G464)*($G$4:$G$863&gt;$F464))&gt;0,"⚠ CONFLIT",""))</f>
        <v/>
      </c>
      <c r="Z464" s="64">
        <f>IF($J464="","",IF(SUMPRODUCT(($D$4:$D$863=$D464)*($J$4:$J$863=$J464)*($T$4:$T$863&lt;&gt;$T464)*($F$4:$F$863&lt;$G464)*($G$4:$G$863&gt;$F464)*(1-($X$4:$X$863="Oui")*($X464="Oui")))&gt;0,"⚠ CONFLIT",""))</f>
        <v/>
      </c>
      <c r="AA464" s="64">
        <f>IF(COUNTIFS($D$4:$D$863,$D464,$J$4:$J$863,$J464,$F$4:$F$863,$F464,$K$4:$K$863,$K464)&gt;1,"⚠ DOUBLON","")</f>
        <v/>
      </c>
      <c r="AB464" s="64">
        <f>IF(COUNTIF($T$4:$T$863,$T464)&lt;&gt;COUNTIFS($T$4:$T$863,$T464,$D$4:$D$863,$D464,$F$4:$F$863,$F464,$G$4:$G$863,$G464,$K$4:$K$863,$K464,$M$4:$M$863,$M464),"⚠ INCOHÉRENT","")</f>
        <v/>
      </c>
      <c r="AC464" s="64">
        <f>COUNTIFS($A$4:$A464,$A464,$J$4:$J464,$J464,$E$4:$E464,$E464)</f>
        <v/>
      </c>
      <c r="AD464" s="65">
        <f>$A464&amp;"|"&amp;$J464&amp;"|"&amp;$E464&amp;"|"&amp;$AC464</f>
        <v/>
      </c>
      <c r="AE464" s="66">
        <f>IF($W464&lt;&gt;"","⚑ "&amp;$W464&amp;CHAR(10),"")&amp;TEXT($F464,"hh:mm")&amp;"-"&amp;TEXT($G464,"hh:mm")&amp;IF(OR($P464="Quinzaine A",AND($P464="Hebdo · groupes alternés",$C464="A"))," Q-A",IF(OR($P464="Quinzaine B",AND($P464="Hebdo · groupes alternés",$C464="B"))," Q-B",IF($P464="Exception"," PONCT.","")))&amp;IF($X464="Oui"," OPT","")&amp;CHAR(10)&amp;$K464&amp;CHAR(10)&amp;$M464&amp;IF($N464&lt;&gt;"",CHAR(10)&amp;"Salle "&amp;$N464,"")&amp;IF($O464="En ligne",CHAR(10)&amp;"EN LIGNE","")&amp;IF($V464&lt;&gt;"",CHAR(10)&amp;$V464,"")</f>
        <v/>
      </c>
      <c r="AF464" s="65" t="inlineStr"/>
      <c r="AG464" s="65" t="inlineStr">
        <is>
          <t>— généré —</t>
        </is>
      </c>
    </row>
    <row r="465" ht="15" customHeight="1">
      <c r="A465" s="74" t="inlineStr">
        <is>
          <t>S4</t>
        </is>
      </c>
      <c r="B465" s="75" t="inlineStr">
        <is>
          <t>du 5 au 11 octobre 2026</t>
        </is>
      </c>
      <c r="C465" s="74" t="inlineStr">
        <is>
          <t>B</t>
        </is>
      </c>
      <c r="D465" s="76" t="n">
        <v>46305</v>
      </c>
      <c r="E465" s="74" t="inlineStr">
        <is>
          <t>Samedi</t>
        </is>
      </c>
      <c r="F465" s="77" t="n">
        <v>0.7083333333333334</v>
      </c>
      <c r="G465" s="77" t="n">
        <v>0.7916666666666666</v>
      </c>
      <c r="H465" s="78">
        <f>IF(OR($F465="",$G465=""),"",($G465-$F465)*24)</f>
        <v/>
      </c>
      <c r="I465" s="74" t="inlineStr">
        <is>
          <t>Secondaire</t>
        </is>
      </c>
      <c r="J465" s="75" t="inlineStr">
        <is>
          <t>2éme INFO</t>
        </is>
      </c>
      <c r="K465" s="80" t="inlineStr">
        <is>
          <t>Informatique</t>
        </is>
      </c>
      <c r="L465" s="80" t="inlineStr">
        <is>
          <t>Informatique</t>
        </is>
      </c>
      <c r="M465" s="75" t="inlineStr">
        <is>
          <t>Aymen</t>
        </is>
      </c>
      <c r="N465" s="74" t="n"/>
      <c r="O465" s="74" t="n"/>
      <c r="P465" s="74" t="inlineStr">
        <is>
          <t>Hebdomadaire</t>
        </is>
      </c>
      <c r="Q465" s="75" t="inlineStr"/>
      <c r="R465" s="74" t="n">
        <v>1</v>
      </c>
      <c r="S465" s="74" t="inlineStr">
        <is>
          <t>Oui</t>
        </is>
      </c>
      <c r="T465" s="74" t="inlineStr">
        <is>
          <t>S4-094</t>
        </is>
      </c>
      <c r="U465" s="75" t="inlineStr">
        <is>
          <t>Généré (octobre)</t>
        </is>
      </c>
      <c r="V465" s="75" t="inlineStr"/>
      <c r="W465" s="10" t="n"/>
      <c r="X465" s="10" t="inlineStr"/>
      <c r="Y465" s="64">
        <f>IF($M465="","",IF(SUMPRODUCT(($D$4:$D$863=$D465)*($M$4:$M$863=$M465)*($T$4:$T$863&lt;&gt;$T465)*($F$4:$F$863&lt;$G465)*($G$4:$G$863&gt;$F465))&gt;0,"⚠ CONFLIT",""))</f>
        <v/>
      </c>
      <c r="Z465" s="64">
        <f>IF($J465="","",IF(SUMPRODUCT(($D$4:$D$863=$D465)*($J$4:$J$863=$J465)*($T$4:$T$863&lt;&gt;$T465)*($F$4:$F$863&lt;$G465)*($G$4:$G$863&gt;$F465)*(1-($X$4:$X$863="Oui")*($X465="Oui")))&gt;0,"⚠ CONFLIT",""))</f>
        <v/>
      </c>
      <c r="AA465" s="64">
        <f>IF(COUNTIFS($D$4:$D$863,$D465,$J$4:$J$863,$J465,$F$4:$F$863,$F465,$K$4:$K$863,$K465)&gt;1,"⚠ DOUBLON","")</f>
        <v/>
      </c>
      <c r="AB465" s="64">
        <f>IF(COUNTIF($T$4:$T$863,$T465)&lt;&gt;COUNTIFS($T$4:$T$863,$T465,$D$4:$D$863,$D465,$F$4:$F$863,$F465,$G$4:$G$863,$G465,$K$4:$K$863,$K465,$M$4:$M$863,$M465),"⚠ INCOHÉRENT","")</f>
        <v/>
      </c>
      <c r="AC465" s="64">
        <f>COUNTIFS($A$4:$A465,$A465,$J$4:$J465,$J465,$E$4:$E465,$E465)</f>
        <v/>
      </c>
      <c r="AD465" s="65">
        <f>$A465&amp;"|"&amp;$J465&amp;"|"&amp;$E465&amp;"|"&amp;$AC465</f>
        <v/>
      </c>
      <c r="AE465" s="66">
        <f>IF($W465&lt;&gt;"","⚑ "&amp;$W465&amp;CHAR(10),"")&amp;TEXT($F465,"hh:mm")&amp;"-"&amp;TEXT($G465,"hh:mm")&amp;IF(OR($P465="Quinzaine A",AND($P465="Hebdo · groupes alternés",$C465="A"))," Q-A",IF(OR($P465="Quinzaine B",AND($P465="Hebdo · groupes alternés",$C465="B"))," Q-B",IF($P465="Exception"," PONCT.","")))&amp;IF($X465="Oui"," OPT","")&amp;CHAR(10)&amp;$K465&amp;CHAR(10)&amp;$M465&amp;IF($N465&lt;&gt;"",CHAR(10)&amp;"Salle "&amp;$N465,"")&amp;IF($O465="En ligne",CHAR(10)&amp;"EN LIGNE","")&amp;IF($V465&lt;&gt;"",CHAR(10)&amp;$V465,"")</f>
        <v/>
      </c>
      <c r="AF465" s="65" t="inlineStr"/>
      <c r="AG465" s="65" t="inlineStr">
        <is>
          <t>— généré —</t>
        </is>
      </c>
    </row>
    <row r="466" ht="15" customHeight="1">
      <c r="A466" s="74" t="inlineStr">
        <is>
          <t>S4</t>
        </is>
      </c>
      <c r="B466" s="75" t="inlineStr">
        <is>
          <t>du 5 au 11 octobre 2026</t>
        </is>
      </c>
      <c r="C466" s="74" t="inlineStr">
        <is>
          <t>B</t>
        </is>
      </c>
      <c r="D466" s="76" t="n">
        <v>46305</v>
      </c>
      <c r="E466" s="74" t="inlineStr">
        <is>
          <t>Samedi</t>
        </is>
      </c>
      <c r="F466" s="77" t="n">
        <v>0.7083333333333334</v>
      </c>
      <c r="G466" s="77" t="n">
        <v>0.7708333333333334</v>
      </c>
      <c r="H466" s="78">
        <f>IF(OR($F466="",$G466=""),"",($G466-$F466)*24)</f>
        <v/>
      </c>
      <c r="I466" s="74" t="inlineStr">
        <is>
          <t>Secondaire</t>
        </is>
      </c>
      <c r="J466" s="75" t="inlineStr">
        <is>
          <t>3éme Eco</t>
        </is>
      </c>
      <c r="K466" s="97" t="inlineStr">
        <is>
          <t>Géographie</t>
        </is>
      </c>
      <c r="L466" s="97" t="inlineStr">
        <is>
          <t>Géographie</t>
        </is>
      </c>
      <c r="M466" s="75" t="inlineStr">
        <is>
          <t>Abdelwaheb</t>
        </is>
      </c>
      <c r="N466" s="74" t="n"/>
      <c r="O466" s="74" t="n"/>
      <c r="P466" s="74" t="inlineStr">
        <is>
          <t>Quinzaine B</t>
        </is>
      </c>
      <c r="Q466" s="75" t="inlineStr"/>
      <c r="R466" s="74" t="n">
        <v>1</v>
      </c>
      <c r="S466" s="74" t="inlineStr">
        <is>
          <t>Oui</t>
        </is>
      </c>
      <c r="T466" s="74" t="inlineStr">
        <is>
          <t>S4-097</t>
        </is>
      </c>
      <c r="U466" s="75" t="inlineStr">
        <is>
          <t>Généré (octobre)</t>
        </is>
      </c>
      <c r="V466" s="75" t="inlineStr"/>
      <c r="W466" s="10" t="n"/>
      <c r="X466" s="10" t="inlineStr"/>
      <c r="Y466" s="64">
        <f>IF($M466="","",IF(SUMPRODUCT(($D$4:$D$863=$D466)*($M$4:$M$863=$M466)*($T$4:$T$863&lt;&gt;$T466)*($F$4:$F$863&lt;$G466)*($G$4:$G$863&gt;$F466))&gt;0,"⚠ CONFLIT",""))</f>
        <v/>
      </c>
      <c r="Z466" s="64">
        <f>IF($J466="","",IF(SUMPRODUCT(($D$4:$D$863=$D466)*($J$4:$J$863=$J466)*($T$4:$T$863&lt;&gt;$T466)*($F$4:$F$863&lt;$G466)*($G$4:$G$863&gt;$F466)*(1-($X$4:$X$863="Oui")*($X466="Oui")))&gt;0,"⚠ CONFLIT",""))</f>
        <v/>
      </c>
      <c r="AA466" s="64">
        <f>IF(COUNTIFS($D$4:$D$863,$D466,$J$4:$J$863,$J466,$F$4:$F$863,$F466,$K$4:$K$863,$K466)&gt;1,"⚠ DOUBLON","")</f>
        <v/>
      </c>
      <c r="AB466" s="64">
        <f>IF(COUNTIF($T$4:$T$863,$T466)&lt;&gt;COUNTIFS($T$4:$T$863,$T466,$D$4:$D$863,$D466,$F$4:$F$863,$F466,$G$4:$G$863,$G466,$K$4:$K$863,$K466,$M$4:$M$863,$M466),"⚠ INCOHÉRENT","")</f>
        <v/>
      </c>
      <c r="AC466" s="64">
        <f>COUNTIFS($A$4:$A466,$A466,$J$4:$J466,$J466,$E$4:$E466,$E466)</f>
        <v/>
      </c>
      <c r="AD466" s="65">
        <f>$A466&amp;"|"&amp;$J466&amp;"|"&amp;$E466&amp;"|"&amp;$AC466</f>
        <v/>
      </c>
      <c r="AE466" s="66">
        <f>IF($W466&lt;&gt;"","⚑ "&amp;$W466&amp;CHAR(10),"")&amp;TEXT($F466,"hh:mm")&amp;"-"&amp;TEXT($G466,"hh:mm")&amp;IF(OR($P466="Quinzaine A",AND($P466="Hebdo · groupes alternés",$C466="A"))," Q-A",IF(OR($P466="Quinzaine B",AND($P466="Hebdo · groupes alternés",$C466="B"))," Q-B",IF($P466="Exception"," PONCT.","")))&amp;IF($X466="Oui"," OPT","")&amp;CHAR(10)&amp;$K466&amp;CHAR(10)&amp;$M466&amp;IF($N466&lt;&gt;"",CHAR(10)&amp;"Salle "&amp;$N466,"")&amp;IF($O466="En ligne",CHAR(10)&amp;"EN LIGNE","")&amp;IF($V466&lt;&gt;"",CHAR(10)&amp;$V466,"")</f>
        <v/>
      </c>
      <c r="AF466" s="65" t="inlineStr"/>
      <c r="AG466" s="65" t="inlineStr">
        <is>
          <t>— généré —</t>
        </is>
      </c>
    </row>
    <row r="467" ht="15" customHeight="1">
      <c r="A467" s="74" t="inlineStr">
        <is>
          <t>S4</t>
        </is>
      </c>
      <c r="B467" s="75" t="inlineStr">
        <is>
          <t>du 5 au 11 octobre 2026</t>
        </is>
      </c>
      <c r="C467" s="74" t="inlineStr">
        <is>
          <t>B</t>
        </is>
      </c>
      <c r="D467" s="76" t="n">
        <v>46305</v>
      </c>
      <c r="E467" s="74" t="inlineStr">
        <is>
          <t>Samedi</t>
        </is>
      </c>
      <c r="F467" s="77" t="n">
        <v>0.625</v>
      </c>
      <c r="G467" s="77" t="n">
        <v>0.7083333333333334</v>
      </c>
      <c r="H467" s="78">
        <f>IF(OR($F467="",$G467=""),"",($G467-$F467)*24)</f>
        <v/>
      </c>
      <c r="I467" s="74" t="inlineStr">
        <is>
          <t>Secondaire</t>
        </is>
      </c>
      <c r="J467" s="75" t="inlineStr">
        <is>
          <t>3éme INFO</t>
        </is>
      </c>
      <c r="K467" s="94" t="inlineStr">
        <is>
          <t>ALGO</t>
        </is>
      </c>
      <c r="L467" s="94" t="inlineStr">
        <is>
          <t>ALGO</t>
        </is>
      </c>
      <c r="M467" s="75" t="inlineStr">
        <is>
          <t>Aymen</t>
        </is>
      </c>
      <c r="N467" s="74" t="n"/>
      <c r="O467" s="74" t="n"/>
      <c r="P467" s="74" t="inlineStr">
        <is>
          <t>Hebdomadaire</t>
        </is>
      </c>
      <c r="Q467" s="75" t="inlineStr"/>
      <c r="R467" s="74" t="n">
        <v>1</v>
      </c>
      <c r="S467" s="74" t="inlineStr">
        <is>
          <t>Oui</t>
        </is>
      </c>
      <c r="T467" s="74" t="inlineStr">
        <is>
          <t>S4-067</t>
        </is>
      </c>
      <c r="U467" s="75" t="inlineStr">
        <is>
          <t>Généré (octobre)</t>
        </is>
      </c>
      <c r="V467" s="75" t="inlineStr"/>
      <c r="W467" s="10" t="n"/>
      <c r="X467" s="10" t="inlineStr"/>
      <c r="Y467" s="64">
        <f>IF($M467="","",IF(SUMPRODUCT(($D$4:$D$863=$D467)*($M$4:$M$863=$M467)*($T$4:$T$863&lt;&gt;$T467)*($F$4:$F$863&lt;$G467)*($G$4:$G$863&gt;$F467))&gt;0,"⚠ CONFLIT",""))</f>
        <v/>
      </c>
      <c r="Z467" s="64">
        <f>IF($J467="","",IF(SUMPRODUCT(($D$4:$D$863=$D467)*($J$4:$J$863=$J467)*($T$4:$T$863&lt;&gt;$T467)*($F$4:$F$863&lt;$G467)*($G$4:$G$863&gt;$F467)*(1-($X$4:$X$863="Oui")*($X467="Oui")))&gt;0,"⚠ CONFLIT",""))</f>
        <v/>
      </c>
      <c r="AA467" s="64">
        <f>IF(COUNTIFS($D$4:$D$863,$D467,$J$4:$J$863,$J467,$F$4:$F$863,$F467,$K$4:$K$863,$K467)&gt;1,"⚠ DOUBLON","")</f>
        <v/>
      </c>
      <c r="AB467" s="64">
        <f>IF(COUNTIF($T$4:$T$863,$T467)&lt;&gt;COUNTIFS($T$4:$T$863,$T467,$D$4:$D$863,$D467,$F$4:$F$863,$F467,$G$4:$G$863,$G467,$K$4:$K$863,$K467,$M$4:$M$863,$M467),"⚠ INCOHÉRENT","")</f>
        <v/>
      </c>
      <c r="AC467" s="64">
        <f>COUNTIFS($A$4:$A467,$A467,$J$4:$J467,$J467,$E$4:$E467,$E467)</f>
        <v/>
      </c>
      <c r="AD467" s="65">
        <f>$A467&amp;"|"&amp;$J467&amp;"|"&amp;$E467&amp;"|"&amp;$AC467</f>
        <v/>
      </c>
      <c r="AE467" s="66">
        <f>IF($W467&lt;&gt;"","⚑ "&amp;$W467&amp;CHAR(10),"")&amp;TEXT($F467,"hh:mm")&amp;"-"&amp;TEXT($G467,"hh:mm")&amp;IF(OR($P467="Quinzaine A",AND($P467="Hebdo · groupes alternés",$C467="A"))," Q-A",IF(OR($P467="Quinzaine B",AND($P467="Hebdo · groupes alternés",$C467="B"))," Q-B",IF($P467="Exception"," PONCT.","")))&amp;IF($X467="Oui"," OPT","")&amp;CHAR(10)&amp;$K467&amp;CHAR(10)&amp;$M467&amp;IF($N467&lt;&gt;"",CHAR(10)&amp;"Salle "&amp;$N467,"")&amp;IF($O467="En ligne",CHAR(10)&amp;"EN LIGNE","")&amp;IF($V467&lt;&gt;"",CHAR(10)&amp;$V467,"")</f>
        <v/>
      </c>
      <c r="AF467" s="65" t="inlineStr"/>
      <c r="AG467" s="65" t="inlineStr">
        <is>
          <t>— généré —</t>
        </is>
      </c>
    </row>
    <row r="468" ht="15" customHeight="1">
      <c r="A468" s="74" t="inlineStr">
        <is>
          <t>S4</t>
        </is>
      </c>
      <c r="B468" s="75" t="inlineStr">
        <is>
          <t>du 5 au 11 octobre 2026</t>
        </is>
      </c>
      <c r="C468" s="74" t="inlineStr">
        <is>
          <t>B</t>
        </is>
      </c>
      <c r="D468" s="76" t="n">
        <v>46305</v>
      </c>
      <c r="E468" s="74" t="inlineStr">
        <is>
          <t>Samedi</t>
        </is>
      </c>
      <c r="F468" s="77" t="n">
        <v>0.7291666666666666</v>
      </c>
      <c r="G468" s="77" t="n">
        <v>0.7916666666666666</v>
      </c>
      <c r="H468" s="78">
        <f>IF(OR($F468="",$G468=""),"",($G468-$F468)*24)</f>
        <v/>
      </c>
      <c r="I468" s="74" t="inlineStr">
        <is>
          <t>Secondaire</t>
        </is>
      </c>
      <c r="J468" s="75" t="inlineStr">
        <is>
          <t>3éme SCE</t>
        </is>
      </c>
      <c r="K468" s="88" t="inlineStr">
        <is>
          <t>SVT</t>
        </is>
      </c>
      <c r="L468" s="88" t="inlineStr">
        <is>
          <t>SVT</t>
        </is>
      </c>
      <c r="M468" s="75" t="inlineStr">
        <is>
          <t>Rym</t>
        </is>
      </c>
      <c r="N468" s="74" t="n"/>
      <c r="O468" s="74" t="n"/>
      <c r="P468" s="74" t="inlineStr">
        <is>
          <t>Hebdomadaire</t>
        </is>
      </c>
      <c r="Q468" s="75" t="inlineStr"/>
      <c r="R468" s="74" t="n">
        <v>1</v>
      </c>
      <c r="S468" s="74" t="inlineStr">
        <is>
          <t>Oui</t>
        </is>
      </c>
      <c r="T468" s="74" t="inlineStr">
        <is>
          <t>S4-068</t>
        </is>
      </c>
      <c r="U468" s="75" t="inlineStr">
        <is>
          <t>Généré (octobre)</t>
        </is>
      </c>
      <c r="V468" s="75" t="inlineStr"/>
      <c r="W468" s="10" t="n"/>
      <c r="X468" s="10" t="inlineStr"/>
      <c r="Y468" s="64">
        <f>IF($M468="","",IF(SUMPRODUCT(($D$4:$D$863=$D468)*($M$4:$M$863=$M468)*($T$4:$T$863&lt;&gt;$T468)*($F$4:$F$863&lt;$G468)*($G$4:$G$863&gt;$F468))&gt;0,"⚠ CONFLIT",""))</f>
        <v/>
      </c>
      <c r="Z468" s="64">
        <f>IF($J468="","",IF(SUMPRODUCT(($D$4:$D$863=$D468)*($J$4:$J$863=$J468)*($T$4:$T$863&lt;&gt;$T468)*($F$4:$F$863&lt;$G468)*($G$4:$G$863&gt;$F468)*(1-($X$4:$X$863="Oui")*($X468="Oui")))&gt;0,"⚠ CONFLIT",""))</f>
        <v/>
      </c>
      <c r="AA468" s="64">
        <f>IF(COUNTIFS($D$4:$D$863,$D468,$J$4:$J$863,$J468,$F$4:$F$863,$F468,$K$4:$K$863,$K468)&gt;1,"⚠ DOUBLON","")</f>
        <v/>
      </c>
      <c r="AB468" s="64">
        <f>IF(COUNTIF($T$4:$T$863,$T468)&lt;&gt;COUNTIFS($T$4:$T$863,$T468,$D$4:$D$863,$D468,$F$4:$F$863,$F468,$G$4:$G$863,$G468,$K$4:$K$863,$K468,$M$4:$M$863,$M468),"⚠ INCOHÉRENT","")</f>
        <v/>
      </c>
      <c r="AC468" s="64">
        <f>COUNTIFS($A$4:$A468,$A468,$J$4:$J468,$J468,$E$4:$E468,$E468)</f>
        <v/>
      </c>
      <c r="AD468" s="65">
        <f>$A468&amp;"|"&amp;$J468&amp;"|"&amp;$E468&amp;"|"&amp;$AC468</f>
        <v/>
      </c>
      <c r="AE468" s="66">
        <f>IF($W468&lt;&gt;"","⚑ "&amp;$W468&amp;CHAR(10),"")&amp;TEXT($F468,"hh:mm")&amp;"-"&amp;TEXT($G468,"hh:mm")&amp;IF(OR($P468="Quinzaine A",AND($P468="Hebdo · groupes alternés",$C468="A"))," Q-A",IF(OR($P468="Quinzaine B",AND($P468="Hebdo · groupes alternés",$C468="B"))," Q-B",IF($P468="Exception"," PONCT.","")))&amp;IF($X468="Oui"," OPT","")&amp;CHAR(10)&amp;$K468&amp;CHAR(10)&amp;$M468&amp;IF($N468&lt;&gt;"",CHAR(10)&amp;"Salle "&amp;$N468,"")&amp;IF($O468="En ligne",CHAR(10)&amp;"EN LIGNE","")&amp;IF($V468&lt;&gt;"",CHAR(10)&amp;$V468,"")</f>
        <v/>
      </c>
      <c r="AF468" s="65" t="inlineStr"/>
      <c r="AG468" s="65" t="inlineStr">
        <is>
          <t>— généré —</t>
        </is>
      </c>
    </row>
    <row r="469" ht="15" customHeight="1">
      <c r="A469" s="81" t="inlineStr">
        <is>
          <t>S4</t>
        </is>
      </c>
      <c r="B469" s="82" t="inlineStr">
        <is>
          <t>du 5 au 11 octobre 2026</t>
        </is>
      </c>
      <c r="C469" s="81" t="inlineStr">
        <is>
          <t>B</t>
        </is>
      </c>
      <c r="D469" s="83" t="n">
        <v>46305</v>
      </c>
      <c r="E469" s="81" t="inlineStr">
        <is>
          <t>Samedi</t>
        </is>
      </c>
      <c r="F469" s="84" t="n">
        <v>0.7708333333333334</v>
      </c>
      <c r="G469" s="84" t="n">
        <v>0.8333333333333334</v>
      </c>
      <c r="H469" s="85">
        <f>IF(OR($F469="",$G469=""),"",($G469-$F469)*24)</f>
        <v/>
      </c>
      <c r="I469" s="81" t="inlineStr">
        <is>
          <t>Bac</t>
        </is>
      </c>
      <c r="J469" s="82" t="inlineStr">
        <is>
          <t>Bac Eco</t>
        </is>
      </c>
      <c r="K469" s="97" t="inlineStr">
        <is>
          <t>Géographie</t>
        </is>
      </c>
      <c r="L469" s="97" t="inlineStr">
        <is>
          <t>Géographie</t>
        </is>
      </c>
      <c r="M469" s="82" t="inlineStr">
        <is>
          <t>Abdelwaheb</t>
        </is>
      </c>
      <c r="N469" s="81" t="n"/>
      <c r="O469" s="81" t="n"/>
      <c r="P469" s="81" t="inlineStr">
        <is>
          <t>Quinzaine B</t>
        </is>
      </c>
      <c r="Q469" s="82" t="inlineStr"/>
      <c r="R469" s="81" t="n">
        <v>1</v>
      </c>
      <c r="S469" s="81" t="inlineStr">
        <is>
          <t>Oui</t>
        </is>
      </c>
      <c r="T469" s="81" t="inlineStr">
        <is>
          <t>S4-098</t>
        </is>
      </c>
      <c r="U469" s="82" t="inlineStr">
        <is>
          <t>Généré (octobre)</t>
        </is>
      </c>
      <c r="V469" s="82" t="inlineStr"/>
      <c r="W469" s="10" t="n"/>
      <c r="X469" s="10" t="inlineStr"/>
      <c r="Y469" s="64">
        <f>IF($M469="","",IF(SUMPRODUCT(($D$4:$D$863=$D469)*($M$4:$M$863=$M469)*($T$4:$T$863&lt;&gt;$T469)*($F$4:$F$863&lt;$G469)*($G$4:$G$863&gt;$F469))&gt;0,"⚠ CONFLIT",""))</f>
        <v/>
      </c>
      <c r="Z469" s="64">
        <f>IF($J469="","",IF(SUMPRODUCT(($D$4:$D$863=$D469)*($J$4:$J$863=$J469)*($T$4:$T$863&lt;&gt;$T469)*($F$4:$F$863&lt;$G469)*($G$4:$G$863&gt;$F469)*(1-($X$4:$X$863="Oui")*($X469="Oui")))&gt;0,"⚠ CONFLIT",""))</f>
        <v/>
      </c>
      <c r="AA469" s="64">
        <f>IF(COUNTIFS($D$4:$D$863,$D469,$J$4:$J$863,$J469,$F$4:$F$863,$F469,$K$4:$K$863,$K469)&gt;1,"⚠ DOUBLON","")</f>
        <v/>
      </c>
      <c r="AB469" s="64">
        <f>IF(COUNTIF($T$4:$T$863,$T469)&lt;&gt;COUNTIFS($T$4:$T$863,$T469,$D$4:$D$863,$D469,$F$4:$F$863,$F469,$G$4:$G$863,$G469,$K$4:$K$863,$K469,$M$4:$M$863,$M469),"⚠ INCOHÉRENT","")</f>
        <v/>
      </c>
      <c r="AC469" s="64">
        <f>COUNTIFS($A$4:$A469,$A469,$J$4:$J469,$J469,$E$4:$E469,$E469)</f>
        <v/>
      </c>
      <c r="AD469" s="65">
        <f>$A469&amp;"|"&amp;$J469&amp;"|"&amp;$E469&amp;"|"&amp;$AC469</f>
        <v/>
      </c>
      <c r="AE469" s="66">
        <f>IF($W469&lt;&gt;"","⚑ "&amp;$W469&amp;CHAR(10),"")&amp;TEXT($F469,"hh:mm")&amp;"-"&amp;TEXT($G469,"hh:mm")&amp;IF(OR($P469="Quinzaine A",AND($P469="Hebdo · groupes alternés",$C469="A"))," Q-A",IF(OR($P469="Quinzaine B",AND($P469="Hebdo · groupes alternés",$C469="B"))," Q-B",IF($P469="Exception"," PONCT.","")))&amp;IF($X469="Oui"," OPT","")&amp;CHAR(10)&amp;$K469&amp;CHAR(10)&amp;$M469&amp;IF($N469&lt;&gt;"",CHAR(10)&amp;"Salle "&amp;$N469,"")&amp;IF($O469="En ligne",CHAR(10)&amp;"EN LIGNE","")&amp;IF($V469&lt;&gt;"",CHAR(10)&amp;$V469,"")</f>
        <v/>
      </c>
      <c r="AF469" s="65" t="inlineStr"/>
      <c r="AG469" s="65" t="inlineStr">
        <is>
          <t>— généré —</t>
        </is>
      </c>
    </row>
    <row r="470" ht="15" customHeight="1">
      <c r="A470" s="81" t="inlineStr">
        <is>
          <t>S4</t>
        </is>
      </c>
      <c r="B470" s="82" t="inlineStr">
        <is>
          <t>du 5 au 11 octobre 2026</t>
        </is>
      </c>
      <c r="C470" s="81" t="inlineStr">
        <is>
          <t>B</t>
        </is>
      </c>
      <c r="D470" s="83" t="n">
        <v>46305</v>
      </c>
      <c r="E470" s="81" t="inlineStr">
        <is>
          <t>Samedi</t>
        </is>
      </c>
      <c r="F470" s="84" t="n">
        <v>0.7916666666666666</v>
      </c>
      <c r="G470" s="84" t="n">
        <v>0.8541666666666666</v>
      </c>
      <c r="H470" s="85">
        <f>IF(OR($F470="",$G470=""),"",($G470-$F470)*24)</f>
        <v/>
      </c>
      <c r="I470" s="81" t="inlineStr">
        <is>
          <t>Bac</t>
        </is>
      </c>
      <c r="J470" s="82" t="inlineStr">
        <is>
          <t>Bac SCE</t>
        </is>
      </c>
      <c r="K470" s="88" t="inlineStr">
        <is>
          <t>SVT</t>
        </is>
      </c>
      <c r="L470" s="88" t="inlineStr">
        <is>
          <t>SVT</t>
        </is>
      </c>
      <c r="M470" s="82" t="inlineStr">
        <is>
          <t>Rym</t>
        </is>
      </c>
      <c r="N470" s="81" t="n"/>
      <c r="O470" s="81" t="n"/>
      <c r="P470" s="81" t="inlineStr">
        <is>
          <t>Hebdomadaire</t>
        </is>
      </c>
      <c r="Q470" s="82" t="inlineStr"/>
      <c r="R470" s="81" t="n">
        <v>1</v>
      </c>
      <c r="S470" s="81" t="inlineStr">
        <is>
          <t>Oui</t>
        </is>
      </c>
      <c r="T470" s="81" t="inlineStr">
        <is>
          <t>S4-069</t>
        </is>
      </c>
      <c r="U470" s="82" t="inlineStr">
        <is>
          <t>Généré (octobre)</t>
        </is>
      </c>
      <c r="V470" s="82" t="inlineStr"/>
      <c r="W470" s="10" t="n"/>
      <c r="X470" s="10" t="inlineStr"/>
      <c r="Y470" s="64">
        <f>IF($M470="","",IF(SUMPRODUCT(($D$4:$D$863=$D470)*($M$4:$M$863=$M470)*($T$4:$T$863&lt;&gt;$T470)*($F$4:$F$863&lt;$G470)*($G$4:$G$863&gt;$F470))&gt;0,"⚠ CONFLIT",""))</f>
        <v/>
      </c>
      <c r="Z470" s="64">
        <f>IF($J470="","",IF(SUMPRODUCT(($D$4:$D$863=$D470)*($J$4:$J$863=$J470)*($T$4:$T$863&lt;&gt;$T470)*($F$4:$F$863&lt;$G470)*($G$4:$G$863&gt;$F470)*(1-($X$4:$X$863="Oui")*($X470="Oui")))&gt;0,"⚠ CONFLIT",""))</f>
        <v/>
      </c>
      <c r="AA470" s="64">
        <f>IF(COUNTIFS($D$4:$D$863,$D470,$J$4:$J$863,$J470,$F$4:$F$863,$F470,$K$4:$K$863,$K470)&gt;1,"⚠ DOUBLON","")</f>
        <v/>
      </c>
      <c r="AB470" s="64">
        <f>IF(COUNTIF($T$4:$T$863,$T470)&lt;&gt;COUNTIFS($T$4:$T$863,$T470,$D$4:$D$863,$D470,$F$4:$F$863,$F470,$G$4:$G$863,$G470,$K$4:$K$863,$K470,$M$4:$M$863,$M470),"⚠ INCOHÉRENT","")</f>
        <v/>
      </c>
      <c r="AC470" s="64">
        <f>COUNTIFS($A$4:$A470,$A470,$J$4:$J470,$J470,$E$4:$E470,$E470)</f>
        <v/>
      </c>
      <c r="AD470" s="65">
        <f>$A470&amp;"|"&amp;$J470&amp;"|"&amp;$E470&amp;"|"&amp;$AC470</f>
        <v/>
      </c>
      <c r="AE470" s="66">
        <f>IF($W470&lt;&gt;"","⚑ "&amp;$W470&amp;CHAR(10),"")&amp;TEXT($F470,"hh:mm")&amp;"-"&amp;TEXT($G470,"hh:mm")&amp;IF(OR($P470="Quinzaine A",AND($P470="Hebdo · groupes alternés",$C470="A"))," Q-A",IF(OR($P470="Quinzaine B",AND($P470="Hebdo · groupes alternés",$C470="B"))," Q-B",IF($P470="Exception"," PONCT.","")))&amp;IF($X470="Oui"," OPT","")&amp;CHAR(10)&amp;$K470&amp;CHAR(10)&amp;$M470&amp;IF($N470&lt;&gt;"",CHAR(10)&amp;"Salle "&amp;$N470,"")&amp;IF($O470="En ligne",CHAR(10)&amp;"EN LIGNE","")&amp;IF($V470&lt;&gt;"",CHAR(10)&amp;$V470,"")</f>
        <v/>
      </c>
      <c r="AF470" s="65" t="inlineStr"/>
      <c r="AG470" s="65" t="inlineStr">
        <is>
          <t>— généré —</t>
        </is>
      </c>
    </row>
    <row r="471" ht="15" customHeight="1">
      <c r="A471" s="81" t="inlineStr">
        <is>
          <t>S4</t>
        </is>
      </c>
      <c r="B471" s="82" t="inlineStr">
        <is>
          <t>du 5 au 11 octobre 2026</t>
        </is>
      </c>
      <c r="C471" s="81" t="inlineStr">
        <is>
          <t>B</t>
        </is>
      </c>
      <c r="D471" s="83" t="n">
        <v>46305</v>
      </c>
      <c r="E471" s="81" t="inlineStr">
        <is>
          <t>Samedi</t>
        </is>
      </c>
      <c r="F471" s="84" t="n">
        <v>0.7916666666666666</v>
      </c>
      <c r="G471" s="84" t="n">
        <v>0.875</v>
      </c>
      <c r="H471" s="85">
        <f>IF(OR($F471="",$G471=""),"",($G471-$F471)*24)</f>
        <v/>
      </c>
      <c r="I471" s="81" t="inlineStr">
        <is>
          <t>Bac</t>
        </is>
      </c>
      <c r="J471" s="82" t="inlineStr">
        <is>
          <t>Bac INFO</t>
        </is>
      </c>
      <c r="K471" s="94" t="inlineStr">
        <is>
          <t>ALGO</t>
        </is>
      </c>
      <c r="L471" s="94" t="inlineStr">
        <is>
          <t>ALGO</t>
        </is>
      </c>
      <c r="M471" s="82" t="inlineStr">
        <is>
          <t>Heni</t>
        </is>
      </c>
      <c r="N471" s="81" t="n"/>
      <c r="O471" s="81" t="n"/>
      <c r="P471" s="81" t="inlineStr">
        <is>
          <t>Hebdomadaire</t>
        </is>
      </c>
      <c r="Q471" s="82" t="inlineStr"/>
      <c r="R471" s="81" t="n">
        <v>1</v>
      </c>
      <c r="S471" s="81" t="inlineStr">
        <is>
          <t>Oui</t>
        </is>
      </c>
      <c r="T471" s="81" t="inlineStr">
        <is>
          <t>S4-070</t>
        </is>
      </c>
      <c r="U471" s="82" t="inlineStr">
        <is>
          <t>Généré (octobre)</t>
        </is>
      </c>
      <c r="V471" s="82" t="inlineStr"/>
      <c r="W471" s="10" t="n"/>
      <c r="X471" s="10" t="inlineStr"/>
      <c r="Y471" s="64">
        <f>IF($M471="","",IF(SUMPRODUCT(($D$4:$D$863=$D471)*($M$4:$M$863=$M471)*($T$4:$T$863&lt;&gt;$T471)*($F$4:$F$863&lt;$G471)*($G$4:$G$863&gt;$F471))&gt;0,"⚠ CONFLIT",""))</f>
        <v/>
      </c>
      <c r="Z471" s="64">
        <f>IF($J471="","",IF(SUMPRODUCT(($D$4:$D$863=$D471)*($J$4:$J$863=$J471)*($T$4:$T$863&lt;&gt;$T471)*($F$4:$F$863&lt;$G471)*($G$4:$G$863&gt;$F471)*(1-($X$4:$X$863="Oui")*($X471="Oui")))&gt;0,"⚠ CONFLIT",""))</f>
        <v/>
      </c>
      <c r="AA471" s="64">
        <f>IF(COUNTIFS($D$4:$D$863,$D471,$J$4:$J$863,$J471,$F$4:$F$863,$F471,$K$4:$K$863,$K471)&gt;1,"⚠ DOUBLON","")</f>
        <v/>
      </c>
      <c r="AB471" s="64">
        <f>IF(COUNTIF($T$4:$T$863,$T471)&lt;&gt;COUNTIFS($T$4:$T$863,$T471,$D$4:$D$863,$D471,$F$4:$F$863,$F471,$G$4:$G$863,$G471,$K$4:$K$863,$K471,$M$4:$M$863,$M471),"⚠ INCOHÉRENT","")</f>
        <v/>
      </c>
      <c r="AC471" s="64">
        <f>COUNTIFS($A$4:$A471,$A471,$J$4:$J471,$J471,$E$4:$E471,$E471)</f>
        <v/>
      </c>
      <c r="AD471" s="65">
        <f>$A471&amp;"|"&amp;$J471&amp;"|"&amp;$E471&amp;"|"&amp;$AC471</f>
        <v/>
      </c>
      <c r="AE471" s="66">
        <f>IF($W471&lt;&gt;"","⚑ "&amp;$W471&amp;CHAR(10),"")&amp;TEXT($F471,"hh:mm")&amp;"-"&amp;TEXT($G471,"hh:mm")&amp;IF(OR($P471="Quinzaine A",AND($P471="Hebdo · groupes alternés",$C471="A"))," Q-A",IF(OR($P471="Quinzaine B",AND($P471="Hebdo · groupes alternés",$C471="B"))," Q-B",IF($P471="Exception"," PONCT.","")))&amp;IF($X471="Oui"," OPT","")&amp;CHAR(10)&amp;$K471&amp;CHAR(10)&amp;$M471&amp;IF($N471&lt;&gt;"",CHAR(10)&amp;"Salle "&amp;$N471,"")&amp;IF($O471="En ligne",CHAR(10)&amp;"EN LIGNE","")&amp;IF($V471&lt;&gt;"",CHAR(10)&amp;$V471,"")</f>
        <v/>
      </c>
      <c r="AF471" s="65" t="inlineStr"/>
      <c r="AG471" s="65" t="inlineStr">
        <is>
          <t>— généré —</t>
        </is>
      </c>
    </row>
    <row r="472" ht="15" customHeight="1">
      <c r="A472" s="58" t="inlineStr">
        <is>
          <t>S4</t>
        </is>
      </c>
      <c r="B472" s="59" t="inlineStr">
        <is>
          <t>du 5 au 11 octobre 2026</t>
        </is>
      </c>
      <c r="C472" s="58" t="inlineStr">
        <is>
          <t>B</t>
        </is>
      </c>
      <c r="D472" s="60" t="n">
        <v>46306</v>
      </c>
      <c r="E472" s="58" t="inlineStr">
        <is>
          <t>Dimanche</t>
        </is>
      </c>
      <c r="F472" s="61" t="n">
        <v>0.4375</v>
      </c>
      <c r="G472" s="61" t="n">
        <v>0.5</v>
      </c>
      <c r="H472" s="62">
        <f>IF(OR($F472="",$G472=""),"",($G472-$F472)*24)</f>
        <v/>
      </c>
      <c r="I472" s="58" t="inlineStr">
        <is>
          <t>Primaire</t>
        </is>
      </c>
      <c r="J472" s="59" t="inlineStr">
        <is>
          <t>5éme</t>
        </is>
      </c>
      <c r="K472" s="87" t="inlineStr">
        <is>
          <t>Anglais</t>
        </is>
      </c>
      <c r="L472" s="87" t="inlineStr">
        <is>
          <t>Anglais</t>
        </is>
      </c>
      <c r="M472" s="59" t="inlineStr">
        <is>
          <t>Samar</t>
        </is>
      </c>
      <c r="N472" s="58" t="n"/>
      <c r="O472" s="58" t="n"/>
      <c r="P472" s="58" t="inlineStr">
        <is>
          <t>Hebdo · groupes alternés</t>
        </is>
      </c>
      <c r="Q472" s="59" t="inlineStr"/>
      <c r="R472" s="58" t="n">
        <v>1</v>
      </c>
      <c r="S472" s="58" t="inlineStr">
        <is>
          <t>Oui</t>
        </is>
      </c>
      <c r="T472" s="58" t="inlineStr">
        <is>
          <t>S4-071</t>
        </is>
      </c>
      <c r="U472" s="59" t="inlineStr">
        <is>
          <t>Généré (octobre)</t>
        </is>
      </c>
      <c r="V472" s="59" t="inlineStr"/>
      <c r="W472" s="10" t="n"/>
      <c r="X472" s="10" t="inlineStr"/>
      <c r="Y472" s="64">
        <f>IF($M472="","",IF(SUMPRODUCT(($D$4:$D$863=$D472)*($M$4:$M$863=$M472)*($T$4:$T$863&lt;&gt;$T472)*($F$4:$F$863&lt;$G472)*($G$4:$G$863&gt;$F472))&gt;0,"⚠ CONFLIT",""))</f>
        <v/>
      </c>
      <c r="Z472" s="64">
        <f>IF($J472="","",IF(SUMPRODUCT(($D$4:$D$863=$D472)*($J$4:$J$863=$J472)*($T$4:$T$863&lt;&gt;$T472)*($F$4:$F$863&lt;$G472)*($G$4:$G$863&gt;$F472)*(1-($X$4:$X$863="Oui")*($X472="Oui")))&gt;0,"⚠ CONFLIT",""))</f>
        <v/>
      </c>
      <c r="AA472" s="64">
        <f>IF(COUNTIFS($D$4:$D$863,$D472,$J$4:$J$863,$J472,$F$4:$F$863,$F472,$K$4:$K$863,$K472)&gt;1,"⚠ DOUBLON","")</f>
        <v/>
      </c>
      <c r="AB472" s="64">
        <f>IF(COUNTIF($T$4:$T$863,$T472)&lt;&gt;COUNTIFS($T$4:$T$863,$T472,$D$4:$D$863,$D472,$F$4:$F$863,$F472,$G$4:$G$863,$G472,$K$4:$K$863,$K472,$M$4:$M$863,$M472),"⚠ INCOHÉRENT","")</f>
        <v/>
      </c>
      <c r="AC472" s="64">
        <f>COUNTIFS($A$4:$A472,$A472,$J$4:$J472,$J472,$E$4:$E472,$E472)</f>
        <v/>
      </c>
      <c r="AD472" s="65">
        <f>$A472&amp;"|"&amp;$J472&amp;"|"&amp;$E472&amp;"|"&amp;$AC472</f>
        <v/>
      </c>
      <c r="AE472" s="66">
        <f>IF($W472&lt;&gt;"","⚑ "&amp;$W472&amp;CHAR(10),"")&amp;TEXT($F472,"hh:mm")&amp;"-"&amp;TEXT($G472,"hh:mm")&amp;IF(OR($P472="Quinzaine A",AND($P472="Hebdo · groupes alternés",$C472="A"))," Q-A",IF(OR($P472="Quinzaine B",AND($P472="Hebdo · groupes alternés",$C472="B"))," Q-B",IF($P472="Exception"," PONCT.","")))&amp;IF($X472="Oui"," OPT","")&amp;CHAR(10)&amp;$K472&amp;CHAR(10)&amp;$M472&amp;IF($N472&lt;&gt;"",CHAR(10)&amp;"Salle "&amp;$N472,"")&amp;IF($O472="En ligne",CHAR(10)&amp;"EN LIGNE","")&amp;IF($V472&lt;&gt;"",CHAR(10)&amp;$V472,"")</f>
        <v/>
      </c>
      <c r="AF472" s="65" t="inlineStr"/>
      <c r="AG472" s="65" t="inlineStr">
        <is>
          <t>— généré —</t>
        </is>
      </c>
    </row>
    <row r="473" ht="15" customHeight="1">
      <c r="A473" s="68" t="inlineStr">
        <is>
          <t>S4</t>
        </is>
      </c>
      <c r="B473" s="69" t="inlineStr">
        <is>
          <t>du 5 au 11 octobre 2026</t>
        </is>
      </c>
      <c r="C473" s="68" t="inlineStr">
        <is>
          <t>B</t>
        </is>
      </c>
      <c r="D473" s="70" t="n">
        <v>46306</v>
      </c>
      <c r="E473" s="68" t="inlineStr">
        <is>
          <t>Dimanche</t>
        </is>
      </c>
      <c r="F473" s="71" t="n">
        <v>0.5833333333333334</v>
      </c>
      <c r="G473" s="71" t="n">
        <v>0.6458333333333334</v>
      </c>
      <c r="H473" s="72">
        <f>IF(OR($F473="",$G473=""),"",($G473-$F473)*24)</f>
        <v/>
      </c>
      <c r="I473" s="68" t="inlineStr">
        <is>
          <t>Collège</t>
        </is>
      </c>
      <c r="J473" s="69" t="inlineStr">
        <is>
          <t>7éme (A)</t>
        </is>
      </c>
      <c r="K473" s="67" t="inlineStr">
        <is>
          <t>Français</t>
        </is>
      </c>
      <c r="L473" s="67" t="inlineStr">
        <is>
          <t>Français</t>
        </is>
      </c>
      <c r="M473" s="69" t="inlineStr">
        <is>
          <t>Marwa</t>
        </is>
      </c>
      <c r="N473" s="68" t="n"/>
      <c r="O473" s="68" t="n"/>
      <c r="P473" s="68" t="inlineStr">
        <is>
          <t>Hebdomadaire</t>
        </is>
      </c>
      <c r="Q473" s="69" t="inlineStr"/>
      <c r="R473" s="68" t="n">
        <v>1</v>
      </c>
      <c r="S473" s="68" t="inlineStr">
        <is>
          <t>Oui</t>
        </is>
      </c>
      <c r="T473" s="68" t="inlineStr">
        <is>
          <t>S4-072</t>
        </is>
      </c>
      <c r="U473" s="69" t="inlineStr">
        <is>
          <t>Généré (octobre)</t>
        </is>
      </c>
      <c r="V473" s="69" t="inlineStr"/>
      <c r="W473" s="10" t="n"/>
      <c r="X473" s="10" t="inlineStr"/>
      <c r="Y473" s="64">
        <f>IF($M473="","",IF(SUMPRODUCT(($D$4:$D$863=$D473)*($M$4:$M$863=$M473)*($T$4:$T$863&lt;&gt;$T473)*($F$4:$F$863&lt;$G473)*($G$4:$G$863&gt;$F473))&gt;0,"⚠ CONFLIT",""))</f>
        <v/>
      </c>
      <c r="Z473" s="64">
        <f>IF($J473="","",IF(SUMPRODUCT(($D$4:$D$863=$D473)*($J$4:$J$863=$J473)*($T$4:$T$863&lt;&gt;$T473)*($F$4:$F$863&lt;$G473)*($G$4:$G$863&gt;$F473)*(1-($X$4:$X$863="Oui")*($X473="Oui")))&gt;0,"⚠ CONFLIT",""))</f>
        <v/>
      </c>
      <c r="AA473" s="64">
        <f>IF(COUNTIFS($D$4:$D$863,$D473,$J$4:$J$863,$J473,$F$4:$F$863,$F473,$K$4:$K$863,$K473)&gt;1,"⚠ DOUBLON","")</f>
        <v/>
      </c>
      <c r="AB473" s="64">
        <f>IF(COUNTIF($T$4:$T$863,$T473)&lt;&gt;COUNTIFS($T$4:$T$863,$T473,$D$4:$D$863,$D473,$F$4:$F$863,$F473,$G$4:$G$863,$G473,$K$4:$K$863,$K473,$M$4:$M$863,$M473),"⚠ INCOHÉRENT","")</f>
        <v/>
      </c>
      <c r="AC473" s="64">
        <f>COUNTIFS($A$4:$A473,$A473,$J$4:$J473,$J473,$E$4:$E473,$E473)</f>
        <v/>
      </c>
      <c r="AD473" s="65">
        <f>$A473&amp;"|"&amp;$J473&amp;"|"&amp;$E473&amp;"|"&amp;$AC473</f>
        <v/>
      </c>
      <c r="AE473" s="66">
        <f>IF($W473&lt;&gt;"","⚑ "&amp;$W473&amp;CHAR(10),"")&amp;TEXT($F473,"hh:mm")&amp;"-"&amp;TEXT($G473,"hh:mm")&amp;IF(OR($P473="Quinzaine A",AND($P473="Hebdo · groupes alternés",$C473="A"))," Q-A",IF(OR($P473="Quinzaine B",AND($P473="Hebdo · groupes alternés",$C473="B"))," Q-B",IF($P473="Exception"," PONCT.","")))&amp;IF($X473="Oui"," OPT","")&amp;CHAR(10)&amp;$K473&amp;CHAR(10)&amp;$M473&amp;IF($N473&lt;&gt;"",CHAR(10)&amp;"Salle "&amp;$N473,"")&amp;IF($O473="En ligne",CHAR(10)&amp;"EN LIGNE","")&amp;IF($V473&lt;&gt;"",CHAR(10)&amp;$V473,"")</f>
        <v/>
      </c>
      <c r="AF473" s="65" t="inlineStr"/>
      <c r="AG473" s="65" t="inlineStr">
        <is>
          <t>— généré —</t>
        </is>
      </c>
    </row>
    <row r="474" ht="15" customHeight="1">
      <c r="A474" s="68" t="inlineStr">
        <is>
          <t>S4</t>
        </is>
      </c>
      <c r="B474" s="69" t="inlineStr">
        <is>
          <t>du 5 au 11 octobre 2026</t>
        </is>
      </c>
      <c r="C474" s="68" t="inlineStr">
        <is>
          <t>B</t>
        </is>
      </c>
      <c r="D474" s="70" t="n">
        <v>46306</v>
      </c>
      <c r="E474" s="68" t="inlineStr">
        <is>
          <t>Dimanche</t>
        </is>
      </c>
      <c r="F474" s="71" t="n">
        <v>0.6458333333333334</v>
      </c>
      <c r="G474" s="71" t="n">
        <v>0.7083333333333334</v>
      </c>
      <c r="H474" s="72">
        <f>IF(OR($F474="",$G474=""),"",($G474-$F474)*24)</f>
        <v/>
      </c>
      <c r="I474" s="68" t="inlineStr">
        <is>
          <t>Collège</t>
        </is>
      </c>
      <c r="J474" s="69" t="inlineStr">
        <is>
          <t>7éme (B)</t>
        </is>
      </c>
      <c r="K474" s="67" t="inlineStr">
        <is>
          <t>Français</t>
        </is>
      </c>
      <c r="L474" s="67" t="inlineStr">
        <is>
          <t>Français</t>
        </is>
      </c>
      <c r="M474" s="69" t="inlineStr">
        <is>
          <t>Marwa</t>
        </is>
      </c>
      <c r="N474" s="68" t="n"/>
      <c r="O474" s="68" t="n"/>
      <c r="P474" s="68" t="inlineStr">
        <is>
          <t>Hebdomadaire</t>
        </is>
      </c>
      <c r="Q474" s="69" t="inlineStr"/>
      <c r="R474" s="68" t="n">
        <v>1</v>
      </c>
      <c r="S474" s="68" t="inlineStr">
        <is>
          <t>Oui</t>
        </is>
      </c>
      <c r="T474" s="68" t="inlineStr">
        <is>
          <t>S4-073</t>
        </is>
      </c>
      <c r="U474" s="69" t="inlineStr">
        <is>
          <t>Généré (octobre)</t>
        </is>
      </c>
      <c r="V474" s="69" t="inlineStr"/>
      <c r="W474" s="10" t="n"/>
      <c r="X474" s="10" t="inlineStr"/>
      <c r="Y474" s="64">
        <f>IF($M474="","",IF(SUMPRODUCT(($D$4:$D$863=$D474)*($M$4:$M$863=$M474)*($T$4:$T$863&lt;&gt;$T474)*($F$4:$F$863&lt;$G474)*($G$4:$G$863&gt;$F474))&gt;0,"⚠ CONFLIT",""))</f>
        <v/>
      </c>
      <c r="Z474" s="64">
        <f>IF($J474="","",IF(SUMPRODUCT(($D$4:$D$863=$D474)*($J$4:$J$863=$J474)*($T$4:$T$863&lt;&gt;$T474)*($F$4:$F$863&lt;$G474)*($G$4:$G$863&gt;$F474)*(1-($X$4:$X$863="Oui")*($X474="Oui")))&gt;0,"⚠ CONFLIT",""))</f>
        <v/>
      </c>
      <c r="AA474" s="64">
        <f>IF(COUNTIFS($D$4:$D$863,$D474,$J$4:$J$863,$J474,$F$4:$F$863,$F474,$K$4:$K$863,$K474)&gt;1,"⚠ DOUBLON","")</f>
        <v/>
      </c>
      <c r="AB474" s="64">
        <f>IF(COUNTIF($T$4:$T$863,$T474)&lt;&gt;COUNTIFS($T$4:$T$863,$T474,$D$4:$D$863,$D474,$F$4:$F$863,$F474,$G$4:$G$863,$G474,$K$4:$K$863,$K474,$M$4:$M$863,$M474),"⚠ INCOHÉRENT","")</f>
        <v/>
      </c>
      <c r="AC474" s="64">
        <f>COUNTIFS($A$4:$A474,$A474,$J$4:$J474,$J474,$E$4:$E474,$E474)</f>
        <v/>
      </c>
      <c r="AD474" s="65">
        <f>$A474&amp;"|"&amp;$J474&amp;"|"&amp;$E474&amp;"|"&amp;$AC474</f>
        <v/>
      </c>
      <c r="AE474" s="66">
        <f>IF($W474&lt;&gt;"","⚑ "&amp;$W474&amp;CHAR(10),"")&amp;TEXT($F474,"hh:mm")&amp;"-"&amp;TEXT($G474,"hh:mm")&amp;IF(OR($P474="Quinzaine A",AND($P474="Hebdo · groupes alternés",$C474="A"))," Q-A",IF(OR($P474="Quinzaine B",AND($P474="Hebdo · groupes alternés",$C474="B"))," Q-B",IF($P474="Exception"," PONCT.","")))&amp;IF($X474="Oui"," OPT","")&amp;CHAR(10)&amp;$K474&amp;CHAR(10)&amp;$M474&amp;IF($N474&lt;&gt;"",CHAR(10)&amp;"Salle "&amp;$N474,"")&amp;IF($O474="En ligne",CHAR(10)&amp;"EN LIGNE","")&amp;IF($V474&lt;&gt;"",CHAR(10)&amp;$V474,"")</f>
        <v/>
      </c>
      <c r="AF474" s="65" t="inlineStr"/>
      <c r="AG474" s="65" t="inlineStr">
        <is>
          <t>— généré —</t>
        </is>
      </c>
    </row>
    <row r="475" ht="15" customHeight="1">
      <c r="A475" s="68" t="inlineStr">
        <is>
          <t>S4</t>
        </is>
      </c>
      <c r="B475" s="69" t="inlineStr">
        <is>
          <t>du 5 au 11 octobre 2026</t>
        </is>
      </c>
      <c r="C475" s="68" t="inlineStr">
        <is>
          <t>B</t>
        </is>
      </c>
      <c r="D475" s="70" t="n">
        <v>46306</v>
      </c>
      <c r="E475" s="68" t="inlineStr">
        <is>
          <t>Dimanche</t>
        </is>
      </c>
      <c r="F475" s="71" t="n">
        <v>0.5729166666666666</v>
      </c>
      <c r="G475" s="71" t="n">
        <v>0.6354166666666666</v>
      </c>
      <c r="H475" s="72">
        <f>IF(OR($F475="",$G475=""),"",($G475-$F475)*24)</f>
        <v/>
      </c>
      <c r="I475" s="68" t="inlineStr">
        <is>
          <t>Collège</t>
        </is>
      </c>
      <c r="J475" s="69" t="inlineStr">
        <is>
          <t>8éme (A)</t>
        </is>
      </c>
      <c r="K475" s="79" t="inlineStr">
        <is>
          <t>Math</t>
        </is>
      </c>
      <c r="L475" s="79" t="inlineStr">
        <is>
          <t>Math</t>
        </is>
      </c>
      <c r="M475" s="69" t="inlineStr">
        <is>
          <t>Hajer</t>
        </is>
      </c>
      <c r="N475" s="68" t="n"/>
      <c r="O475" s="68" t="n"/>
      <c r="P475" s="68" t="inlineStr">
        <is>
          <t>Hebdomadaire</t>
        </is>
      </c>
      <c r="Q475" s="69" t="inlineStr"/>
      <c r="R475" s="68" t="n">
        <v>1</v>
      </c>
      <c r="S475" s="68" t="inlineStr">
        <is>
          <t>Oui</t>
        </is>
      </c>
      <c r="T475" s="68" t="inlineStr">
        <is>
          <t>S4-074</t>
        </is>
      </c>
      <c r="U475" s="69" t="inlineStr">
        <is>
          <t>Généré (octobre)</t>
        </is>
      </c>
      <c r="V475" s="69" t="inlineStr"/>
      <c r="W475" s="10" t="n"/>
      <c r="X475" s="10" t="inlineStr"/>
      <c r="Y475" s="64">
        <f>IF($M475="","",IF(SUMPRODUCT(($D$4:$D$863=$D475)*($M$4:$M$863=$M475)*($T$4:$T$863&lt;&gt;$T475)*($F$4:$F$863&lt;$G475)*($G$4:$G$863&gt;$F475))&gt;0,"⚠ CONFLIT",""))</f>
        <v/>
      </c>
      <c r="Z475" s="64">
        <f>IF($J475="","",IF(SUMPRODUCT(($D$4:$D$863=$D475)*($J$4:$J$863=$J475)*($T$4:$T$863&lt;&gt;$T475)*($F$4:$F$863&lt;$G475)*($G$4:$G$863&gt;$F475)*(1-($X$4:$X$863="Oui")*($X475="Oui")))&gt;0,"⚠ CONFLIT",""))</f>
        <v/>
      </c>
      <c r="AA475" s="64">
        <f>IF(COUNTIFS($D$4:$D$863,$D475,$J$4:$J$863,$J475,$F$4:$F$863,$F475,$K$4:$K$863,$K475)&gt;1,"⚠ DOUBLON","")</f>
        <v/>
      </c>
      <c r="AB475" s="64">
        <f>IF(COUNTIF($T$4:$T$863,$T475)&lt;&gt;COUNTIFS($T$4:$T$863,$T475,$D$4:$D$863,$D475,$F$4:$F$863,$F475,$G$4:$G$863,$G475,$K$4:$K$863,$K475,$M$4:$M$863,$M475),"⚠ INCOHÉRENT","")</f>
        <v/>
      </c>
      <c r="AC475" s="64">
        <f>COUNTIFS($A$4:$A475,$A475,$J$4:$J475,$J475,$E$4:$E475,$E475)</f>
        <v/>
      </c>
      <c r="AD475" s="65">
        <f>$A475&amp;"|"&amp;$J475&amp;"|"&amp;$E475&amp;"|"&amp;$AC475</f>
        <v/>
      </c>
      <c r="AE475" s="66">
        <f>IF($W475&lt;&gt;"","⚑ "&amp;$W475&amp;CHAR(10),"")&amp;TEXT($F475,"hh:mm")&amp;"-"&amp;TEXT($G475,"hh:mm")&amp;IF(OR($P475="Quinzaine A",AND($P475="Hebdo · groupes alternés",$C475="A"))," Q-A",IF(OR($P475="Quinzaine B",AND($P475="Hebdo · groupes alternés",$C475="B"))," Q-B",IF($P475="Exception"," PONCT.","")))&amp;IF($X475="Oui"," OPT","")&amp;CHAR(10)&amp;$K475&amp;CHAR(10)&amp;$M475&amp;IF($N475&lt;&gt;"",CHAR(10)&amp;"Salle "&amp;$N475,"")&amp;IF($O475="En ligne",CHAR(10)&amp;"EN LIGNE","")&amp;IF($V475&lt;&gt;"",CHAR(10)&amp;$V475,"")</f>
        <v/>
      </c>
      <c r="AF475" s="65" t="inlineStr"/>
      <c r="AG475" s="65" t="inlineStr">
        <is>
          <t>— généré —</t>
        </is>
      </c>
    </row>
    <row r="476" ht="15" customHeight="1">
      <c r="A476" s="68" t="inlineStr">
        <is>
          <t>S4</t>
        </is>
      </c>
      <c r="B476" s="69" t="inlineStr">
        <is>
          <t>du 5 au 11 octobre 2026</t>
        </is>
      </c>
      <c r="C476" s="68" t="inlineStr">
        <is>
          <t>B</t>
        </is>
      </c>
      <c r="D476" s="70" t="n">
        <v>46306</v>
      </c>
      <c r="E476" s="68" t="inlineStr">
        <is>
          <t>Dimanche</t>
        </is>
      </c>
      <c r="F476" s="71" t="n">
        <v>0.7083333333333334</v>
      </c>
      <c r="G476" s="71" t="n">
        <v>0.7708333333333334</v>
      </c>
      <c r="H476" s="72">
        <f>IF(OR($F476="",$G476=""),"",($G476-$F476)*24)</f>
        <v/>
      </c>
      <c r="I476" s="68" t="inlineStr">
        <is>
          <t>Collège</t>
        </is>
      </c>
      <c r="J476" s="69" t="inlineStr">
        <is>
          <t>8éme (B)</t>
        </is>
      </c>
      <c r="K476" s="67" t="inlineStr">
        <is>
          <t>Français</t>
        </is>
      </c>
      <c r="L476" s="67" t="inlineStr">
        <is>
          <t>Français</t>
        </is>
      </c>
      <c r="M476" s="69" t="inlineStr">
        <is>
          <t>Marwa</t>
        </is>
      </c>
      <c r="N476" s="68" t="n"/>
      <c r="O476" s="68" t="n"/>
      <c r="P476" s="68" t="inlineStr">
        <is>
          <t>Hebdomadaire</t>
        </is>
      </c>
      <c r="Q476" s="69" t="inlineStr"/>
      <c r="R476" s="68" t="n">
        <v>1</v>
      </c>
      <c r="S476" s="68" t="inlineStr">
        <is>
          <t>Oui</t>
        </is>
      </c>
      <c r="T476" s="68" t="inlineStr">
        <is>
          <t>S4-075</t>
        </is>
      </c>
      <c r="U476" s="69" t="inlineStr">
        <is>
          <t>Généré (octobre)</t>
        </is>
      </c>
      <c r="V476" s="69" t="inlineStr"/>
      <c r="W476" s="10" t="n"/>
      <c r="X476" s="10" t="inlineStr"/>
      <c r="Y476" s="64">
        <f>IF($M476="","",IF(SUMPRODUCT(($D$4:$D$863=$D476)*($M$4:$M$863=$M476)*($T$4:$T$863&lt;&gt;$T476)*($F$4:$F$863&lt;$G476)*($G$4:$G$863&gt;$F476))&gt;0,"⚠ CONFLIT",""))</f>
        <v/>
      </c>
      <c r="Z476" s="64">
        <f>IF($J476="","",IF(SUMPRODUCT(($D$4:$D$863=$D476)*($J$4:$J$863=$J476)*($T$4:$T$863&lt;&gt;$T476)*($F$4:$F$863&lt;$G476)*($G$4:$G$863&gt;$F476)*(1-($X$4:$X$863="Oui")*($X476="Oui")))&gt;0,"⚠ CONFLIT",""))</f>
        <v/>
      </c>
      <c r="AA476" s="64">
        <f>IF(COUNTIFS($D$4:$D$863,$D476,$J$4:$J$863,$J476,$F$4:$F$863,$F476,$K$4:$K$863,$K476)&gt;1,"⚠ DOUBLON","")</f>
        <v/>
      </c>
      <c r="AB476" s="64">
        <f>IF(COUNTIF($T$4:$T$863,$T476)&lt;&gt;COUNTIFS($T$4:$T$863,$T476,$D$4:$D$863,$D476,$F$4:$F$863,$F476,$G$4:$G$863,$G476,$K$4:$K$863,$K476,$M$4:$M$863,$M476),"⚠ INCOHÉRENT","")</f>
        <v/>
      </c>
      <c r="AC476" s="64">
        <f>COUNTIFS($A$4:$A476,$A476,$J$4:$J476,$J476,$E$4:$E476,$E476)</f>
        <v/>
      </c>
      <c r="AD476" s="65">
        <f>$A476&amp;"|"&amp;$J476&amp;"|"&amp;$E476&amp;"|"&amp;$AC476</f>
        <v/>
      </c>
      <c r="AE476" s="66">
        <f>IF($W476&lt;&gt;"","⚑ "&amp;$W476&amp;CHAR(10),"")&amp;TEXT($F476,"hh:mm")&amp;"-"&amp;TEXT($G476,"hh:mm")&amp;IF(OR($P476="Quinzaine A",AND($P476="Hebdo · groupes alternés",$C476="A"))," Q-A",IF(OR($P476="Quinzaine B",AND($P476="Hebdo · groupes alternés",$C476="B"))," Q-B",IF($P476="Exception"," PONCT.","")))&amp;IF($X476="Oui"," OPT","")&amp;CHAR(10)&amp;$K476&amp;CHAR(10)&amp;$M476&amp;IF($N476&lt;&gt;"",CHAR(10)&amp;"Salle "&amp;$N476,"")&amp;IF($O476="En ligne",CHAR(10)&amp;"EN LIGNE","")&amp;IF($V476&lt;&gt;"",CHAR(10)&amp;$V476,"")</f>
        <v/>
      </c>
      <c r="AF476" s="65" t="inlineStr"/>
      <c r="AG476" s="65" t="inlineStr">
        <is>
          <t>— généré —</t>
        </is>
      </c>
    </row>
    <row r="477" ht="15" customHeight="1">
      <c r="A477" s="68" t="inlineStr">
        <is>
          <t>S4</t>
        </is>
      </c>
      <c r="B477" s="69" t="inlineStr">
        <is>
          <t>du 5 au 11 octobre 2026</t>
        </is>
      </c>
      <c r="C477" s="68" t="inlineStr">
        <is>
          <t>B</t>
        </is>
      </c>
      <c r="D477" s="70" t="n">
        <v>46306</v>
      </c>
      <c r="E477" s="68" t="inlineStr">
        <is>
          <t>Dimanche</t>
        </is>
      </c>
      <c r="F477" s="71" t="n">
        <v>0.4375</v>
      </c>
      <c r="G477" s="71" t="n">
        <v>0.5</v>
      </c>
      <c r="H477" s="72">
        <f>IF(OR($F477="",$G477=""),"",($G477-$F477)*24)</f>
        <v/>
      </c>
      <c r="I477" s="68" t="inlineStr">
        <is>
          <t>Collège</t>
        </is>
      </c>
      <c r="J477" s="69" t="inlineStr">
        <is>
          <t>9éme (A)</t>
        </is>
      </c>
      <c r="K477" s="87" t="inlineStr">
        <is>
          <t>Anglais</t>
        </is>
      </c>
      <c r="L477" s="87" t="inlineStr">
        <is>
          <t>Anglais</t>
        </is>
      </c>
      <c r="M477" s="69" t="inlineStr">
        <is>
          <t>Bassma</t>
        </is>
      </c>
      <c r="N477" s="68" t="n"/>
      <c r="O477" s="68" t="n"/>
      <c r="P477" s="68" t="inlineStr">
        <is>
          <t>Hebdomadaire</t>
        </is>
      </c>
      <c r="Q477" s="69" t="inlineStr"/>
      <c r="R477" s="68" t="n">
        <v>1</v>
      </c>
      <c r="S477" s="68" t="inlineStr">
        <is>
          <t>Oui</t>
        </is>
      </c>
      <c r="T477" s="68" t="inlineStr">
        <is>
          <t>S4-076</t>
        </is>
      </c>
      <c r="U477" s="69" t="inlineStr">
        <is>
          <t>Généré (octobre)</t>
        </is>
      </c>
      <c r="V477" s="69" t="inlineStr"/>
      <c r="W477" s="10" t="n"/>
      <c r="X477" s="10" t="inlineStr"/>
      <c r="Y477" s="64">
        <f>IF($M477="","",IF(SUMPRODUCT(($D$4:$D$863=$D477)*($M$4:$M$863=$M477)*($T$4:$T$863&lt;&gt;$T477)*($F$4:$F$863&lt;$G477)*($G$4:$G$863&gt;$F477))&gt;0,"⚠ CONFLIT",""))</f>
        <v/>
      </c>
      <c r="Z477" s="64">
        <f>IF($J477="","",IF(SUMPRODUCT(($D$4:$D$863=$D477)*($J$4:$J$863=$J477)*($T$4:$T$863&lt;&gt;$T477)*($F$4:$F$863&lt;$G477)*($G$4:$G$863&gt;$F477)*(1-($X$4:$X$863="Oui")*($X477="Oui")))&gt;0,"⚠ CONFLIT",""))</f>
        <v/>
      </c>
      <c r="AA477" s="64">
        <f>IF(COUNTIFS($D$4:$D$863,$D477,$J$4:$J$863,$J477,$F$4:$F$863,$F477,$K$4:$K$863,$K477)&gt;1,"⚠ DOUBLON","")</f>
        <v/>
      </c>
      <c r="AB477" s="64">
        <f>IF(COUNTIF($T$4:$T$863,$T477)&lt;&gt;COUNTIFS($T$4:$T$863,$T477,$D$4:$D$863,$D477,$F$4:$F$863,$F477,$G$4:$G$863,$G477,$K$4:$K$863,$K477,$M$4:$M$863,$M477),"⚠ INCOHÉRENT","")</f>
        <v/>
      </c>
      <c r="AC477" s="64">
        <f>COUNTIFS($A$4:$A477,$A477,$J$4:$J477,$J477,$E$4:$E477,$E477)</f>
        <v/>
      </c>
      <c r="AD477" s="65">
        <f>$A477&amp;"|"&amp;$J477&amp;"|"&amp;$E477&amp;"|"&amp;$AC477</f>
        <v/>
      </c>
      <c r="AE477" s="66">
        <f>IF($W477&lt;&gt;"","⚑ "&amp;$W477&amp;CHAR(10),"")&amp;TEXT($F477,"hh:mm")&amp;"-"&amp;TEXT($G477,"hh:mm")&amp;IF(OR($P477="Quinzaine A",AND($P477="Hebdo · groupes alternés",$C477="A"))," Q-A",IF(OR($P477="Quinzaine B",AND($P477="Hebdo · groupes alternés",$C477="B"))," Q-B",IF($P477="Exception"," PONCT.","")))&amp;IF($X477="Oui"," OPT","")&amp;CHAR(10)&amp;$K477&amp;CHAR(10)&amp;$M477&amp;IF($N477&lt;&gt;"",CHAR(10)&amp;"Salle "&amp;$N477,"")&amp;IF($O477="En ligne",CHAR(10)&amp;"EN LIGNE","")&amp;IF($V477&lt;&gt;"",CHAR(10)&amp;$V477,"")</f>
        <v/>
      </c>
      <c r="AF477" s="65" t="inlineStr"/>
      <c r="AG477" s="65" t="inlineStr">
        <is>
          <t>— généré —</t>
        </is>
      </c>
    </row>
    <row r="478" ht="15" customHeight="1">
      <c r="A478" s="68" t="inlineStr">
        <is>
          <t>S4</t>
        </is>
      </c>
      <c r="B478" s="69" t="inlineStr">
        <is>
          <t>du 5 au 11 octobre 2026</t>
        </is>
      </c>
      <c r="C478" s="68" t="inlineStr">
        <is>
          <t>B</t>
        </is>
      </c>
      <c r="D478" s="70" t="n">
        <v>46306</v>
      </c>
      <c r="E478" s="68" t="inlineStr">
        <is>
          <t>Dimanche</t>
        </is>
      </c>
      <c r="F478" s="71" t="n">
        <v>0.6458333333333334</v>
      </c>
      <c r="G478" s="71" t="n">
        <v>0.7083333333333334</v>
      </c>
      <c r="H478" s="72">
        <f>IF(OR($F478="",$G478=""),"",($G478-$F478)*24)</f>
        <v/>
      </c>
      <c r="I478" s="68" t="inlineStr">
        <is>
          <t>Collège</t>
        </is>
      </c>
      <c r="J478" s="69" t="inlineStr">
        <is>
          <t>9éme (A)</t>
        </is>
      </c>
      <c r="K478" s="67" t="inlineStr">
        <is>
          <t>Français</t>
        </is>
      </c>
      <c r="L478" s="67" t="inlineStr">
        <is>
          <t>Français</t>
        </is>
      </c>
      <c r="M478" s="69" t="inlineStr">
        <is>
          <t>Nassima</t>
        </is>
      </c>
      <c r="N478" s="68" t="n"/>
      <c r="O478" s="68" t="n"/>
      <c r="P478" s="68" t="inlineStr">
        <is>
          <t>Hebdomadaire</t>
        </is>
      </c>
      <c r="Q478" s="69" t="inlineStr"/>
      <c r="R478" s="68" t="n">
        <v>1</v>
      </c>
      <c r="S478" s="68" t="inlineStr">
        <is>
          <t>Oui</t>
        </is>
      </c>
      <c r="T478" s="68" t="inlineStr">
        <is>
          <t>S4-077</t>
        </is>
      </c>
      <c r="U478" s="69" t="inlineStr">
        <is>
          <t>Généré (octobre)</t>
        </is>
      </c>
      <c r="V478" s="69" t="inlineStr"/>
      <c r="W478" s="10" t="n"/>
      <c r="X478" s="10" t="inlineStr"/>
      <c r="Y478" s="64">
        <f>IF($M478="","",IF(SUMPRODUCT(($D$4:$D$863=$D478)*($M$4:$M$863=$M478)*($T$4:$T$863&lt;&gt;$T478)*($F$4:$F$863&lt;$G478)*($G$4:$G$863&gt;$F478))&gt;0,"⚠ CONFLIT",""))</f>
        <v/>
      </c>
      <c r="Z478" s="64">
        <f>IF($J478="","",IF(SUMPRODUCT(($D$4:$D$863=$D478)*($J$4:$J$863=$J478)*($T$4:$T$863&lt;&gt;$T478)*($F$4:$F$863&lt;$G478)*($G$4:$G$863&gt;$F478)*(1-($X$4:$X$863="Oui")*($X478="Oui")))&gt;0,"⚠ CONFLIT",""))</f>
        <v/>
      </c>
      <c r="AA478" s="64">
        <f>IF(COUNTIFS($D$4:$D$863,$D478,$J$4:$J$863,$J478,$F$4:$F$863,$F478,$K$4:$K$863,$K478)&gt;1,"⚠ DOUBLON","")</f>
        <v/>
      </c>
      <c r="AB478" s="64">
        <f>IF(COUNTIF($T$4:$T$863,$T478)&lt;&gt;COUNTIFS($T$4:$T$863,$T478,$D$4:$D$863,$D478,$F$4:$F$863,$F478,$G$4:$G$863,$G478,$K$4:$K$863,$K478,$M$4:$M$863,$M478),"⚠ INCOHÉRENT","")</f>
        <v/>
      </c>
      <c r="AC478" s="64">
        <f>COUNTIFS($A$4:$A478,$A478,$J$4:$J478,$J478,$E$4:$E478,$E478)</f>
        <v/>
      </c>
      <c r="AD478" s="65">
        <f>$A478&amp;"|"&amp;$J478&amp;"|"&amp;$E478&amp;"|"&amp;$AC478</f>
        <v/>
      </c>
      <c r="AE478" s="66">
        <f>IF($W478&lt;&gt;"","⚑ "&amp;$W478&amp;CHAR(10),"")&amp;TEXT($F478,"hh:mm")&amp;"-"&amp;TEXT($G478,"hh:mm")&amp;IF(OR($P478="Quinzaine A",AND($P478="Hebdo · groupes alternés",$C478="A"))," Q-A",IF(OR($P478="Quinzaine B",AND($P478="Hebdo · groupes alternés",$C478="B"))," Q-B",IF($P478="Exception"," PONCT.","")))&amp;IF($X478="Oui"," OPT","")&amp;CHAR(10)&amp;$K478&amp;CHAR(10)&amp;$M478&amp;IF($N478&lt;&gt;"",CHAR(10)&amp;"Salle "&amp;$N478,"")&amp;IF($O478="En ligne",CHAR(10)&amp;"EN LIGNE","")&amp;IF($V478&lt;&gt;"",CHAR(10)&amp;$V478,"")</f>
        <v/>
      </c>
      <c r="AF478" s="65" t="inlineStr"/>
      <c r="AG478" s="65" t="inlineStr">
        <is>
          <t>— généré —</t>
        </is>
      </c>
    </row>
    <row r="479" ht="15" customHeight="1">
      <c r="A479" s="68" t="inlineStr">
        <is>
          <t>S4</t>
        </is>
      </c>
      <c r="B479" s="69" t="inlineStr">
        <is>
          <t>du 5 au 11 octobre 2026</t>
        </is>
      </c>
      <c r="C479" s="68" t="inlineStr">
        <is>
          <t>B</t>
        </is>
      </c>
      <c r="D479" s="70" t="n">
        <v>46306</v>
      </c>
      <c r="E479" s="68" t="inlineStr">
        <is>
          <t>Dimanche</t>
        </is>
      </c>
      <c r="F479" s="71" t="n">
        <v>0.375</v>
      </c>
      <c r="G479" s="71" t="n">
        <v>0.4375</v>
      </c>
      <c r="H479" s="72">
        <f>IF(OR($F479="",$G479=""),"",($G479-$F479)*24)</f>
        <v/>
      </c>
      <c r="I479" s="68" t="inlineStr">
        <is>
          <t>Collège</t>
        </is>
      </c>
      <c r="J479" s="69" t="inlineStr">
        <is>
          <t>9éme (B)</t>
        </is>
      </c>
      <c r="K479" s="87" t="inlineStr">
        <is>
          <t>Anglais</t>
        </is>
      </c>
      <c r="L479" s="87" t="inlineStr">
        <is>
          <t>Anglais</t>
        </is>
      </c>
      <c r="M479" s="69" t="inlineStr">
        <is>
          <t>Bassma</t>
        </is>
      </c>
      <c r="N479" s="68" t="n"/>
      <c r="O479" s="68" t="n"/>
      <c r="P479" s="68" t="inlineStr">
        <is>
          <t>Hebdomadaire</t>
        </is>
      </c>
      <c r="Q479" s="69" t="inlineStr"/>
      <c r="R479" s="68" t="n">
        <v>1</v>
      </c>
      <c r="S479" s="68" t="inlineStr">
        <is>
          <t>Oui</t>
        </is>
      </c>
      <c r="T479" s="68" t="inlineStr">
        <is>
          <t>S4-078</t>
        </is>
      </c>
      <c r="U479" s="69" t="inlineStr">
        <is>
          <t>Généré (octobre)</t>
        </is>
      </c>
      <c r="V479" s="69" t="inlineStr"/>
      <c r="W479" s="10" t="n"/>
      <c r="X479" s="10" t="inlineStr"/>
      <c r="Y479" s="64">
        <f>IF($M479="","",IF(SUMPRODUCT(($D$4:$D$863=$D479)*($M$4:$M$863=$M479)*($T$4:$T$863&lt;&gt;$T479)*($F$4:$F$863&lt;$G479)*($G$4:$G$863&gt;$F479))&gt;0,"⚠ CONFLIT",""))</f>
        <v/>
      </c>
      <c r="Z479" s="64">
        <f>IF($J479="","",IF(SUMPRODUCT(($D$4:$D$863=$D479)*($J$4:$J$863=$J479)*($T$4:$T$863&lt;&gt;$T479)*($F$4:$F$863&lt;$G479)*($G$4:$G$863&gt;$F479)*(1-($X$4:$X$863="Oui")*($X479="Oui")))&gt;0,"⚠ CONFLIT",""))</f>
        <v/>
      </c>
      <c r="AA479" s="64">
        <f>IF(COUNTIFS($D$4:$D$863,$D479,$J$4:$J$863,$J479,$F$4:$F$863,$F479,$K$4:$K$863,$K479)&gt;1,"⚠ DOUBLON","")</f>
        <v/>
      </c>
      <c r="AB479" s="64">
        <f>IF(COUNTIF($T$4:$T$863,$T479)&lt;&gt;COUNTIFS($T$4:$T$863,$T479,$D$4:$D$863,$D479,$F$4:$F$863,$F479,$G$4:$G$863,$G479,$K$4:$K$863,$K479,$M$4:$M$863,$M479),"⚠ INCOHÉRENT","")</f>
        <v/>
      </c>
      <c r="AC479" s="64">
        <f>COUNTIFS($A$4:$A479,$A479,$J$4:$J479,$J479,$E$4:$E479,$E479)</f>
        <v/>
      </c>
      <c r="AD479" s="65">
        <f>$A479&amp;"|"&amp;$J479&amp;"|"&amp;$E479&amp;"|"&amp;$AC479</f>
        <v/>
      </c>
      <c r="AE479" s="66">
        <f>IF($W479&lt;&gt;"","⚑ "&amp;$W479&amp;CHAR(10),"")&amp;TEXT($F479,"hh:mm")&amp;"-"&amp;TEXT($G479,"hh:mm")&amp;IF(OR($P479="Quinzaine A",AND($P479="Hebdo · groupes alternés",$C479="A"))," Q-A",IF(OR($P479="Quinzaine B",AND($P479="Hebdo · groupes alternés",$C479="B"))," Q-B",IF($P479="Exception"," PONCT.","")))&amp;IF($X479="Oui"," OPT","")&amp;CHAR(10)&amp;$K479&amp;CHAR(10)&amp;$M479&amp;IF($N479&lt;&gt;"",CHAR(10)&amp;"Salle "&amp;$N479,"")&amp;IF($O479="En ligne",CHAR(10)&amp;"EN LIGNE","")&amp;IF($V479&lt;&gt;"",CHAR(10)&amp;$V479,"")</f>
        <v/>
      </c>
      <c r="AF479" s="65" t="inlineStr"/>
      <c r="AG479" s="65" t="inlineStr">
        <is>
          <t>— généré —</t>
        </is>
      </c>
    </row>
    <row r="480" ht="15" customHeight="1">
      <c r="A480" s="68" t="inlineStr">
        <is>
          <t>S4</t>
        </is>
      </c>
      <c r="B480" s="69" t="inlineStr">
        <is>
          <t>du 5 au 11 octobre 2026</t>
        </is>
      </c>
      <c r="C480" s="68" t="inlineStr">
        <is>
          <t>B</t>
        </is>
      </c>
      <c r="D480" s="70" t="n">
        <v>46306</v>
      </c>
      <c r="E480" s="68" t="inlineStr">
        <is>
          <t>Dimanche</t>
        </is>
      </c>
      <c r="F480" s="71" t="n">
        <v>0.7083333333333334</v>
      </c>
      <c r="G480" s="71" t="n">
        <v>0.7708333333333334</v>
      </c>
      <c r="H480" s="72">
        <f>IF(OR($F480="",$G480=""),"",($G480-$F480)*24)</f>
        <v/>
      </c>
      <c r="I480" s="68" t="inlineStr">
        <is>
          <t>Collège</t>
        </is>
      </c>
      <c r="J480" s="69" t="inlineStr">
        <is>
          <t>9éme (B)</t>
        </is>
      </c>
      <c r="K480" s="67" t="inlineStr">
        <is>
          <t>Français</t>
        </is>
      </c>
      <c r="L480" s="67" t="inlineStr">
        <is>
          <t>Français</t>
        </is>
      </c>
      <c r="M480" s="69" t="inlineStr">
        <is>
          <t>Nassima</t>
        </is>
      </c>
      <c r="N480" s="68" t="n"/>
      <c r="O480" s="68" t="n"/>
      <c r="P480" s="68" t="inlineStr">
        <is>
          <t>Hebdomadaire</t>
        </is>
      </c>
      <c r="Q480" s="69" t="inlineStr">
        <is>
          <t>9éme (B) + 9éme (C)</t>
        </is>
      </c>
      <c r="R480" s="68" t="n">
        <v>2</v>
      </c>
      <c r="S480" s="68" t="inlineStr">
        <is>
          <t>Oui</t>
        </is>
      </c>
      <c r="T480" s="68" t="inlineStr">
        <is>
          <t>S4-079</t>
        </is>
      </c>
      <c r="U480" s="69" t="inlineStr">
        <is>
          <t>Généré (octobre)</t>
        </is>
      </c>
      <c r="V480" s="69" t="inlineStr"/>
      <c r="W480" s="10" t="n"/>
      <c r="X480" s="10" t="inlineStr"/>
      <c r="Y480" s="64">
        <f>IF($M480="","",IF(SUMPRODUCT(($D$4:$D$863=$D480)*($M$4:$M$863=$M480)*($T$4:$T$863&lt;&gt;$T480)*($F$4:$F$863&lt;$G480)*($G$4:$G$863&gt;$F480))&gt;0,"⚠ CONFLIT",""))</f>
        <v/>
      </c>
      <c r="Z480" s="64">
        <f>IF($J480="","",IF(SUMPRODUCT(($D$4:$D$863=$D480)*($J$4:$J$863=$J480)*($T$4:$T$863&lt;&gt;$T480)*($F$4:$F$863&lt;$G480)*($G$4:$G$863&gt;$F480)*(1-($X$4:$X$863="Oui")*($X480="Oui")))&gt;0,"⚠ CONFLIT",""))</f>
        <v/>
      </c>
      <c r="AA480" s="64">
        <f>IF(COUNTIFS($D$4:$D$863,$D480,$J$4:$J$863,$J480,$F$4:$F$863,$F480,$K$4:$K$863,$K480)&gt;1,"⚠ DOUBLON","")</f>
        <v/>
      </c>
      <c r="AB480" s="64">
        <f>IF(COUNTIF($T$4:$T$863,$T480)&lt;&gt;COUNTIFS($T$4:$T$863,$T480,$D$4:$D$863,$D480,$F$4:$F$863,$F480,$G$4:$G$863,$G480,$K$4:$K$863,$K480,$M$4:$M$863,$M480),"⚠ INCOHÉRENT","")</f>
        <v/>
      </c>
      <c r="AC480" s="64">
        <f>COUNTIFS($A$4:$A480,$A480,$J$4:$J480,$J480,$E$4:$E480,$E480)</f>
        <v/>
      </c>
      <c r="AD480" s="65">
        <f>$A480&amp;"|"&amp;$J480&amp;"|"&amp;$E480&amp;"|"&amp;$AC480</f>
        <v/>
      </c>
      <c r="AE480" s="66">
        <f>IF($W480&lt;&gt;"","⚑ "&amp;$W480&amp;CHAR(10),"")&amp;TEXT($F480,"hh:mm")&amp;"-"&amp;TEXT($G480,"hh:mm")&amp;IF(OR($P480="Quinzaine A",AND($P480="Hebdo · groupes alternés",$C480="A"))," Q-A",IF(OR($P480="Quinzaine B",AND($P480="Hebdo · groupes alternés",$C480="B"))," Q-B",IF($P480="Exception"," PONCT.","")))&amp;IF($X480="Oui"," OPT","")&amp;CHAR(10)&amp;$K480&amp;CHAR(10)&amp;$M480&amp;IF($N480&lt;&gt;"",CHAR(10)&amp;"Salle "&amp;$N480,"")&amp;IF($O480="En ligne",CHAR(10)&amp;"EN LIGNE","")&amp;IF($V480&lt;&gt;"",CHAR(10)&amp;$V480,"")</f>
        <v/>
      </c>
      <c r="AF480" s="65" t="inlineStr"/>
      <c r="AG480" s="65" t="inlineStr">
        <is>
          <t>— généré —</t>
        </is>
      </c>
    </row>
    <row r="481" ht="15" customHeight="1">
      <c r="A481" s="68" t="inlineStr">
        <is>
          <t>S4</t>
        </is>
      </c>
      <c r="B481" s="69" t="inlineStr">
        <is>
          <t>du 5 au 11 octobre 2026</t>
        </is>
      </c>
      <c r="C481" s="68" t="inlineStr">
        <is>
          <t>B</t>
        </is>
      </c>
      <c r="D481" s="70" t="n">
        <v>46306</v>
      </c>
      <c r="E481" s="68" t="inlineStr">
        <is>
          <t>Dimanche</t>
        </is>
      </c>
      <c r="F481" s="71" t="n">
        <v>0.7083333333333334</v>
      </c>
      <c r="G481" s="71" t="n">
        <v>0.7708333333333334</v>
      </c>
      <c r="H481" s="72">
        <f>IF(OR($F481="",$G481=""),"",($G481-$F481)*24)</f>
        <v/>
      </c>
      <c r="I481" s="68" t="inlineStr">
        <is>
          <t>Collège</t>
        </is>
      </c>
      <c r="J481" s="69" t="inlineStr">
        <is>
          <t>9éme (C)</t>
        </is>
      </c>
      <c r="K481" s="67" t="inlineStr">
        <is>
          <t>Français</t>
        </is>
      </c>
      <c r="L481" s="67" t="inlineStr">
        <is>
          <t>Français</t>
        </is>
      </c>
      <c r="M481" s="69" t="inlineStr">
        <is>
          <t>Nassima</t>
        </is>
      </c>
      <c r="N481" s="68" t="n"/>
      <c r="O481" s="68" t="n"/>
      <c r="P481" s="68" t="inlineStr">
        <is>
          <t>Hebdomadaire</t>
        </is>
      </c>
      <c r="Q481" s="69" t="inlineStr">
        <is>
          <t>9éme (B) + 9éme (C)</t>
        </is>
      </c>
      <c r="R481" s="68" t="n">
        <v>2</v>
      </c>
      <c r="S481" s="68" t="inlineStr"/>
      <c r="T481" s="68" t="inlineStr">
        <is>
          <t>S4-079</t>
        </is>
      </c>
      <c r="U481" s="69" t="inlineStr">
        <is>
          <t>Généré (octobre)</t>
        </is>
      </c>
      <c r="V481" s="69" t="inlineStr"/>
      <c r="W481" s="10" t="n"/>
      <c r="X481" s="10" t="inlineStr"/>
      <c r="Y481" s="64">
        <f>IF($M481="","",IF(SUMPRODUCT(($D$4:$D$863=$D481)*($M$4:$M$863=$M481)*($T$4:$T$863&lt;&gt;$T481)*($F$4:$F$863&lt;$G481)*($G$4:$G$863&gt;$F481))&gt;0,"⚠ CONFLIT",""))</f>
        <v/>
      </c>
      <c r="Z481" s="64">
        <f>IF($J481="","",IF(SUMPRODUCT(($D$4:$D$863=$D481)*($J$4:$J$863=$J481)*($T$4:$T$863&lt;&gt;$T481)*($F$4:$F$863&lt;$G481)*($G$4:$G$863&gt;$F481)*(1-($X$4:$X$863="Oui")*($X481="Oui")))&gt;0,"⚠ CONFLIT",""))</f>
        <v/>
      </c>
      <c r="AA481" s="64">
        <f>IF(COUNTIFS($D$4:$D$863,$D481,$J$4:$J$863,$J481,$F$4:$F$863,$F481,$K$4:$K$863,$K481)&gt;1,"⚠ DOUBLON","")</f>
        <v/>
      </c>
      <c r="AB481" s="64">
        <f>IF(COUNTIF($T$4:$T$863,$T481)&lt;&gt;COUNTIFS($T$4:$T$863,$T481,$D$4:$D$863,$D481,$F$4:$F$863,$F481,$G$4:$G$863,$G481,$K$4:$K$863,$K481,$M$4:$M$863,$M481),"⚠ INCOHÉRENT","")</f>
        <v/>
      </c>
      <c r="AC481" s="64">
        <f>COUNTIFS($A$4:$A481,$A481,$J$4:$J481,$J481,$E$4:$E481,$E481)</f>
        <v/>
      </c>
      <c r="AD481" s="65">
        <f>$A481&amp;"|"&amp;$J481&amp;"|"&amp;$E481&amp;"|"&amp;$AC481</f>
        <v/>
      </c>
      <c r="AE481" s="66">
        <f>IF($W481&lt;&gt;"","⚑ "&amp;$W481&amp;CHAR(10),"")&amp;TEXT($F481,"hh:mm")&amp;"-"&amp;TEXT($G481,"hh:mm")&amp;IF(OR($P481="Quinzaine A",AND($P481="Hebdo · groupes alternés",$C481="A"))," Q-A",IF(OR($P481="Quinzaine B",AND($P481="Hebdo · groupes alternés",$C481="B"))," Q-B",IF($P481="Exception"," PONCT.","")))&amp;IF($X481="Oui"," OPT","")&amp;CHAR(10)&amp;$K481&amp;CHAR(10)&amp;$M481&amp;IF($N481&lt;&gt;"",CHAR(10)&amp;"Salle "&amp;$N481,"")&amp;IF($O481="En ligne",CHAR(10)&amp;"EN LIGNE","")&amp;IF($V481&lt;&gt;"",CHAR(10)&amp;$V481,"")</f>
        <v/>
      </c>
      <c r="AF481" s="65" t="inlineStr"/>
      <c r="AG481" s="65" t="inlineStr">
        <is>
          <t>— généré —</t>
        </is>
      </c>
    </row>
    <row r="482" ht="15" customHeight="1">
      <c r="A482" s="74" t="inlineStr">
        <is>
          <t>S4</t>
        </is>
      </c>
      <c r="B482" s="75" t="inlineStr">
        <is>
          <t>du 5 au 11 octobre 2026</t>
        </is>
      </c>
      <c r="C482" s="74" t="inlineStr">
        <is>
          <t>B</t>
        </is>
      </c>
      <c r="D482" s="76" t="n">
        <v>46306</v>
      </c>
      <c r="E482" s="74" t="inlineStr">
        <is>
          <t>Dimanche</t>
        </is>
      </c>
      <c r="F482" s="77" t="n">
        <v>0.375</v>
      </c>
      <c r="G482" s="77" t="n">
        <v>0.4375</v>
      </c>
      <c r="H482" s="78">
        <f>IF(OR($F482="",$G482=""),"",($G482-$F482)*24)</f>
        <v/>
      </c>
      <c r="I482" s="74" t="inlineStr">
        <is>
          <t>Secondaire</t>
        </is>
      </c>
      <c r="J482" s="75" t="inlineStr">
        <is>
          <t>1ére (A)</t>
        </is>
      </c>
      <c r="K482" s="73" t="inlineStr">
        <is>
          <t>Physique</t>
        </is>
      </c>
      <c r="L482" s="73" t="inlineStr">
        <is>
          <t>Physique</t>
        </is>
      </c>
      <c r="M482" s="75" t="inlineStr">
        <is>
          <t>Refka</t>
        </is>
      </c>
      <c r="N482" s="74" t="n"/>
      <c r="O482" s="74" t="n"/>
      <c r="P482" s="74" t="inlineStr">
        <is>
          <t>Hebdomadaire</t>
        </is>
      </c>
      <c r="Q482" s="75" t="inlineStr"/>
      <c r="R482" s="74" t="n">
        <v>1</v>
      </c>
      <c r="S482" s="74" t="inlineStr">
        <is>
          <t>Oui</t>
        </is>
      </c>
      <c r="T482" s="74" t="inlineStr">
        <is>
          <t>S4-080</t>
        </is>
      </c>
      <c r="U482" s="75" t="inlineStr">
        <is>
          <t>Généré (octobre)</t>
        </is>
      </c>
      <c r="V482" s="75" t="inlineStr"/>
      <c r="W482" s="10" t="n"/>
      <c r="X482" s="10" t="inlineStr"/>
      <c r="Y482" s="64">
        <f>IF($M482="","",IF(SUMPRODUCT(($D$4:$D$863=$D482)*($M$4:$M$863=$M482)*($T$4:$T$863&lt;&gt;$T482)*($F$4:$F$863&lt;$G482)*($G$4:$G$863&gt;$F482))&gt;0,"⚠ CONFLIT",""))</f>
        <v/>
      </c>
      <c r="Z482" s="64">
        <f>IF($J482="","",IF(SUMPRODUCT(($D$4:$D$863=$D482)*($J$4:$J$863=$J482)*($T$4:$T$863&lt;&gt;$T482)*($F$4:$F$863&lt;$G482)*($G$4:$G$863&gt;$F482)*(1-($X$4:$X$863="Oui")*($X482="Oui")))&gt;0,"⚠ CONFLIT",""))</f>
        <v/>
      </c>
      <c r="AA482" s="64">
        <f>IF(COUNTIFS($D$4:$D$863,$D482,$J$4:$J$863,$J482,$F$4:$F$863,$F482,$K$4:$K$863,$K482)&gt;1,"⚠ DOUBLON","")</f>
        <v/>
      </c>
      <c r="AB482" s="64">
        <f>IF(COUNTIF($T$4:$T$863,$T482)&lt;&gt;COUNTIFS($T$4:$T$863,$T482,$D$4:$D$863,$D482,$F$4:$F$863,$F482,$G$4:$G$863,$G482,$K$4:$K$863,$K482,$M$4:$M$863,$M482),"⚠ INCOHÉRENT","")</f>
        <v/>
      </c>
      <c r="AC482" s="64">
        <f>COUNTIFS($A$4:$A482,$A482,$J$4:$J482,$J482,$E$4:$E482,$E482)</f>
        <v/>
      </c>
      <c r="AD482" s="65">
        <f>$A482&amp;"|"&amp;$J482&amp;"|"&amp;$E482&amp;"|"&amp;$AC482</f>
        <v/>
      </c>
      <c r="AE482" s="66">
        <f>IF($W482&lt;&gt;"","⚑ "&amp;$W482&amp;CHAR(10),"")&amp;TEXT($F482,"hh:mm")&amp;"-"&amp;TEXT($G482,"hh:mm")&amp;IF(OR($P482="Quinzaine A",AND($P482="Hebdo · groupes alternés",$C482="A"))," Q-A",IF(OR($P482="Quinzaine B",AND($P482="Hebdo · groupes alternés",$C482="B"))," Q-B",IF($P482="Exception"," PONCT.","")))&amp;IF($X482="Oui"," OPT","")&amp;CHAR(10)&amp;$K482&amp;CHAR(10)&amp;$M482&amp;IF($N482&lt;&gt;"",CHAR(10)&amp;"Salle "&amp;$N482,"")&amp;IF($O482="En ligne",CHAR(10)&amp;"EN LIGNE","")&amp;IF($V482&lt;&gt;"",CHAR(10)&amp;$V482,"")</f>
        <v/>
      </c>
      <c r="AF482" s="65" t="inlineStr"/>
      <c r="AG482" s="65" t="inlineStr">
        <is>
          <t>— généré —</t>
        </is>
      </c>
    </row>
    <row r="483" ht="15" customHeight="1">
      <c r="A483" s="74" t="inlineStr">
        <is>
          <t>S4</t>
        </is>
      </c>
      <c r="B483" s="75" t="inlineStr">
        <is>
          <t>du 5 au 11 octobre 2026</t>
        </is>
      </c>
      <c r="C483" s="74" t="inlineStr">
        <is>
          <t>B</t>
        </is>
      </c>
      <c r="D483" s="76" t="n">
        <v>46306</v>
      </c>
      <c r="E483" s="74" t="inlineStr">
        <is>
          <t>Dimanche</t>
        </is>
      </c>
      <c r="F483" s="77" t="n">
        <v>0.4375</v>
      </c>
      <c r="G483" s="77" t="n">
        <v>0.5</v>
      </c>
      <c r="H483" s="78">
        <f>IF(OR($F483="",$G483=""),"",($G483-$F483)*24)</f>
        <v/>
      </c>
      <c r="I483" s="74" t="inlineStr">
        <is>
          <t>Secondaire</t>
        </is>
      </c>
      <c r="J483" s="75" t="inlineStr">
        <is>
          <t>1ére (B)</t>
        </is>
      </c>
      <c r="K483" s="73" t="inlineStr">
        <is>
          <t>Physique</t>
        </is>
      </c>
      <c r="L483" s="73" t="inlineStr">
        <is>
          <t>Physique</t>
        </is>
      </c>
      <c r="M483" s="75" t="inlineStr">
        <is>
          <t>Refka</t>
        </is>
      </c>
      <c r="N483" s="74" t="n"/>
      <c r="O483" s="74" t="n"/>
      <c r="P483" s="74" t="inlineStr">
        <is>
          <t>Hebdomadaire</t>
        </is>
      </c>
      <c r="Q483" s="75" t="inlineStr"/>
      <c r="R483" s="74" t="n">
        <v>1</v>
      </c>
      <c r="S483" s="74" t="inlineStr">
        <is>
          <t>Oui</t>
        </is>
      </c>
      <c r="T483" s="74" t="inlineStr">
        <is>
          <t>S4-081</t>
        </is>
      </c>
      <c r="U483" s="75" t="inlineStr">
        <is>
          <t>Généré (octobre)</t>
        </is>
      </c>
      <c r="V483" s="75" t="inlineStr"/>
      <c r="W483" s="10" t="n"/>
      <c r="X483" s="10" t="inlineStr"/>
      <c r="Y483" s="64">
        <f>IF($M483="","",IF(SUMPRODUCT(($D$4:$D$863=$D483)*($M$4:$M$863=$M483)*($T$4:$T$863&lt;&gt;$T483)*($F$4:$F$863&lt;$G483)*($G$4:$G$863&gt;$F483))&gt;0,"⚠ CONFLIT",""))</f>
        <v/>
      </c>
      <c r="Z483" s="64">
        <f>IF($J483="","",IF(SUMPRODUCT(($D$4:$D$863=$D483)*($J$4:$J$863=$J483)*($T$4:$T$863&lt;&gt;$T483)*($F$4:$F$863&lt;$G483)*($G$4:$G$863&gt;$F483)*(1-($X$4:$X$863="Oui")*($X483="Oui")))&gt;0,"⚠ CONFLIT",""))</f>
        <v/>
      </c>
      <c r="AA483" s="64">
        <f>IF(COUNTIFS($D$4:$D$863,$D483,$J$4:$J$863,$J483,$F$4:$F$863,$F483,$K$4:$K$863,$K483)&gt;1,"⚠ DOUBLON","")</f>
        <v/>
      </c>
      <c r="AB483" s="64">
        <f>IF(COUNTIF($T$4:$T$863,$T483)&lt;&gt;COUNTIFS($T$4:$T$863,$T483,$D$4:$D$863,$D483,$F$4:$F$863,$F483,$G$4:$G$863,$G483,$K$4:$K$863,$K483,$M$4:$M$863,$M483),"⚠ INCOHÉRENT","")</f>
        <v/>
      </c>
      <c r="AC483" s="64">
        <f>COUNTIFS($A$4:$A483,$A483,$J$4:$J483,$J483,$E$4:$E483,$E483)</f>
        <v/>
      </c>
      <c r="AD483" s="65">
        <f>$A483&amp;"|"&amp;$J483&amp;"|"&amp;$E483&amp;"|"&amp;$AC483</f>
        <v/>
      </c>
      <c r="AE483" s="66">
        <f>IF($W483&lt;&gt;"","⚑ "&amp;$W483&amp;CHAR(10),"")&amp;TEXT($F483,"hh:mm")&amp;"-"&amp;TEXT($G483,"hh:mm")&amp;IF(OR($P483="Quinzaine A",AND($P483="Hebdo · groupes alternés",$C483="A"))," Q-A",IF(OR($P483="Quinzaine B",AND($P483="Hebdo · groupes alternés",$C483="B"))," Q-B",IF($P483="Exception"," PONCT.","")))&amp;IF($X483="Oui"," OPT","")&amp;CHAR(10)&amp;$K483&amp;CHAR(10)&amp;$M483&amp;IF($N483&lt;&gt;"",CHAR(10)&amp;"Salle "&amp;$N483,"")&amp;IF($O483="En ligne",CHAR(10)&amp;"EN LIGNE","")&amp;IF($V483&lt;&gt;"",CHAR(10)&amp;$V483,"")</f>
        <v/>
      </c>
      <c r="AF483" s="65" t="inlineStr"/>
      <c r="AG483" s="65" t="inlineStr">
        <is>
          <t>— généré —</t>
        </is>
      </c>
    </row>
    <row r="484" ht="15" customHeight="1">
      <c r="A484" s="74" t="inlineStr">
        <is>
          <t>S4</t>
        </is>
      </c>
      <c r="B484" s="75" t="inlineStr">
        <is>
          <t>du 5 au 11 octobre 2026</t>
        </is>
      </c>
      <c r="C484" s="74" t="inlineStr">
        <is>
          <t>B</t>
        </is>
      </c>
      <c r="D484" s="76" t="n">
        <v>46306</v>
      </c>
      <c r="E484" s="74" t="inlineStr">
        <is>
          <t>Dimanche</t>
        </is>
      </c>
      <c r="F484" s="77" t="n">
        <v>0.5416666666666666</v>
      </c>
      <c r="G484" s="77" t="n">
        <v>0.6041666666666666</v>
      </c>
      <c r="H484" s="78">
        <f>IF(OR($F484="",$G484=""),"",($G484-$F484)*24)</f>
        <v/>
      </c>
      <c r="I484" s="74" t="inlineStr">
        <is>
          <t>Secondaire</t>
        </is>
      </c>
      <c r="J484" s="75" t="inlineStr">
        <is>
          <t>1ére (B)</t>
        </is>
      </c>
      <c r="K484" s="88" t="inlineStr">
        <is>
          <t>SVT</t>
        </is>
      </c>
      <c r="L484" s="88" t="inlineStr">
        <is>
          <t>SVT</t>
        </is>
      </c>
      <c r="M484" s="75" t="inlineStr">
        <is>
          <t>Imen Ghoumeme</t>
        </is>
      </c>
      <c r="N484" s="74" t="n"/>
      <c r="O484" s="74" t="n"/>
      <c r="P484" s="74" t="inlineStr">
        <is>
          <t>Quinzaine B</t>
        </is>
      </c>
      <c r="Q484" s="75" t="inlineStr"/>
      <c r="R484" s="74" t="n">
        <v>1</v>
      </c>
      <c r="S484" s="74" t="inlineStr">
        <is>
          <t>Oui</t>
        </is>
      </c>
      <c r="T484" s="74" t="inlineStr">
        <is>
          <t>S4-099</t>
        </is>
      </c>
      <c r="U484" s="75" t="inlineStr">
        <is>
          <t>Généré (octobre)</t>
        </is>
      </c>
      <c r="V484" s="75" t="inlineStr"/>
      <c r="W484" s="10" t="n"/>
      <c r="X484" s="10" t="inlineStr"/>
      <c r="Y484" s="64">
        <f>IF($M484="","",IF(SUMPRODUCT(($D$4:$D$863=$D484)*($M$4:$M$863=$M484)*($T$4:$T$863&lt;&gt;$T484)*($F$4:$F$863&lt;$G484)*($G$4:$G$863&gt;$F484))&gt;0,"⚠ CONFLIT",""))</f>
        <v/>
      </c>
      <c r="Z484" s="64">
        <f>IF($J484="","",IF(SUMPRODUCT(($D$4:$D$863=$D484)*($J$4:$J$863=$J484)*($T$4:$T$863&lt;&gt;$T484)*($F$4:$F$863&lt;$G484)*($G$4:$G$863&gt;$F484)*(1-($X$4:$X$863="Oui")*($X484="Oui")))&gt;0,"⚠ CONFLIT",""))</f>
        <v/>
      </c>
      <c r="AA484" s="64">
        <f>IF(COUNTIFS($D$4:$D$863,$D484,$J$4:$J$863,$J484,$F$4:$F$863,$F484,$K$4:$K$863,$K484)&gt;1,"⚠ DOUBLON","")</f>
        <v/>
      </c>
      <c r="AB484" s="64">
        <f>IF(COUNTIF($T$4:$T$863,$T484)&lt;&gt;COUNTIFS($T$4:$T$863,$T484,$D$4:$D$863,$D484,$F$4:$F$863,$F484,$G$4:$G$863,$G484,$K$4:$K$863,$K484,$M$4:$M$863,$M484),"⚠ INCOHÉRENT","")</f>
        <v/>
      </c>
      <c r="AC484" s="64">
        <f>COUNTIFS($A$4:$A484,$A484,$J$4:$J484,$J484,$E$4:$E484,$E484)</f>
        <v/>
      </c>
      <c r="AD484" s="65">
        <f>$A484&amp;"|"&amp;$J484&amp;"|"&amp;$E484&amp;"|"&amp;$AC484</f>
        <v/>
      </c>
      <c r="AE484" s="66">
        <f>IF($W484&lt;&gt;"","⚑ "&amp;$W484&amp;CHAR(10),"")&amp;TEXT($F484,"hh:mm")&amp;"-"&amp;TEXT($G484,"hh:mm")&amp;IF(OR($P484="Quinzaine A",AND($P484="Hebdo · groupes alternés",$C484="A"))," Q-A",IF(OR($P484="Quinzaine B",AND($P484="Hebdo · groupes alternés",$C484="B"))," Q-B",IF($P484="Exception"," PONCT.","")))&amp;IF($X484="Oui"," OPT","")&amp;CHAR(10)&amp;$K484&amp;CHAR(10)&amp;$M484&amp;IF($N484&lt;&gt;"",CHAR(10)&amp;"Salle "&amp;$N484,"")&amp;IF($O484="En ligne",CHAR(10)&amp;"EN LIGNE","")&amp;IF($V484&lt;&gt;"",CHAR(10)&amp;$V484,"")</f>
        <v/>
      </c>
      <c r="AF484" s="65" t="inlineStr"/>
      <c r="AG484" s="65" t="inlineStr">
        <is>
          <t>— généré —</t>
        </is>
      </c>
    </row>
    <row r="485" ht="15" customHeight="1">
      <c r="A485" s="74" t="inlineStr">
        <is>
          <t>S4</t>
        </is>
      </c>
      <c r="B485" s="75" t="inlineStr">
        <is>
          <t>du 5 au 11 octobre 2026</t>
        </is>
      </c>
      <c r="C485" s="74" t="inlineStr">
        <is>
          <t>B</t>
        </is>
      </c>
      <c r="D485" s="76" t="n">
        <v>46306</v>
      </c>
      <c r="E485" s="74" t="inlineStr">
        <is>
          <t>Dimanche</t>
        </is>
      </c>
      <c r="F485" s="77" t="n">
        <v>0.375</v>
      </c>
      <c r="G485" s="77" t="n">
        <v>0.4375</v>
      </c>
      <c r="H485" s="78">
        <f>IF(OR($F485="",$G485=""),"",($G485-$F485)*24)</f>
        <v/>
      </c>
      <c r="I485" s="74" t="inlineStr">
        <is>
          <t>Secondaire</t>
        </is>
      </c>
      <c r="J485" s="75" t="inlineStr">
        <is>
          <t>2éme Eco</t>
        </is>
      </c>
      <c r="K485" s="95" t="inlineStr">
        <is>
          <t>Eco</t>
        </is>
      </c>
      <c r="L485" s="95" t="inlineStr">
        <is>
          <t>Eco</t>
        </is>
      </c>
      <c r="M485" s="75" t="inlineStr">
        <is>
          <t>Rym</t>
        </is>
      </c>
      <c r="N485" s="74" t="n"/>
      <c r="O485" s="74" t="n"/>
      <c r="P485" s="74" t="inlineStr">
        <is>
          <t>Hebdomadaire</t>
        </is>
      </c>
      <c r="Q485" s="75" t="inlineStr"/>
      <c r="R485" s="74" t="n">
        <v>1</v>
      </c>
      <c r="S485" s="74" t="inlineStr">
        <is>
          <t>Oui</t>
        </is>
      </c>
      <c r="T485" s="74" t="inlineStr">
        <is>
          <t>S4-082</t>
        </is>
      </c>
      <c r="U485" s="75" t="inlineStr">
        <is>
          <t>Généré (octobre)</t>
        </is>
      </c>
      <c r="V485" s="75" t="inlineStr"/>
      <c r="W485" s="10" t="n"/>
      <c r="X485" s="10" t="inlineStr"/>
      <c r="Y485" s="64">
        <f>IF($M485="","",IF(SUMPRODUCT(($D$4:$D$863=$D485)*($M$4:$M$863=$M485)*($T$4:$T$863&lt;&gt;$T485)*($F$4:$F$863&lt;$G485)*($G$4:$G$863&gt;$F485))&gt;0,"⚠ CONFLIT",""))</f>
        <v/>
      </c>
      <c r="Z485" s="64">
        <f>IF($J485="","",IF(SUMPRODUCT(($D$4:$D$863=$D485)*($J$4:$J$863=$J485)*($T$4:$T$863&lt;&gt;$T485)*($F$4:$F$863&lt;$G485)*($G$4:$G$863&gt;$F485)*(1-($X$4:$X$863="Oui")*($X485="Oui")))&gt;0,"⚠ CONFLIT",""))</f>
        <v/>
      </c>
      <c r="AA485" s="64">
        <f>IF(COUNTIFS($D$4:$D$863,$D485,$J$4:$J$863,$J485,$F$4:$F$863,$F485,$K$4:$K$863,$K485)&gt;1,"⚠ DOUBLON","")</f>
        <v/>
      </c>
      <c r="AB485" s="64">
        <f>IF(COUNTIF($T$4:$T$863,$T485)&lt;&gt;COUNTIFS($T$4:$T$863,$T485,$D$4:$D$863,$D485,$F$4:$F$863,$F485,$G$4:$G$863,$G485,$K$4:$K$863,$K485,$M$4:$M$863,$M485),"⚠ INCOHÉRENT","")</f>
        <v/>
      </c>
      <c r="AC485" s="64">
        <f>COUNTIFS($A$4:$A485,$A485,$J$4:$J485,$J485,$E$4:$E485,$E485)</f>
        <v/>
      </c>
      <c r="AD485" s="65">
        <f>$A485&amp;"|"&amp;$J485&amp;"|"&amp;$E485&amp;"|"&amp;$AC485</f>
        <v/>
      </c>
      <c r="AE485" s="66">
        <f>IF($W485&lt;&gt;"","⚑ "&amp;$W485&amp;CHAR(10),"")&amp;TEXT($F485,"hh:mm")&amp;"-"&amp;TEXT($G485,"hh:mm")&amp;IF(OR($P485="Quinzaine A",AND($P485="Hebdo · groupes alternés",$C485="A"))," Q-A",IF(OR($P485="Quinzaine B",AND($P485="Hebdo · groupes alternés",$C485="B"))," Q-B",IF($P485="Exception"," PONCT.","")))&amp;IF($X485="Oui"," OPT","")&amp;CHAR(10)&amp;$K485&amp;CHAR(10)&amp;$M485&amp;IF($N485&lt;&gt;"",CHAR(10)&amp;"Salle "&amp;$N485,"")&amp;IF($O485="En ligne",CHAR(10)&amp;"EN LIGNE","")&amp;IF($V485&lt;&gt;"",CHAR(10)&amp;$V485,"")</f>
        <v/>
      </c>
      <c r="AF485" s="65" t="inlineStr"/>
      <c r="AG485" s="65" t="inlineStr">
        <is>
          <t>— généré —</t>
        </is>
      </c>
    </row>
    <row r="486" ht="15" customHeight="1">
      <c r="A486" s="74" t="inlineStr">
        <is>
          <t>S4</t>
        </is>
      </c>
      <c r="B486" s="75" t="inlineStr">
        <is>
          <t>du 5 au 11 octobre 2026</t>
        </is>
      </c>
      <c r="C486" s="74" t="inlineStr">
        <is>
          <t>B</t>
        </is>
      </c>
      <c r="D486" s="76" t="n">
        <v>46306</v>
      </c>
      <c r="E486" s="74" t="inlineStr">
        <is>
          <t>Dimanche</t>
        </is>
      </c>
      <c r="F486" s="77" t="n">
        <v>0.5</v>
      </c>
      <c r="G486" s="77" t="n">
        <v>0.5625</v>
      </c>
      <c r="H486" s="78">
        <f>IF(OR($F486="",$G486=""),"",($G486-$F486)*24)</f>
        <v/>
      </c>
      <c r="I486" s="74" t="inlineStr">
        <is>
          <t>Secondaire</t>
        </is>
      </c>
      <c r="J486" s="75" t="inlineStr">
        <is>
          <t>2éme SCE</t>
        </is>
      </c>
      <c r="K486" s="73" t="inlineStr">
        <is>
          <t>Physique</t>
        </is>
      </c>
      <c r="L486" s="73" t="inlineStr">
        <is>
          <t>Physique</t>
        </is>
      </c>
      <c r="M486" s="75" t="inlineStr">
        <is>
          <t>Refka</t>
        </is>
      </c>
      <c r="N486" s="74" t="n"/>
      <c r="O486" s="74" t="n"/>
      <c r="P486" s="74" t="inlineStr">
        <is>
          <t>Hebdomadaire</t>
        </is>
      </c>
      <c r="Q486" s="75" t="inlineStr"/>
      <c r="R486" s="74" t="n">
        <v>1</v>
      </c>
      <c r="S486" s="74" t="inlineStr">
        <is>
          <t>Oui</t>
        </is>
      </c>
      <c r="T486" s="74" t="inlineStr">
        <is>
          <t>S4-083</t>
        </is>
      </c>
      <c r="U486" s="75" t="inlineStr">
        <is>
          <t>Généré (octobre)</t>
        </is>
      </c>
      <c r="V486" s="75" t="inlineStr"/>
      <c r="W486" s="10" t="n"/>
      <c r="X486" s="10" t="inlineStr"/>
      <c r="Y486" s="64">
        <f>IF($M486="","",IF(SUMPRODUCT(($D$4:$D$863=$D486)*($M$4:$M$863=$M486)*($T$4:$T$863&lt;&gt;$T486)*($F$4:$F$863&lt;$G486)*($G$4:$G$863&gt;$F486))&gt;0,"⚠ CONFLIT",""))</f>
        <v/>
      </c>
      <c r="Z486" s="64">
        <f>IF($J486="","",IF(SUMPRODUCT(($D$4:$D$863=$D486)*($J$4:$J$863=$J486)*($T$4:$T$863&lt;&gt;$T486)*($F$4:$F$863&lt;$G486)*($G$4:$G$863&gt;$F486)*(1-($X$4:$X$863="Oui")*($X486="Oui")))&gt;0,"⚠ CONFLIT",""))</f>
        <v/>
      </c>
      <c r="AA486" s="64">
        <f>IF(COUNTIFS($D$4:$D$863,$D486,$J$4:$J$863,$J486,$F$4:$F$863,$F486,$K$4:$K$863,$K486)&gt;1,"⚠ DOUBLON","")</f>
        <v/>
      </c>
      <c r="AB486" s="64">
        <f>IF(COUNTIF($T$4:$T$863,$T486)&lt;&gt;COUNTIFS($T$4:$T$863,$T486,$D$4:$D$863,$D486,$F$4:$F$863,$F486,$G$4:$G$863,$G486,$K$4:$K$863,$K486,$M$4:$M$863,$M486),"⚠ INCOHÉRENT","")</f>
        <v/>
      </c>
      <c r="AC486" s="64">
        <f>COUNTIFS($A$4:$A486,$A486,$J$4:$J486,$J486,$E$4:$E486,$E486)</f>
        <v/>
      </c>
      <c r="AD486" s="65">
        <f>$A486&amp;"|"&amp;$J486&amp;"|"&amp;$E486&amp;"|"&amp;$AC486</f>
        <v/>
      </c>
      <c r="AE486" s="66">
        <f>IF($W486&lt;&gt;"","⚑ "&amp;$W486&amp;CHAR(10),"")&amp;TEXT($F486,"hh:mm")&amp;"-"&amp;TEXT($G486,"hh:mm")&amp;IF(OR($P486="Quinzaine A",AND($P486="Hebdo · groupes alternés",$C486="A"))," Q-A",IF(OR($P486="Quinzaine B",AND($P486="Hebdo · groupes alternés",$C486="B"))," Q-B",IF($P486="Exception"," PONCT.","")))&amp;IF($X486="Oui"," OPT","")&amp;CHAR(10)&amp;$K486&amp;CHAR(10)&amp;$M486&amp;IF($N486&lt;&gt;"",CHAR(10)&amp;"Salle "&amp;$N486,"")&amp;IF($O486="En ligne",CHAR(10)&amp;"EN LIGNE","")&amp;IF($V486&lt;&gt;"",CHAR(10)&amp;$V486,"")</f>
        <v/>
      </c>
      <c r="AF486" s="65" t="inlineStr"/>
      <c r="AG486" s="65" t="inlineStr">
        <is>
          <t>— généré —</t>
        </is>
      </c>
    </row>
    <row r="487" ht="15" customHeight="1">
      <c r="A487" s="74" t="inlineStr">
        <is>
          <t>S4</t>
        </is>
      </c>
      <c r="B487" s="75" t="inlineStr">
        <is>
          <t>du 5 au 11 octobre 2026</t>
        </is>
      </c>
      <c r="C487" s="74" t="inlineStr">
        <is>
          <t>B</t>
        </is>
      </c>
      <c r="D487" s="76" t="n">
        <v>46306</v>
      </c>
      <c r="E487" s="74" t="inlineStr">
        <is>
          <t>Dimanche</t>
        </is>
      </c>
      <c r="F487" s="77" t="n">
        <v>0.4375</v>
      </c>
      <c r="G487" s="77" t="n">
        <v>0.5</v>
      </c>
      <c r="H487" s="78">
        <f>IF(OR($F487="",$G487=""),"",($G487-$F487)*24)</f>
        <v/>
      </c>
      <c r="I487" s="74" t="inlineStr">
        <is>
          <t>Secondaire</t>
        </is>
      </c>
      <c r="J487" s="75" t="inlineStr">
        <is>
          <t>3éme Eco</t>
        </is>
      </c>
      <c r="K487" s="95" t="inlineStr">
        <is>
          <t>Eco</t>
        </is>
      </c>
      <c r="L487" s="95" t="inlineStr">
        <is>
          <t>Eco</t>
        </is>
      </c>
      <c r="M487" s="75" t="inlineStr">
        <is>
          <t>Rym</t>
        </is>
      </c>
      <c r="N487" s="74" t="n"/>
      <c r="O487" s="74" t="n"/>
      <c r="P487" s="74" t="inlineStr">
        <is>
          <t>Hebdomadaire</t>
        </is>
      </c>
      <c r="Q487" s="75" t="inlineStr"/>
      <c r="R487" s="74" t="n">
        <v>1</v>
      </c>
      <c r="S487" s="74" t="inlineStr">
        <is>
          <t>Oui</t>
        </is>
      </c>
      <c r="T487" s="74" t="inlineStr">
        <is>
          <t>S4-084</t>
        </is>
      </c>
      <c r="U487" s="75" t="inlineStr">
        <is>
          <t>Généré (octobre)</t>
        </is>
      </c>
      <c r="V487" s="75" t="inlineStr"/>
      <c r="W487" s="10" t="n"/>
      <c r="X487" s="10" t="inlineStr"/>
      <c r="Y487" s="64">
        <f>IF($M487="","",IF(SUMPRODUCT(($D$4:$D$863=$D487)*($M$4:$M$863=$M487)*($T$4:$T$863&lt;&gt;$T487)*($F$4:$F$863&lt;$G487)*($G$4:$G$863&gt;$F487))&gt;0,"⚠ CONFLIT",""))</f>
        <v/>
      </c>
      <c r="Z487" s="64">
        <f>IF($J487="","",IF(SUMPRODUCT(($D$4:$D$863=$D487)*($J$4:$J$863=$J487)*($T$4:$T$863&lt;&gt;$T487)*($F$4:$F$863&lt;$G487)*($G$4:$G$863&gt;$F487)*(1-($X$4:$X$863="Oui")*($X487="Oui")))&gt;0,"⚠ CONFLIT",""))</f>
        <v/>
      </c>
      <c r="AA487" s="64">
        <f>IF(COUNTIFS($D$4:$D$863,$D487,$J$4:$J$863,$J487,$F$4:$F$863,$F487,$K$4:$K$863,$K487)&gt;1,"⚠ DOUBLON","")</f>
        <v/>
      </c>
      <c r="AB487" s="64">
        <f>IF(COUNTIF($T$4:$T$863,$T487)&lt;&gt;COUNTIFS($T$4:$T$863,$T487,$D$4:$D$863,$D487,$F$4:$F$863,$F487,$G$4:$G$863,$G487,$K$4:$K$863,$K487,$M$4:$M$863,$M487),"⚠ INCOHÉRENT","")</f>
        <v/>
      </c>
      <c r="AC487" s="64">
        <f>COUNTIFS($A$4:$A487,$A487,$J$4:$J487,$J487,$E$4:$E487,$E487)</f>
        <v/>
      </c>
      <c r="AD487" s="65">
        <f>$A487&amp;"|"&amp;$J487&amp;"|"&amp;$E487&amp;"|"&amp;$AC487</f>
        <v/>
      </c>
      <c r="AE487" s="66">
        <f>IF($W487&lt;&gt;"","⚑ "&amp;$W487&amp;CHAR(10),"")&amp;TEXT($F487,"hh:mm")&amp;"-"&amp;TEXT($G487,"hh:mm")&amp;IF(OR($P487="Quinzaine A",AND($P487="Hebdo · groupes alternés",$C487="A"))," Q-A",IF(OR($P487="Quinzaine B",AND($P487="Hebdo · groupes alternés",$C487="B"))," Q-B",IF($P487="Exception"," PONCT.","")))&amp;IF($X487="Oui"," OPT","")&amp;CHAR(10)&amp;$K487&amp;CHAR(10)&amp;$M487&amp;IF($N487&lt;&gt;"",CHAR(10)&amp;"Salle "&amp;$N487,"")&amp;IF($O487="En ligne",CHAR(10)&amp;"EN LIGNE","")&amp;IF($V487&lt;&gt;"",CHAR(10)&amp;$V487,"")</f>
        <v/>
      </c>
      <c r="AF487" s="65" t="inlineStr"/>
      <c r="AG487" s="65" t="inlineStr">
        <is>
          <t>— généré —</t>
        </is>
      </c>
    </row>
    <row r="488" ht="15" customHeight="1">
      <c r="A488" s="74" t="inlineStr">
        <is>
          <t>S4</t>
        </is>
      </c>
      <c r="B488" s="75" t="inlineStr">
        <is>
          <t>du 5 au 11 octobre 2026</t>
        </is>
      </c>
      <c r="C488" s="74" t="inlineStr">
        <is>
          <t>B</t>
        </is>
      </c>
      <c r="D488" s="76" t="n">
        <v>46306</v>
      </c>
      <c r="E488" s="74" t="inlineStr">
        <is>
          <t>Dimanche</t>
        </is>
      </c>
      <c r="F488" s="77" t="n">
        <v>0.5833333333333334</v>
      </c>
      <c r="G488" s="77" t="n">
        <v>0.6458333333333334</v>
      </c>
      <c r="H488" s="78">
        <f>IF(OR($F488="",$G488=""),"",($G488-$F488)*24)</f>
        <v/>
      </c>
      <c r="I488" s="74" t="inlineStr">
        <is>
          <t>Secondaire</t>
        </is>
      </c>
      <c r="J488" s="75" t="inlineStr">
        <is>
          <t>3éme Eco</t>
        </is>
      </c>
      <c r="K488" s="79" t="inlineStr">
        <is>
          <t>Math</t>
        </is>
      </c>
      <c r="L488" s="79" t="inlineStr">
        <is>
          <t>Math</t>
        </is>
      </c>
      <c r="M488" s="75" t="inlineStr">
        <is>
          <t>Lotfi</t>
        </is>
      </c>
      <c r="N488" s="74" t="n"/>
      <c r="O488" s="74" t="n"/>
      <c r="P488" s="74" t="inlineStr">
        <is>
          <t>Hebdomadaire</t>
        </is>
      </c>
      <c r="Q488" s="75" t="inlineStr"/>
      <c r="R488" s="74" t="n">
        <v>1</v>
      </c>
      <c r="S488" s="74" t="inlineStr">
        <is>
          <t>Oui</t>
        </is>
      </c>
      <c r="T488" s="74" t="inlineStr">
        <is>
          <t>S4-085</t>
        </is>
      </c>
      <c r="U488" s="75" t="inlineStr">
        <is>
          <t>Généré (octobre)</t>
        </is>
      </c>
      <c r="V488" s="75" t="inlineStr"/>
      <c r="W488" s="10" t="n"/>
      <c r="X488" s="10" t="inlineStr"/>
      <c r="Y488" s="64">
        <f>IF($M488="","",IF(SUMPRODUCT(($D$4:$D$863=$D488)*($M$4:$M$863=$M488)*($T$4:$T$863&lt;&gt;$T488)*($F$4:$F$863&lt;$G488)*($G$4:$G$863&gt;$F488))&gt;0,"⚠ CONFLIT",""))</f>
        <v/>
      </c>
      <c r="Z488" s="64">
        <f>IF($J488="","",IF(SUMPRODUCT(($D$4:$D$863=$D488)*($J$4:$J$863=$J488)*($T$4:$T$863&lt;&gt;$T488)*($F$4:$F$863&lt;$G488)*($G$4:$G$863&gt;$F488)*(1-($X$4:$X$863="Oui")*($X488="Oui")))&gt;0,"⚠ CONFLIT",""))</f>
        <v/>
      </c>
      <c r="AA488" s="64">
        <f>IF(COUNTIFS($D$4:$D$863,$D488,$J$4:$J$863,$J488,$F$4:$F$863,$F488,$K$4:$K$863,$K488)&gt;1,"⚠ DOUBLON","")</f>
        <v/>
      </c>
      <c r="AB488" s="64">
        <f>IF(COUNTIF($T$4:$T$863,$T488)&lt;&gt;COUNTIFS($T$4:$T$863,$T488,$D$4:$D$863,$D488,$F$4:$F$863,$F488,$G$4:$G$863,$G488,$K$4:$K$863,$K488,$M$4:$M$863,$M488),"⚠ INCOHÉRENT","")</f>
        <v/>
      </c>
      <c r="AC488" s="64">
        <f>COUNTIFS($A$4:$A488,$A488,$J$4:$J488,$J488,$E$4:$E488,$E488)</f>
        <v/>
      </c>
      <c r="AD488" s="65">
        <f>$A488&amp;"|"&amp;$J488&amp;"|"&amp;$E488&amp;"|"&amp;$AC488</f>
        <v/>
      </c>
      <c r="AE488" s="66">
        <f>IF($W488&lt;&gt;"","⚑ "&amp;$W488&amp;CHAR(10),"")&amp;TEXT($F488,"hh:mm")&amp;"-"&amp;TEXT($G488,"hh:mm")&amp;IF(OR($P488="Quinzaine A",AND($P488="Hebdo · groupes alternés",$C488="A"))," Q-A",IF(OR($P488="Quinzaine B",AND($P488="Hebdo · groupes alternés",$C488="B"))," Q-B",IF($P488="Exception"," PONCT.","")))&amp;IF($X488="Oui"," OPT","")&amp;CHAR(10)&amp;$K488&amp;CHAR(10)&amp;$M488&amp;IF($N488&lt;&gt;"",CHAR(10)&amp;"Salle "&amp;$N488,"")&amp;IF($O488="En ligne",CHAR(10)&amp;"EN LIGNE","")&amp;IF($V488&lt;&gt;"",CHAR(10)&amp;$V488,"")</f>
        <v/>
      </c>
      <c r="AF488" s="65" t="inlineStr"/>
      <c r="AG488" s="65" t="inlineStr">
        <is>
          <t>— généré —</t>
        </is>
      </c>
    </row>
    <row r="489" ht="15" customHeight="1">
      <c r="A489" s="74" t="inlineStr">
        <is>
          <t>S4</t>
        </is>
      </c>
      <c r="B489" s="75" t="inlineStr">
        <is>
          <t>du 5 au 11 octobre 2026</t>
        </is>
      </c>
      <c r="C489" s="74" t="inlineStr">
        <is>
          <t>B</t>
        </is>
      </c>
      <c r="D489" s="76" t="n">
        <v>46306</v>
      </c>
      <c r="E489" s="74" t="inlineStr">
        <is>
          <t>Dimanche</t>
        </is>
      </c>
      <c r="F489" s="77" t="n">
        <v>0.5</v>
      </c>
      <c r="G489" s="77" t="n">
        <v>0.5625</v>
      </c>
      <c r="H489" s="78">
        <f>IF(OR($F489="",$G489=""),"",($G489-$F489)*24)</f>
        <v/>
      </c>
      <c r="I489" s="74" t="inlineStr">
        <is>
          <t>Secondaire</t>
        </is>
      </c>
      <c r="J489" s="75" t="inlineStr">
        <is>
          <t>3éme INFO</t>
        </is>
      </c>
      <c r="K489" s="79" t="inlineStr">
        <is>
          <t>Math</t>
        </is>
      </c>
      <c r="L489" s="79" t="inlineStr">
        <is>
          <t>Math</t>
        </is>
      </c>
      <c r="M489" s="75" t="inlineStr">
        <is>
          <t>Lotfi</t>
        </is>
      </c>
      <c r="N489" s="74" t="n"/>
      <c r="O489" s="74" t="n"/>
      <c r="P489" s="74" t="inlineStr">
        <is>
          <t>Hebdomadaire</t>
        </is>
      </c>
      <c r="Q489" s="75" t="inlineStr"/>
      <c r="R489" s="74" t="n">
        <v>1</v>
      </c>
      <c r="S489" s="74" t="inlineStr">
        <is>
          <t>Oui</t>
        </is>
      </c>
      <c r="T489" s="74" t="inlineStr">
        <is>
          <t>S4-086</t>
        </is>
      </c>
      <c r="U489" s="75" t="inlineStr">
        <is>
          <t>Généré (octobre)</t>
        </is>
      </c>
      <c r="V489" s="75" t="inlineStr"/>
      <c r="W489" s="10" t="n"/>
      <c r="X489" s="10" t="inlineStr"/>
      <c r="Y489" s="64">
        <f>IF($M489="","",IF(SUMPRODUCT(($D$4:$D$863=$D489)*($M$4:$M$863=$M489)*($T$4:$T$863&lt;&gt;$T489)*($F$4:$F$863&lt;$G489)*($G$4:$G$863&gt;$F489))&gt;0,"⚠ CONFLIT",""))</f>
        <v/>
      </c>
      <c r="Z489" s="64">
        <f>IF($J489="","",IF(SUMPRODUCT(($D$4:$D$863=$D489)*($J$4:$J$863=$J489)*($T$4:$T$863&lt;&gt;$T489)*($F$4:$F$863&lt;$G489)*($G$4:$G$863&gt;$F489)*(1-($X$4:$X$863="Oui")*($X489="Oui")))&gt;0,"⚠ CONFLIT",""))</f>
        <v/>
      </c>
      <c r="AA489" s="64">
        <f>IF(COUNTIFS($D$4:$D$863,$D489,$J$4:$J$863,$J489,$F$4:$F$863,$F489,$K$4:$K$863,$K489)&gt;1,"⚠ DOUBLON","")</f>
        <v/>
      </c>
      <c r="AB489" s="64">
        <f>IF(COUNTIF($T$4:$T$863,$T489)&lt;&gt;COUNTIFS($T$4:$T$863,$T489,$D$4:$D$863,$D489,$F$4:$F$863,$F489,$G$4:$G$863,$G489,$K$4:$K$863,$K489,$M$4:$M$863,$M489),"⚠ INCOHÉRENT","")</f>
        <v/>
      </c>
      <c r="AC489" s="64">
        <f>COUNTIFS($A$4:$A489,$A489,$J$4:$J489,$J489,$E$4:$E489,$E489)</f>
        <v/>
      </c>
      <c r="AD489" s="65">
        <f>$A489&amp;"|"&amp;$J489&amp;"|"&amp;$E489&amp;"|"&amp;$AC489</f>
        <v/>
      </c>
      <c r="AE489" s="66">
        <f>IF($W489&lt;&gt;"","⚑ "&amp;$W489&amp;CHAR(10),"")&amp;TEXT($F489,"hh:mm")&amp;"-"&amp;TEXT($G489,"hh:mm")&amp;IF(OR($P489="Quinzaine A",AND($P489="Hebdo · groupes alternés",$C489="A"))," Q-A",IF(OR($P489="Quinzaine B",AND($P489="Hebdo · groupes alternés",$C489="B"))," Q-B",IF($P489="Exception"," PONCT.","")))&amp;IF($X489="Oui"," OPT","")&amp;CHAR(10)&amp;$K489&amp;CHAR(10)&amp;$M489&amp;IF($N489&lt;&gt;"",CHAR(10)&amp;"Salle "&amp;$N489,"")&amp;IF($O489="En ligne",CHAR(10)&amp;"EN LIGNE","")&amp;IF($V489&lt;&gt;"",CHAR(10)&amp;$V489,"")</f>
        <v/>
      </c>
      <c r="AF489" s="65" t="inlineStr"/>
      <c r="AG489" s="65" t="inlineStr">
        <is>
          <t>— généré —</t>
        </is>
      </c>
    </row>
    <row r="490" ht="15" customHeight="1">
      <c r="A490" s="74" t="inlineStr">
        <is>
          <t>S4</t>
        </is>
      </c>
      <c r="B490" s="75" t="inlineStr">
        <is>
          <t>du 5 au 11 octobre 2026</t>
        </is>
      </c>
      <c r="C490" s="74" t="inlineStr">
        <is>
          <t>B</t>
        </is>
      </c>
      <c r="D490" s="76" t="n">
        <v>46306</v>
      </c>
      <c r="E490" s="74" t="inlineStr">
        <is>
          <t>Dimanche</t>
        </is>
      </c>
      <c r="F490" s="77" t="n">
        <v>0.4375</v>
      </c>
      <c r="G490" s="77" t="n">
        <v>0.5</v>
      </c>
      <c r="H490" s="78">
        <f>IF(OR($F490="",$G490=""),"",($G490-$F490)*24)</f>
        <v/>
      </c>
      <c r="I490" s="74" t="inlineStr">
        <is>
          <t>Secondaire</t>
        </is>
      </c>
      <c r="J490" s="75" t="inlineStr">
        <is>
          <t>3éme SCE</t>
        </is>
      </c>
      <c r="K490" s="73" t="inlineStr">
        <is>
          <t>Physique</t>
        </is>
      </c>
      <c r="L490" s="73" t="inlineStr">
        <is>
          <t>Physique</t>
        </is>
      </c>
      <c r="M490" s="75" t="inlineStr">
        <is>
          <t>Sondes</t>
        </is>
      </c>
      <c r="N490" s="74" t="n"/>
      <c r="O490" s="74" t="n"/>
      <c r="P490" s="74" t="inlineStr">
        <is>
          <t>Hebdomadaire</t>
        </is>
      </c>
      <c r="Q490" s="75" t="inlineStr"/>
      <c r="R490" s="74" t="n">
        <v>1</v>
      </c>
      <c r="S490" s="74" t="inlineStr">
        <is>
          <t>Oui</t>
        </is>
      </c>
      <c r="T490" s="74" t="inlineStr">
        <is>
          <t>S4-087</t>
        </is>
      </c>
      <c r="U490" s="75" t="inlineStr">
        <is>
          <t>Généré (octobre)</t>
        </is>
      </c>
      <c r="V490" s="75" t="inlineStr"/>
      <c r="W490" s="10" t="n"/>
      <c r="X490" s="10" t="inlineStr"/>
      <c r="Y490" s="64">
        <f>IF($M490="","",IF(SUMPRODUCT(($D$4:$D$863=$D490)*($M$4:$M$863=$M490)*($T$4:$T$863&lt;&gt;$T490)*($F$4:$F$863&lt;$G490)*($G$4:$G$863&gt;$F490))&gt;0,"⚠ CONFLIT",""))</f>
        <v/>
      </c>
      <c r="Z490" s="64">
        <f>IF($J490="","",IF(SUMPRODUCT(($D$4:$D$863=$D490)*($J$4:$J$863=$J490)*($T$4:$T$863&lt;&gt;$T490)*($F$4:$F$863&lt;$G490)*($G$4:$G$863&gt;$F490)*(1-($X$4:$X$863="Oui")*($X490="Oui")))&gt;0,"⚠ CONFLIT",""))</f>
        <v/>
      </c>
      <c r="AA490" s="64">
        <f>IF(COUNTIFS($D$4:$D$863,$D490,$J$4:$J$863,$J490,$F$4:$F$863,$F490,$K$4:$K$863,$K490)&gt;1,"⚠ DOUBLON","")</f>
        <v/>
      </c>
      <c r="AB490" s="64">
        <f>IF(COUNTIF($T$4:$T$863,$T490)&lt;&gt;COUNTIFS($T$4:$T$863,$T490,$D$4:$D$863,$D490,$F$4:$F$863,$F490,$G$4:$G$863,$G490,$K$4:$K$863,$K490,$M$4:$M$863,$M490),"⚠ INCOHÉRENT","")</f>
        <v/>
      </c>
      <c r="AC490" s="64">
        <f>COUNTIFS($A$4:$A490,$A490,$J$4:$J490,$J490,$E$4:$E490,$E490)</f>
        <v/>
      </c>
      <c r="AD490" s="65">
        <f>$A490&amp;"|"&amp;$J490&amp;"|"&amp;$E490&amp;"|"&amp;$AC490</f>
        <v/>
      </c>
      <c r="AE490" s="66">
        <f>IF($W490&lt;&gt;"","⚑ "&amp;$W490&amp;CHAR(10),"")&amp;TEXT($F490,"hh:mm")&amp;"-"&amp;TEXT($G490,"hh:mm")&amp;IF(OR($P490="Quinzaine A",AND($P490="Hebdo · groupes alternés",$C490="A"))," Q-A",IF(OR($P490="Quinzaine B",AND($P490="Hebdo · groupes alternés",$C490="B"))," Q-B",IF($P490="Exception"," PONCT.","")))&amp;IF($X490="Oui"," OPT","")&amp;CHAR(10)&amp;$K490&amp;CHAR(10)&amp;$M490&amp;IF($N490&lt;&gt;"",CHAR(10)&amp;"Salle "&amp;$N490,"")&amp;IF($O490="En ligne",CHAR(10)&amp;"EN LIGNE","")&amp;IF($V490&lt;&gt;"",CHAR(10)&amp;$V490,"")</f>
        <v/>
      </c>
      <c r="AF490" s="65" t="inlineStr"/>
      <c r="AG490" s="65" t="inlineStr">
        <is>
          <t>— généré —</t>
        </is>
      </c>
    </row>
    <row r="491" ht="15" customHeight="1">
      <c r="A491" s="81" t="inlineStr">
        <is>
          <t>S4</t>
        </is>
      </c>
      <c r="B491" s="82" t="inlineStr">
        <is>
          <t>du 5 au 11 octobre 2026</t>
        </is>
      </c>
      <c r="C491" s="81" t="inlineStr">
        <is>
          <t>B</t>
        </is>
      </c>
      <c r="D491" s="83" t="n">
        <v>46306</v>
      </c>
      <c r="E491" s="81" t="inlineStr">
        <is>
          <t>Dimanche</t>
        </is>
      </c>
      <c r="F491" s="84" t="n">
        <v>0.4375</v>
      </c>
      <c r="G491" s="84" t="n">
        <v>0.5</v>
      </c>
      <c r="H491" s="85">
        <f>IF(OR($F491="",$G491=""),"",($G491-$F491)*24)</f>
        <v/>
      </c>
      <c r="I491" s="81" t="inlineStr">
        <is>
          <t>Bac</t>
        </is>
      </c>
      <c r="J491" s="82" t="inlineStr">
        <is>
          <t>Bac Eco</t>
        </is>
      </c>
      <c r="K491" s="79" t="inlineStr">
        <is>
          <t>Math</t>
        </is>
      </c>
      <c r="L491" s="79" t="inlineStr">
        <is>
          <t>Math</t>
        </is>
      </c>
      <c r="M491" s="82" t="inlineStr">
        <is>
          <t>Lotfi</t>
        </is>
      </c>
      <c r="N491" s="81" t="n"/>
      <c r="O491" s="81" t="n"/>
      <c r="P491" s="81" t="inlineStr">
        <is>
          <t>Hebdomadaire</t>
        </is>
      </c>
      <c r="Q491" s="82" t="inlineStr"/>
      <c r="R491" s="81" t="n">
        <v>1</v>
      </c>
      <c r="S491" s="81" t="inlineStr">
        <is>
          <t>Oui</t>
        </is>
      </c>
      <c r="T491" s="81" t="inlineStr">
        <is>
          <t>S4-089</t>
        </is>
      </c>
      <c r="U491" s="82" t="inlineStr">
        <is>
          <t>Généré (octobre)</t>
        </is>
      </c>
      <c r="V491" s="82" t="inlineStr"/>
      <c r="W491" s="10" t="n"/>
      <c r="X491" s="10" t="inlineStr"/>
      <c r="Y491" s="64">
        <f>IF($M491="","",IF(SUMPRODUCT(($D$4:$D$863=$D491)*($M$4:$M$863=$M491)*($T$4:$T$863&lt;&gt;$T491)*($F$4:$F$863&lt;$G491)*($G$4:$G$863&gt;$F491))&gt;0,"⚠ CONFLIT",""))</f>
        <v/>
      </c>
      <c r="Z491" s="64">
        <f>IF($J491="","",IF(SUMPRODUCT(($D$4:$D$863=$D491)*($J$4:$J$863=$J491)*($T$4:$T$863&lt;&gt;$T491)*($F$4:$F$863&lt;$G491)*($G$4:$G$863&gt;$F491)*(1-($X$4:$X$863="Oui")*($X491="Oui")))&gt;0,"⚠ CONFLIT",""))</f>
        <v/>
      </c>
      <c r="AA491" s="64">
        <f>IF(COUNTIFS($D$4:$D$863,$D491,$J$4:$J$863,$J491,$F$4:$F$863,$F491,$K$4:$K$863,$K491)&gt;1,"⚠ DOUBLON","")</f>
        <v/>
      </c>
      <c r="AB491" s="64">
        <f>IF(COUNTIF($T$4:$T$863,$T491)&lt;&gt;COUNTIFS($T$4:$T$863,$T491,$D$4:$D$863,$D491,$F$4:$F$863,$F491,$G$4:$G$863,$G491,$K$4:$K$863,$K491,$M$4:$M$863,$M491),"⚠ INCOHÉRENT","")</f>
        <v/>
      </c>
      <c r="AC491" s="64">
        <f>COUNTIFS($A$4:$A491,$A491,$J$4:$J491,$J491,$E$4:$E491,$E491)</f>
        <v/>
      </c>
      <c r="AD491" s="65">
        <f>$A491&amp;"|"&amp;$J491&amp;"|"&amp;$E491&amp;"|"&amp;$AC491</f>
        <v/>
      </c>
      <c r="AE491" s="66">
        <f>IF($W491&lt;&gt;"","⚑ "&amp;$W491&amp;CHAR(10),"")&amp;TEXT($F491,"hh:mm")&amp;"-"&amp;TEXT($G491,"hh:mm")&amp;IF(OR($P491="Quinzaine A",AND($P491="Hebdo · groupes alternés",$C491="A"))," Q-A",IF(OR($P491="Quinzaine B",AND($P491="Hebdo · groupes alternés",$C491="B"))," Q-B",IF($P491="Exception"," PONCT.","")))&amp;IF($X491="Oui"," OPT","")&amp;CHAR(10)&amp;$K491&amp;CHAR(10)&amp;$M491&amp;IF($N491&lt;&gt;"",CHAR(10)&amp;"Salle "&amp;$N491,"")&amp;IF($O491="En ligne",CHAR(10)&amp;"EN LIGNE","")&amp;IF($V491&lt;&gt;"",CHAR(10)&amp;$V491,"")</f>
        <v/>
      </c>
      <c r="AF491" s="65" t="inlineStr"/>
      <c r="AG491" s="65" t="inlineStr">
        <is>
          <t>— généré —</t>
        </is>
      </c>
    </row>
    <row r="492" ht="15" customHeight="1">
      <c r="A492" s="81" t="inlineStr">
        <is>
          <t>S4</t>
        </is>
      </c>
      <c r="B492" s="82" t="inlineStr">
        <is>
          <t>du 5 au 11 octobre 2026</t>
        </is>
      </c>
      <c r="C492" s="81" t="inlineStr">
        <is>
          <t>B</t>
        </is>
      </c>
      <c r="D492" s="83" t="n">
        <v>46306</v>
      </c>
      <c r="E492" s="81" t="inlineStr">
        <is>
          <t>Dimanche</t>
        </is>
      </c>
      <c r="F492" s="84" t="n">
        <v>0.5208333333333334</v>
      </c>
      <c r="G492" s="84" t="n">
        <v>0.6041666666666666</v>
      </c>
      <c r="H492" s="85">
        <f>IF(OR($F492="",$G492=""),"",($G492-$F492)*24)</f>
        <v/>
      </c>
      <c r="I492" s="81" t="inlineStr">
        <is>
          <t>Bac</t>
        </is>
      </c>
      <c r="J492" s="82" t="inlineStr">
        <is>
          <t>Bac Eco</t>
        </is>
      </c>
      <c r="K492" s="95" t="inlineStr">
        <is>
          <t>Eco</t>
        </is>
      </c>
      <c r="L492" s="95" t="inlineStr">
        <is>
          <t>Eco</t>
        </is>
      </c>
      <c r="M492" s="82" t="inlineStr">
        <is>
          <t>Rym</t>
        </is>
      </c>
      <c r="N492" s="81" t="n"/>
      <c r="O492" s="81" t="n"/>
      <c r="P492" s="81" t="inlineStr">
        <is>
          <t>Hebdomadaire</t>
        </is>
      </c>
      <c r="Q492" s="82" t="inlineStr"/>
      <c r="R492" s="81" t="n">
        <v>1</v>
      </c>
      <c r="S492" s="81" t="inlineStr">
        <is>
          <t>Oui</t>
        </is>
      </c>
      <c r="T492" s="81" t="inlineStr">
        <is>
          <t>S4-088</t>
        </is>
      </c>
      <c r="U492" s="82" t="inlineStr">
        <is>
          <t>Généré (octobre)</t>
        </is>
      </c>
      <c r="V492" s="82" t="inlineStr"/>
      <c r="W492" s="10" t="n"/>
      <c r="X492" s="10" t="inlineStr"/>
      <c r="Y492" s="64">
        <f>IF($M492="","",IF(SUMPRODUCT(($D$4:$D$863=$D492)*($M$4:$M$863=$M492)*($T$4:$T$863&lt;&gt;$T492)*($F$4:$F$863&lt;$G492)*($G$4:$G$863&gt;$F492))&gt;0,"⚠ CONFLIT",""))</f>
        <v/>
      </c>
      <c r="Z492" s="64">
        <f>IF($J492="","",IF(SUMPRODUCT(($D$4:$D$863=$D492)*($J$4:$J$863=$J492)*($T$4:$T$863&lt;&gt;$T492)*($F$4:$F$863&lt;$G492)*($G$4:$G$863&gt;$F492)*(1-($X$4:$X$863="Oui")*($X492="Oui")))&gt;0,"⚠ CONFLIT",""))</f>
        <v/>
      </c>
      <c r="AA492" s="64">
        <f>IF(COUNTIFS($D$4:$D$863,$D492,$J$4:$J$863,$J492,$F$4:$F$863,$F492,$K$4:$K$863,$K492)&gt;1,"⚠ DOUBLON","")</f>
        <v/>
      </c>
      <c r="AB492" s="64">
        <f>IF(COUNTIF($T$4:$T$863,$T492)&lt;&gt;COUNTIFS($T$4:$T$863,$T492,$D$4:$D$863,$D492,$F$4:$F$863,$F492,$G$4:$G$863,$G492,$K$4:$K$863,$K492,$M$4:$M$863,$M492),"⚠ INCOHÉRENT","")</f>
        <v/>
      </c>
      <c r="AC492" s="64">
        <f>COUNTIFS($A$4:$A492,$A492,$J$4:$J492,$J492,$E$4:$E492,$E492)</f>
        <v/>
      </c>
      <c r="AD492" s="65">
        <f>$A492&amp;"|"&amp;$J492&amp;"|"&amp;$E492&amp;"|"&amp;$AC492</f>
        <v/>
      </c>
      <c r="AE492" s="66">
        <f>IF($W492&lt;&gt;"","⚑ "&amp;$W492&amp;CHAR(10),"")&amp;TEXT($F492,"hh:mm")&amp;"-"&amp;TEXT($G492,"hh:mm")&amp;IF(OR($P492="Quinzaine A",AND($P492="Hebdo · groupes alternés",$C492="A"))," Q-A",IF(OR($P492="Quinzaine B",AND($P492="Hebdo · groupes alternés",$C492="B"))," Q-B",IF($P492="Exception"," PONCT.","")))&amp;IF($X492="Oui"," OPT","")&amp;CHAR(10)&amp;$K492&amp;CHAR(10)&amp;$M492&amp;IF($N492&lt;&gt;"",CHAR(10)&amp;"Salle "&amp;$N492,"")&amp;IF($O492="En ligne",CHAR(10)&amp;"EN LIGNE","")&amp;IF($V492&lt;&gt;"",CHAR(10)&amp;$V492,"")</f>
        <v/>
      </c>
      <c r="AF492" s="65" t="inlineStr"/>
      <c r="AG492" s="65" t="inlineStr">
        <is>
          <t>— généré —</t>
        </is>
      </c>
    </row>
    <row r="493" ht="15" customHeight="1">
      <c r="A493" s="81" t="inlineStr">
        <is>
          <t>S4</t>
        </is>
      </c>
      <c r="B493" s="82" t="inlineStr">
        <is>
          <t>du 5 au 11 octobre 2026</t>
        </is>
      </c>
      <c r="C493" s="81" t="inlineStr">
        <is>
          <t>B</t>
        </is>
      </c>
      <c r="D493" s="83" t="n">
        <v>46306</v>
      </c>
      <c r="E493" s="81" t="inlineStr">
        <is>
          <t>Dimanche</t>
        </is>
      </c>
      <c r="F493" s="84" t="n">
        <v>0.6458333333333334</v>
      </c>
      <c r="G493" s="84" t="n">
        <v>0.7083333333333334</v>
      </c>
      <c r="H493" s="85">
        <f>IF(OR($F493="",$G493=""),"",($G493-$F493)*24)</f>
        <v/>
      </c>
      <c r="I493" s="81" t="inlineStr">
        <is>
          <t>Bac</t>
        </is>
      </c>
      <c r="J493" s="82" t="inlineStr">
        <is>
          <t>Bac INFO</t>
        </is>
      </c>
      <c r="K493" s="79" t="inlineStr">
        <is>
          <t>Math</t>
        </is>
      </c>
      <c r="L493" s="79" t="inlineStr">
        <is>
          <t>Math</t>
        </is>
      </c>
      <c r="M493" s="82" t="inlineStr">
        <is>
          <t>Lotfi</t>
        </is>
      </c>
      <c r="N493" s="81" t="n"/>
      <c r="O493" s="81" t="n"/>
      <c r="P493" s="81" t="inlineStr">
        <is>
          <t>Hebdomadaire</t>
        </is>
      </c>
      <c r="Q493" s="82" t="inlineStr"/>
      <c r="R493" s="81" t="n">
        <v>1</v>
      </c>
      <c r="S493" s="81" t="inlineStr">
        <is>
          <t>Oui</t>
        </is>
      </c>
      <c r="T493" s="81" t="inlineStr">
        <is>
          <t>S4-090</t>
        </is>
      </c>
      <c r="U493" s="82" t="inlineStr">
        <is>
          <t>Généré (octobre)</t>
        </is>
      </c>
      <c r="V493" s="82" t="inlineStr"/>
      <c r="W493" s="10" t="n"/>
      <c r="X493" s="10" t="inlineStr"/>
      <c r="Y493" s="64">
        <f>IF($M493="","",IF(SUMPRODUCT(($D$4:$D$863=$D493)*($M$4:$M$863=$M493)*($T$4:$T$863&lt;&gt;$T493)*($F$4:$F$863&lt;$G493)*($G$4:$G$863&gt;$F493))&gt;0,"⚠ CONFLIT",""))</f>
        <v/>
      </c>
      <c r="Z493" s="64">
        <f>IF($J493="","",IF(SUMPRODUCT(($D$4:$D$863=$D493)*($J$4:$J$863=$J493)*($T$4:$T$863&lt;&gt;$T493)*($F$4:$F$863&lt;$G493)*($G$4:$G$863&gt;$F493)*(1-($X$4:$X$863="Oui")*($X493="Oui")))&gt;0,"⚠ CONFLIT",""))</f>
        <v/>
      </c>
      <c r="AA493" s="64">
        <f>IF(COUNTIFS($D$4:$D$863,$D493,$J$4:$J$863,$J493,$F$4:$F$863,$F493,$K$4:$K$863,$K493)&gt;1,"⚠ DOUBLON","")</f>
        <v/>
      </c>
      <c r="AB493" s="64">
        <f>IF(COUNTIF($T$4:$T$863,$T493)&lt;&gt;COUNTIFS($T$4:$T$863,$T493,$D$4:$D$863,$D493,$F$4:$F$863,$F493,$G$4:$G$863,$G493,$K$4:$K$863,$K493,$M$4:$M$863,$M493),"⚠ INCOHÉRENT","")</f>
        <v/>
      </c>
      <c r="AC493" s="64">
        <f>COUNTIFS($A$4:$A493,$A493,$J$4:$J493,$J493,$E$4:$E493,$E493)</f>
        <v/>
      </c>
      <c r="AD493" s="65">
        <f>$A493&amp;"|"&amp;$J493&amp;"|"&amp;$E493&amp;"|"&amp;$AC493</f>
        <v/>
      </c>
      <c r="AE493" s="66">
        <f>IF($W493&lt;&gt;"","⚑ "&amp;$W493&amp;CHAR(10),"")&amp;TEXT($F493,"hh:mm")&amp;"-"&amp;TEXT($G493,"hh:mm")&amp;IF(OR($P493="Quinzaine A",AND($P493="Hebdo · groupes alternés",$C493="A"))," Q-A",IF(OR($P493="Quinzaine B",AND($P493="Hebdo · groupes alternés",$C493="B"))," Q-B",IF($P493="Exception"," PONCT.","")))&amp;IF($X493="Oui"," OPT","")&amp;CHAR(10)&amp;$K493&amp;CHAR(10)&amp;$M493&amp;IF($N493&lt;&gt;"",CHAR(10)&amp;"Salle "&amp;$N493,"")&amp;IF($O493="En ligne",CHAR(10)&amp;"EN LIGNE","")&amp;IF($V493&lt;&gt;"",CHAR(10)&amp;$V493,"")</f>
        <v/>
      </c>
      <c r="AF493" s="65" t="inlineStr"/>
      <c r="AG493" s="65" t="inlineStr">
        <is>
          <t>— généré —</t>
        </is>
      </c>
    </row>
    <row r="494" ht="15" customHeight="1">
      <c r="A494" s="58" t="inlineStr">
        <is>
          <t>S5</t>
        </is>
      </c>
      <c r="B494" s="59" t="inlineStr">
        <is>
          <t>du 12 au 18 octobre 2026</t>
        </is>
      </c>
      <c r="C494" s="58" t="inlineStr">
        <is>
          <t>A</t>
        </is>
      </c>
      <c r="D494" s="60" t="n">
        <v>46307</v>
      </c>
      <c r="E494" s="58" t="inlineStr">
        <is>
          <t>Lundi</t>
        </is>
      </c>
      <c r="F494" s="61" t="n">
        <v>0.7916666666666666</v>
      </c>
      <c r="G494" s="61" t="n">
        <v>0.875</v>
      </c>
      <c r="H494" s="62">
        <f>IF(OR($F494="",$G494=""),"",($G494-$F494)*24)</f>
        <v/>
      </c>
      <c r="I494" s="58" t="inlineStr">
        <is>
          <t>Primaire</t>
        </is>
      </c>
      <c r="J494" s="59" t="inlineStr">
        <is>
          <t>4éme</t>
        </is>
      </c>
      <c r="K494" s="63" t="inlineStr">
        <is>
          <t>عربية</t>
        </is>
      </c>
      <c r="L494" s="63" t="inlineStr">
        <is>
          <t>Arabe</t>
        </is>
      </c>
      <c r="M494" s="59" t="inlineStr">
        <is>
          <t>Lobna</t>
        </is>
      </c>
      <c r="N494" s="58" t="n"/>
      <c r="O494" s="58" t="n"/>
      <c r="P494" s="58" t="inlineStr">
        <is>
          <t>Hebdomadaire</t>
        </is>
      </c>
      <c r="Q494" s="59" t="inlineStr"/>
      <c r="R494" s="58" t="n">
        <v>1</v>
      </c>
      <c r="S494" s="58" t="inlineStr">
        <is>
          <t>Oui</t>
        </is>
      </c>
      <c r="T494" s="58" t="inlineStr">
        <is>
          <t>S5-001</t>
        </is>
      </c>
      <c r="U494" s="59" t="inlineStr">
        <is>
          <t>Généré (octobre)</t>
        </is>
      </c>
      <c r="V494" s="59" t="inlineStr"/>
      <c r="W494" s="10" t="n"/>
      <c r="X494" s="10" t="inlineStr"/>
      <c r="Y494" s="64">
        <f>IF($M494="","",IF(SUMPRODUCT(($D$4:$D$863=$D494)*($M$4:$M$863=$M494)*($T$4:$T$863&lt;&gt;$T494)*($F$4:$F$863&lt;$G494)*($G$4:$G$863&gt;$F494))&gt;0,"⚠ CONFLIT",""))</f>
        <v/>
      </c>
      <c r="Z494" s="64">
        <f>IF($J494="","",IF(SUMPRODUCT(($D$4:$D$863=$D494)*($J$4:$J$863=$J494)*($T$4:$T$863&lt;&gt;$T494)*($F$4:$F$863&lt;$G494)*($G$4:$G$863&gt;$F494)*(1-($X$4:$X$863="Oui")*($X494="Oui")))&gt;0,"⚠ CONFLIT",""))</f>
        <v/>
      </c>
      <c r="AA494" s="64">
        <f>IF(COUNTIFS($D$4:$D$863,$D494,$J$4:$J$863,$J494,$F$4:$F$863,$F494,$K$4:$K$863,$K494)&gt;1,"⚠ DOUBLON","")</f>
        <v/>
      </c>
      <c r="AB494" s="64">
        <f>IF(COUNTIF($T$4:$T$863,$T494)&lt;&gt;COUNTIFS($T$4:$T$863,$T494,$D$4:$D$863,$D494,$F$4:$F$863,$F494,$G$4:$G$863,$G494,$K$4:$K$863,$K494,$M$4:$M$863,$M494),"⚠ INCOHÉRENT","")</f>
        <v/>
      </c>
      <c r="AC494" s="64">
        <f>COUNTIFS($A$4:$A494,$A494,$J$4:$J494,$J494,$E$4:$E494,$E494)</f>
        <v/>
      </c>
      <c r="AD494" s="65">
        <f>$A494&amp;"|"&amp;$J494&amp;"|"&amp;$E494&amp;"|"&amp;$AC494</f>
        <v/>
      </c>
      <c r="AE494" s="66">
        <f>IF($W494&lt;&gt;"","⚑ "&amp;$W494&amp;CHAR(10),"")&amp;TEXT($F494,"hh:mm")&amp;"-"&amp;TEXT($G494,"hh:mm")&amp;IF(OR($P494="Quinzaine A",AND($P494="Hebdo · groupes alternés",$C494="A"))," Q-A",IF(OR($P494="Quinzaine B",AND($P494="Hebdo · groupes alternés",$C494="B"))," Q-B",IF($P494="Exception"," PONCT.","")))&amp;IF($X494="Oui"," OPT","")&amp;CHAR(10)&amp;$K494&amp;CHAR(10)&amp;$M494&amp;IF($N494&lt;&gt;"",CHAR(10)&amp;"Salle "&amp;$N494,"")&amp;IF($O494="En ligne",CHAR(10)&amp;"EN LIGNE","")&amp;IF($V494&lt;&gt;"",CHAR(10)&amp;$V494,"")</f>
        <v/>
      </c>
      <c r="AF494" s="65" t="inlineStr"/>
      <c r="AG494" s="65" t="inlineStr">
        <is>
          <t>— généré —</t>
        </is>
      </c>
    </row>
    <row r="495" ht="15" customHeight="1">
      <c r="A495" s="58" t="inlineStr">
        <is>
          <t>S5</t>
        </is>
      </c>
      <c r="B495" s="59" t="inlineStr">
        <is>
          <t>du 12 au 18 octobre 2026</t>
        </is>
      </c>
      <c r="C495" s="58" t="inlineStr">
        <is>
          <t>A</t>
        </is>
      </c>
      <c r="D495" s="60" t="n">
        <v>46307</v>
      </c>
      <c r="E495" s="58" t="inlineStr">
        <is>
          <t>Lundi</t>
        </is>
      </c>
      <c r="F495" s="61" t="n">
        <v>0.7916666666666666</v>
      </c>
      <c r="G495" s="61" t="n">
        <v>0.8541666666666666</v>
      </c>
      <c r="H495" s="62">
        <f>IF(OR($F495="",$G495=""),"",($G495-$F495)*24)</f>
        <v/>
      </c>
      <c r="I495" s="58" t="inlineStr">
        <is>
          <t>Primaire</t>
        </is>
      </c>
      <c r="J495" s="59" t="inlineStr">
        <is>
          <t>6éme Pilote (A)</t>
        </is>
      </c>
      <c r="K495" s="67" t="inlineStr">
        <is>
          <t>Français</t>
        </is>
      </c>
      <c r="L495" s="67" t="inlineStr">
        <is>
          <t>Français</t>
        </is>
      </c>
      <c r="M495" s="59" t="inlineStr">
        <is>
          <t>Hend</t>
        </is>
      </c>
      <c r="N495" s="58" t="n"/>
      <c r="O495" s="58" t="n"/>
      <c r="P495" s="58" t="inlineStr">
        <is>
          <t>Hebdomadaire</t>
        </is>
      </c>
      <c r="Q495" s="59" t="inlineStr"/>
      <c r="R495" s="58" t="n">
        <v>1</v>
      </c>
      <c r="S495" s="58" t="inlineStr">
        <is>
          <t>Oui</t>
        </is>
      </c>
      <c r="T495" s="58" t="inlineStr">
        <is>
          <t>S5-002</t>
        </is>
      </c>
      <c r="U495" s="59" t="inlineStr">
        <is>
          <t>Généré (octobre)</t>
        </is>
      </c>
      <c r="V495" s="59" t="inlineStr"/>
      <c r="W495" s="10" t="n"/>
      <c r="X495" s="10" t="inlineStr"/>
      <c r="Y495" s="64">
        <f>IF($M495="","",IF(SUMPRODUCT(($D$4:$D$863=$D495)*($M$4:$M$863=$M495)*($T$4:$T$863&lt;&gt;$T495)*($F$4:$F$863&lt;$G495)*($G$4:$G$863&gt;$F495))&gt;0,"⚠ CONFLIT",""))</f>
        <v/>
      </c>
      <c r="Z495" s="64">
        <f>IF($J495="","",IF(SUMPRODUCT(($D$4:$D$863=$D495)*($J$4:$J$863=$J495)*($T$4:$T$863&lt;&gt;$T495)*($F$4:$F$863&lt;$G495)*($G$4:$G$863&gt;$F495)*(1-($X$4:$X$863="Oui")*($X495="Oui")))&gt;0,"⚠ CONFLIT",""))</f>
        <v/>
      </c>
      <c r="AA495" s="64">
        <f>IF(COUNTIFS($D$4:$D$863,$D495,$J$4:$J$863,$J495,$F$4:$F$863,$F495,$K$4:$K$863,$K495)&gt;1,"⚠ DOUBLON","")</f>
        <v/>
      </c>
      <c r="AB495" s="64">
        <f>IF(COUNTIF($T$4:$T$863,$T495)&lt;&gt;COUNTIFS($T$4:$T$863,$T495,$D$4:$D$863,$D495,$F$4:$F$863,$F495,$G$4:$G$863,$G495,$K$4:$K$863,$K495,$M$4:$M$863,$M495),"⚠ INCOHÉRENT","")</f>
        <v/>
      </c>
      <c r="AC495" s="64">
        <f>COUNTIFS($A$4:$A495,$A495,$J$4:$J495,$J495,$E$4:$E495,$E495)</f>
        <v/>
      </c>
      <c r="AD495" s="65">
        <f>$A495&amp;"|"&amp;$J495&amp;"|"&amp;$E495&amp;"|"&amp;$AC495</f>
        <v/>
      </c>
      <c r="AE495" s="66">
        <f>IF($W495&lt;&gt;"","⚑ "&amp;$W495&amp;CHAR(10),"")&amp;TEXT($F495,"hh:mm")&amp;"-"&amp;TEXT($G495,"hh:mm")&amp;IF(OR($P495="Quinzaine A",AND($P495="Hebdo · groupes alternés",$C495="A"))," Q-A",IF(OR($P495="Quinzaine B",AND($P495="Hebdo · groupes alternés",$C495="B"))," Q-B",IF($P495="Exception"," PONCT.","")))&amp;IF($X495="Oui"," OPT","")&amp;CHAR(10)&amp;$K495&amp;CHAR(10)&amp;$M495&amp;IF($N495&lt;&gt;"",CHAR(10)&amp;"Salle "&amp;$N495,"")&amp;IF($O495="En ligne",CHAR(10)&amp;"EN LIGNE","")&amp;IF($V495&lt;&gt;"",CHAR(10)&amp;$V495,"")</f>
        <v/>
      </c>
      <c r="AF495" s="65" t="inlineStr"/>
      <c r="AG495" s="65" t="inlineStr">
        <is>
          <t>— généré —</t>
        </is>
      </c>
    </row>
    <row r="496" ht="15" customHeight="1">
      <c r="A496" s="68" t="inlineStr">
        <is>
          <t>S5</t>
        </is>
      </c>
      <c r="B496" s="69" t="inlineStr">
        <is>
          <t>du 12 au 18 octobre 2026</t>
        </is>
      </c>
      <c r="C496" s="68" t="inlineStr">
        <is>
          <t>A</t>
        </is>
      </c>
      <c r="D496" s="70" t="n">
        <v>46307</v>
      </c>
      <c r="E496" s="68" t="inlineStr">
        <is>
          <t>Lundi</t>
        </is>
      </c>
      <c r="F496" s="71" t="n">
        <v>0.8125</v>
      </c>
      <c r="G496" s="71" t="n">
        <v>0.875</v>
      </c>
      <c r="H496" s="72">
        <f>IF(OR($F496="",$G496=""),"",($G496-$F496)*24)</f>
        <v/>
      </c>
      <c r="I496" s="68" t="inlineStr">
        <is>
          <t>Collège</t>
        </is>
      </c>
      <c r="J496" s="69" t="inlineStr">
        <is>
          <t>7éme (B)</t>
        </is>
      </c>
      <c r="K496" s="63" t="inlineStr">
        <is>
          <t>Arabe</t>
        </is>
      </c>
      <c r="L496" s="63" t="inlineStr">
        <is>
          <t>Arabe</t>
        </is>
      </c>
      <c r="M496" s="69" t="inlineStr">
        <is>
          <t>Yahya</t>
        </is>
      </c>
      <c r="N496" s="68" t="n"/>
      <c r="O496" s="68" t="n"/>
      <c r="P496" s="68" t="inlineStr">
        <is>
          <t>Hebdomadaire</t>
        </is>
      </c>
      <c r="Q496" s="69" t="inlineStr"/>
      <c r="R496" s="68" t="n">
        <v>1</v>
      </c>
      <c r="S496" s="68" t="inlineStr">
        <is>
          <t>Oui</t>
        </is>
      </c>
      <c r="T496" s="68" t="inlineStr">
        <is>
          <t>S5-003</t>
        </is>
      </c>
      <c r="U496" s="69" t="inlineStr">
        <is>
          <t>Généré (octobre)</t>
        </is>
      </c>
      <c r="V496" s="69" t="inlineStr"/>
      <c r="W496" s="10" t="n"/>
      <c r="X496" s="10" t="inlineStr"/>
      <c r="Y496" s="64">
        <f>IF($M496="","",IF(SUMPRODUCT(($D$4:$D$863=$D496)*($M$4:$M$863=$M496)*($T$4:$T$863&lt;&gt;$T496)*($F$4:$F$863&lt;$G496)*($G$4:$G$863&gt;$F496))&gt;0,"⚠ CONFLIT",""))</f>
        <v/>
      </c>
      <c r="Z496" s="64">
        <f>IF($J496="","",IF(SUMPRODUCT(($D$4:$D$863=$D496)*($J$4:$J$863=$J496)*($T$4:$T$863&lt;&gt;$T496)*($F$4:$F$863&lt;$G496)*($G$4:$G$863&gt;$F496)*(1-($X$4:$X$863="Oui")*($X496="Oui")))&gt;0,"⚠ CONFLIT",""))</f>
        <v/>
      </c>
      <c r="AA496" s="64">
        <f>IF(COUNTIFS($D$4:$D$863,$D496,$J$4:$J$863,$J496,$F$4:$F$863,$F496,$K$4:$K$863,$K496)&gt;1,"⚠ DOUBLON","")</f>
        <v/>
      </c>
      <c r="AB496" s="64">
        <f>IF(COUNTIF($T$4:$T$863,$T496)&lt;&gt;COUNTIFS($T$4:$T$863,$T496,$D$4:$D$863,$D496,$F$4:$F$863,$F496,$G$4:$G$863,$G496,$K$4:$K$863,$K496,$M$4:$M$863,$M496),"⚠ INCOHÉRENT","")</f>
        <v/>
      </c>
      <c r="AC496" s="64">
        <f>COUNTIFS($A$4:$A496,$A496,$J$4:$J496,$J496,$E$4:$E496,$E496)</f>
        <v/>
      </c>
      <c r="AD496" s="65">
        <f>$A496&amp;"|"&amp;$J496&amp;"|"&amp;$E496&amp;"|"&amp;$AC496</f>
        <v/>
      </c>
      <c r="AE496" s="66">
        <f>IF($W496&lt;&gt;"","⚑ "&amp;$W496&amp;CHAR(10),"")&amp;TEXT($F496,"hh:mm")&amp;"-"&amp;TEXT($G496,"hh:mm")&amp;IF(OR($P496="Quinzaine A",AND($P496="Hebdo · groupes alternés",$C496="A"))," Q-A",IF(OR($P496="Quinzaine B",AND($P496="Hebdo · groupes alternés",$C496="B"))," Q-B",IF($P496="Exception"," PONCT.","")))&amp;IF($X496="Oui"," OPT","")&amp;CHAR(10)&amp;$K496&amp;CHAR(10)&amp;$M496&amp;IF($N496&lt;&gt;"",CHAR(10)&amp;"Salle "&amp;$N496,"")&amp;IF($O496="En ligne",CHAR(10)&amp;"EN LIGNE","")&amp;IF($V496&lt;&gt;"",CHAR(10)&amp;$V496,"")</f>
        <v/>
      </c>
      <c r="AF496" s="65" t="inlineStr"/>
      <c r="AG496" s="65" t="inlineStr">
        <is>
          <t>— généré —</t>
        </is>
      </c>
    </row>
    <row r="497" ht="15" customHeight="1">
      <c r="A497" s="68" t="inlineStr">
        <is>
          <t>S5</t>
        </is>
      </c>
      <c r="B497" s="69" t="inlineStr">
        <is>
          <t>du 12 au 18 octobre 2026</t>
        </is>
      </c>
      <c r="C497" s="68" t="inlineStr">
        <is>
          <t>A</t>
        </is>
      </c>
      <c r="D497" s="70" t="n">
        <v>46307</v>
      </c>
      <c r="E497" s="68" t="inlineStr">
        <is>
          <t>Lundi</t>
        </is>
      </c>
      <c r="F497" s="71" t="n">
        <v>0.8125</v>
      </c>
      <c r="G497" s="71" t="n">
        <v>0.875</v>
      </c>
      <c r="H497" s="72">
        <f>IF(OR($F497="",$G497=""),"",($G497-$F497)*24)</f>
        <v/>
      </c>
      <c r="I497" s="68" t="inlineStr">
        <is>
          <t>Collège</t>
        </is>
      </c>
      <c r="J497" s="69" t="inlineStr">
        <is>
          <t>9éme (A)</t>
        </is>
      </c>
      <c r="K497" s="73" t="inlineStr">
        <is>
          <t>فيزياء</t>
        </is>
      </c>
      <c r="L497" s="73" t="inlineStr">
        <is>
          <t>Physique</t>
        </is>
      </c>
      <c r="M497" s="69" t="inlineStr">
        <is>
          <t>Melek</t>
        </is>
      </c>
      <c r="N497" s="68" t="n"/>
      <c r="O497" s="68" t="n"/>
      <c r="P497" s="68" t="inlineStr">
        <is>
          <t>Hebdomadaire</t>
        </is>
      </c>
      <c r="Q497" s="69" t="inlineStr">
        <is>
          <t>9éme (A) + 9éme (B) + 9éme (C)</t>
        </is>
      </c>
      <c r="R497" s="68" t="n">
        <v>3</v>
      </c>
      <c r="S497" s="68" t="inlineStr">
        <is>
          <t>Oui</t>
        </is>
      </c>
      <c r="T497" s="68" t="inlineStr">
        <is>
          <t>S5-004</t>
        </is>
      </c>
      <c r="U497" s="69" t="inlineStr">
        <is>
          <t>Généré (octobre)</t>
        </is>
      </c>
      <c r="V497" s="69" t="inlineStr"/>
      <c r="W497" s="10" t="n"/>
      <c r="X497" s="10" t="inlineStr"/>
      <c r="Y497" s="64">
        <f>IF($M497="","",IF(SUMPRODUCT(($D$4:$D$863=$D497)*($M$4:$M$863=$M497)*($T$4:$T$863&lt;&gt;$T497)*($F$4:$F$863&lt;$G497)*($G$4:$G$863&gt;$F497))&gt;0,"⚠ CONFLIT",""))</f>
        <v/>
      </c>
      <c r="Z497" s="64">
        <f>IF($J497="","",IF(SUMPRODUCT(($D$4:$D$863=$D497)*($J$4:$J$863=$J497)*($T$4:$T$863&lt;&gt;$T497)*($F$4:$F$863&lt;$G497)*($G$4:$G$863&gt;$F497)*(1-($X$4:$X$863="Oui")*($X497="Oui")))&gt;0,"⚠ CONFLIT",""))</f>
        <v/>
      </c>
      <c r="AA497" s="64">
        <f>IF(COUNTIFS($D$4:$D$863,$D497,$J$4:$J$863,$J497,$F$4:$F$863,$F497,$K$4:$K$863,$K497)&gt;1,"⚠ DOUBLON","")</f>
        <v/>
      </c>
      <c r="AB497" s="64">
        <f>IF(COUNTIF($T$4:$T$863,$T497)&lt;&gt;COUNTIFS($T$4:$T$863,$T497,$D$4:$D$863,$D497,$F$4:$F$863,$F497,$G$4:$G$863,$G497,$K$4:$K$863,$K497,$M$4:$M$863,$M497),"⚠ INCOHÉRENT","")</f>
        <v/>
      </c>
      <c r="AC497" s="64">
        <f>COUNTIFS($A$4:$A497,$A497,$J$4:$J497,$J497,$E$4:$E497,$E497)</f>
        <v/>
      </c>
      <c r="AD497" s="65">
        <f>$A497&amp;"|"&amp;$J497&amp;"|"&amp;$E497&amp;"|"&amp;$AC497</f>
        <v/>
      </c>
      <c r="AE497" s="66">
        <f>IF($W497&lt;&gt;"","⚑ "&amp;$W497&amp;CHAR(10),"")&amp;TEXT($F497,"hh:mm")&amp;"-"&amp;TEXT($G497,"hh:mm")&amp;IF(OR($P497="Quinzaine A",AND($P497="Hebdo · groupes alternés",$C497="A"))," Q-A",IF(OR($P497="Quinzaine B",AND($P497="Hebdo · groupes alternés",$C497="B"))," Q-B",IF($P497="Exception"," PONCT.","")))&amp;IF($X497="Oui"," OPT","")&amp;CHAR(10)&amp;$K497&amp;CHAR(10)&amp;$M497&amp;IF($N497&lt;&gt;"",CHAR(10)&amp;"Salle "&amp;$N497,"")&amp;IF($O497="En ligne",CHAR(10)&amp;"EN LIGNE","")&amp;IF($V497&lt;&gt;"",CHAR(10)&amp;$V497,"")</f>
        <v/>
      </c>
      <c r="AF497" s="65" t="inlineStr"/>
      <c r="AG497" s="65" t="inlineStr">
        <is>
          <t>— généré —</t>
        </is>
      </c>
    </row>
    <row r="498" ht="15" customHeight="1">
      <c r="A498" s="68" t="inlineStr">
        <is>
          <t>S5</t>
        </is>
      </c>
      <c r="B498" s="69" t="inlineStr">
        <is>
          <t>du 12 au 18 octobre 2026</t>
        </is>
      </c>
      <c r="C498" s="68" t="inlineStr">
        <is>
          <t>A</t>
        </is>
      </c>
      <c r="D498" s="70" t="n">
        <v>46307</v>
      </c>
      <c r="E498" s="68" t="inlineStr">
        <is>
          <t>Lundi</t>
        </is>
      </c>
      <c r="F498" s="71" t="n">
        <v>0.8125</v>
      </c>
      <c r="G498" s="71" t="n">
        <v>0.875</v>
      </c>
      <c r="H498" s="72">
        <f>IF(OR($F498="",$G498=""),"",($G498-$F498)*24)</f>
        <v/>
      </c>
      <c r="I498" s="68" t="inlineStr">
        <is>
          <t>Collège</t>
        </is>
      </c>
      <c r="J498" s="69" t="inlineStr">
        <is>
          <t>9éme (B)</t>
        </is>
      </c>
      <c r="K498" s="73" t="inlineStr">
        <is>
          <t>فيزياء</t>
        </is>
      </c>
      <c r="L498" s="73" t="inlineStr">
        <is>
          <t>Physique</t>
        </is>
      </c>
      <c r="M498" s="69" t="inlineStr">
        <is>
          <t>Melek</t>
        </is>
      </c>
      <c r="N498" s="68" t="n"/>
      <c r="O498" s="68" t="n"/>
      <c r="P498" s="68" t="inlineStr">
        <is>
          <t>Hebdomadaire</t>
        </is>
      </c>
      <c r="Q498" s="69" t="inlineStr">
        <is>
          <t>9éme (A) + 9éme (B) + 9éme (C)</t>
        </is>
      </c>
      <c r="R498" s="68" t="n">
        <v>3</v>
      </c>
      <c r="S498" s="68" t="inlineStr"/>
      <c r="T498" s="68" t="inlineStr">
        <is>
          <t>S5-004</t>
        </is>
      </c>
      <c r="U498" s="69" t="inlineStr">
        <is>
          <t>Généré (octobre)</t>
        </is>
      </c>
      <c r="V498" s="69" t="inlineStr"/>
      <c r="W498" s="10" t="n"/>
      <c r="X498" s="10" t="inlineStr"/>
      <c r="Y498" s="64">
        <f>IF($M498="","",IF(SUMPRODUCT(($D$4:$D$863=$D498)*($M$4:$M$863=$M498)*($T$4:$T$863&lt;&gt;$T498)*($F$4:$F$863&lt;$G498)*($G$4:$G$863&gt;$F498))&gt;0,"⚠ CONFLIT",""))</f>
        <v/>
      </c>
      <c r="Z498" s="64">
        <f>IF($J498="","",IF(SUMPRODUCT(($D$4:$D$863=$D498)*($J$4:$J$863=$J498)*($T$4:$T$863&lt;&gt;$T498)*($F$4:$F$863&lt;$G498)*($G$4:$G$863&gt;$F498)*(1-($X$4:$X$863="Oui")*($X498="Oui")))&gt;0,"⚠ CONFLIT",""))</f>
        <v/>
      </c>
      <c r="AA498" s="64">
        <f>IF(COUNTIFS($D$4:$D$863,$D498,$J$4:$J$863,$J498,$F$4:$F$863,$F498,$K$4:$K$863,$K498)&gt;1,"⚠ DOUBLON","")</f>
        <v/>
      </c>
      <c r="AB498" s="64">
        <f>IF(COUNTIF($T$4:$T$863,$T498)&lt;&gt;COUNTIFS($T$4:$T$863,$T498,$D$4:$D$863,$D498,$F$4:$F$863,$F498,$G$4:$G$863,$G498,$K$4:$K$863,$K498,$M$4:$M$863,$M498),"⚠ INCOHÉRENT","")</f>
        <v/>
      </c>
      <c r="AC498" s="64">
        <f>COUNTIFS($A$4:$A498,$A498,$J$4:$J498,$J498,$E$4:$E498,$E498)</f>
        <v/>
      </c>
      <c r="AD498" s="65">
        <f>$A498&amp;"|"&amp;$J498&amp;"|"&amp;$E498&amp;"|"&amp;$AC498</f>
        <v/>
      </c>
      <c r="AE498" s="66">
        <f>IF($W498&lt;&gt;"","⚑ "&amp;$W498&amp;CHAR(10),"")&amp;TEXT($F498,"hh:mm")&amp;"-"&amp;TEXT($G498,"hh:mm")&amp;IF(OR($P498="Quinzaine A",AND($P498="Hebdo · groupes alternés",$C498="A"))," Q-A",IF(OR($P498="Quinzaine B",AND($P498="Hebdo · groupes alternés",$C498="B"))," Q-B",IF($P498="Exception"," PONCT.","")))&amp;IF($X498="Oui"," OPT","")&amp;CHAR(10)&amp;$K498&amp;CHAR(10)&amp;$M498&amp;IF($N498&lt;&gt;"",CHAR(10)&amp;"Salle "&amp;$N498,"")&amp;IF($O498="En ligne",CHAR(10)&amp;"EN LIGNE","")&amp;IF($V498&lt;&gt;"",CHAR(10)&amp;$V498,"")</f>
        <v/>
      </c>
      <c r="AF498" s="65" t="inlineStr"/>
      <c r="AG498" s="65" t="inlineStr">
        <is>
          <t>— généré —</t>
        </is>
      </c>
    </row>
    <row r="499" ht="15" customHeight="1">
      <c r="A499" s="68" t="inlineStr">
        <is>
          <t>S5</t>
        </is>
      </c>
      <c r="B499" s="69" t="inlineStr">
        <is>
          <t>du 12 au 18 octobre 2026</t>
        </is>
      </c>
      <c r="C499" s="68" t="inlineStr">
        <is>
          <t>A</t>
        </is>
      </c>
      <c r="D499" s="70" t="n">
        <v>46307</v>
      </c>
      <c r="E499" s="68" t="inlineStr">
        <is>
          <t>Lundi</t>
        </is>
      </c>
      <c r="F499" s="71" t="n">
        <v>0.8125</v>
      </c>
      <c r="G499" s="71" t="n">
        <v>0.875</v>
      </c>
      <c r="H499" s="72">
        <f>IF(OR($F499="",$G499=""),"",($G499-$F499)*24)</f>
        <v/>
      </c>
      <c r="I499" s="68" t="inlineStr">
        <is>
          <t>Collège</t>
        </is>
      </c>
      <c r="J499" s="69" t="inlineStr">
        <is>
          <t>9éme (C)</t>
        </is>
      </c>
      <c r="K499" s="73" t="inlineStr">
        <is>
          <t>فيزياء</t>
        </is>
      </c>
      <c r="L499" s="73" t="inlineStr">
        <is>
          <t>Physique</t>
        </is>
      </c>
      <c r="M499" s="69" t="inlineStr">
        <is>
          <t>Melek</t>
        </is>
      </c>
      <c r="N499" s="68" t="n"/>
      <c r="O499" s="68" t="n"/>
      <c r="P499" s="68" t="inlineStr">
        <is>
          <t>Hebdomadaire</t>
        </is>
      </c>
      <c r="Q499" s="69" t="inlineStr">
        <is>
          <t>9éme (A) + 9éme (B) + 9éme (C)</t>
        </is>
      </c>
      <c r="R499" s="68" t="n">
        <v>3</v>
      </c>
      <c r="S499" s="68" t="inlineStr"/>
      <c r="T499" s="68" t="inlineStr">
        <is>
          <t>S5-004</t>
        </is>
      </c>
      <c r="U499" s="69" t="inlineStr">
        <is>
          <t>Généré (octobre)</t>
        </is>
      </c>
      <c r="V499" s="69" t="inlineStr"/>
      <c r="W499" s="10" t="n"/>
      <c r="X499" s="10" t="inlineStr"/>
      <c r="Y499" s="64">
        <f>IF($M499="","",IF(SUMPRODUCT(($D$4:$D$863=$D499)*($M$4:$M$863=$M499)*($T$4:$T$863&lt;&gt;$T499)*($F$4:$F$863&lt;$G499)*($G$4:$G$863&gt;$F499))&gt;0,"⚠ CONFLIT",""))</f>
        <v/>
      </c>
      <c r="Z499" s="64">
        <f>IF($J499="","",IF(SUMPRODUCT(($D$4:$D$863=$D499)*($J$4:$J$863=$J499)*($T$4:$T$863&lt;&gt;$T499)*($F$4:$F$863&lt;$G499)*($G$4:$G$863&gt;$F499)*(1-($X$4:$X$863="Oui")*($X499="Oui")))&gt;0,"⚠ CONFLIT",""))</f>
        <v/>
      </c>
      <c r="AA499" s="64">
        <f>IF(COUNTIFS($D$4:$D$863,$D499,$J$4:$J$863,$J499,$F$4:$F$863,$F499,$K$4:$K$863,$K499)&gt;1,"⚠ DOUBLON","")</f>
        <v/>
      </c>
      <c r="AB499" s="64">
        <f>IF(COUNTIF($T$4:$T$863,$T499)&lt;&gt;COUNTIFS($T$4:$T$863,$T499,$D$4:$D$863,$D499,$F$4:$F$863,$F499,$G$4:$G$863,$G499,$K$4:$K$863,$K499,$M$4:$M$863,$M499),"⚠ INCOHÉRENT","")</f>
        <v/>
      </c>
      <c r="AC499" s="64">
        <f>COUNTIFS($A$4:$A499,$A499,$J$4:$J499,$J499,$E$4:$E499,$E499)</f>
        <v/>
      </c>
      <c r="AD499" s="65">
        <f>$A499&amp;"|"&amp;$J499&amp;"|"&amp;$E499&amp;"|"&amp;$AC499</f>
        <v/>
      </c>
      <c r="AE499" s="66">
        <f>IF($W499&lt;&gt;"","⚑ "&amp;$W499&amp;CHAR(10),"")&amp;TEXT($F499,"hh:mm")&amp;"-"&amp;TEXT($G499,"hh:mm")&amp;IF(OR($P499="Quinzaine A",AND($P499="Hebdo · groupes alternés",$C499="A"))," Q-A",IF(OR($P499="Quinzaine B",AND($P499="Hebdo · groupes alternés",$C499="B"))," Q-B",IF($P499="Exception"," PONCT.","")))&amp;IF($X499="Oui"," OPT","")&amp;CHAR(10)&amp;$K499&amp;CHAR(10)&amp;$M499&amp;IF($N499&lt;&gt;"",CHAR(10)&amp;"Salle "&amp;$N499,"")&amp;IF($O499="En ligne",CHAR(10)&amp;"EN LIGNE","")&amp;IF($V499&lt;&gt;"",CHAR(10)&amp;$V499,"")</f>
        <v/>
      </c>
      <c r="AF499" s="65" t="inlineStr"/>
      <c r="AG499" s="65" t="inlineStr">
        <is>
          <t>— généré —</t>
        </is>
      </c>
    </row>
    <row r="500" ht="15" customHeight="1">
      <c r="A500" s="74" t="inlineStr">
        <is>
          <t>S5</t>
        </is>
      </c>
      <c r="B500" s="75" t="inlineStr">
        <is>
          <t>du 12 au 18 octobre 2026</t>
        </is>
      </c>
      <c r="C500" s="74" t="inlineStr">
        <is>
          <t>A</t>
        </is>
      </c>
      <c r="D500" s="76" t="n">
        <v>46307</v>
      </c>
      <c r="E500" s="74" t="inlineStr">
        <is>
          <t>Lundi</t>
        </is>
      </c>
      <c r="F500" s="77" t="n">
        <v>0.8125</v>
      </c>
      <c r="G500" s="77" t="n">
        <v>0.875</v>
      </c>
      <c r="H500" s="78">
        <f>IF(OR($F500="",$G500=""),"",($G500-$F500)*24)</f>
        <v/>
      </c>
      <c r="I500" s="74" t="inlineStr">
        <is>
          <t>Secondaire</t>
        </is>
      </c>
      <c r="J500" s="75" t="inlineStr">
        <is>
          <t>1ére (A)</t>
        </is>
      </c>
      <c r="K500" s="79" t="inlineStr">
        <is>
          <t>Math</t>
        </is>
      </c>
      <c r="L500" s="79" t="inlineStr">
        <is>
          <t>Math</t>
        </is>
      </c>
      <c r="M500" s="75" t="inlineStr">
        <is>
          <t>Haythem</t>
        </is>
      </c>
      <c r="N500" s="74" t="n"/>
      <c r="O500" s="74" t="n"/>
      <c r="P500" s="74" t="inlineStr">
        <is>
          <t>Hebdomadaire</t>
        </is>
      </c>
      <c r="Q500" s="75" t="inlineStr"/>
      <c r="R500" s="74" t="n">
        <v>1</v>
      </c>
      <c r="S500" s="74" t="inlineStr">
        <is>
          <t>Oui</t>
        </is>
      </c>
      <c r="T500" s="74" t="inlineStr">
        <is>
          <t>S5-005</t>
        </is>
      </c>
      <c r="U500" s="75" t="inlineStr">
        <is>
          <t>Généré (octobre)</t>
        </is>
      </c>
      <c r="V500" s="75" t="inlineStr"/>
      <c r="W500" s="10" t="n"/>
      <c r="X500" s="10" t="inlineStr"/>
      <c r="Y500" s="64">
        <f>IF($M500="","",IF(SUMPRODUCT(($D$4:$D$863=$D500)*($M$4:$M$863=$M500)*($T$4:$T$863&lt;&gt;$T500)*($F$4:$F$863&lt;$G500)*($G$4:$G$863&gt;$F500))&gt;0,"⚠ CONFLIT",""))</f>
        <v/>
      </c>
      <c r="Z500" s="64">
        <f>IF($J500="","",IF(SUMPRODUCT(($D$4:$D$863=$D500)*($J$4:$J$863=$J500)*($T$4:$T$863&lt;&gt;$T500)*($F$4:$F$863&lt;$G500)*($G$4:$G$863&gt;$F500)*(1-($X$4:$X$863="Oui")*($X500="Oui")))&gt;0,"⚠ CONFLIT",""))</f>
        <v/>
      </c>
      <c r="AA500" s="64">
        <f>IF(COUNTIFS($D$4:$D$863,$D500,$J$4:$J$863,$J500,$F$4:$F$863,$F500,$K$4:$K$863,$K500)&gt;1,"⚠ DOUBLON","")</f>
        <v/>
      </c>
      <c r="AB500" s="64">
        <f>IF(COUNTIF($T$4:$T$863,$T500)&lt;&gt;COUNTIFS($T$4:$T$863,$T500,$D$4:$D$863,$D500,$F$4:$F$863,$F500,$G$4:$G$863,$G500,$K$4:$K$863,$K500,$M$4:$M$863,$M500),"⚠ INCOHÉRENT","")</f>
        <v/>
      </c>
      <c r="AC500" s="64">
        <f>COUNTIFS($A$4:$A500,$A500,$J$4:$J500,$J500,$E$4:$E500,$E500)</f>
        <v/>
      </c>
      <c r="AD500" s="65">
        <f>$A500&amp;"|"&amp;$J500&amp;"|"&amp;$E500&amp;"|"&amp;$AC500</f>
        <v/>
      </c>
      <c r="AE500" s="66">
        <f>IF($W500&lt;&gt;"","⚑ "&amp;$W500&amp;CHAR(10),"")&amp;TEXT($F500,"hh:mm")&amp;"-"&amp;TEXT($G500,"hh:mm")&amp;IF(OR($P500="Quinzaine A",AND($P500="Hebdo · groupes alternés",$C500="A"))," Q-A",IF(OR($P500="Quinzaine B",AND($P500="Hebdo · groupes alternés",$C500="B"))," Q-B",IF($P500="Exception"," PONCT.","")))&amp;IF($X500="Oui"," OPT","")&amp;CHAR(10)&amp;$K500&amp;CHAR(10)&amp;$M500&amp;IF($N500&lt;&gt;"",CHAR(10)&amp;"Salle "&amp;$N500,"")&amp;IF($O500="En ligne",CHAR(10)&amp;"EN LIGNE","")&amp;IF($V500&lt;&gt;"",CHAR(10)&amp;$V500,"")</f>
        <v/>
      </c>
      <c r="AF500" s="65" t="inlineStr"/>
      <c r="AG500" s="65" t="inlineStr">
        <is>
          <t>— généré —</t>
        </is>
      </c>
    </row>
    <row r="501" ht="15" customHeight="1">
      <c r="A501" s="74" t="inlineStr">
        <is>
          <t>S5</t>
        </is>
      </c>
      <c r="B501" s="75" t="inlineStr">
        <is>
          <t>du 12 au 18 octobre 2026</t>
        </is>
      </c>
      <c r="C501" s="74" t="inlineStr">
        <is>
          <t>A</t>
        </is>
      </c>
      <c r="D501" s="76" t="n">
        <v>46307</v>
      </c>
      <c r="E501" s="74" t="inlineStr">
        <is>
          <t>Lundi</t>
        </is>
      </c>
      <c r="F501" s="77" t="n">
        <v>0.6458333333333334</v>
      </c>
      <c r="G501" s="77" t="n">
        <v>0.7291666666666666</v>
      </c>
      <c r="H501" s="78">
        <f>IF(OR($F501="",$G501=""),"",($G501-$F501)*24)</f>
        <v/>
      </c>
      <c r="I501" s="74" t="inlineStr">
        <is>
          <t>Secondaire</t>
        </is>
      </c>
      <c r="J501" s="75" t="inlineStr">
        <is>
          <t>3éme INFO</t>
        </is>
      </c>
      <c r="K501" s="96" t="inlineStr">
        <is>
          <t>STI</t>
        </is>
      </c>
      <c r="L501" s="96" t="inlineStr">
        <is>
          <t>STI</t>
        </is>
      </c>
      <c r="M501" s="75" t="inlineStr">
        <is>
          <t>Aymen</t>
        </is>
      </c>
      <c r="N501" s="74" t="n"/>
      <c r="O501" s="74" t="n"/>
      <c r="P501" s="74" t="inlineStr">
        <is>
          <t>Hebdomadaire</t>
        </is>
      </c>
      <c r="Q501" s="75" t="inlineStr"/>
      <c r="R501" s="74" t="n">
        <v>1</v>
      </c>
      <c r="S501" s="74" t="inlineStr">
        <is>
          <t>Oui</t>
        </is>
      </c>
      <c r="T501" s="74" t="inlineStr">
        <is>
          <t>S5-092</t>
        </is>
      </c>
      <c r="U501" s="75" t="inlineStr">
        <is>
          <t>Généré (octobre)</t>
        </is>
      </c>
      <c r="V501" s="75" t="inlineStr"/>
      <c r="W501" s="10" t="n"/>
      <c r="X501" s="10" t="inlineStr"/>
      <c r="Y501" s="64">
        <f>IF($M501="","",IF(SUMPRODUCT(($D$4:$D$863=$D501)*($M$4:$M$863=$M501)*($T$4:$T$863&lt;&gt;$T501)*($F$4:$F$863&lt;$G501)*($G$4:$G$863&gt;$F501))&gt;0,"⚠ CONFLIT",""))</f>
        <v/>
      </c>
      <c r="Z501" s="64">
        <f>IF($J501="","",IF(SUMPRODUCT(($D$4:$D$863=$D501)*($J$4:$J$863=$J501)*($T$4:$T$863&lt;&gt;$T501)*($F$4:$F$863&lt;$G501)*($G$4:$G$863&gt;$F501)*(1-($X$4:$X$863="Oui")*($X501="Oui")))&gt;0,"⚠ CONFLIT",""))</f>
        <v/>
      </c>
      <c r="AA501" s="64">
        <f>IF(COUNTIFS($D$4:$D$863,$D501,$J$4:$J$863,$J501,$F$4:$F$863,$F501,$K$4:$K$863,$K501)&gt;1,"⚠ DOUBLON","")</f>
        <v/>
      </c>
      <c r="AB501" s="64">
        <f>IF(COUNTIF($T$4:$T$863,$T501)&lt;&gt;COUNTIFS($T$4:$T$863,$T501,$D$4:$D$863,$D501,$F$4:$F$863,$F501,$G$4:$G$863,$G501,$K$4:$K$863,$K501,$M$4:$M$863,$M501),"⚠ INCOHÉRENT","")</f>
        <v/>
      </c>
      <c r="AC501" s="64">
        <f>COUNTIFS($A$4:$A501,$A501,$J$4:$J501,$J501,$E$4:$E501,$E501)</f>
        <v/>
      </c>
      <c r="AD501" s="65">
        <f>$A501&amp;"|"&amp;$J501&amp;"|"&amp;$E501&amp;"|"&amp;$AC501</f>
        <v/>
      </c>
      <c r="AE501" s="66">
        <f>IF($W501&lt;&gt;"","⚑ "&amp;$W501&amp;CHAR(10),"")&amp;TEXT($F501,"hh:mm")&amp;"-"&amp;TEXT($G501,"hh:mm")&amp;IF(OR($P501="Quinzaine A",AND($P501="Hebdo · groupes alternés",$C501="A"))," Q-A",IF(OR($P501="Quinzaine B",AND($P501="Hebdo · groupes alternés",$C501="B"))," Q-B",IF($P501="Exception"," PONCT.","")))&amp;IF($X501="Oui"," OPT","")&amp;CHAR(10)&amp;$K501&amp;CHAR(10)&amp;$M501&amp;IF($N501&lt;&gt;"",CHAR(10)&amp;"Salle "&amp;$N501,"")&amp;IF($O501="En ligne",CHAR(10)&amp;"EN LIGNE","")&amp;IF($V501&lt;&gt;"",CHAR(10)&amp;$V501,"")</f>
        <v/>
      </c>
      <c r="AF501" s="65" t="inlineStr"/>
      <c r="AG501" s="65" t="inlineStr">
        <is>
          <t>— généré —</t>
        </is>
      </c>
    </row>
    <row r="502" ht="15" customHeight="1">
      <c r="A502" s="74" t="inlineStr">
        <is>
          <t>S5</t>
        </is>
      </c>
      <c r="B502" s="75" t="inlineStr">
        <is>
          <t>du 12 au 18 octobre 2026</t>
        </is>
      </c>
      <c r="C502" s="74" t="inlineStr">
        <is>
          <t>A</t>
        </is>
      </c>
      <c r="D502" s="76" t="n">
        <v>46307</v>
      </c>
      <c r="E502" s="74" t="inlineStr">
        <is>
          <t>Lundi</t>
        </is>
      </c>
      <c r="F502" s="77" t="n">
        <v>0.7916666666666666</v>
      </c>
      <c r="G502" s="77" t="n">
        <v>0.8541666666666666</v>
      </c>
      <c r="H502" s="78">
        <f>IF(OR($F502="",$G502=""),"",($G502-$F502)*24)</f>
        <v/>
      </c>
      <c r="I502" s="74" t="inlineStr">
        <is>
          <t>Secondaire</t>
        </is>
      </c>
      <c r="J502" s="75" t="inlineStr">
        <is>
          <t>3éme SCE</t>
        </is>
      </c>
      <c r="K502" s="79" t="inlineStr">
        <is>
          <t>Math</t>
        </is>
      </c>
      <c r="L502" s="79" t="inlineStr">
        <is>
          <t>Math</t>
        </is>
      </c>
      <c r="M502" s="75" t="inlineStr">
        <is>
          <t>Lotfi</t>
        </is>
      </c>
      <c r="N502" s="74" t="n"/>
      <c r="O502" s="74" t="n"/>
      <c r="P502" s="74" t="inlineStr">
        <is>
          <t>Hebdomadaire</t>
        </is>
      </c>
      <c r="Q502" s="75" t="inlineStr"/>
      <c r="R502" s="74" t="n">
        <v>1</v>
      </c>
      <c r="S502" s="74" t="inlineStr">
        <is>
          <t>Oui</t>
        </is>
      </c>
      <c r="T502" s="74" t="inlineStr">
        <is>
          <t>S5-093</t>
        </is>
      </c>
      <c r="U502" s="75" t="inlineStr">
        <is>
          <t>Généré (octobre)</t>
        </is>
      </c>
      <c r="V502" s="75" t="inlineStr"/>
      <c r="W502" s="10" t="n"/>
      <c r="X502" s="10" t="inlineStr"/>
      <c r="Y502" s="64">
        <f>IF($M502="","",IF(SUMPRODUCT(($D$4:$D$863=$D502)*($M$4:$M$863=$M502)*($T$4:$T$863&lt;&gt;$T502)*($F$4:$F$863&lt;$G502)*($G$4:$G$863&gt;$F502))&gt;0,"⚠ CONFLIT",""))</f>
        <v/>
      </c>
      <c r="Z502" s="64">
        <f>IF($J502="","",IF(SUMPRODUCT(($D$4:$D$863=$D502)*($J$4:$J$863=$J502)*($T$4:$T$863&lt;&gt;$T502)*($F$4:$F$863&lt;$G502)*($G$4:$G$863&gt;$F502)*(1-($X$4:$X$863="Oui")*($X502="Oui")))&gt;0,"⚠ CONFLIT",""))</f>
        <v/>
      </c>
      <c r="AA502" s="64">
        <f>IF(COUNTIFS($D$4:$D$863,$D502,$J$4:$J$863,$J502,$F$4:$F$863,$F502,$K$4:$K$863,$K502)&gt;1,"⚠ DOUBLON","")</f>
        <v/>
      </c>
      <c r="AB502" s="64">
        <f>IF(COUNTIF($T$4:$T$863,$T502)&lt;&gt;COUNTIFS($T$4:$T$863,$T502,$D$4:$D$863,$D502,$F$4:$F$863,$F502,$G$4:$G$863,$G502,$K$4:$K$863,$K502,$M$4:$M$863,$M502),"⚠ INCOHÉRENT","")</f>
        <v/>
      </c>
      <c r="AC502" s="64">
        <f>COUNTIFS($A$4:$A502,$A502,$J$4:$J502,$J502,$E$4:$E502,$E502)</f>
        <v/>
      </c>
      <c r="AD502" s="65">
        <f>$A502&amp;"|"&amp;$J502&amp;"|"&amp;$E502&amp;"|"&amp;$AC502</f>
        <v/>
      </c>
      <c r="AE502" s="66">
        <f>IF($W502&lt;&gt;"","⚑ "&amp;$W502&amp;CHAR(10),"")&amp;TEXT($F502,"hh:mm")&amp;"-"&amp;TEXT($G502,"hh:mm")&amp;IF(OR($P502="Quinzaine A",AND($P502="Hebdo · groupes alternés",$C502="A"))," Q-A",IF(OR($P502="Quinzaine B",AND($P502="Hebdo · groupes alternés",$C502="B"))," Q-B",IF($P502="Exception"," PONCT.","")))&amp;IF($X502="Oui"," OPT","")&amp;CHAR(10)&amp;$K502&amp;CHAR(10)&amp;$M502&amp;IF($N502&lt;&gt;"",CHAR(10)&amp;"Salle "&amp;$N502,"")&amp;IF($O502="En ligne",CHAR(10)&amp;"EN LIGNE","")&amp;IF($V502&lt;&gt;"",CHAR(10)&amp;$V502,"")</f>
        <v/>
      </c>
      <c r="AF502" s="65" t="inlineStr"/>
      <c r="AG502" s="65" t="inlineStr">
        <is>
          <t>— généré —</t>
        </is>
      </c>
    </row>
    <row r="503" ht="15" customHeight="1">
      <c r="A503" s="81" t="inlineStr">
        <is>
          <t>S5</t>
        </is>
      </c>
      <c r="B503" s="82" t="inlineStr">
        <is>
          <t>du 12 au 18 octobre 2026</t>
        </is>
      </c>
      <c r="C503" s="81" t="inlineStr">
        <is>
          <t>A</t>
        </is>
      </c>
      <c r="D503" s="83" t="n">
        <v>46307</v>
      </c>
      <c r="E503" s="81" t="inlineStr">
        <is>
          <t>Lundi</t>
        </is>
      </c>
      <c r="F503" s="84" t="n">
        <v>0.7916666666666666</v>
      </c>
      <c r="G503" s="84" t="n">
        <v>0.875</v>
      </c>
      <c r="H503" s="85">
        <f>IF(OR($F503="",$G503=""),"",($G503-$F503)*24)</f>
        <v/>
      </c>
      <c r="I503" s="81" t="inlineStr">
        <is>
          <t>Bac</t>
        </is>
      </c>
      <c r="J503" s="82" t="inlineStr">
        <is>
          <t>Bac Eco</t>
        </is>
      </c>
      <c r="K503" s="86" t="inlineStr">
        <is>
          <t>Gestion</t>
        </is>
      </c>
      <c r="L503" s="86" t="inlineStr">
        <is>
          <t>Gestion</t>
        </is>
      </c>
      <c r="M503" s="82" t="inlineStr">
        <is>
          <t>Yassine</t>
        </is>
      </c>
      <c r="N503" s="81" t="n"/>
      <c r="O503" s="81" t="n"/>
      <c r="P503" s="81" t="inlineStr">
        <is>
          <t>Hebdomadaire</t>
        </is>
      </c>
      <c r="Q503" s="82" t="inlineStr"/>
      <c r="R503" s="81" t="n">
        <v>1</v>
      </c>
      <c r="S503" s="81" t="inlineStr">
        <is>
          <t>Oui</t>
        </is>
      </c>
      <c r="T503" s="81" t="inlineStr">
        <is>
          <t>S5-006</t>
        </is>
      </c>
      <c r="U503" s="82" t="inlineStr">
        <is>
          <t>Généré (octobre)</t>
        </is>
      </c>
      <c r="V503" s="82" t="inlineStr"/>
      <c r="W503" s="10" t="n"/>
      <c r="X503" s="10" t="inlineStr"/>
      <c r="Y503" s="64">
        <f>IF($M503="","",IF(SUMPRODUCT(($D$4:$D$863=$D503)*($M$4:$M$863=$M503)*($T$4:$T$863&lt;&gt;$T503)*($F$4:$F$863&lt;$G503)*($G$4:$G$863&gt;$F503))&gt;0,"⚠ CONFLIT",""))</f>
        <v/>
      </c>
      <c r="Z503" s="64">
        <f>IF($J503="","",IF(SUMPRODUCT(($D$4:$D$863=$D503)*($J$4:$J$863=$J503)*($T$4:$T$863&lt;&gt;$T503)*($F$4:$F$863&lt;$G503)*($G$4:$G$863&gt;$F503)*(1-($X$4:$X$863="Oui")*($X503="Oui")))&gt;0,"⚠ CONFLIT",""))</f>
        <v/>
      </c>
      <c r="AA503" s="64">
        <f>IF(COUNTIFS($D$4:$D$863,$D503,$J$4:$J$863,$J503,$F$4:$F$863,$F503,$K$4:$K$863,$K503)&gt;1,"⚠ DOUBLON","")</f>
        <v/>
      </c>
      <c r="AB503" s="64">
        <f>IF(COUNTIF($T$4:$T$863,$T503)&lt;&gt;COUNTIFS($T$4:$T$863,$T503,$D$4:$D$863,$D503,$F$4:$F$863,$F503,$G$4:$G$863,$G503,$K$4:$K$863,$K503,$M$4:$M$863,$M503),"⚠ INCOHÉRENT","")</f>
        <v/>
      </c>
      <c r="AC503" s="64">
        <f>COUNTIFS($A$4:$A503,$A503,$J$4:$J503,$J503,$E$4:$E503,$E503)</f>
        <v/>
      </c>
      <c r="AD503" s="65">
        <f>$A503&amp;"|"&amp;$J503&amp;"|"&amp;$E503&amp;"|"&amp;$AC503</f>
        <v/>
      </c>
      <c r="AE503" s="66">
        <f>IF($W503&lt;&gt;"","⚑ "&amp;$W503&amp;CHAR(10),"")&amp;TEXT($F503,"hh:mm")&amp;"-"&amp;TEXT($G503,"hh:mm")&amp;IF(OR($P503="Quinzaine A",AND($P503="Hebdo · groupes alternés",$C503="A"))," Q-A",IF(OR($P503="Quinzaine B",AND($P503="Hebdo · groupes alternés",$C503="B"))," Q-B",IF($P503="Exception"," PONCT.","")))&amp;IF($X503="Oui"," OPT","")&amp;CHAR(10)&amp;$K503&amp;CHAR(10)&amp;$M503&amp;IF($N503&lt;&gt;"",CHAR(10)&amp;"Salle "&amp;$N503,"")&amp;IF($O503="En ligne",CHAR(10)&amp;"EN LIGNE","")&amp;IF($V503&lt;&gt;"",CHAR(10)&amp;$V503,"")</f>
        <v/>
      </c>
      <c r="AF503" s="65" t="inlineStr"/>
      <c r="AG503" s="65" t="inlineStr">
        <is>
          <t>— généré —</t>
        </is>
      </c>
    </row>
    <row r="504" ht="15" customHeight="1">
      <c r="A504" s="81" t="inlineStr">
        <is>
          <t>S5</t>
        </is>
      </c>
      <c r="B504" s="82" t="inlineStr">
        <is>
          <t>du 12 au 18 octobre 2026</t>
        </is>
      </c>
      <c r="C504" s="81" t="inlineStr">
        <is>
          <t>A</t>
        </is>
      </c>
      <c r="D504" s="83" t="n">
        <v>46307</v>
      </c>
      <c r="E504" s="81" t="inlineStr">
        <is>
          <t>Lundi</t>
        </is>
      </c>
      <c r="F504" s="84" t="n">
        <v>0.7916666666666666</v>
      </c>
      <c r="G504" s="84" t="n">
        <v>0.875</v>
      </c>
      <c r="H504" s="85">
        <f>IF(OR($F504="",$G504=""),"",($G504-$F504)*24)</f>
        <v/>
      </c>
      <c r="I504" s="81" t="inlineStr">
        <is>
          <t>Bac</t>
        </is>
      </c>
      <c r="J504" s="82" t="inlineStr">
        <is>
          <t>Bac SCE</t>
        </is>
      </c>
      <c r="K504" s="73" t="inlineStr">
        <is>
          <t>Physique</t>
        </is>
      </c>
      <c r="L504" s="73" t="inlineStr">
        <is>
          <t>Physique</t>
        </is>
      </c>
      <c r="M504" s="82" t="inlineStr">
        <is>
          <t>Sondes</t>
        </is>
      </c>
      <c r="N504" s="81" t="n"/>
      <c r="O504" s="81" t="n"/>
      <c r="P504" s="81" t="inlineStr">
        <is>
          <t>Hebdomadaire</t>
        </is>
      </c>
      <c r="Q504" s="82" t="inlineStr"/>
      <c r="R504" s="81" t="n">
        <v>1</v>
      </c>
      <c r="S504" s="81" t="inlineStr">
        <is>
          <t>Oui</t>
        </is>
      </c>
      <c r="T504" s="81" t="inlineStr">
        <is>
          <t>S5-007</t>
        </is>
      </c>
      <c r="U504" s="82" t="inlineStr">
        <is>
          <t>Généré (octobre)</t>
        </is>
      </c>
      <c r="V504" s="82" t="inlineStr"/>
      <c r="W504" s="10" t="n"/>
      <c r="X504" s="10" t="inlineStr"/>
      <c r="Y504" s="64">
        <f>IF($M504="","",IF(SUMPRODUCT(($D$4:$D$863=$D504)*($M$4:$M$863=$M504)*($T$4:$T$863&lt;&gt;$T504)*($F$4:$F$863&lt;$G504)*($G$4:$G$863&gt;$F504))&gt;0,"⚠ CONFLIT",""))</f>
        <v/>
      </c>
      <c r="Z504" s="64">
        <f>IF($J504="","",IF(SUMPRODUCT(($D$4:$D$863=$D504)*($J$4:$J$863=$J504)*($T$4:$T$863&lt;&gt;$T504)*($F$4:$F$863&lt;$G504)*($G$4:$G$863&gt;$F504)*(1-($X$4:$X$863="Oui")*($X504="Oui")))&gt;0,"⚠ CONFLIT",""))</f>
        <v/>
      </c>
      <c r="AA504" s="64">
        <f>IF(COUNTIFS($D$4:$D$863,$D504,$J$4:$J$863,$J504,$F$4:$F$863,$F504,$K$4:$K$863,$K504)&gt;1,"⚠ DOUBLON","")</f>
        <v/>
      </c>
      <c r="AB504" s="64">
        <f>IF(COUNTIF($T$4:$T$863,$T504)&lt;&gt;COUNTIFS($T$4:$T$863,$T504,$D$4:$D$863,$D504,$F$4:$F$863,$F504,$G$4:$G$863,$G504,$K$4:$K$863,$K504,$M$4:$M$863,$M504),"⚠ INCOHÉRENT","")</f>
        <v/>
      </c>
      <c r="AC504" s="64">
        <f>COUNTIFS($A$4:$A504,$A504,$J$4:$J504,$J504,$E$4:$E504,$E504)</f>
        <v/>
      </c>
      <c r="AD504" s="65">
        <f>$A504&amp;"|"&amp;$J504&amp;"|"&amp;$E504&amp;"|"&amp;$AC504</f>
        <v/>
      </c>
      <c r="AE504" s="66">
        <f>IF($W504&lt;&gt;"","⚑ "&amp;$W504&amp;CHAR(10),"")&amp;TEXT($F504,"hh:mm")&amp;"-"&amp;TEXT($G504,"hh:mm")&amp;IF(OR($P504="Quinzaine A",AND($P504="Hebdo · groupes alternés",$C504="A"))," Q-A",IF(OR($P504="Quinzaine B",AND($P504="Hebdo · groupes alternés",$C504="B"))," Q-B",IF($P504="Exception"," PONCT.","")))&amp;IF($X504="Oui"," OPT","")&amp;CHAR(10)&amp;$K504&amp;CHAR(10)&amp;$M504&amp;IF($N504&lt;&gt;"",CHAR(10)&amp;"Salle "&amp;$N504,"")&amp;IF($O504="En ligne",CHAR(10)&amp;"EN LIGNE","")&amp;IF($V504&lt;&gt;"",CHAR(10)&amp;$V504,"")</f>
        <v/>
      </c>
      <c r="AF504" s="65" t="inlineStr"/>
      <c r="AG504" s="65" t="inlineStr">
        <is>
          <t>— généré —</t>
        </is>
      </c>
    </row>
    <row r="505" ht="15" customHeight="1">
      <c r="A505" s="81" t="inlineStr">
        <is>
          <t>S5</t>
        </is>
      </c>
      <c r="B505" s="82" t="inlineStr">
        <is>
          <t>du 12 au 18 octobre 2026</t>
        </is>
      </c>
      <c r="C505" s="81" t="inlineStr">
        <is>
          <t>A</t>
        </is>
      </c>
      <c r="D505" s="83" t="n">
        <v>46307</v>
      </c>
      <c r="E505" s="81" t="inlineStr">
        <is>
          <t>Lundi</t>
        </is>
      </c>
      <c r="F505" s="84" t="n">
        <v>0.8125</v>
      </c>
      <c r="G505" s="84" t="n">
        <v>0.875</v>
      </c>
      <c r="H505" s="85">
        <f>IF(OR($F505="",$G505=""),"",($G505-$F505)*24)</f>
        <v/>
      </c>
      <c r="I505" s="81" t="inlineStr">
        <is>
          <t>Bac</t>
        </is>
      </c>
      <c r="J505" s="82" t="inlineStr">
        <is>
          <t>Bac INFO</t>
        </is>
      </c>
      <c r="K505" s="73" t="inlineStr">
        <is>
          <t>Physique</t>
        </is>
      </c>
      <c r="L505" s="73" t="inlineStr">
        <is>
          <t>Physique</t>
        </is>
      </c>
      <c r="M505" s="82" t="inlineStr">
        <is>
          <t>Samia</t>
        </is>
      </c>
      <c r="N505" s="81" t="n"/>
      <c r="O505" s="81" t="n"/>
      <c r="P505" s="81" t="inlineStr">
        <is>
          <t>Hebdomadaire</t>
        </is>
      </c>
      <c r="Q505" s="82" t="inlineStr"/>
      <c r="R505" s="81" t="n">
        <v>1</v>
      </c>
      <c r="S505" s="81" t="inlineStr">
        <is>
          <t>Oui</t>
        </is>
      </c>
      <c r="T505" s="81" t="inlineStr">
        <is>
          <t>S5-008</t>
        </is>
      </c>
      <c r="U505" s="82" t="inlineStr">
        <is>
          <t>Généré (octobre)</t>
        </is>
      </c>
      <c r="V505" s="82" t="inlineStr"/>
      <c r="W505" s="10" t="n"/>
      <c r="X505" s="10" t="inlineStr"/>
      <c r="Y505" s="64">
        <f>IF($M505="","",IF(SUMPRODUCT(($D$4:$D$863=$D505)*($M$4:$M$863=$M505)*($T$4:$T$863&lt;&gt;$T505)*($F$4:$F$863&lt;$G505)*($G$4:$G$863&gt;$F505))&gt;0,"⚠ CONFLIT",""))</f>
        <v/>
      </c>
      <c r="Z505" s="64">
        <f>IF($J505="","",IF(SUMPRODUCT(($D$4:$D$863=$D505)*($J$4:$J$863=$J505)*($T$4:$T$863&lt;&gt;$T505)*($F$4:$F$863&lt;$G505)*($G$4:$G$863&gt;$F505)*(1-($X$4:$X$863="Oui")*($X505="Oui")))&gt;0,"⚠ CONFLIT",""))</f>
        <v/>
      </c>
      <c r="AA505" s="64">
        <f>IF(COUNTIFS($D$4:$D$863,$D505,$J$4:$J$863,$J505,$F$4:$F$863,$F505,$K$4:$K$863,$K505)&gt;1,"⚠ DOUBLON","")</f>
        <v/>
      </c>
      <c r="AB505" s="64">
        <f>IF(COUNTIF($T$4:$T$863,$T505)&lt;&gt;COUNTIFS($T$4:$T$863,$T505,$D$4:$D$863,$D505,$F$4:$F$863,$F505,$G$4:$G$863,$G505,$K$4:$K$863,$K505,$M$4:$M$863,$M505),"⚠ INCOHÉRENT","")</f>
        <v/>
      </c>
      <c r="AC505" s="64">
        <f>COUNTIFS($A$4:$A505,$A505,$J$4:$J505,$J505,$E$4:$E505,$E505)</f>
        <v/>
      </c>
      <c r="AD505" s="65">
        <f>$A505&amp;"|"&amp;$J505&amp;"|"&amp;$E505&amp;"|"&amp;$AC505</f>
        <v/>
      </c>
      <c r="AE505" s="66">
        <f>IF($W505&lt;&gt;"","⚑ "&amp;$W505&amp;CHAR(10),"")&amp;TEXT($F505,"hh:mm")&amp;"-"&amp;TEXT($G505,"hh:mm")&amp;IF(OR($P505="Quinzaine A",AND($P505="Hebdo · groupes alternés",$C505="A"))," Q-A",IF(OR($P505="Quinzaine B",AND($P505="Hebdo · groupes alternés",$C505="B"))," Q-B",IF($P505="Exception"," PONCT.","")))&amp;IF($X505="Oui"," OPT","")&amp;CHAR(10)&amp;$K505&amp;CHAR(10)&amp;$M505&amp;IF($N505&lt;&gt;"",CHAR(10)&amp;"Salle "&amp;$N505,"")&amp;IF($O505="En ligne",CHAR(10)&amp;"EN LIGNE","")&amp;IF($V505&lt;&gt;"",CHAR(10)&amp;$V505,"")</f>
        <v/>
      </c>
      <c r="AF505" s="65" t="inlineStr"/>
      <c r="AG505" s="65" t="inlineStr">
        <is>
          <t>— généré —</t>
        </is>
      </c>
    </row>
    <row r="506" ht="15" customHeight="1">
      <c r="A506" s="58" t="inlineStr">
        <is>
          <t>S5</t>
        </is>
      </c>
      <c r="B506" s="59" t="inlineStr">
        <is>
          <t>du 12 au 18 octobre 2026</t>
        </is>
      </c>
      <c r="C506" s="58" t="inlineStr">
        <is>
          <t>A</t>
        </is>
      </c>
      <c r="D506" s="60" t="n">
        <v>46308</v>
      </c>
      <c r="E506" s="58" t="inlineStr">
        <is>
          <t>Mardi</t>
        </is>
      </c>
      <c r="F506" s="61" t="n">
        <v>0.7916666666666666</v>
      </c>
      <c r="G506" s="61" t="n">
        <v>0.875</v>
      </c>
      <c r="H506" s="62">
        <f>IF(OR($F506="",$G506=""),"",($G506-$F506)*24)</f>
        <v/>
      </c>
      <c r="I506" s="58" t="inlineStr">
        <is>
          <t>Primaire</t>
        </is>
      </c>
      <c r="J506" s="59" t="inlineStr">
        <is>
          <t>5éme</t>
        </is>
      </c>
      <c r="K506" s="63" t="inlineStr">
        <is>
          <t>عربية</t>
        </is>
      </c>
      <c r="L506" s="63" t="inlineStr">
        <is>
          <t>Arabe</t>
        </is>
      </c>
      <c r="M506" s="59" t="inlineStr">
        <is>
          <t>Lobna</t>
        </is>
      </c>
      <c r="N506" s="58" t="n"/>
      <c r="O506" s="58" t="n"/>
      <c r="P506" s="58" t="inlineStr">
        <is>
          <t>Hebdomadaire</t>
        </is>
      </c>
      <c r="Q506" s="59" t="inlineStr"/>
      <c r="R506" s="58" t="n">
        <v>1</v>
      </c>
      <c r="S506" s="58" t="inlineStr">
        <is>
          <t>Oui</t>
        </is>
      </c>
      <c r="T506" s="58" t="inlineStr">
        <is>
          <t>S5-009</t>
        </is>
      </c>
      <c r="U506" s="59" t="inlineStr">
        <is>
          <t>Généré (octobre)</t>
        </is>
      </c>
      <c r="V506" s="59" t="inlineStr"/>
      <c r="W506" s="10" t="n"/>
      <c r="X506" s="10" t="inlineStr"/>
      <c r="Y506" s="64">
        <f>IF($M506="","",IF(SUMPRODUCT(($D$4:$D$863=$D506)*($M$4:$M$863=$M506)*($T$4:$T$863&lt;&gt;$T506)*($F$4:$F$863&lt;$G506)*($G$4:$G$863&gt;$F506))&gt;0,"⚠ CONFLIT",""))</f>
        <v/>
      </c>
      <c r="Z506" s="64">
        <f>IF($J506="","",IF(SUMPRODUCT(($D$4:$D$863=$D506)*($J$4:$J$863=$J506)*($T$4:$T$863&lt;&gt;$T506)*($F$4:$F$863&lt;$G506)*($G$4:$G$863&gt;$F506)*(1-($X$4:$X$863="Oui")*($X506="Oui")))&gt;0,"⚠ CONFLIT",""))</f>
        <v/>
      </c>
      <c r="AA506" s="64">
        <f>IF(COUNTIFS($D$4:$D$863,$D506,$J$4:$J$863,$J506,$F$4:$F$863,$F506,$K$4:$K$863,$K506)&gt;1,"⚠ DOUBLON","")</f>
        <v/>
      </c>
      <c r="AB506" s="64">
        <f>IF(COUNTIF($T$4:$T$863,$T506)&lt;&gt;COUNTIFS($T$4:$T$863,$T506,$D$4:$D$863,$D506,$F$4:$F$863,$F506,$G$4:$G$863,$G506,$K$4:$K$863,$K506,$M$4:$M$863,$M506),"⚠ INCOHÉRENT","")</f>
        <v/>
      </c>
      <c r="AC506" s="64">
        <f>COUNTIFS($A$4:$A506,$A506,$J$4:$J506,$J506,$E$4:$E506,$E506)</f>
        <v/>
      </c>
      <c r="AD506" s="65">
        <f>$A506&amp;"|"&amp;$J506&amp;"|"&amp;$E506&amp;"|"&amp;$AC506</f>
        <v/>
      </c>
      <c r="AE506" s="66">
        <f>IF($W506&lt;&gt;"","⚑ "&amp;$W506&amp;CHAR(10),"")&amp;TEXT($F506,"hh:mm")&amp;"-"&amp;TEXT($G506,"hh:mm")&amp;IF(OR($P506="Quinzaine A",AND($P506="Hebdo · groupes alternés",$C506="A"))," Q-A",IF(OR($P506="Quinzaine B",AND($P506="Hebdo · groupes alternés",$C506="B"))," Q-B",IF($P506="Exception"," PONCT.","")))&amp;IF($X506="Oui"," OPT","")&amp;CHAR(10)&amp;$K506&amp;CHAR(10)&amp;$M506&amp;IF($N506&lt;&gt;"",CHAR(10)&amp;"Salle "&amp;$N506,"")&amp;IF($O506="En ligne",CHAR(10)&amp;"EN LIGNE","")&amp;IF($V506&lt;&gt;"",CHAR(10)&amp;$V506,"")</f>
        <v/>
      </c>
      <c r="AF506" s="65" t="inlineStr"/>
      <c r="AG506" s="65" t="inlineStr">
        <is>
          <t>— généré —</t>
        </is>
      </c>
    </row>
    <row r="507" ht="15" customHeight="1">
      <c r="A507" s="58" t="inlineStr">
        <is>
          <t>S5</t>
        </is>
      </c>
      <c r="B507" s="59" t="inlineStr">
        <is>
          <t>du 12 au 18 octobre 2026</t>
        </is>
      </c>
      <c r="C507" s="58" t="inlineStr">
        <is>
          <t>A</t>
        </is>
      </c>
      <c r="D507" s="60" t="n">
        <v>46308</v>
      </c>
      <c r="E507" s="58" t="inlineStr">
        <is>
          <t>Mardi</t>
        </is>
      </c>
      <c r="F507" s="61" t="n">
        <v>0.7916666666666666</v>
      </c>
      <c r="G507" s="61" t="n">
        <v>0.8541666666666666</v>
      </c>
      <c r="H507" s="62">
        <f>IF(OR($F507="",$G507=""),"",($G507-$F507)*24)</f>
        <v/>
      </c>
      <c r="I507" s="58" t="inlineStr">
        <is>
          <t>Primaire</t>
        </is>
      </c>
      <c r="J507" s="59" t="inlineStr">
        <is>
          <t>6éme (B)</t>
        </is>
      </c>
      <c r="K507" s="67" t="inlineStr">
        <is>
          <t>Français</t>
        </is>
      </c>
      <c r="L507" s="67" t="inlineStr">
        <is>
          <t>Français</t>
        </is>
      </c>
      <c r="M507" s="59" t="inlineStr">
        <is>
          <t>Hend</t>
        </is>
      </c>
      <c r="N507" s="58" t="n"/>
      <c r="O507" s="58" t="n"/>
      <c r="P507" s="58" t="inlineStr">
        <is>
          <t>Hebdomadaire</t>
        </is>
      </c>
      <c r="Q507" s="59" t="inlineStr"/>
      <c r="R507" s="58" t="n">
        <v>1</v>
      </c>
      <c r="S507" s="58" t="inlineStr">
        <is>
          <t>Oui</t>
        </is>
      </c>
      <c r="T507" s="58" t="inlineStr">
        <is>
          <t>S5-010</t>
        </is>
      </c>
      <c r="U507" s="59" t="inlineStr">
        <is>
          <t>Généré (octobre)</t>
        </is>
      </c>
      <c r="V507" s="59" t="inlineStr"/>
      <c r="W507" s="10" t="n"/>
      <c r="X507" s="10" t="inlineStr"/>
      <c r="Y507" s="64">
        <f>IF($M507="","",IF(SUMPRODUCT(($D$4:$D$863=$D507)*($M$4:$M$863=$M507)*($T$4:$T$863&lt;&gt;$T507)*($F$4:$F$863&lt;$G507)*($G$4:$G$863&gt;$F507))&gt;0,"⚠ CONFLIT",""))</f>
        <v/>
      </c>
      <c r="Z507" s="64">
        <f>IF($J507="","",IF(SUMPRODUCT(($D$4:$D$863=$D507)*($J$4:$J$863=$J507)*($T$4:$T$863&lt;&gt;$T507)*($F$4:$F$863&lt;$G507)*($G$4:$G$863&gt;$F507)*(1-($X$4:$X$863="Oui")*($X507="Oui")))&gt;0,"⚠ CONFLIT",""))</f>
        <v/>
      </c>
      <c r="AA507" s="64">
        <f>IF(COUNTIFS($D$4:$D$863,$D507,$J$4:$J$863,$J507,$F$4:$F$863,$F507,$K$4:$K$863,$K507)&gt;1,"⚠ DOUBLON","")</f>
        <v/>
      </c>
      <c r="AB507" s="64">
        <f>IF(COUNTIF($T$4:$T$863,$T507)&lt;&gt;COUNTIFS($T$4:$T$863,$T507,$D$4:$D$863,$D507,$F$4:$F$863,$F507,$G$4:$G$863,$G507,$K$4:$K$863,$K507,$M$4:$M$863,$M507),"⚠ INCOHÉRENT","")</f>
        <v/>
      </c>
      <c r="AC507" s="64">
        <f>COUNTIFS($A$4:$A507,$A507,$J$4:$J507,$J507,$E$4:$E507,$E507)</f>
        <v/>
      </c>
      <c r="AD507" s="65">
        <f>$A507&amp;"|"&amp;$J507&amp;"|"&amp;$E507&amp;"|"&amp;$AC507</f>
        <v/>
      </c>
      <c r="AE507" s="66">
        <f>IF($W507&lt;&gt;"","⚑ "&amp;$W507&amp;CHAR(10),"")&amp;TEXT($F507,"hh:mm")&amp;"-"&amp;TEXT($G507,"hh:mm")&amp;IF(OR($P507="Quinzaine A",AND($P507="Hebdo · groupes alternés",$C507="A"))," Q-A",IF(OR($P507="Quinzaine B",AND($P507="Hebdo · groupes alternés",$C507="B"))," Q-B",IF($P507="Exception"," PONCT.","")))&amp;IF($X507="Oui"," OPT","")&amp;CHAR(10)&amp;$K507&amp;CHAR(10)&amp;$M507&amp;IF($N507&lt;&gt;"",CHAR(10)&amp;"Salle "&amp;$N507,"")&amp;IF($O507="En ligne",CHAR(10)&amp;"EN LIGNE","")&amp;IF($V507&lt;&gt;"",CHAR(10)&amp;$V507,"")</f>
        <v/>
      </c>
      <c r="AF507" s="65" t="inlineStr"/>
      <c r="AG507" s="65" t="inlineStr">
        <is>
          <t>— généré —</t>
        </is>
      </c>
    </row>
    <row r="508" ht="15" customHeight="1">
      <c r="A508" s="68" t="inlineStr">
        <is>
          <t>S5</t>
        </is>
      </c>
      <c r="B508" s="69" t="inlineStr">
        <is>
          <t>du 12 au 18 octobre 2026</t>
        </is>
      </c>
      <c r="C508" s="68" t="inlineStr">
        <is>
          <t>A</t>
        </is>
      </c>
      <c r="D508" s="70" t="n">
        <v>46308</v>
      </c>
      <c r="E508" s="68" t="inlineStr">
        <is>
          <t>Mardi</t>
        </is>
      </c>
      <c r="F508" s="71" t="n">
        <v>0.7916666666666666</v>
      </c>
      <c r="G508" s="71" t="n">
        <v>0.8541666666666666</v>
      </c>
      <c r="H508" s="72">
        <f>IF(OR($F508="",$G508=""),"",($G508-$F508)*24)</f>
        <v/>
      </c>
      <c r="I508" s="68" t="inlineStr">
        <is>
          <t>Collège</t>
        </is>
      </c>
      <c r="J508" s="69" t="inlineStr">
        <is>
          <t>7éme (A)</t>
        </is>
      </c>
      <c r="K508" s="87" t="inlineStr">
        <is>
          <t>Anglais</t>
        </is>
      </c>
      <c r="L508" s="87" t="inlineStr">
        <is>
          <t>Anglais</t>
        </is>
      </c>
      <c r="M508" s="69" t="inlineStr">
        <is>
          <t>Imen Ben Lazrak</t>
        </is>
      </c>
      <c r="N508" s="68" t="n"/>
      <c r="O508" s="68" t="n"/>
      <c r="P508" s="68" t="inlineStr">
        <is>
          <t>Hebdo · groupes alternés</t>
        </is>
      </c>
      <c r="Q508" s="69" t="inlineStr"/>
      <c r="R508" s="68" t="n">
        <v>1</v>
      </c>
      <c r="S508" s="68" t="inlineStr">
        <is>
          <t>Oui</t>
        </is>
      </c>
      <c r="T508" s="68" t="inlineStr">
        <is>
          <t>S5-011</t>
        </is>
      </c>
      <c r="U508" s="69" t="inlineStr">
        <is>
          <t>Généré (octobre)</t>
        </is>
      </c>
      <c r="V508" s="69" t="inlineStr"/>
      <c r="W508" s="10" t="n"/>
      <c r="X508" s="10" t="inlineStr"/>
      <c r="Y508" s="64">
        <f>IF($M508="","",IF(SUMPRODUCT(($D$4:$D$863=$D508)*($M$4:$M$863=$M508)*($T$4:$T$863&lt;&gt;$T508)*($F$4:$F$863&lt;$G508)*($G$4:$G$863&gt;$F508))&gt;0,"⚠ CONFLIT",""))</f>
        <v/>
      </c>
      <c r="Z508" s="64">
        <f>IF($J508="","",IF(SUMPRODUCT(($D$4:$D$863=$D508)*($J$4:$J$863=$J508)*($T$4:$T$863&lt;&gt;$T508)*($F$4:$F$863&lt;$G508)*($G$4:$G$863&gt;$F508)*(1-($X$4:$X$863="Oui")*($X508="Oui")))&gt;0,"⚠ CONFLIT",""))</f>
        <v/>
      </c>
      <c r="AA508" s="64">
        <f>IF(COUNTIFS($D$4:$D$863,$D508,$J$4:$J$863,$J508,$F$4:$F$863,$F508,$K$4:$K$863,$K508)&gt;1,"⚠ DOUBLON","")</f>
        <v/>
      </c>
      <c r="AB508" s="64">
        <f>IF(COUNTIF($T$4:$T$863,$T508)&lt;&gt;COUNTIFS($T$4:$T$863,$T508,$D$4:$D$863,$D508,$F$4:$F$863,$F508,$G$4:$G$863,$G508,$K$4:$K$863,$K508,$M$4:$M$863,$M508),"⚠ INCOHÉRENT","")</f>
        <v/>
      </c>
      <c r="AC508" s="64">
        <f>COUNTIFS($A$4:$A508,$A508,$J$4:$J508,$J508,$E$4:$E508,$E508)</f>
        <v/>
      </c>
      <c r="AD508" s="65">
        <f>$A508&amp;"|"&amp;$J508&amp;"|"&amp;$E508&amp;"|"&amp;$AC508</f>
        <v/>
      </c>
      <c r="AE508" s="66">
        <f>IF($W508&lt;&gt;"","⚑ "&amp;$W508&amp;CHAR(10),"")&amp;TEXT($F508,"hh:mm")&amp;"-"&amp;TEXT($G508,"hh:mm")&amp;IF(OR($P508="Quinzaine A",AND($P508="Hebdo · groupes alternés",$C508="A"))," Q-A",IF(OR($P508="Quinzaine B",AND($P508="Hebdo · groupes alternés",$C508="B"))," Q-B",IF($P508="Exception"," PONCT.","")))&amp;IF($X508="Oui"," OPT","")&amp;CHAR(10)&amp;$K508&amp;CHAR(10)&amp;$M508&amp;IF($N508&lt;&gt;"",CHAR(10)&amp;"Salle "&amp;$N508,"")&amp;IF($O508="En ligne",CHAR(10)&amp;"EN LIGNE","")&amp;IF($V508&lt;&gt;"",CHAR(10)&amp;$V508,"")</f>
        <v/>
      </c>
      <c r="AF508" s="65" t="inlineStr"/>
      <c r="AG508" s="65" t="inlineStr">
        <is>
          <t>— généré —</t>
        </is>
      </c>
    </row>
    <row r="509" ht="15" customHeight="1">
      <c r="A509" s="68" t="inlineStr">
        <is>
          <t>S5</t>
        </is>
      </c>
      <c r="B509" s="69" t="inlineStr">
        <is>
          <t>du 12 au 18 octobre 2026</t>
        </is>
      </c>
      <c r="C509" s="68" t="inlineStr">
        <is>
          <t>A</t>
        </is>
      </c>
      <c r="D509" s="70" t="n">
        <v>46308</v>
      </c>
      <c r="E509" s="68" t="inlineStr">
        <is>
          <t>Mardi</t>
        </is>
      </c>
      <c r="F509" s="71" t="n">
        <v>0.8125</v>
      </c>
      <c r="G509" s="71" t="n">
        <v>0.875</v>
      </c>
      <c r="H509" s="72">
        <f>IF(OR($F509="",$G509=""),"",($G509-$F509)*24)</f>
        <v/>
      </c>
      <c r="I509" s="68" t="inlineStr">
        <is>
          <t>Collège</t>
        </is>
      </c>
      <c r="J509" s="69" t="inlineStr">
        <is>
          <t>8éme (B)</t>
        </is>
      </c>
      <c r="K509" s="63" t="inlineStr">
        <is>
          <t>Arabe</t>
        </is>
      </c>
      <c r="L509" s="63" t="inlineStr">
        <is>
          <t>Arabe</t>
        </is>
      </c>
      <c r="M509" s="69" t="inlineStr">
        <is>
          <t>Yahya</t>
        </is>
      </c>
      <c r="N509" s="68" t="n"/>
      <c r="O509" s="68" t="n"/>
      <c r="P509" s="68" t="inlineStr">
        <is>
          <t>Hebdomadaire</t>
        </is>
      </c>
      <c r="Q509" s="69" t="inlineStr">
        <is>
          <t>8éme (B) + 8éme (C)</t>
        </is>
      </c>
      <c r="R509" s="68" t="n">
        <v>2</v>
      </c>
      <c r="S509" s="68" t="inlineStr">
        <is>
          <t>Oui</t>
        </is>
      </c>
      <c r="T509" s="68" t="inlineStr">
        <is>
          <t>S5-012</t>
        </is>
      </c>
      <c r="U509" s="69" t="inlineStr">
        <is>
          <t>Généré (octobre)</t>
        </is>
      </c>
      <c r="V509" s="69" t="inlineStr"/>
      <c r="W509" s="10" t="n"/>
      <c r="X509" s="10" t="inlineStr"/>
      <c r="Y509" s="64">
        <f>IF($M509="","",IF(SUMPRODUCT(($D$4:$D$863=$D509)*($M$4:$M$863=$M509)*($T$4:$T$863&lt;&gt;$T509)*($F$4:$F$863&lt;$G509)*($G$4:$G$863&gt;$F509))&gt;0,"⚠ CONFLIT",""))</f>
        <v/>
      </c>
      <c r="Z509" s="64">
        <f>IF($J509="","",IF(SUMPRODUCT(($D$4:$D$863=$D509)*($J$4:$J$863=$J509)*($T$4:$T$863&lt;&gt;$T509)*($F$4:$F$863&lt;$G509)*($G$4:$G$863&gt;$F509)*(1-($X$4:$X$863="Oui")*($X509="Oui")))&gt;0,"⚠ CONFLIT",""))</f>
        <v/>
      </c>
      <c r="AA509" s="64">
        <f>IF(COUNTIFS($D$4:$D$863,$D509,$J$4:$J$863,$J509,$F$4:$F$863,$F509,$K$4:$K$863,$K509)&gt;1,"⚠ DOUBLON","")</f>
        <v/>
      </c>
      <c r="AB509" s="64">
        <f>IF(COUNTIF($T$4:$T$863,$T509)&lt;&gt;COUNTIFS($T$4:$T$863,$T509,$D$4:$D$863,$D509,$F$4:$F$863,$F509,$G$4:$G$863,$G509,$K$4:$K$863,$K509,$M$4:$M$863,$M509),"⚠ INCOHÉRENT","")</f>
        <v/>
      </c>
      <c r="AC509" s="64">
        <f>COUNTIFS($A$4:$A509,$A509,$J$4:$J509,$J509,$E$4:$E509,$E509)</f>
        <v/>
      </c>
      <c r="AD509" s="65">
        <f>$A509&amp;"|"&amp;$J509&amp;"|"&amp;$E509&amp;"|"&amp;$AC509</f>
        <v/>
      </c>
      <c r="AE509" s="66">
        <f>IF($W509&lt;&gt;"","⚑ "&amp;$W509&amp;CHAR(10),"")&amp;TEXT($F509,"hh:mm")&amp;"-"&amp;TEXT($G509,"hh:mm")&amp;IF(OR($P509="Quinzaine A",AND($P509="Hebdo · groupes alternés",$C509="A"))," Q-A",IF(OR($P509="Quinzaine B",AND($P509="Hebdo · groupes alternés",$C509="B"))," Q-B",IF($P509="Exception"," PONCT.","")))&amp;IF($X509="Oui"," OPT","")&amp;CHAR(10)&amp;$K509&amp;CHAR(10)&amp;$M509&amp;IF($N509&lt;&gt;"",CHAR(10)&amp;"Salle "&amp;$N509,"")&amp;IF($O509="En ligne",CHAR(10)&amp;"EN LIGNE","")&amp;IF($V509&lt;&gt;"",CHAR(10)&amp;$V509,"")</f>
        <v/>
      </c>
      <c r="AF509" s="65" t="inlineStr"/>
      <c r="AG509" s="65" t="inlineStr">
        <is>
          <t>— généré —</t>
        </is>
      </c>
    </row>
    <row r="510" ht="15" customHeight="1">
      <c r="A510" s="68" t="inlineStr">
        <is>
          <t>S5</t>
        </is>
      </c>
      <c r="B510" s="69" t="inlineStr">
        <is>
          <t>du 12 au 18 octobre 2026</t>
        </is>
      </c>
      <c r="C510" s="68" t="inlineStr">
        <is>
          <t>A</t>
        </is>
      </c>
      <c r="D510" s="70" t="n">
        <v>46308</v>
      </c>
      <c r="E510" s="68" t="inlineStr">
        <is>
          <t>Mardi</t>
        </is>
      </c>
      <c r="F510" s="71" t="n">
        <v>0.8125</v>
      </c>
      <c r="G510" s="71" t="n">
        <v>0.875</v>
      </c>
      <c r="H510" s="72">
        <f>IF(OR($F510="",$G510=""),"",($G510-$F510)*24)</f>
        <v/>
      </c>
      <c r="I510" s="68" t="inlineStr">
        <is>
          <t>Collège</t>
        </is>
      </c>
      <c r="J510" s="69" t="inlineStr">
        <is>
          <t>8éme (C)</t>
        </is>
      </c>
      <c r="K510" s="63" t="inlineStr">
        <is>
          <t>Arabe</t>
        </is>
      </c>
      <c r="L510" s="63" t="inlineStr">
        <is>
          <t>Arabe</t>
        </is>
      </c>
      <c r="M510" s="69" t="inlineStr">
        <is>
          <t>Yahya</t>
        </is>
      </c>
      <c r="N510" s="68" t="n"/>
      <c r="O510" s="68" t="n"/>
      <c r="P510" s="68" t="inlineStr">
        <is>
          <t>Hebdomadaire</t>
        </is>
      </c>
      <c r="Q510" s="69" t="inlineStr">
        <is>
          <t>8éme (B) + 8éme (C)</t>
        </is>
      </c>
      <c r="R510" s="68" t="n">
        <v>2</v>
      </c>
      <c r="S510" s="68" t="inlineStr"/>
      <c r="T510" s="68" t="inlineStr">
        <is>
          <t>S5-012</t>
        </is>
      </c>
      <c r="U510" s="69" t="inlineStr">
        <is>
          <t>Généré (octobre)</t>
        </is>
      </c>
      <c r="V510" s="69" t="inlineStr"/>
      <c r="W510" s="10" t="n"/>
      <c r="X510" s="10" t="inlineStr"/>
      <c r="Y510" s="64">
        <f>IF($M510="","",IF(SUMPRODUCT(($D$4:$D$863=$D510)*($M$4:$M$863=$M510)*($T$4:$T$863&lt;&gt;$T510)*($F$4:$F$863&lt;$G510)*($G$4:$G$863&gt;$F510))&gt;0,"⚠ CONFLIT",""))</f>
        <v/>
      </c>
      <c r="Z510" s="64">
        <f>IF($J510="","",IF(SUMPRODUCT(($D$4:$D$863=$D510)*($J$4:$J$863=$J510)*($T$4:$T$863&lt;&gt;$T510)*($F$4:$F$863&lt;$G510)*($G$4:$G$863&gt;$F510)*(1-($X$4:$X$863="Oui")*($X510="Oui")))&gt;0,"⚠ CONFLIT",""))</f>
        <v/>
      </c>
      <c r="AA510" s="64">
        <f>IF(COUNTIFS($D$4:$D$863,$D510,$J$4:$J$863,$J510,$F$4:$F$863,$F510,$K$4:$K$863,$K510)&gt;1,"⚠ DOUBLON","")</f>
        <v/>
      </c>
      <c r="AB510" s="64">
        <f>IF(COUNTIF($T$4:$T$863,$T510)&lt;&gt;COUNTIFS($T$4:$T$863,$T510,$D$4:$D$863,$D510,$F$4:$F$863,$F510,$G$4:$G$863,$G510,$K$4:$K$863,$K510,$M$4:$M$863,$M510),"⚠ INCOHÉRENT","")</f>
        <v/>
      </c>
      <c r="AC510" s="64">
        <f>COUNTIFS($A$4:$A510,$A510,$J$4:$J510,$J510,$E$4:$E510,$E510)</f>
        <v/>
      </c>
      <c r="AD510" s="65">
        <f>$A510&amp;"|"&amp;$J510&amp;"|"&amp;$E510&amp;"|"&amp;$AC510</f>
        <v/>
      </c>
      <c r="AE510" s="66">
        <f>IF($W510&lt;&gt;"","⚑ "&amp;$W510&amp;CHAR(10),"")&amp;TEXT($F510,"hh:mm")&amp;"-"&amp;TEXT($G510,"hh:mm")&amp;IF(OR($P510="Quinzaine A",AND($P510="Hebdo · groupes alternés",$C510="A"))," Q-A",IF(OR($P510="Quinzaine B",AND($P510="Hebdo · groupes alternés",$C510="B"))," Q-B",IF($P510="Exception"," PONCT.","")))&amp;IF($X510="Oui"," OPT","")&amp;CHAR(10)&amp;$K510&amp;CHAR(10)&amp;$M510&amp;IF($N510&lt;&gt;"",CHAR(10)&amp;"Salle "&amp;$N510,"")&amp;IF($O510="En ligne",CHAR(10)&amp;"EN LIGNE","")&amp;IF($V510&lt;&gt;"",CHAR(10)&amp;$V510,"")</f>
        <v/>
      </c>
      <c r="AF510" s="65" t="inlineStr"/>
      <c r="AG510" s="65" t="inlineStr">
        <is>
          <t>— généré —</t>
        </is>
      </c>
    </row>
    <row r="511" ht="15" customHeight="1">
      <c r="A511" s="68" t="inlineStr">
        <is>
          <t>S5</t>
        </is>
      </c>
      <c r="B511" s="69" t="inlineStr">
        <is>
          <t>du 12 au 18 octobre 2026</t>
        </is>
      </c>
      <c r="C511" s="68" t="inlineStr">
        <is>
          <t>A</t>
        </is>
      </c>
      <c r="D511" s="70" t="n">
        <v>46308</v>
      </c>
      <c r="E511" s="68" t="inlineStr">
        <is>
          <t>Mardi</t>
        </is>
      </c>
      <c r="F511" s="71" t="n">
        <v>0.7916666666666666</v>
      </c>
      <c r="G511" s="71" t="n">
        <v>0.8541666666666666</v>
      </c>
      <c r="H511" s="72">
        <f>IF(OR($F511="",$G511=""),"",($G511-$F511)*24)</f>
        <v/>
      </c>
      <c r="I511" s="68" t="inlineStr">
        <is>
          <t>Collège</t>
        </is>
      </c>
      <c r="J511" s="69" t="inlineStr">
        <is>
          <t>9éme (A)</t>
        </is>
      </c>
      <c r="K511" s="79" t="inlineStr">
        <is>
          <t>Math</t>
        </is>
      </c>
      <c r="L511" s="79" t="inlineStr">
        <is>
          <t>Math</t>
        </is>
      </c>
      <c r="M511" s="69" t="inlineStr">
        <is>
          <t>Faouzi</t>
        </is>
      </c>
      <c r="N511" s="68" t="n"/>
      <c r="O511" s="68" t="n"/>
      <c r="P511" s="68" t="inlineStr">
        <is>
          <t>Hebdomadaire</t>
        </is>
      </c>
      <c r="Q511" s="69" t="inlineStr"/>
      <c r="R511" s="68" t="n">
        <v>1</v>
      </c>
      <c r="S511" s="68" t="inlineStr">
        <is>
          <t>Oui</t>
        </is>
      </c>
      <c r="T511" s="68" t="inlineStr">
        <is>
          <t>S5-013</t>
        </is>
      </c>
      <c r="U511" s="69" t="inlineStr">
        <is>
          <t>Généré (octobre)</t>
        </is>
      </c>
      <c r="V511" s="69" t="inlineStr"/>
      <c r="W511" s="10" t="n"/>
      <c r="X511" s="10" t="inlineStr"/>
      <c r="Y511" s="64">
        <f>IF($M511="","",IF(SUMPRODUCT(($D$4:$D$863=$D511)*($M$4:$M$863=$M511)*($T$4:$T$863&lt;&gt;$T511)*($F$4:$F$863&lt;$G511)*($G$4:$G$863&gt;$F511))&gt;0,"⚠ CONFLIT",""))</f>
        <v/>
      </c>
      <c r="Z511" s="64">
        <f>IF($J511="","",IF(SUMPRODUCT(($D$4:$D$863=$D511)*($J$4:$J$863=$J511)*($T$4:$T$863&lt;&gt;$T511)*($F$4:$F$863&lt;$G511)*($G$4:$G$863&gt;$F511)*(1-($X$4:$X$863="Oui")*($X511="Oui")))&gt;0,"⚠ CONFLIT",""))</f>
        <v/>
      </c>
      <c r="AA511" s="64">
        <f>IF(COUNTIFS($D$4:$D$863,$D511,$J$4:$J$863,$J511,$F$4:$F$863,$F511,$K$4:$K$863,$K511)&gt;1,"⚠ DOUBLON","")</f>
        <v/>
      </c>
      <c r="AB511" s="64">
        <f>IF(COUNTIF($T$4:$T$863,$T511)&lt;&gt;COUNTIFS($T$4:$T$863,$T511,$D$4:$D$863,$D511,$F$4:$F$863,$F511,$G$4:$G$863,$G511,$K$4:$K$863,$K511,$M$4:$M$863,$M511),"⚠ INCOHÉRENT","")</f>
        <v/>
      </c>
      <c r="AC511" s="64">
        <f>COUNTIFS($A$4:$A511,$A511,$J$4:$J511,$J511,$E$4:$E511,$E511)</f>
        <v/>
      </c>
      <c r="AD511" s="65">
        <f>$A511&amp;"|"&amp;$J511&amp;"|"&amp;$E511&amp;"|"&amp;$AC511</f>
        <v/>
      </c>
      <c r="AE511" s="66">
        <f>IF($W511&lt;&gt;"","⚑ "&amp;$W511&amp;CHAR(10),"")&amp;TEXT($F511,"hh:mm")&amp;"-"&amp;TEXT($G511,"hh:mm")&amp;IF(OR($P511="Quinzaine A",AND($P511="Hebdo · groupes alternés",$C511="A"))," Q-A",IF(OR($P511="Quinzaine B",AND($P511="Hebdo · groupes alternés",$C511="B"))," Q-B",IF($P511="Exception"," PONCT.","")))&amp;IF($X511="Oui"," OPT","")&amp;CHAR(10)&amp;$K511&amp;CHAR(10)&amp;$M511&amp;IF($N511&lt;&gt;"",CHAR(10)&amp;"Salle "&amp;$N511,"")&amp;IF($O511="En ligne",CHAR(10)&amp;"EN LIGNE","")&amp;IF($V511&lt;&gt;"",CHAR(10)&amp;$V511,"")</f>
        <v/>
      </c>
      <c r="AF511" s="65" t="inlineStr"/>
      <c r="AG511" s="65" t="inlineStr">
        <is>
          <t>— généré —</t>
        </is>
      </c>
    </row>
    <row r="512" ht="15" customHeight="1">
      <c r="A512" s="68" t="inlineStr">
        <is>
          <t>S5</t>
        </is>
      </c>
      <c r="B512" s="69" t="inlineStr">
        <is>
          <t>du 12 au 18 octobre 2026</t>
        </is>
      </c>
      <c r="C512" s="68" t="inlineStr">
        <is>
          <t>A</t>
        </is>
      </c>
      <c r="D512" s="70" t="n">
        <v>46308</v>
      </c>
      <c r="E512" s="68" t="inlineStr">
        <is>
          <t>Mardi</t>
        </is>
      </c>
      <c r="F512" s="71" t="n">
        <v>0.8020833333333334</v>
      </c>
      <c r="G512" s="71" t="n">
        <v>0.8645833333333334</v>
      </c>
      <c r="H512" s="72">
        <f>IF(OR($F512="",$G512=""),"",($G512-$F512)*24)</f>
        <v/>
      </c>
      <c r="I512" s="68" t="inlineStr">
        <is>
          <t>Collège</t>
        </is>
      </c>
      <c r="J512" s="69" t="inlineStr">
        <is>
          <t>9éme (B)</t>
        </is>
      </c>
      <c r="K512" s="88" t="inlineStr">
        <is>
          <t>SVT</t>
        </is>
      </c>
      <c r="L512" s="88" t="inlineStr">
        <is>
          <t>SVT</t>
        </is>
      </c>
      <c r="M512" s="69" t="inlineStr">
        <is>
          <t>Imen Jribi</t>
        </is>
      </c>
      <c r="N512" s="68" t="n"/>
      <c r="O512" s="68" t="n"/>
      <c r="P512" s="68" t="inlineStr">
        <is>
          <t>Hebdomadaire</t>
        </is>
      </c>
      <c r="Q512" s="69" t="inlineStr"/>
      <c r="R512" s="68" t="n">
        <v>1</v>
      </c>
      <c r="S512" s="68" t="inlineStr">
        <is>
          <t>Oui</t>
        </is>
      </c>
      <c r="T512" s="68" t="inlineStr">
        <is>
          <t>S5-014</t>
        </is>
      </c>
      <c r="U512" s="69" t="inlineStr">
        <is>
          <t>Généré (octobre)</t>
        </is>
      </c>
      <c r="V512" s="69" t="inlineStr"/>
      <c r="W512" s="10" t="n"/>
      <c r="X512" s="10" t="inlineStr"/>
      <c r="Y512" s="64">
        <f>IF($M512="","",IF(SUMPRODUCT(($D$4:$D$863=$D512)*($M$4:$M$863=$M512)*($T$4:$T$863&lt;&gt;$T512)*($F$4:$F$863&lt;$G512)*($G$4:$G$863&gt;$F512))&gt;0,"⚠ CONFLIT",""))</f>
        <v/>
      </c>
      <c r="Z512" s="64">
        <f>IF($J512="","",IF(SUMPRODUCT(($D$4:$D$863=$D512)*($J$4:$J$863=$J512)*($T$4:$T$863&lt;&gt;$T512)*($F$4:$F$863&lt;$G512)*($G$4:$G$863&gt;$F512)*(1-($X$4:$X$863="Oui")*($X512="Oui")))&gt;0,"⚠ CONFLIT",""))</f>
        <v/>
      </c>
      <c r="AA512" s="64">
        <f>IF(COUNTIFS($D$4:$D$863,$D512,$J$4:$J$863,$J512,$F$4:$F$863,$F512,$K$4:$K$863,$K512)&gt;1,"⚠ DOUBLON","")</f>
        <v/>
      </c>
      <c r="AB512" s="64">
        <f>IF(COUNTIF($T$4:$T$863,$T512)&lt;&gt;COUNTIFS($T$4:$T$863,$T512,$D$4:$D$863,$D512,$F$4:$F$863,$F512,$G$4:$G$863,$G512,$K$4:$K$863,$K512,$M$4:$M$863,$M512),"⚠ INCOHÉRENT","")</f>
        <v/>
      </c>
      <c r="AC512" s="64">
        <f>COUNTIFS($A$4:$A512,$A512,$J$4:$J512,$J512,$E$4:$E512,$E512)</f>
        <v/>
      </c>
      <c r="AD512" s="65">
        <f>$A512&amp;"|"&amp;$J512&amp;"|"&amp;$E512&amp;"|"&amp;$AC512</f>
        <v/>
      </c>
      <c r="AE512" s="66">
        <f>IF($W512&lt;&gt;"","⚑ "&amp;$W512&amp;CHAR(10),"")&amp;TEXT($F512,"hh:mm")&amp;"-"&amp;TEXT($G512,"hh:mm")&amp;IF(OR($P512="Quinzaine A",AND($P512="Hebdo · groupes alternés",$C512="A"))," Q-A",IF(OR($P512="Quinzaine B",AND($P512="Hebdo · groupes alternés",$C512="B"))," Q-B",IF($P512="Exception"," PONCT.","")))&amp;IF($X512="Oui"," OPT","")&amp;CHAR(10)&amp;$K512&amp;CHAR(10)&amp;$M512&amp;IF($N512&lt;&gt;"",CHAR(10)&amp;"Salle "&amp;$N512,"")&amp;IF($O512="En ligne",CHAR(10)&amp;"EN LIGNE","")&amp;IF($V512&lt;&gt;"",CHAR(10)&amp;$V512,"")</f>
        <v/>
      </c>
      <c r="AF512" s="65" t="inlineStr"/>
      <c r="AG512" s="65" t="inlineStr">
        <is>
          <t>— généré —</t>
        </is>
      </c>
    </row>
    <row r="513" ht="15" customHeight="1">
      <c r="A513" s="74" t="inlineStr">
        <is>
          <t>S5</t>
        </is>
      </c>
      <c r="B513" s="75" t="inlineStr">
        <is>
          <t>du 12 au 18 octobre 2026</t>
        </is>
      </c>
      <c r="C513" s="74" t="inlineStr">
        <is>
          <t>A</t>
        </is>
      </c>
      <c r="D513" s="76" t="n">
        <v>46308</v>
      </c>
      <c r="E513" s="74" t="inlineStr">
        <is>
          <t>Mardi</t>
        </is>
      </c>
      <c r="F513" s="77" t="n">
        <v>0.8020833333333334</v>
      </c>
      <c r="G513" s="77" t="n">
        <v>0.8645833333333334</v>
      </c>
      <c r="H513" s="78">
        <f>IF(OR($F513="",$G513=""),"",($G513-$F513)*24)</f>
        <v/>
      </c>
      <c r="I513" s="74" t="inlineStr">
        <is>
          <t>Secondaire</t>
        </is>
      </c>
      <c r="J513" s="75" t="inlineStr">
        <is>
          <t>1ére (A)</t>
        </is>
      </c>
      <c r="K513" s="67" t="inlineStr">
        <is>
          <t>Français</t>
        </is>
      </c>
      <c r="L513" s="67" t="inlineStr">
        <is>
          <t>Français</t>
        </is>
      </c>
      <c r="M513" s="75" t="inlineStr">
        <is>
          <t>Nassima</t>
        </is>
      </c>
      <c r="N513" s="74" t="n"/>
      <c r="O513" s="74" t="n"/>
      <c r="P513" s="74" t="inlineStr">
        <is>
          <t>Hebdomadaire</t>
        </is>
      </c>
      <c r="Q513" s="75" t="inlineStr"/>
      <c r="R513" s="74" t="n">
        <v>1</v>
      </c>
      <c r="S513" s="74" t="inlineStr">
        <is>
          <t>Oui</t>
        </is>
      </c>
      <c r="T513" s="74" t="inlineStr">
        <is>
          <t>S5-015</t>
        </is>
      </c>
      <c r="U513" s="75" t="inlineStr">
        <is>
          <t>Généré (octobre)</t>
        </is>
      </c>
      <c r="V513" s="75" t="inlineStr"/>
      <c r="W513" s="10" t="n"/>
      <c r="X513" s="10" t="inlineStr"/>
      <c r="Y513" s="64">
        <f>IF($M513="","",IF(SUMPRODUCT(($D$4:$D$863=$D513)*($M$4:$M$863=$M513)*($T$4:$T$863&lt;&gt;$T513)*($F$4:$F$863&lt;$G513)*($G$4:$G$863&gt;$F513))&gt;0,"⚠ CONFLIT",""))</f>
        <v/>
      </c>
      <c r="Z513" s="64">
        <f>IF($J513="","",IF(SUMPRODUCT(($D$4:$D$863=$D513)*($J$4:$J$863=$J513)*($T$4:$T$863&lt;&gt;$T513)*($F$4:$F$863&lt;$G513)*($G$4:$G$863&gt;$F513)*(1-($X$4:$X$863="Oui")*($X513="Oui")))&gt;0,"⚠ CONFLIT",""))</f>
        <v/>
      </c>
      <c r="AA513" s="64">
        <f>IF(COUNTIFS($D$4:$D$863,$D513,$J$4:$J$863,$J513,$F$4:$F$863,$F513,$K$4:$K$863,$K513)&gt;1,"⚠ DOUBLON","")</f>
        <v/>
      </c>
      <c r="AB513" s="64">
        <f>IF(COUNTIF($T$4:$T$863,$T513)&lt;&gt;COUNTIFS($T$4:$T$863,$T513,$D$4:$D$863,$D513,$F$4:$F$863,$F513,$G$4:$G$863,$G513,$K$4:$K$863,$K513,$M$4:$M$863,$M513),"⚠ INCOHÉRENT","")</f>
        <v/>
      </c>
      <c r="AC513" s="64">
        <f>COUNTIFS($A$4:$A513,$A513,$J$4:$J513,$J513,$E$4:$E513,$E513)</f>
        <v/>
      </c>
      <c r="AD513" s="65">
        <f>$A513&amp;"|"&amp;$J513&amp;"|"&amp;$E513&amp;"|"&amp;$AC513</f>
        <v/>
      </c>
      <c r="AE513" s="66">
        <f>IF($W513&lt;&gt;"","⚑ "&amp;$W513&amp;CHAR(10),"")&amp;TEXT($F513,"hh:mm")&amp;"-"&amp;TEXT($G513,"hh:mm")&amp;IF(OR($P513="Quinzaine A",AND($P513="Hebdo · groupes alternés",$C513="A"))," Q-A",IF(OR($P513="Quinzaine B",AND($P513="Hebdo · groupes alternés",$C513="B"))," Q-B",IF($P513="Exception"," PONCT.","")))&amp;IF($X513="Oui"," OPT","")&amp;CHAR(10)&amp;$K513&amp;CHAR(10)&amp;$M513&amp;IF($N513&lt;&gt;"",CHAR(10)&amp;"Salle "&amp;$N513,"")&amp;IF($O513="En ligne",CHAR(10)&amp;"EN LIGNE","")&amp;IF($V513&lt;&gt;"",CHAR(10)&amp;$V513,"")</f>
        <v/>
      </c>
      <c r="AF513" s="65" t="inlineStr"/>
      <c r="AG513" s="65" t="inlineStr">
        <is>
          <t>— généré —</t>
        </is>
      </c>
    </row>
    <row r="514" ht="15" customHeight="1">
      <c r="A514" s="74" t="inlineStr">
        <is>
          <t>S5</t>
        </is>
      </c>
      <c r="B514" s="75" t="inlineStr">
        <is>
          <t>du 12 au 18 octobre 2026</t>
        </is>
      </c>
      <c r="C514" s="74" t="inlineStr">
        <is>
          <t>A</t>
        </is>
      </c>
      <c r="D514" s="76" t="n">
        <v>46308</v>
      </c>
      <c r="E514" s="74" t="inlineStr">
        <is>
          <t>Mardi</t>
        </is>
      </c>
      <c r="F514" s="77" t="n">
        <v>0.8125</v>
      </c>
      <c r="G514" s="77" t="n">
        <v>0.875</v>
      </c>
      <c r="H514" s="78">
        <f>IF(OR($F514="",$G514=""),"",($G514-$F514)*24)</f>
        <v/>
      </c>
      <c r="I514" s="74" t="inlineStr">
        <is>
          <t>Secondaire</t>
        </is>
      </c>
      <c r="J514" s="75" t="inlineStr">
        <is>
          <t>1ére (B)</t>
        </is>
      </c>
      <c r="K514" s="79" t="inlineStr">
        <is>
          <t>Math</t>
        </is>
      </c>
      <c r="L514" s="79" t="inlineStr">
        <is>
          <t>Math</t>
        </is>
      </c>
      <c r="M514" s="75" t="inlineStr">
        <is>
          <t>Haythem</t>
        </is>
      </c>
      <c r="N514" s="74" t="n"/>
      <c r="O514" s="74" t="n"/>
      <c r="P514" s="74" t="inlineStr">
        <is>
          <t>Hebdomadaire</t>
        </is>
      </c>
      <c r="Q514" s="75" t="inlineStr"/>
      <c r="R514" s="74" t="n">
        <v>1</v>
      </c>
      <c r="S514" s="74" t="inlineStr">
        <is>
          <t>Oui</t>
        </is>
      </c>
      <c r="T514" s="74" t="inlineStr">
        <is>
          <t>S5-016</t>
        </is>
      </c>
      <c r="U514" s="75" t="inlineStr">
        <is>
          <t>Généré (octobre)</t>
        </is>
      </c>
      <c r="V514" s="75" t="inlineStr"/>
      <c r="W514" s="10" t="n"/>
      <c r="X514" s="10" t="inlineStr"/>
      <c r="Y514" s="64">
        <f>IF($M514="","",IF(SUMPRODUCT(($D$4:$D$863=$D514)*($M$4:$M$863=$M514)*($T$4:$T$863&lt;&gt;$T514)*($F$4:$F$863&lt;$G514)*($G$4:$G$863&gt;$F514))&gt;0,"⚠ CONFLIT",""))</f>
        <v/>
      </c>
      <c r="Z514" s="64">
        <f>IF($J514="","",IF(SUMPRODUCT(($D$4:$D$863=$D514)*($J$4:$J$863=$J514)*($T$4:$T$863&lt;&gt;$T514)*($F$4:$F$863&lt;$G514)*($G$4:$G$863&gt;$F514)*(1-($X$4:$X$863="Oui")*($X514="Oui")))&gt;0,"⚠ CONFLIT",""))</f>
        <v/>
      </c>
      <c r="AA514" s="64">
        <f>IF(COUNTIFS($D$4:$D$863,$D514,$J$4:$J$863,$J514,$F$4:$F$863,$F514,$K$4:$K$863,$K514)&gt;1,"⚠ DOUBLON","")</f>
        <v/>
      </c>
      <c r="AB514" s="64">
        <f>IF(COUNTIF($T$4:$T$863,$T514)&lt;&gt;COUNTIFS($T$4:$T$863,$T514,$D$4:$D$863,$D514,$F$4:$F$863,$F514,$G$4:$G$863,$G514,$K$4:$K$863,$K514,$M$4:$M$863,$M514),"⚠ INCOHÉRENT","")</f>
        <v/>
      </c>
      <c r="AC514" s="64">
        <f>COUNTIFS($A$4:$A514,$A514,$J$4:$J514,$J514,$E$4:$E514,$E514)</f>
        <v/>
      </c>
      <c r="AD514" s="65">
        <f>$A514&amp;"|"&amp;$J514&amp;"|"&amp;$E514&amp;"|"&amp;$AC514</f>
        <v/>
      </c>
      <c r="AE514" s="66">
        <f>IF($W514&lt;&gt;"","⚑ "&amp;$W514&amp;CHAR(10),"")&amp;TEXT($F514,"hh:mm")&amp;"-"&amp;TEXT($G514,"hh:mm")&amp;IF(OR($P514="Quinzaine A",AND($P514="Hebdo · groupes alternés",$C514="A"))," Q-A",IF(OR($P514="Quinzaine B",AND($P514="Hebdo · groupes alternés",$C514="B"))," Q-B",IF($P514="Exception"," PONCT.","")))&amp;IF($X514="Oui"," OPT","")&amp;CHAR(10)&amp;$K514&amp;CHAR(10)&amp;$M514&amp;IF($N514&lt;&gt;"",CHAR(10)&amp;"Salle "&amp;$N514,"")&amp;IF($O514="En ligne",CHAR(10)&amp;"EN LIGNE","")&amp;IF($V514&lt;&gt;"",CHAR(10)&amp;$V514,"")</f>
        <v/>
      </c>
      <c r="AF514" s="65" t="inlineStr"/>
      <c r="AG514" s="65" t="inlineStr">
        <is>
          <t>— généré —</t>
        </is>
      </c>
    </row>
    <row r="515" ht="15" customHeight="1">
      <c r="A515" s="74" t="inlineStr">
        <is>
          <t>S5</t>
        </is>
      </c>
      <c r="B515" s="75" t="inlineStr">
        <is>
          <t>du 12 au 18 octobre 2026</t>
        </is>
      </c>
      <c r="C515" s="74" t="inlineStr">
        <is>
          <t>A</t>
        </is>
      </c>
      <c r="D515" s="76" t="n">
        <v>46308</v>
      </c>
      <c r="E515" s="74" t="inlineStr">
        <is>
          <t>Mardi</t>
        </is>
      </c>
      <c r="F515" s="77" t="n">
        <v>0.8020833333333334</v>
      </c>
      <c r="G515" s="77" t="n">
        <v>0.8645833333333334</v>
      </c>
      <c r="H515" s="78">
        <f>IF(OR($F515="",$G515=""),"",($G515-$F515)*24)</f>
        <v/>
      </c>
      <c r="I515" s="74" t="inlineStr">
        <is>
          <t>Secondaire</t>
        </is>
      </c>
      <c r="J515" s="75" t="inlineStr">
        <is>
          <t>2éme Eco</t>
        </is>
      </c>
      <c r="K515" s="87" t="inlineStr">
        <is>
          <t>Anglais</t>
        </is>
      </c>
      <c r="L515" s="87" t="inlineStr">
        <is>
          <t>Anglais</t>
        </is>
      </c>
      <c r="M515" s="75" t="inlineStr">
        <is>
          <t>Imen Bennour</t>
        </is>
      </c>
      <c r="N515" s="74" t="n"/>
      <c r="O515" s="74" t="n"/>
      <c r="P515" s="74" t="inlineStr">
        <is>
          <t>Quinzaine A</t>
        </is>
      </c>
      <c r="Q515" s="75" t="inlineStr">
        <is>
          <t>2éme Eco + 2éme SCE + 2éme INFO</t>
        </is>
      </c>
      <c r="R515" s="74" t="n">
        <v>3</v>
      </c>
      <c r="S515" s="74" t="inlineStr">
        <is>
          <t>Oui</t>
        </is>
      </c>
      <c r="T515" s="74" t="inlineStr">
        <is>
          <t>S5-095</t>
        </is>
      </c>
      <c r="U515" s="75" t="inlineStr">
        <is>
          <t>Généré (octobre)</t>
        </is>
      </c>
      <c r="V515" s="75" t="inlineStr"/>
      <c r="W515" s="10" t="n"/>
      <c r="X515" s="10" t="inlineStr"/>
      <c r="Y515" s="64">
        <f>IF($M515="","",IF(SUMPRODUCT(($D$4:$D$863=$D515)*($M$4:$M$863=$M515)*($T$4:$T$863&lt;&gt;$T515)*($F$4:$F$863&lt;$G515)*($G$4:$G$863&gt;$F515))&gt;0,"⚠ CONFLIT",""))</f>
        <v/>
      </c>
      <c r="Z515" s="64">
        <f>IF($J515="","",IF(SUMPRODUCT(($D$4:$D$863=$D515)*($J$4:$J$863=$J515)*($T$4:$T$863&lt;&gt;$T515)*($F$4:$F$863&lt;$G515)*($G$4:$G$863&gt;$F515)*(1-($X$4:$X$863="Oui")*($X515="Oui")))&gt;0,"⚠ CONFLIT",""))</f>
        <v/>
      </c>
      <c r="AA515" s="64">
        <f>IF(COUNTIFS($D$4:$D$863,$D515,$J$4:$J$863,$J515,$F$4:$F$863,$F515,$K$4:$K$863,$K515)&gt;1,"⚠ DOUBLON","")</f>
        <v/>
      </c>
      <c r="AB515" s="64">
        <f>IF(COUNTIF($T$4:$T$863,$T515)&lt;&gt;COUNTIFS($T$4:$T$863,$T515,$D$4:$D$863,$D515,$F$4:$F$863,$F515,$G$4:$G$863,$G515,$K$4:$K$863,$K515,$M$4:$M$863,$M515),"⚠ INCOHÉRENT","")</f>
        <v/>
      </c>
      <c r="AC515" s="64">
        <f>COUNTIFS($A$4:$A515,$A515,$J$4:$J515,$J515,$E$4:$E515,$E515)</f>
        <v/>
      </c>
      <c r="AD515" s="65">
        <f>$A515&amp;"|"&amp;$J515&amp;"|"&amp;$E515&amp;"|"&amp;$AC515</f>
        <v/>
      </c>
      <c r="AE515" s="66">
        <f>IF($W515&lt;&gt;"","⚑ "&amp;$W515&amp;CHAR(10),"")&amp;TEXT($F515,"hh:mm")&amp;"-"&amp;TEXT($G515,"hh:mm")&amp;IF(OR($P515="Quinzaine A",AND($P515="Hebdo · groupes alternés",$C515="A"))," Q-A",IF(OR($P515="Quinzaine B",AND($P515="Hebdo · groupes alternés",$C515="B"))," Q-B",IF($P515="Exception"," PONCT.","")))&amp;IF($X515="Oui"," OPT","")&amp;CHAR(10)&amp;$K515&amp;CHAR(10)&amp;$M515&amp;IF($N515&lt;&gt;"",CHAR(10)&amp;"Salle "&amp;$N515,"")&amp;IF($O515="En ligne",CHAR(10)&amp;"EN LIGNE","")&amp;IF($V515&lt;&gt;"",CHAR(10)&amp;$V515,"")</f>
        <v/>
      </c>
      <c r="AF515" s="65" t="inlineStr"/>
      <c r="AG515" s="65" t="inlineStr">
        <is>
          <t>— généré —</t>
        </is>
      </c>
    </row>
    <row r="516" ht="15" customHeight="1">
      <c r="A516" s="74" t="inlineStr">
        <is>
          <t>S5</t>
        </is>
      </c>
      <c r="B516" s="75" t="inlineStr">
        <is>
          <t>du 12 au 18 octobre 2026</t>
        </is>
      </c>
      <c r="C516" s="74" t="inlineStr">
        <is>
          <t>A</t>
        </is>
      </c>
      <c r="D516" s="76" t="n">
        <v>46308</v>
      </c>
      <c r="E516" s="74" t="inlineStr">
        <is>
          <t>Mardi</t>
        </is>
      </c>
      <c r="F516" s="77" t="n">
        <v>0.8020833333333334</v>
      </c>
      <c r="G516" s="77" t="n">
        <v>0.8645833333333334</v>
      </c>
      <c r="H516" s="78">
        <f>IF(OR($F516="",$G516=""),"",($G516-$F516)*24)</f>
        <v/>
      </c>
      <c r="I516" s="74" t="inlineStr">
        <is>
          <t>Secondaire</t>
        </is>
      </c>
      <c r="J516" s="75" t="inlineStr">
        <is>
          <t>2éme SCE</t>
        </is>
      </c>
      <c r="K516" s="87" t="inlineStr">
        <is>
          <t>Anglais</t>
        </is>
      </c>
      <c r="L516" s="87" t="inlineStr">
        <is>
          <t>Anglais</t>
        </is>
      </c>
      <c r="M516" s="75" t="inlineStr">
        <is>
          <t>Imen Bennour</t>
        </is>
      </c>
      <c r="N516" s="74" t="n"/>
      <c r="O516" s="74" t="n"/>
      <c r="P516" s="74" t="inlineStr">
        <is>
          <t>Quinzaine A</t>
        </is>
      </c>
      <c r="Q516" s="75" t="inlineStr">
        <is>
          <t>2éme Eco + 2éme SCE + 2éme INFO</t>
        </is>
      </c>
      <c r="R516" s="74" t="n">
        <v>3</v>
      </c>
      <c r="S516" s="74" t="inlineStr"/>
      <c r="T516" s="74" t="inlineStr">
        <is>
          <t>S5-095</t>
        </is>
      </c>
      <c r="U516" s="75" t="inlineStr">
        <is>
          <t>Généré (octobre)</t>
        </is>
      </c>
      <c r="V516" s="75" t="inlineStr"/>
      <c r="W516" s="10" t="n"/>
      <c r="X516" s="10" t="inlineStr"/>
      <c r="Y516" s="64">
        <f>IF($M516="","",IF(SUMPRODUCT(($D$4:$D$863=$D516)*($M$4:$M$863=$M516)*($T$4:$T$863&lt;&gt;$T516)*($F$4:$F$863&lt;$G516)*($G$4:$G$863&gt;$F516))&gt;0,"⚠ CONFLIT",""))</f>
        <v/>
      </c>
      <c r="Z516" s="64">
        <f>IF($J516="","",IF(SUMPRODUCT(($D$4:$D$863=$D516)*($J$4:$J$863=$J516)*($T$4:$T$863&lt;&gt;$T516)*($F$4:$F$863&lt;$G516)*($G$4:$G$863&gt;$F516)*(1-($X$4:$X$863="Oui")*($X516="Oui")))&gt;0,"⚠ CONFLIT",""))</f>
        <v/>
      </c>
      <c r="AA516" s="64">
        <f>IF(COUNTIFS($D$4:$D$863,$D516,$J$4:$J$863,$J516,$F$4:$F$863,$F516,$K$4:$K$863,$K516)&gt;1,"⚠ DOUBLON","")</f>
        <v/>
      </c>
      <c r="AB516" s="64">
        <f>IF(COUNTIF($T$4:$T$863,$T516)&lt;&gt;COUNTIFS($T$4:$T$863,$T516,$D$4:$D$863,$D516,$F$4:$F$863,$F516,$G$4:$G$863,$G516,$K$4:$K$863,$K516,$M$4:$M$863,$M516),"⚠ INCOHÉRENT","")</f>
        <v/>
      </c>
      <c r="AC516" s="64">
        <f>COUNTIFS($A$4:$A516,$A516,$J$4:$J516,$J516,$E$4:$E516,$E516)</f>
        <v/>
      </c>
      <c r="AD516" s="65">
        <f>$A516&amp;"|"&amp;$J516&amp;"|"&amp;$E516&amp;"|"&amp;$AC516</f>
        <v/>
      </c>
      <c r="AE516" s="66">
        <f>IF($W516&lt;&gt;"","⚑ "&amp;$W516&amp;CHAR(10),"")&amp;TEXT($F516,"hh:mm")&amp;"-"&amp;TEXT($G516,"hh:mm")&amp;IF(OR($P516="Quinzaine A",AND($P516="Hebdo · groupes alternés",$C516="A"))," Q-A",IF(OR($P516="Quinzaine B",AND($P516="Hebdo · groupes alternés",$C516="B"))," Q-B",IF($P516="Exception"," PONCT.","")))&amp;IF($X516="Oui"," OPT","")&amp;CHAR(10)&amp;$K516&amp;CHAR(10)&amp;$M516&amp;IF($N516&lt;&gt;"",CHAR(10)&amp;"Salle "&amp;$N516,"")&amp;IF($O516="En ligne",CHAR(10)&amp;"EN LIGNE","")&amp;IF($V516&lt;&gt;"",CHAR(10)&amp;$V516,"")</f>
        <v/>
      </c>
      <c r="AF516" s="65" t="inlineStr"/>
      <c r="AG516" s="65" t="inlineStr">
        <is>
          <t>— généré —</t>
        </is>
      </c>
    </row>
    <row r="517" ht="15" customHeight="1">
      <c r="A517" s="74" t="inlineStr">
        <is>
          <t>S5</t>
        </is>
      </c>
      <c r="B517" s="75" t="inlineStr">
        <is>
          <t>du 12 au 18 octobre 2026</t>
        </is>
      </c>
      <c r="C517" s="74" t="inlineStr">
        <is>
          <t>A</t>
        </is>
      </c>
      <c r="D517" s="76" t="n">
        <v>46308</v>
      </c>
      <c r="E517" s="74" t="inlineStr">
        <is>
          <t>Mardi</t>
        </is>
      </c>
      <c r="F517" s="77" t="n">
        <v>0.8020833333333334</v>
      </c>
      <c r="G517" s="77" t="n">
        <v>0.8645833333333334</v>
      </c>
      <c r="H517" s="78">
        <f>IF(OR($F517="",$G517=""),"",($G517-$F517)*24)</f>
        <v/>
      </c>
      <c r="I517" s="74" t="inlineStr">
        <is>
          <t>Secondaire</t>
        </is>
      </c>
      <c r="J517" s="75" t="inlineStr">
        <is>
          <t>2éme INFO</t>
        </is>
      </c>
      <c r="K517" s="87" t="inlineStr">
        <is>
          <t>Anglais</t>
        </is>
      </c>
      <c r="L517" s="87" t="inlineStr">
        <is>
          <t>Anglais</t>
        </is>
      </c>
      <c r="M517" s="75" t="inlineStr">
        <is>
          <t>Imen Bennour</t>
        </is>
      </c>
      <c r="N517" s="74" t="n"/>
      <c r="O517" s="74" t="n"/>
      <c r="P517" s="74" t="inlineStr">
        <is>
          <t>Quinzaine A</t>
        </is>
      </c>
      <c r="Q517" s="75" t="inlineStr">
        <is>
          <t>2éme Eco + 2éme SCE + 2éme INFO</t>
        </is>
      </c>
      <c r="R517" s="74" t="n">
        <v>3</v>
      </c>
      <c r="S517" s="74" t="inlineStr"/>
      <c r="T517" s="74" t="inlineStr">
        <is>
          <t>S5-095</t>
        </is>
      </c>
      <c r="U517" s="75" t="inlineStr">
        <is>
          <t>Généré (octobre)</t>
        </is>
      </c>
      <c r="V517" s="75" t="inlineStr"/>
      <c r="W517" s="10" t="n"/>
      <c r="X517" s="10" t="inlineStr"/>
      <c r="Y517" s="64">
        <f>IF($M517="","",IF(SUMPRODUCT(($D$4:$D$863=$D517)*($M$4:$M$863=$M517)*($T$4:$T$863&lt;&gt;$T517)*($F$4:$F$863&lt;$G517)*($G$4:$G$863&gt;$F517))&gt;0,"⚠ CONFLIT",""))</f>
        <v/>
      </c>
      <c r="Z517" s="64">
        <f>IF($J517="","",IF(SUMPRODUCT(($D$4:$D$863=$D517)*($J$4:$J$863=$J517)*($T$4:$T$863&lt;&gt;$T517)*($F$4:$F$863&lt;$G517)*($G$4:$G$863&gt;$F517)*(1-($X$4:$X$863="Oui")*($X517="Oui")))&gt;0,"⚠ CONFLIT",""))</f>
        <v/>
      </c>
      <c r="AA517" s="64">
        <f>IF(COUNTIFS($D$4:$D$863,$D517,$J$4:$J$863,$J517,$F$4:$F$863,$F517,$K$4:$K$863,$K517)&gt;1,"⚠ DOUBLON","")</f>
        <v/>
      </c>
      <c r="AB517" s="64">
        <f>IF(COUNTIF($T$4:$T$863,$T517)&lt;&gt;COUNTIFS($T$4:$T$863,$T517,$D$4:$D$863,$D517,$F$4:$F$863,$F517,$G$4:$G$863,$G517,$K$4:$K$863,$K517,$M$4:$M$863,$M517),"⚠ INCOHÉRENT","")</f>
        <v/>
      </c>
      <c r="AC517" s="64">
        <f>COUNTIFS($A$4:$A517,$A517,$J$4:$J517,$J517,$E$4:$E517,$E517)</f>
        <v/>
      </c>
      <c r="AD517" s="65">
        <f>$A517&amp;"|"&amp;$J517&amp;"|"&amp;$E517&amp;"|"&amp;$AC517</f>
        <v/>
      </c>
      <c r="AE517" s="66">
        <f>IF($W517&lt;&gt;"","⚑ "&amp;$W517&amp;CHAR(10),"")&amp;TEXT($F517,"hh:mm")&amp;"-"&amp;TEXT($G517,"hh:mm")&amp;IF(OR($P517="Quinzaine A",AND($P517="Hebdo · groupes alternés",$C517="A"))," Q-A",IF(OR($P517="Quinzaine B",AND($P517="Hebdo · groupes alternés",$C517="B"))," Q-B",IF($P517="Exception"," PONCT.","")))&amp;IF($X517="Oui"," OPT","")&amp;CHAR(10)&amp;$K517&amp;CHAR(10)&amp;$M517&amp;IF($N517&lt;&gt;"",CHAR(10)&amp;"Salle "&amp;$N517,"")&amp;IF($O517="En ligne",CHAR(10)&amp;"EN LIGNE","")&amp;IF($V517&lt;&gt;"",CHAR(10)&amp;$V517,"")</f>
        <v/>
      </c>
      <c r="AF517" s="65" t="inlineStr"/>
      <c r="AG517" s="65" t="inlineStr">
        <is>
          <t>— généré —</t>
        </is>
      </c>
    </row>
    <row r="518" ht="15" customHeight="1">
      <c r="A518" s="81" t="inlineStr">
        <is>
          <t>S5</t>
        </is>
      </c>
      <c r="B518" s="82" t="inlineStr">
        <is>
          <t>du 12 au 18 octobre 2026</t>
        </is>
      </c>
      <c r="C518" s="81" t="inlineStr">
        <is>
          <t>A</t>
        </is>
      </c>
      <c r="D518" s="83" t="n">
        <v>46308</v>
      </c>
      <c r="E518" s="81" t="inlineStr">
        <is>
          <t>Mardi</t>
        </is>
      </c>
      <c r="F518" s="84" t="n">
        <v>0.8020833333333334</v>
      </c>
      <c r="G518" s="84" t="n">
        <v>0.8645833333333334</v>
      </c>
      <c r="H518" s="85">
        <f>IF(OR($F518="",$G518=""),"",($G518-$F518)*24)</f>
        <v/>
      </c>
      <c r="I518" s="81" t="inlineStr">
        <is>
          <t>Bac</t>
        </is>
      </c>
      <c r="J518" s="82" t="inlineStr">
        <is>
          <t>Bac Eco</t>
        </is>
      </c>
      <c r="K518" s="89" t="inlineStr">
        <is>
          <t>Espagnol</t>
        </is>
      </c>
      <c r="L518" s="89" t="inlineStr">
        <is>
          <t>Espagnol</t>
        </is>
      </c>
      <c r="M518" s="82" t="inlineStr">
        <is>
          <t>Imen</t>
        </is>
      </c>
      <c r="N518" s="81" t="n"/>
      <c r="O518" s="81" t="n"/>
      <c r="P518" s="81" t="inlineStr">
        <is>
          <t>Hebdo · groupes alternés</t>
        </is>
      </c>
      <c r="Q518" s="82" t="inlineStr">
        <is>
          <t>Bac Eco + Bac SCE</t>
        </is>
      </c>
      <c r="R518" s="81" t="n">
        <v>2</v>
      </c>
      <c r="S518" s="81" t="inlineStr">
        <is>
          <t>Oui</t>
        </is>
      </c>
      <c r="T518" s="81" t="inlineStr">
        <is>
          <t>S5-017</t>
        </is>
      </c>
      <c r="U518" s="82" t="inlineStr">
        <is>
          <t>Généré (octobre)</t>
        </is>
      </c>
      <c r="V518" s="82" t="inlineStr"/>
      <c r="W518" s="10" t="n"/>
      <c r="X518" s="10" t="inlineStr">
        <is>
          <t>Oui</t>
        </is>
      </c>
      <c r="Y518" s="64">
        <f>IF($M518="","",IF(SUMPRODUCT(($D$4:$D$863=$D518)*($M$4:$M$863=$M518)*($T$4:$T$863&lt;&gt;$T518)*($F$4:$F$863&lt;$G518)*($G$4:$G$863&gt;$F518))&gt;0,"⚠ CONFLIT",""))</f>
        <v/>
      </c>
      <c r="Z518" s="64">
        <f>IF($J518="","",IF(SUMPRODUCT(($D$4:$D$863=$D518)*($J$4:$J$863=$J518)*($T$4:$T$863&lt;&gt;$T518)*($F$4:$F$863&lt;$G518)*($G$4:$G$863&gt;$F518)*(1-($X$4:$X$863="Oui")*($X518="Oui")))&gt;0,"⚠ CONFLIT",""))</f>
        <v/>
      </c>
      <c r="AA518" s="64">
        <f>IF(COUNTIFS($D$4:$D$863,$D518,$J$4:$J$863,$J518,$F$4:$F$863,$F518,$K$4:$K$863,$K518)&gt;1,"⚠ DOUBLON","")</f>
        <v/>
      </c>
      <c r="AB518" s="64">
        <f>IF(COUNTIF($T$4:$T$863,$T518)&lt;&gt;COUNTIFS($T$4:$T$863,$T518,$D$4:$D$863,$D518,$F$4:$F$863,$F518,$G$4:$G$863,$G518,$K$4:$K$863,$K518,$M$4:$M$863,$M518),"⚠ INCOHÉRENT","")</f>
        <v/>
      </c>
      <c r="AC518" s="64">
        <f>COUNTIFS($A$4:$A518,$A518,$J$4:$J518,$J518,$E$4:$E518,$E518)</f>
        <v/>
      </c>
      <c r="AD518" s="65">
        <f>$A518&amp;"|"&amp;$J518&amp;"|"&amp;$E518&amp;"|"&amp;$AC518</f>
        <v/>
      </c>
      <c r="AE518" s="66">
        <f>IF($W518&lt;&gt;"","⚑ "&amp;$W518&amp;CHAR(10),"")&amp;TEXT($F518,"hh:mm")&amp;"-"&amp;TEXT($G518,"hh:mm")&amp;IF(OR($P518="Quinzaine A",AND($P518="Hebdo · groupes alternés",$C518="A"))," Q-A",IF(OR($P518="Quinzaine B",AND($P518="Hebdo · groupes alternés",$C518="B"))," Q-B",IF($P518="Exception"," PONCT.","")))&amp;IF($X518="Oui"," OPT","")&amp;CHAR(10)&amp;$K518&amp;CHAR(10)&amp;$M518&amp;IF($N518&lt;&gt;"",CHAR(10)&amp;"Salle "&amp;$N518,"")&amp;IF($O518="En ligne",CHAR(10)&amp;"EN LIGNE","")&amp;IF($V518&lt;&gt;"",CHAR(10)&amp;$V518,"")</f>
        <v/>
      </c>
      <c r="AF518" s="65" t="inlineStr"/>
      <c r="AG518" s="65" t="inlineStr">
        <is>
          <t>— généré —</t>
        </is>
      </c>
    </row>
    <row r="519" ht="15" customHeight="1">
      <c r="A519" s="81" t="inlineStr">
        <is>
          <t>S5</t>
        </is>
      </c>
      <c r="B519" s="82" t="inlineStr">
        <is>
          <t>du 12 au 18 octobre 2026</t>
        </is>
      </c>
      <c r="C519" s="81" t="inlineStr">
        <is>
          <t>A</t>
        </is>
      </c>
      <c r="D519" s="83" t="n">
        <v>46308</v>
      </c>
      <c r="E519" s="81" t="inlineStr">
        <is>
          <t>Mardi</t>
        </is>
      </c>
      <c r="F519" s="84" t="n">
        <v>0.8020833333333334</v>
      </c>
      <c r="G519" s="84" t="n">
        <v>0.8645833333333334</v>
      </c>
      <c r="H519" s="85">
        <f>IF(OR($F519="",$G519=""),"",($G519-$F519)*24)</f>
        <v/>
      </c>
      <c r="I519" s="81" t="inlineStr">
        <is>
          <t>Bac</t>
        </is>
      </c>
      <c r="J519" s="82" t="inlineStr">
        <is>
          <t>Bac SCE</t>
        </is>
      </c>
      <c r="K519" s="89" t="inlineStr">
        <is>
          <t>Espagnol</t>
        </is>
      </c>
      <c r="L519" s="89" t="inlineStr">
        <is>
          <t>Espagnol</t>
        </is>
      </c>
      <c r="M519" s="82" t="inlineStr">
        <is>
          <t>Imen</t>
        </is>
      </c>
      <c r="N519" s="81" t="n"/>
      <c r="O519" s="81" t="n"/>
      <c r="P519" s="81" t="inlineStr">
        <is>
          <t>Hebdo · groupes alternés</t>
        </is>
      </c>
      <c r="Q519" s="82" t="inlineStr">
        <is>
          <t>Bac Eco + Bac SCE</t>
        </is>
      </c>
      <c r="R519" s="81" t="n">
        <v>2</v>
      </c>
      <c r="S519" s="81" t="inlineStr"/>
      <c r="T519" s="81" t="inlineStr">
        <is>
          <t>S5-017</t>
        </is>
      </c>
      <c r="U519" s="82" t="inlineStr">
        <is>
          <t>Généré (octobre)</t>
        </is>
      </c>
      <c r="V519" s="82" t="inlineStr"/>
      <c r="W519" s="10" t="n"/>
      <c r="X519" s="10" t="inlineStr">
        <is>
          <t>Oui</t>
        </is>
      </c>
      <c r="Y519" s="64">
        <f>IF($M519="","",IF(SUMPRODUCT(($D$4:$D$863=$D519)*($M$4:$M$863=$M519)*($T$4:$T$863&lt;&gt;$T519)*($F$4:$F$863&lt;$G519)*($G$4:$G$863&gt;$F519))&gt;0,"⚠ CONFLIT",""))</f>
        <v/>
      </c>
      <c r="Z519" s="64">
        <f>IF($J519="","",IF(SUMPRODUCT(($D$4:$D$863=$D519)*($J$4:$J$863=$J519)*($T$4:$T$863&lt;&gt;$T519)*($F$4:$F$863&lt;$G519)*($G$4:$G$863&gt;$F519)*(1-($X$4:$X$863="Oui")*($X519="Oui")))&gt;0,"⚠ CONFLIT",""))</f>
        <v/>
      </c>
      <c r="AA519" s="64">
        <f>IF(COUNTIFS($D$4:$D$863,$D519,$J$4:$J$863,$J519,$F$4:$F$863,$F519,$K$4:$K$863,$K519)&gt;1,"⚠ DOUBLON","")</f>
        <v/>
      </c>
      <c r="AB519" s="64">
        <f>IF(COUNTIF($T$4:$T$863,$T519)&lt;&gt;COUNTIFS($T$4:$T$863,$T519,$D$4:$D$863,$D519,$F$4:$F$863,$F519,$G$4:$G$863,$G519,$K$4:$K$863,$K519,$M$4:$M$863,$M519),"⚠ INCOHÉRENT","")</f>
        <v/>
      </c>
      <c r="AC519" s="64">
        <f>COUNTIFS($A$4:$A519,$A519,$J$4:$J519,$J519,$E$4:$E519,$E519)</f>
        <v/>
      </c>
      <c r="AD519" s="65">
        <f>$A519&amp;"|"&amp;$J519&amp;"|"&amp;$E519&amp;"|"&amp;$AC519</f>
        <v/>
      </c>
      <c r="AE519" s="66">
        <f>IF($W519&lt;&gt;"","⚑ "&amp;$W519&amp;CHAR(10),"")&amp;TEXT($F519,"hh:mm")&amp;"-"&amp;TEXT($G519,"hh:mm")&amp;IF(OR($P519="Quinzaine A",AND($P519="Hebdo · groupes alternés",$C519="A"))," Q-A",IF(OR($P519="Quinzaine B",AND($P519="Hebdo · groupes alternés",$C519="B"))," Q-B",IF($P519="Exception"," PONCT.","")))&amp;IF($X519="Oui"," OPT","")&amp;CHAR(10)&amp;$K519&amp;CHAR(10)&amp;$M519&amp;IF($N519&lt;&gt;"",CHAR(10)&amp;"Salle "&amp;$N519,"")&amp;IF($O519="En ligne",CHAR(10)&amp;"EN LIGNE","")&amp;IF($V519&lt;&gt;"",CHAR(10)&amp;$V519,"")</f>
        <v/>
      </c>
      <c r="AF519" s="65" t="inlineStr"/>
      <c r="AG519" s="65" t="inlineStr">
        <is>
          <t>— généré —</t>
        </is>
      </c>
    </row>
    <row r="520" ht="15" customHeight="1">
      <c r="A520" s="81" t="inlineStr">
        <is>
          <t>S5</t>
        </is>
      </c>
      <c r="B520" s="82" t="inlineStr">
        <is>
          <t>du 12 au 18 octobre 2026</t>
        </is>
      </c>
      <c r="C520" s="81" t="inlineStr">
        <is>
          <t>A</t>
        </is>
      </c>
      <c r="D520" s="83" t="n">
        <v>46308</v>
      </c>
      <c r="E520" s="81" t="inlineStr">
        <is>
          <t>Mardi</t>
        </is>
      </c>
      <c r="F520" s="84" t="n">
        <v>0.8020833333333334</v>
      </c>
      <c r="G520" s="84" t="n">
        <v>0.8645833333333334</v>
      </c>
      <c r="H520" s="85">
        <f>IF(OR($F520="",$G520=""),"",($G520-$F520)*24)</f>
        <v/>
      </c>
      <c r="I520" s="81" t="inlineStr">
        <is>
          <t>Bac</t>
        </is>
      </c>
      <c r="J520" s="82" t="inlineStr">
        <is>
          <t>Bac SCE</t>
        </is>
      </c>
      <c r="K520" s="90" t="inlineStr">
        <is>
          <t>Italien</t>
        </is>
      </c>
      <c r="L520" s="90" t="inlineStr">
        <is>
          <t>Italien</t>
        </is>
      </c>
      <c r="M520" s="82" t="inlineStr">
        <is>
          <t>Amel</t>
        </is>
      </c>
      <c r="N520" s="81" t="n"/>
      <c r="O520" s="81" t="n"/>
      <c r="P520" s="81" t="inlineStr">
        <is>
          <t>Hebdo · groupes alternés</t>
        </is>
      </c>
      <c r="Q520" s="82" t="inlineStr">
        <is>
          <t>Bac SCE + Bac INFO</t>
        </is>
      </c>
      <c r="R520" s="81" t="n">
        <v>2</v>
      </c>
      <c r="S520" s="81" t="inlineStr">
        <is>
          <t>Oui</t>
        </is>
      </c>
      <c r="T520" s="81" t="inlineStr">
        <is>
          <t>S5-018</t>
        </is>
      </c>
      <c r="U520" s="82" t="inlineStr">
        <is>
          <t>Généré (octobre)</t>
        </is>
      </c>
      <c r="V520" s="82" t="inlineStr"/>
      <c r="W520" s="10" t="n"/>
      <c r="X520" s="10" t="inlineStr">
        <is>
          <t>Oui</t>
        </is>
      </c>
      <c r="Y520" s="64">
        <f>IF($M520="","",IF(SUMPRODUCT(($D$4:$D$863=$D520)*($M$4:$M$863=$M520)*($T$4:$T$863&lt;&gt;$T520)*($F$4:$F$863&lt;$G520)*($G$4:$G$863&gt;$F520))&gt;0,"⚠ CONFLIT",""))</f>
        <v/>
      </c>
      <c r="Z520" s="64">
        <f>IF($J520="","",IF(SUMPRODUCT(($D$4:$D$863=$D520)*($J$4:$J$863=$J520)*($T$4:$T$863&lt;&gt;$T520)*($F$4:$F$863&lt;$G520)*($G$4:$G$863&gt;$F520)*(1-($X$4:$X$863="Oui")*($X520="Oui")))&gt;0,"⚠ CONFLIT",""))</f>
        <v/>
      </c>
      <c r="AA520" s="64">
        <f>IF(COUNTIFS($D$4:$D$863,$D520,$J$4:$J$863,$J520,$F$4:$F$863,$F520,$K$4:$K$863,$K520)&gt;1,"⚠ DOUBLON","")</f>
        <v/>
      </c>
      <c r="AB520" s="64">
        <f>IF(COUNTIF($T$4:$T$863,$T520)&lt;&gt;COUNTIFS($T$4:$T$863,$T520,$D$4:$D$863,$D520,$F$4:$F$863,$F520,$G$4:$G$863,$G520,$K$4:$K$863,$K520,$M$4:$M$863,$M520),"⚠ INCOHÉRENT","")</f>
        <v/>
      </c>
      <c r="AC520" s="64">
        <f>COUNTIFS($A$4:$A520,$A520,$J$4:$J520,$J520,$E$4:$E520,$E520)</f>
        <v/>
      </c>
      <c r="AD520" s="65">
        <f>$A520&amp;"|"&amp;$J520&amp;"|"&amp;$E520&amp;"|"&amp;$AC520</f>
        <v/>
      </c>
      <c r="AE520" s="66">
        <f>IF($W520&lt;&gt;"","⚑ "&amp;$W520&amp;CHAR(10),"")&amp;TEXT($F520,"hh:mm")&amp;"-"&amp;TEXT($G520,"hh:mm")&amp;IF(OR($P520="Quinzaine A",AND($P520="Hebdo · groupes alternés",$C520="A"))," Q-A",IF(OR($P520="Quinzaine B",AND($P520="Hebdo · groupes alternés",$C520="B"))," Q-B",IF($P520="Exception"," PONCT.","")))&amp;IF($X520="Oui"," OPT","")&amp;CHAR(10)&amp;$K520&amp;CHAR(10)&amp;$M520&amp;IF($N520&lt;&gt;"",CHAR(10)&amp;"Salle "&amp;$N520,"")&amp;IF($O520="En ligne",CHAR(10)&amp;"EN LIGNE","")&amp;IF($V520&lt;&gt;"",CHAR(10)&amp;$V520,"")</f>
        <v/>
      </c>
      <c r="AF520" s="65" t="inlineStr"/>
      <c r="AG520" s="65" t="inlineStr">
        <is>
          <t>— généré —</t>
        </is>
      </c>
    </row>
    <row r="521" ht="15" customHeight="1">
      <c r="A521" s="81" t="inlineStr">
        <is>
          <t>S5</t>
        </is>
      </c>
      <c r="B521" s="82" t="inlineStr">
        <is>
          <t>du 12 au 18 octobre 2026</t>
        </is>
      </c>
      <c r="C521" s="81" t="inlineStr">
        <is>
          <t>A</t>
        </is>
      </c>
      <c r="D521" s="83" t="n">
        <v>46308</v>
      </c>
      <c r="E521" s="81" t="inlineStr">
        <is>
          <t>Mardi</t>
        </is>
      </c>
      <c r="F521" s="84" t="n">
        <v>0.8020833333333334</v>
      </c>
      <c r="G521" s="84" t="n">
        <v>0.8645833333333334</v>
      </c>
      <c r="H521" s="85">
        <f>IF(OR($F521="",$G521=""),"",($G521-$F521)*24)</f>
        <v/>
      </c>
      <c r="I521" s="81" t="inlineStr">
        <is>
          <t>Bac</t>
        </is>
      </c>
      <c r="J521" s="82" t="inlineStr">
        <is>
          <t>Bac INFO</t>
        </is>
      </c>
      <c r="K521" s="90" t="inlineStr">
        <is>
          <t>Italien</t>
        </is>
      </c>
      <c r="L521" s="90" t="inlineStr">
        <is>
          <t>Italien</t>
        </is>
      </c>
      <c r="M521" s="82" t="inlineStr">
        <is>
          <t>Amel</t>
        </is>
      </c>
      <c r="N521" s="81" t="n"/>
      <c r="O521" s="81" t="n"/>
      <c r="P521" s="81" t="inlineStr">
        <is>
          <t>Hebdo · groupes alternés</t>
        </is>
      </c>
      <c r="Q521" s="82" t="inlineStr">
        <is>
          <t>Bac SCE + Bac INFO</t>
        </is>
      </c>
      <c r="R521" s="81" t="n">
        <v>2</v>
      </c>
      <c r="S521" s="81" t="inlineStr"/>
      <c r="T521" s="81" t="inlineStr">
        <is>
          <t>S5-018</t>
        </is>
      </c>
      <c r="U521" s="82" t="inlineStr">
        <is>
          <t>Généré (octobre)</t>
        </is>
      </c>
      <c r="V521" s="82" t="inlineStr"/>
      <c r="W521" s="10" t="n"/>
      <c r="X521" s="10" t="inlineStr">
        <is>
          <t>Oui</t>
        </is>
      </c>
      <c r="Y521" s="64">
        <f>IF($M521="","",IF(SUMPRODUCT(($D$4:$D$863=$D521)*($M$4:$M$863=$M521)*($T$4:$T$863&lt;&gt;$T521)*($F$4:$F$863&lt;$G521)*($G$4:$G$863&gt;$F521))&gt;0,"⚠ CONFLIT",""))</f>
        <v/>
      </c>
      <c r="Z521" s="64">
        <f>IF($J521="","",IF(SUMPRODUCT(($D$4:$D$863=$D521)*($J$4:$J$863=$J521)*($T$4:$T$863&lt;&gt;$T521)*($F$4:$F$863&lt;$G521)*($G$4:$G$863&gt;$F521)*(1-($X$4:$X$863="Oui")*($X521="Oui")))&gt;0,"⚠ CONFLIT",""))</f>
        <v/>
      </c>
      <c r="AA521" s="64">
        <f>IF(COUNTIFS($D$4:$D$863,$D521,$J$4:$J$863,$J521,$F$4:$F$863,$F521,$K$4:$K$863,$K521)&gt;1,"⚠ DOUBLON","")</f>
        <v/>
      </c>
      <c r="AB521" s="64">
        <f>IF(COUNTIF($T$4:$T$863,$T521)&lt;&gt;COUNTIFS($T$4:$T$863,$T521,$D$4:$D$863,$D521,$F$4:$F$863,$F521,$G$4:$G$863,$G521,$K$4:$K$863,$K521,$M$4:$M$863,$M521),"⚠ INCOHÉRENT","")</f>
        <v/>
      </c>
      <c r="AC521" s="64">
        <f>COUNTIFS($A$4:$A521,$A521,$J$4:$J521,$J521,$E$4:$E521,$E521)</f>
        <v/>
      </c>
      <c r="AD521" s="65">
        <f>$A521&amp;"|"&amp;$J521&amp;"|"&amp;$E521&amp;"|"&amp;$AC521</f>
        <v/>
      </c>
      <c r="AE521" s="66">
        <f>IF($W521&lt;&gt;"","⚑ "&amp;$W521&amp;CHAR(10),"")&amp;TEXT($F521,"hh:mm")&amp;"-"&amp;TEXT($G521,"hh:mm")&amp;IF(OR($P521="Quinzaine A",AND($P521="Hebdo · groupes alternés",$C521="A"))," Q-A",IF(OR($P521="Quinzaine B",AND($P521="Hebdo · groupes alternés",$C521="B"))," Q-B",IF($P521="Exception"," PONCT.","")))&amp;IF($X521="Oui"," OPT","")&amp;CHAR(10)&amp;$K521&amp;CHAR(10)&amp;$M521&amp;IF($N521&lt;&gt;"",CHAR(10)&amp;"Salle "&amp;$N521,"")&amp;IF($O521="En ligne",CHAR(10)&amp;"EN LIGNE","")&amp;IF($V521&lt;&gt;"",CHAR(10)&amp;$V521,"")</f>
        <v/>
      </c>
      <c r="AF521" s="65" t="inlineStr"/>
      <c r="AG521" s="65" t="inlineStr">
        <is>
          <t>— généré —</t>
        </is>
      </c>
    </row>
    <row r="522" ht="15" customHeight="1">
      <c r="A522" s="58" t="inlineStr">
        <is>
          <t>S5</t>
        </is>
      </c>
      <c r="B522" s="59" t="inlineStr">
        <is>
          <t>du 12 au 18 octobre 2026</t>
        </is>
      </c>
      <c r="C522" s="58" t="inlineStr">
        <is>
          <t>A</t>
        </is>
      </c>
      <c r="D522" s="60" t="n">
        <v>46309</v>
      </c>
      <c r="E522" s="58" t="inlineStr">
        <is>
          <t>Mercredi</t>
        </is>
      </c>
      <c r="F522" s="61" t="n">
        <v>0.7916666666666666</v>
      </c>
      <c r="G522" s="61" t="n">
        <v>0.875</v>
      </c>
      <c r="H522" s="62">
        <f>IF(OR($F522="",$G522=""),"",($G522-$F522)*24)</f>
        <v/>
      </c>
      <c r="I522" s="58" t="inlineStr">
        <is>
          <t>Primaire</t>
        </is>
      </c>
      <c r="J522" s="59" t="inlineStr">
        <is>
          <t>4éme</t>
        </is>
      </c>
      <c r="K522" s="79" t="inlineStr">
        <is>
          <t>رياضيات</t>
        </is>
      </c>
      <c r="L522" s="79" t="inlineStr">
        <is>
          <t>Math</t>
        </is>
      </c>
      <c r="M522" s="59" t="inlineStr">
        <is>
          <t>Bassma</t>
        </is>
      </c>
      <c r="N522" s="58" t="n"/>
      <c r="O522" s="58" t="n"/>
      <c r="P522" s="58" t="inlineStr">
        <is>
          <t>Hebdomadaire</t>
        </is>
      </c>
      <c r="Q522" s="59" t="inlineStr"/>
      <c r="R522" s="58" t="n">
        <v>1</v>
      </c>
      <c r="S522" s="58" t="inlineStr">
        <is>
          <t>Oui</t>
        </is>
      </c>
      <c r="T522" s="58" t="inlineStr">
        <is>
          <t>S5-019</t>
        </is>
      </c>
      <c r="U522" s="59" t="inlineStr">
        <is>
          <t>Généré (octobre)</t>
        </is>
      </c>
      <c r="V522" s="59" t="inlineStr"/>
      <c r="W522" s="10" t="n"/>
      <c r="X522" s="10" t="inlineStr"/>
      <c r="Y522" s="64">
        <f>IF($M522="","",IF(SUMPRODUCT(($D$4:$D$863=$D522)*($M$4:$M$863=$M522)*($T$4:$T$863&lt;&gt;$T522)*($F$4:$F$863&lt;$G522)*($G$4:$G$863&gt;$F522))&gt;0,"⚠ CONFLIT",""))</f>
        <v/>
      </c>
      <c r="Z522" s="64">
        <f>IF($J522="","",IF(SUMPRODUCT(($D$4:$D$863=$D522)*($J$4:$J$863=$J522)*($T$4:$T$863&lt;&gt;$T522)*($F$4:$F$863&lt;$G522)*($G$4:$G$863&gt;$F522)*(1-($X$4:$X$863="Oui")*($X522="Oui")))&gt;0,"⚠ CONFLIT",""))</f>
        <v/>
      </c>
      <c r="AA522" s="64">
        <f>IF(COUNTIFS($D$4:$D$863,$D522,$J$4:$J$863,$J522,$F$4:$F$863,$F522,$K$4:$K$863,$K522)&gt;1,"⚠ DOUBLON","")</f>
        <v/>
      </c>
      <c r="AB522" s="64">
        <f>IF(COUNTIF($T$4:$T$863,$T522)&lt;&gt;COUNTIFS($T$4:$T$863,$T522,$D$4:$D$863,$D522,$F$4:$F$863,$F522,$G$4:$G$863,$G522,$K$4:$K$863,$K522,$M$4:$M$863,$M522),"⚠ INCOHÉRENT","")</f>
        <v/>
      </c>
      <c r="AC522" s="64">
        <f>COUNTIFS($A$4:$A522,$A522,$J$4:$J522,$J522,$E$4:$E522,$E522)</f>
        <v/>
      </c>
      <c r="AD522" s="65">
        <f>$A522&amp;"|"&amp;$J522&amp;"|"&amp;$E522&amp;"|"&amp;$AC522</f>
        <v/>
      </c>
      <c r="AE522" s="66">
        <f>IF($W522&lt;&gt;"","⚑ "&amp;$W522&amp;CHAR(10),"")&amp;TEXT($F522,"hh:mm")&amp;"-"&amp;TEXT($G522,"hh:mm")&amp;IF(OR($P522="Quinzaine A",AND($P522="Hebdo · groupes alternés",$C522="A"))," Q-A",IF(OR($P522="Quinzaine B",AND($P522="Hebdo · groupes alternés",$C522="B"))," Q-B",IF($P522="Exception"," PONCT.","")))&amp;IF($X522="Oui"," OPT","")&amp;CHAR(10)&amp;$K522&amp;CHAR(10)&amp;$M522&amp;IF($N522&lt;&gt;"",CHAR(10)&amp;"Salle "&amp;$N522,"")&amp;IF($O522="En ligne",CHAR(10)&amp;"EN LIGNE","")&amp;IF($V522&lt;&gt;"",CHAR(10)&amp;$V522,"")</f>
        <v/>
      </c>
      <c r="AF522" s="65" t="inlineStr"/>
      <c r="AG522" s="65" t="inlineStr">
        <is>
          <t>— généré —</t>
        </is>
      </c>
    </row>
    <row r="523" ht="15" customHeight="1">
      <c r="A523" s="58" t="inlineStr">
        <is>
          <t>S5</t>
        </is>
      </c>
      <c r="B523" s="59" t="inlineStr">
        <is>
          <t>du 12 au 18 octobre 2026</t>
        </is>
      </c>
      <c r="C523" s="58" t="inlineStr">
        <is>
          <t>A</t>
        </is>
      </c>
      <c r="D523" s="60" t="n">
        <v>46309</v>
      </c>
      <c r="E523" s="58" t="inlineStr">
        <is>
          <t>Mercredi</t>
        </is>
      </c>
      <c r="F523" s="61" t="n">
        <v>0.7916666666666666</v>
      </c>
      <c r="G523" s="61" t="n">
        <v>0.875</v>
      </c>
      <c r="H523" s="62">
        <f>IF(OR($F523="",$G523=""),"",($G523-$F523)*24)</f>
        <v/>
      </c>
      <c r="I523" s="58" t="inlineStr">
        <is>
          <t>Primaire</t>
        </is>
      </c>
      <c r="J523" s="59" t="inlineStr">
        <is>
          <t>6éme Pilote (A)</t>
        </is>
      </c>
      <c r="K523" s="79" t="inlineStr">
        <is>
          <t>رياضيات</t>
        </is>
      </c>
      <c r="L523" s="79" t="inlineStr">
        <is>
          <t>Math</t>
        </is>
      </c>
      <c r="M523" s="59" t="inlineStr">
        <is>
          <t>Noura</t>
        </is>
      </c>
      <c r="N523" s="58" t="n"/>
      <c r="O523" s="58" t="n"/>
      <c r="P523" s="58" t="inlineStr">
        <is>
          <t>Hebdomadaire</t>
        </is>
      </c>
      <c r="Q523" s="59" t="inlineStr"/>
      <c r="R523" s="58" t="n">
        <v>1</v>
      </c>
      <c r="S523" s="58" t="inlineStr">
        <is>
          <t>Oui</t>
        </is>
      </c>
      <c r="T523" s="58" t="inlineStr">
        <is>
          <t>S5-020</t>
        </is>
      </c>
      <c r="U523" s="59" t="inlineStr">
        <is>
          <t>Généré (octobre)</t>
        </is>
      </c>
      <c r="V523" s="59" t="inlineStr"/>
      <c r="W523" s="10" t="n"/>
      <c r="X523" s="10" t="inlineStr"/>
      <c r="Y523" s="64">
        <f>IF($M523="","",IF(SUMPRODUCT(($D$4:$D$863=$D523)*($M$4:$M$863=$M523)*($T$4:$T$863&lt;&gt;$T523)*($F$4:$F$863&lt;$G523)*($G$4:$G$863&gt;$F523))&gt;0,"⚠ CONFLIT",""))</f>
        <v/>
      </c>
      <c r="Z523" s="64">
        <f>IF($J523="","",IF(SUMPRODUCT(($D$4:$D$863=$D523)*($J$4:$J$863=$J523)*($T$4:$T$863&lt;&gt;$T523)*($F$4:$F$863&lt;$G523)*($G$4:$G$863&gt;$F523)*(1-($X$4:$X$863="Oui")*($X523="Oui")))&gt;0,"⚠ CONFLIT",""))</f>
        <v/>
      </c>
      <c r="AA523" s="64">
        <f>IF(COUNTIFS($D$4:$D$863,$D523,$J$4:$J$863,$J523,$F$4:$F$863,$F523,$K$4:$K$863,$K523)&gt;1,"⚠ DOUBLON","")</f>
        <v/>
      </c>
      <c r="AB523" s="64">
        <f>IF(COUNTIF($T$4:$T$863,$T523)&lt;&gt;COUNTIFS($T$4:$T$863,$T523,$D$4:$D$863,$D523,$F$4:$F$863,$F523,$G$4:$G$863,$G523,$K$4:$K$863,$K523,$M$4:$M$863,$M523),"⚠ INCOHÉRENT","")</f>
        <v/>
      </c>
      <c r="AC523" s="64">
        <f>COUNTIFS($A$4:$A523,$A523,$J$4:$J523,$J523,$E$4:$E523,$E523)</f>
        <v/>
      </c>
      <c r="AD523" s="65">
        <f>$A523&amp;"|"&amp;$J523&amp;"|"&amp;$E523&amp;"|"&amp;$AC523</f>
        <v/>
      </c>
      <c r="AE523" s="66">
        <f>IF($W523&lt;&gt;"","⚑ "&amp;$W523&amp;CHAR(10),"")&amp;TEXT($F523,"hh:mm")&amp;"-"&amp;TEXT($G523,"hh:mm")&amp;IF(OR($P523="Quinzaine A",AND($P523="Hebdo · groupes alternés",$C523="A"))," Q-A",IF(OR($P523="Quinzaine B",AND($P523="Hebdo · groupes alternés",$C523="B"))," Q-B",IF($P523="Exception"," PONCT.","")))&amp;IF($X523="Oui"," OPT","")&amp;CHAR(10)&amp;$K523&amp;CHAR(10)&amp;$M523&amp;IF($N523&lt;&gt;"",CHAR(10)&amp;"Salle "&amp;$N523,"")&amp;IF($O523="En ligne",CHAR(10)&amp;"EN LIGNE","")&amp;IF($V523&lt;&gt;"",CHAR(10)&amp;$V523,"")</f>
        <v/>
      </c>
      <c r="AF523" s="65" t="inlineStr"/>
      <c r="AG523" s="65" t="inlineStr">
        <is>
          <t>— généré —</t>
        </is>
      </c>
    </row>
    <row r="524" ht="15" customHeight="1">
      <c r="A524" s="68" t="inlineStr">
        <is>
          <t>S5</t>
        </is>
      </c>
      <c r="B524" s="69" t="inlineStr">
        <is>
          <t>du 12 au 18 octobre 2026</t>
        </is>
      </c>
      <c r="C524" s="68" t="inlineStr">
        <is>
          <t>A</t>
        </is>
      </c>
      <c r="D524" s="70" t="n">
        <v>46309</v>
      </c>
      <c r="E524" s="68" t="inlineStr">
        <is>
          <t>Mercredi</t>
        </is>
      </c>
      <c r="F524" s="71" t="n">
        <v>0.8125</v>
      </c>
      <c r="G524" s="71" t="n">
        <v>0.875</v>
      </c>
      <c r="H524" s="72">
        <f>IF(OR($F524="",$G524=""),"",($G524-$F524)*24)</f>
        <v/>
      </c>
      <c r="I524" s="68" t="inlineStr">
        <is>
          <t>Collège</t>
        </is>
      </c>
      <c r="J524" s="69" t="inlineStr">
        <is>
          <t>7éme (A)</t>
        </is>
      </c>
      <c r="K524" s="73" t="inlineStr">
        <is>
          <t>فيزياء</t>
        </is>
      </c>
      <c r="L524" s="73" t="inlineStr">
        <is>
          <t>Physique</t>
        </is>
      </c>
      <c r="M524" s="69" t="inlineStr">
        <is>
          <t>Melek</t>
        </is>
      </c>
      <c r="N524" s="68" t="n"/>
      <c r="O524" s="68" t="n"/>
      <c r="P524" s="68" t="inlineStr">
        <is>
          <t>Hebdomadaire</t>
        </is>
      </c>
      <c r="Q524" s="69" t="inlineStr">
        <is>
          <t>7éme (A) + 7éme (B)</t>
        </is>
      </c>
      <c r="R524" s="68" t="n">
        <v>2</v>
      </c>
      <c r="S524" s="68" t="inlineStr">
        <is>
          <t>Oui</t>
        </is>
      </c>
      <c r="T524" s="68" t="inlineStr">
        <is>
          <t>S5-021</t>
        </is>
      </c>
      <c r="U524" s="69" t="inlineStr">
        <is>
          <t>Généré (octobre)</t>
        </is>
      </c>
      <c r="V524" s="69" t="inlineStr"/>
      <c r="W524" s="10" t="n"/>
      <c r="X524" s="10" t="inlineStr"/>
      <c r="Y524" s="64">
        <f>IF($M524="","",IF(SUMPRODUCT(($D$4:$D$863=$D524)*($M$4:$M$863=$M524)*($T$4:$T$863&lt;&gt;$T524)*($F$4:$F$863&lt;$G524)*($G$4:$G$863&gt;$F524))&gt;0,"⚠ CONFLIT",""))</f>
        <v/>
      </c>
      <c r="Z524" s="64">
        <f>IF($J524="","",IF(SUMPRODUCT(($D$4:$D$863=$D524)*($J$4:$J$863=$J524)*($T$4:$T$863&lt;&gt;$T524)*($F$4:$F$863&lt;$G524)*($G$4:$G$863&gt;$F524)*(1-($X$4:$X$863="Oui")*($X524="Oui")))&gt;0,"⚠ CONFLIT",""))</f>
        <v/>
      </c>
      <c r="AA524" s="64">
        <f>IF(COUNTIFS($D$4:$D$863,$D524,$J$4:$J$863,$J524,$F$4:$F$863,$F524,$K$4:$K$863,$K524)&gt;1,"⚠ DOUBLON","")</f>
        <v/>
      </c>
      <c r="AB524" s="64">
        <f>IF(COUNTIF($T$4:$T$863,$T524)&lt;&gt;COUNTIFS($T$4:$T$863,$T524,$D$4:$D$863,$D524,$F$4:$F$863,$F524,$G$4:$G$863,$G524,$K$4:$K$863,$K524,$M$4:$M$863,$M524),"⚠ INCOHÉRENT","")</f>
        <v/>
      </c>
      <c r="AC524" s="64">
        <f>COUNTIFS($A$4:$A524,$A524,$J$4:$J524,$J524,$E$4:$E524,$E524)</f>
        <v/>
      </c>
      <c r="AD524" s="65">
        <f>$A524&amp;"|"&amp;$J524&amp;"|"&amp;$E524&amp;"|"&amp;$AC524</f>
        <v/>
      </c>
      <c r="AE524" s="66">
        <f>IF($W524&lt;&gt;"","⚑ "&amp;$W524&amp;CHAR(10),"")&amp;TEXT($F524,"hh:mm")&amp;"-"&amp;TEXT($G524,"hh:mm")&amp;IF(OR($P524="Quinzaine A",AND($P524="Hebdo · groupes alternés",$C524="A"))," Q-A",IF(OR($P524="Quinzaine B",AND($P524="Hebdo · groupes alternés",$C524="B"))," Q-B",IF($P524="Exception"," PONCT.","")))&amp;IF($X524="Oui"," OPT","")&amp;CHAR(10)&amp;$K524&amp;CHAR(10)&amp;$M524&amp;IF($N524&lt;&gt;"",CHAR(10)&amp;"Salle "&amp;$N524,"")&amp;IF($O524="En ligne",CHAR(10)&amp;"EN LIGNE","")&amp;IF($V524&lt;&gt;"",CHAR(10)&amp;$V524,"")</f>
        <v/>
      </c>
      <c r="AF524" s="65" t="inlineStr"/>
      <c r="AG524" s="65" t="inlineStr">
        <is>
          <t>— généré —</t>
        </is>
      </c>
    </row>
    <row r="525" ht="15" customHeight="1">
      <c r="A525" s="68" t="inlineStr">
        <is>
          <t>S5</t>
        </is>
      </c>
      <c r="B525" s="69" t="inlineStr">
        <is>
          <t>du 12 au 18 octobre 2026</t>
        </is>
      </c>
      <c r="C525" s="68" t="inlineStr">
        <is>
          <t>A</t>
        </is>
      </c>
      <c r="D525" s="70" t="n">
        <v>46309</v>
      </c>
      <c r="E525" s="68" t="inlineStr">
        <is>
          <t>Mercredi</t>
        </is>
      </c>
      <c r="F525" s="71" t="n">
        <v>0.8125</v>
      </c>
      <c r="G525" s="71" t="n">
        <v>0.875</v>
      </c>
      <c r="H525" s="72">
        <f>IF(OR($F525="",$G525=""),"",($G525-$F525)*24)</f>
        <v/>
      </c>
      <c r="I525" s="68" t="inlineStr">
        <is>
          <t>Collège</t>
        </is>
      </c>
      <c r="J525" s="69" t="inlineStr">
        <is>
          <t>7éme (B)</t>
        </is>
      </c>
      <c r="K525" s="73" t="inlineStr">
        <is>
          <t>فيزياء</t>
        </is>
      </c>
      <c r="L525" s="73" t="inlineStr">
        <is>
          <t>Physique</t>
        </is>
      </c>
      <c r="M525" s="69" t="inlineStr">
        <is>
          <t>Melek</t>
        </is>
      </c>
      <c r="N525" s="68" t="n"/>
      <c r="O525" s="68" t="n"/>
      <c r="P525" s="68" t="inlineStr">
        <is>
          <t>Hebdomadaire</t>
        </is>
      </c>
      <c r="Q525" s="69" t="inlineStr">
        <is>
          <t>7éme (A) + 7éme (B)</t>
        </is>
      </c>
      <c r="R525" s="68" t="n">
        <v>2</v>
      </c>
      <c r="S525" s="68" t="inlineStr"/>
      <c r="T525" s="68" t="inlineStr">
        <is>
          <t>S5-021</t>
        </is>
      </c>
      <c r="U525" s="69" t="inlineStr">
        <is>
          <t>Généré (octobre)</t>
        </is>
      </c>
      <c r="V525" s="69" t="inlineStr"/>
      <c r="W525" s="10" t="n"/>
      <c r="X525" s="10" t="inlineStr"/>
      <c r="Y525" s="64">
        <f>IF($M525="","",IF(SUMPRODUCT(($D$4:$D$863=$D525)*($M$4:$M$863=$M525)*($T$4:$T$863&lt;&gt;$T525)*($F$4:$F$863&lt;$G525)*($G$4:$G$863&gt;$F525))&gt;0,"⚠ CONFLIT",""))</f>
        <v/>
      </c>
      <c r="Z525" s="64">
        <f>IF($J525="","",IF(SUMPRODUCT(($D$4:$D$863=$D525)*($J$4:$J$863=$J525)*($T$4:$T$863&lt;&gt;$T525)*($F$4:$F$863&lt;$G525)*($G$4:$G$863&gt;$F525)*(1-($X$4:$X$863="Oui")*($X525="Oui")))&gt;0,"⚠ CONFLIT",""))</f>
        <v/>
      </c>
      <c r="AA525" s="64">
        <f>IF(COUNTIFS($D$4:$D$863,$D525,$J$4:$J$863,$J525,$F$4:$F$863,$F525,$K$4:$K$863,$K525)&gt;1,"⚠ DOUBLON","")</f>
        <v/>
      </c>
      <c r="AB525" s="64">
        <f>IF(COUNTIF($T$4:$T$863,$T525)&lt;&gt;COUNTIFS($T$4:$T$863,$T525,$D$4:$D$863,$D525,$F$4:$F$863,$F525,$G$4:$G$863,$G525,$K$4:$K$863,$K525,$M$4:$M$863,$M525),"⚠ INCOHÉRENT","")</f>
        <v/>
      </c>
      <c r="AC525" s="64">
        <f>COUNTIFS($A$4:$A525,$A525,$J$4:$J525,$J525,$E$4:$E525,$E525)</f>
        <v/>
      </c>
      <c r="AD525" s="65">
        <f>$A525&amp;"|"&amp;$J525&amp;"|"&amp;$E525&amp;"|"&amp;$AC525</f>
        <v/>
      </c>
      <c r="AE525" s="66">
        <f>IF($W525&lt;&gt;"","⚑ "&amp;$W525&amp;CHAR(10),"")&amp;TEXT($F525,"hh:mm")&amp;"-"&amp;TEXT($G525,"hh:mm")&amp;IF(OR($P525="Quinzaine A",AND($P525="Hebdo · groupes alternés",$C525="A"))," Q-A",IF(OR($P525="Quinzaine B",AND($P525="Hebdo · groupes alternés",$C525="B"))," Q-B",IF($P525="Exception"," PONCT.","")))&amp;IF($X525="Oui"," OPT","")&amp;CHAR(10)&amp;$K525&amp;CHAR(10)&amp;$M525&amp;IF($N525&lt;&gt;"",CHAR(10)&amp;"Salle "&amp;$N525,"")&amp;IF($O525="En ligne",CHAR(10)&amp;"EN LIGNE","")&amp;IF($V525&lt;&gt;"",CHAR(10)&amp;$V525,"")</f>
        <v/>
      </c>
      <c r="AF525" s="65" t="inlineStr"/>
      <c r="AG525" s="65" t="inlineStr">
        <is>
          <t>— généré —</t>
        </is>
      </c>
    </row>
    <row r="526" ht="15" customHeight="1">
      <c r="A526" s="68" t="inlineStr">
        <is>
          <t>S5</t>
        </is>
      </c>
      <c r="B526" s="69" t="inlineStr">
        <is>
          <t>du 12 au 18 octobre 2026</t>
        </is>
      </c>
      <c r="C526" s="68" t="inlineStr">
        <is>
          <t>A</t>
        </is>
      </c>
      <c r="D526" s="70" t="n">
        <v>46309</v>
      </c>
      <c r="E526" s="68" t="inlineStr">
        <is>
          <t>Mercredi</t>
        </is>
      </c>
      <c r="F526" s="71" t="n">
        <v>0.7916666666666666</v>
      </c>
      <c r="G526" s="71" t="n">
        <v>0.8541666666666666</v>
      </c>
      <c r="H526" s="72">
        <f>IF(OR($F526="",$G526=""),"",($G526-$F526)*24)</f>
        <v/>
      </c>
      <c r="I526" s="68" t="inlineStr">
        <is>
          <t>Collège</t>
        </is>
      </c>
      <c r="J526" s="69" t="inlineStr">
        <is>
          <t>8éme (A)</t>
        </is>
      </c>
      <c r="K526" s="63" t="inlineStr">
        <is>
          <t>Arabe</t>
        </is>
      </c>
      <c r="L526" s="63" t="inlineStr">
        <is>
          <t>Arabe</t>
        </is>
      </c>
      <c r="M526" s="69" t="inlineStr">
        <is>
          <t>Awatef</t>
        </is>
      </c>
      <c r="N526" s="68" t="n"/>
      <c r="O526" s="68" t="n"/>
      <c r="P526" s="68" t="inlineStr">
        <is>
          <t>Hebdomadaire</t>
        </is>
      </c>
      <c r="Q526" s="69" t="inlineStr"/>
      <c r="R526" s="68" t="n">
        <v>1</v>
      </c>
      <c r="S526" s="68" t="inlineStr">
        <is>
          <t>Oui</t>
        </is>
      </c>
      <c r="T526" s="68" t="inlineStr">
        <is>
          <t>S5-022</t>
        </is>
      </c>
      <c r="U526" s="69" t="inlineStr">
        <is>
          <t>Généré (octobre)</t>
        </is>
      </c>
      <c r="V526" s="69" t="inlineStr"/>
      <c r="W526" s="10" t="n"/>
      <c r="X526" s="10" t="inlineStr"/>
      <c r="Y526" s="64">
        <f>IF($M526="","",IF(SUMPRODUCT(($D$4:$D$863=$D526)*($M$4:$M$863=$M526)*($T$4:$T$863&lt;&gt;$T526)*($F$4:$F$863&lt;$G526)*($G$4:$G$863&gt;$F526))&gt;0,"⚠ CONFLIT",""))</f>
        <v/>
      </c>
      <c r="Z526" s="64">
        <f>IF($J526="","",IF(SUMPRODUCT(($D$4:$D$863=$D526)*($J$4:$J$863=$J526)*($T$4:$T$863&lt;&gt;$T526)*($F$4:$F$863&lt;$G526)*($G$4:$G$863&gt;$F526)*(1-($X$4:$X$863="Oui")*($X526="Oui")))&gt;0,"⚠ CONFLIT",""))</f>
        <v/>
      </c>
      <c r="AA526" s="64">
        <f>IF(COUNTIFS($D$4:$D$863,$D526,$J$4:$J$863,$J526,$F$4:$F$863,$F526,$K$4:$K$863,$K526)&gt;1,"⚠ DOUBLON","")</f>
        <v/>
      </c>
      <c r="AB526" s="64">
        <f>IF(COUNTIF($T$4:$T$863,$T526)&lt;&gt;COUNTIFS($T$4:$T$863,$T526,$D$4:$D$863,$D526,$F$4:$F$863,$F526,$G$4:$G$863,$G526,$K$4:$K$863,$K526,$M$4:$M$863,$M526),"⚠ INCOHÉRENT","")</f>
        <v/>
      </c>
      <c r="AC526" s="64">
        <f>COUNTIFS($A$4:$A526,$A526,$J$4:$J526,$J526,$E$4:$E526,$E526)</f>
        <v/>
      </c>
      <c r="AD526" s="65">
        <f>$A526&amp;"|"&amp;$J526&amp;"|"&amp;$E526&amp;"|"&amp;$AC526</f>
        <v/>
      </c>
      <c r="AE526" s="66">
        <f>IF($W526&lt;&gt;"","⚑ "&amp;$W526&amp;CHAR(10),"")&amp;TEXT($F526,"hh:mm")&amp;"-"&amp;TEXT($G526,"hh:mm")&amp;IF(OR($P526="Quinzaine A",AND($P526="Hebdo · groupes alternés",$C526="A"))," Q-A",IF(OR($P526="Quinzaine B",AND($P526="Hebdo · groupes alternés",$C526="B"))," Q-B",IF($P526="Exception"," PONCT.","")))&amp;IF($X526="Oui"," OPT","")&amp;CHAR(10)&amp;$K526&amp;CHAR(10)&amp;$M526&amp;IF($N526&lt;&gt;"",CHAR(10)&amp;"Salle "&amp;$N526,"")&amp;IF($O526="En ligne",CHAR(10)&amp;"EN LIGNE","")&amp;IF($V526&lt;&gt;"",CHAR(10)&amp;$V526,"")</f>
        <v/>
      </c>
      <c r="AF526" s="65" t="inlineStr"/>
      <c r="AG526" s="65" t="inlineStr">
        <is>
          <t>— généré —</t>
        </is>
      </c>
    </row>
    <row r="527" ht="15" customHeight="1">
      <c r="A527" s="68" t="inlineStr">
        <is>
          <t>S5</t>
        </is>
      </c>
      <c r="B527" s="69" t="inlineStr">
        <is>
          <t>du 12 au 18 octobre 2026</t>
        </is>
      </c>
      <c r="C527" s="68" t="inlineStr">
        <is>
          <t>A</t>
        </is>
      </c>
      <c r="D527" s="70" t="n">
        <v>46309</v>
      </c>
      <c r="E527" s="68" t="inlineStr">
        <is>
          <t>Mercredi</t>
        </is>
      </c>
      <c r="F527" s="71" t="n">
        <v>0.8020833333333334</v>
      </c>
      <c r="G527" s="71" t="n">
        <v>0.8645833333333334</v>
      </c>
      <c r="H527" s="72">
        <f>IF(OR($F527="",$G527=""),"",($G527-$F527)*24)</f>
        <v/>
      </c>
      <c r="I527" s="68" t="inlineStr">
        <is>
          <t>Collège</t>
        </is>
      </c>
      <c r="J527" s="69" t="inlineStr">
        <is>
          <t>8éme (B)</t>
        </is>
      </c>
      <c r="K527" s="79" t="inlineStr">
        <is>
          <t>Math</t>
        </is>
      </c>
      <c r="L527" s="79" t="inlineStr">
        <is>
          <t>Math</t>
        </is>
      </c>
      <c r="M527" s="69" t="inlineStr">
        <is>
          <t>Khouloud</t>
        </is>
      </c>
      <c r="N527" s="68" t="n"/>
      <c r="O527" s="68" t="n"/>
      <c r="P527" s="68" t="inlineStr">
        <is>
          <t>Hebdomadaire</t>
        </is>
      </c>
      <c r="Q527" s="69" t="inlineStr"/>
      <c r="R527" s="68" t="n">
        <v>1</v>
      </c>
      <c r="S527" s="68" t="inlineStr">
        <is>
          <t>Oui</t>
        </is>
      </c>
      <c r="T527" s="68" t="inlineStr">
        <is>
          <t>S5-023</t>
        </is>
      </c>
      <c r="U527" s="69" t="inlineStr">
        <is>
          <t>Généré (octobre)</t>
        </is>
      </c>
      <c r="V527" s="69" t="inlineStr"/>
      <c r="W527" s="10" t="n"/>
      <c r="X527" s="10" t="inlineStr"/>
      <c r="Y527" s="64">
        <f>IF($M527="","",IF(SUMPRODUCT(($D$4:$D$863=$D527)*($M$4:$M$863=$M527)*($T$4:$T$863&lt;&gt;$T527)*($F$4:$F$863&lt;$G527)*($G$4:$G$863&gt;$F527))&gt;0,"⚠ CONFLIT",""))</f>
        <v/>
      </c>
      <c r="Z527" s="64">
        <f>IF($J527="","",IF(SUMPRODUCT(($D$4:$D$863=$D527)*($J$4:$J$863=$J527)*($T$4:$T$863&lt;&gt;$T527)*($F$4:$F$863&lt;$G527)*($G$4:$G$863&gt;$F527)*(1-($X$4:$X$863="Oui")*($X527="Oui")))&gt;0,"⚠ CONFLIT",""))</f>
        <v/>
      </c>
      <c r="AA527" s="64">
        <f>IF(COUNTIFS($D$4:$D$863,$D527,$J$4:$J$863,$J527,$F$4:$F$863,$F527,$K$4:$K$863,$K527)&gt;1,"⚠ DOUBLON","")</f>
        <v/>
      </c>
      <c r="AB527" s="64">
        <f>IF(COUNTIF($T$4:$T$863,$T527)&lt;&gt;COUNTIFS($T$4:$T$863,$T527,$D$4:$D$863,$D527,$F$4:$F$863,$F527,$G$4:$G$863,$G527,$K$4:$K$863,$K527,$M$4:$M$863,$M527),"⚠ INCOHÉRENT","")</f>
        <v/>
      </c>
      <c r="AC527" s="64">
        <f>COUNTIFS($A$4:$A527,$A527,$J$4:$J527,$J527,$E$4:$E527,$E527)</f>
        <v/>
      </c>
      <c r="AD527" s="65">
        <f>$A527&amp;"|"&amp;$J527&amp;"|"&amp;$E527&amp;"|"&amp;$AC527</f>
        <v/>
      </c>
      <c r="AE527" s="66">
        <f>IF($W527&lt;&gt;"","⚑ "&amp;$W527&amp;CHAR(10),"")&amp;TEXT($F527,"hh:mm")&amp;"-"&amp;TEXT($G527,"hh:mm")&amp;IF(OR($P527="Quinzaine A",AND($P527="Hebdo · groupes alternés",$C527="A"))," Q-A",IF(OR($P527="Quinzaine B",AND($P527="Hebdo · groupes alternés",$C527="B"))," Q-B",IF($P527="Exception"," PONCT.","")))&amp;IF($X527="Oui"," OPT","")&amp;CHAR(10)&amp;$K527&amp;CHAR(10)&amp;$M527&amp;IF($N527&lt;&gt;"",CHAR(10)&amp;"Salle "&amp;$N527,"")&amp;IF($O527="En ligne",CHAR(10)&amp;"EN LIGNE","")&amp;IF($V527&lt;&gt;"",CHAR(10)&amp;$V527,"")</f>
        <v/>
      </c>
      <c r="AF527" s="65" t="inlineStr"/>
      <c r="AG527" s="65" t="inlineStr">
        <is>
          <t>— généré —</t>
        </is>
      </c>
    </row>
    <row r="528" ht="15" customHeight="1">
      <c r="A528" s="68" t="inlineStr">
        <is>
          <t>S5</t>
        </is>
      </c>
      <c r="B528" s="69" t="inlineStr">
        <is>
          <t>du 12 au 18 octobre 2026</t>
        </is>
      </c>
      <c r="C528" s="68" t="inlineStr">
        <is>
          <t>A</t>
        </is>
      </c>
      <c r="D528" s="70" t="n">
        <v>46309</v>
      </c>
      <c r="E528" s="68" t="inlineStr">
        <is>
          <t>Mercredi</t>
        </is>
      </c>
      <c r="F528" s="71" t="n">
        <v>0.8125</v>
      </c>
      <c r="G528" s="71" t="n">
        <v>0.875</v>
      </c>
      <c r="H528" s="72">
        <f>IF(OR($F528="",$G528=""),"",($G528-$F528)*24)</f>
        <v/>
      </c>
      <c r="I528" s="68" t="inlineStr">
        <is>
          <t>Collège</t>
        </is>
      </c>
      <c r="J528" s="69" t="inlineStr">
        <is>
          <t>8éme (C)</t>
        </is>
      </c>
      <c r="K528" s="67" t="inlineStr">
        <is>
          <t>Français</t>
        </is>
      </c>
      <c r="L528" s="67" t="inlineStr">
        <is>
          <t>Français</t>
        </is>
      </c>
      <c r="M528" s="69" t="inlineStr">
        <is>
          <t>Nabil</t>
        </is>
      </c>
      <c r="N528" s="68" t="n"/>
      <c r="O528" s="68" t="n"/>
      <c r="P528" s="68" t="inlineStr">
        <is>
          <t>Hebdomadaire</t>
        </is>
      </c>
      <c r="Q528" s="69" t="inlineStr"/>
      <c r="R528" s="68" t="n">
        <v>1</v>
      </c>
      <c r="S528" s="68" t="inlineStr">
        <is>
          <t>Oui</t>
        </is>
      </c>
      <c r="T528" s="68" t="inlineStr">
        <is>
          <t>S5-024</t>
        </is>
      </c>
      <c r="U528" s="69" t="inlineStr">
        <is>
          <t>Généré (octobre)</t>
        </is>
      </c>
      <c r="V528" s="69" t="inlineStr"/>
      <c r="W528" s="10" t="n"/>
      <c r="X528" s="10" t="inlineStr"/>
      <c r="Y528" s="64">
        <f>IF($M528="","",IF(SUMPRODUCT(($D$4:$D$863=$D528)*($M$4:$M$863=$M528)*($T$4:$T$863&lt;&gt;$T528)*($F$4:$F$863&lt;$G528)*($G$4:$G$863&gt;$F528))&gt;0,"⚠ CONFLIT",""))</f>
        <v/>
      </c>
      <c r="Z528" s="64">
        <f>IF($J528="","",IF(SUMPRODUCT(($D$4:$D$863=$D528)*($J$4:$J$863=$J528)*($T$4:$T$863&lt;&gt;$T528)*($F$4:$F$863&lt;$G528)*($G$4:$G$863&gt;$F528)*(1-($X$4:$X$863="Oui")*($X528="Oui")))&gt;0,"⚠ CONFLIT",""))</f>
        <v/>
      </c>
      <c r="AA528" s="64">
        <f>IF(COUNTIFS($D$4:$D$863,$D528,$J$4:$J$863,$J528,$F$4:$F$863,$F528,$K$4:$K$863,$K528)&gt;1,"⚠ DOUBLON","")</f>
        <v/>
      </c>
      <c r="AB528" s="64">
        <f>IF(COUNTIF($T$4:$T$863,$T528)&lt;&gt;COUNTIFS($T$4:$T$863,$T528,$D$4:$D$863,$D528,$F$4:$F$863,$F528,$G$4:$G$863,$G528,$K$4:$K$863,$K528,$M$4:$M$863,$M528),"⚠ INCOHÉRENT","")</f>
        <v/>
      </c>
      <c r="AC528" s="64">
        <f>COUNTIFS($A$4:$A528,$A528,$J$4:$J528,$J528,$E$4:$E528,$E528)</f>
        <v/>
      </c>
      <c r="AD528" s="65">
        <f>$A528&amp;"|"&amp;$J528&amp;"|"&amp;$E528&amp;"|"&amp;$AC528</f>
        <v/>
      </c>
      <c r="AE528" s="66">
        <f>IF($W528&lt;&gt;"","⚑ "&amp;$W528&amp;CHAR(10),"")&amp;TEXT($F528,"hh:mm")&amp;"-"&amp;TEXT($G528,"hh:mm")&amp;IF(OR($P528="Quinzaine A",AND($P528="Hebdo · groupes alternés",$C528="A"))," Q-A",IF(OR($P528="Quinzaine B",AND($P528="Hebdo · groupes alternés",$C528="B"))," Q-B",IF($P528="Exception"," PONCT.","")))&amp;IF($X528="Oui"," OPT","")&amp;CHAR(10)&amp;$K528&amp;CHAR(10)&amp;$M528&amp;IF($N528&lt;&gt;"",CHAR(10)&amp;"Salle "&amp;$N528,"")&amp;IF($O528="En ligne",CHAR(10)&amp;"EN LIGNE","")&amp;IF($V528&lt;&gt;"",CHAR(10)&amp;$V528,"")</f>
        <v/>
      </c>
      <c r="AF528" s="65" t="inlineStr"/>
      <c r="AG528" s="65" t="inlineStr">
        <is>
          <t>— généré —</t>
        </is>
      </c>
    </row>
    <row r="529" ht="15" customHeight="1">
      <c r="A529" s="68" t="inlineStr">
        <is>
          <t>S5</t>
        </is>
      </c>
      <c r="B529" s="69" t="inlineStr">
        <is>
          <t>du 12 au 18 octobre 2026</t>
        </is>
      </c>
      <c r="C529" s="68" t="inlineStr">
        <is>
          <t>A</t>
        </is>
      </c>
      <c r="D529" s="70" t="n">
        <v>46309</v>
      </c>
      <c r="E529" s="68" t="inlineStr">
        <is>
          <t>Mercredi</t>
        </is>
      </c>
      <c r="F529" s="71" t="n">
        <v>0.8125</v>
      </c>
      <c r="G529" s="71" t="n">
        <v>0.875</v>
      </c>
      <c r="H529" s="72">
        <f>IF(OR($F529="",$G529=""),"",($G529-$F529)*24)</f>
        <v/>
      </c>
      <c r="I529" s="68" t="inlineStr">
        <is>
          <t>Collège</t>
        </is>
      </c>
      <c r="J529" s="69" t="inlineStr">
        <is>
          <t>9éme (B)</t>
        </is>
      </c>
      <c r="K529" s="63" t="inlineStr">
        <is>
          <t>Arabe</t>
        </is>
      </c>
      <c r="L529" s="63" t="inlineStr">
        <is>
          <t>Arabe</t>
        </is>
      </c>
      <c r="M529" s="69" t="inlineStr">
        <is>
          <t>Yahya</t>
        </is>
      </c>
      <c r="N529" s="68" t="n"/>
      <c r="O529" s="68" t="n"/>
      <c r="P529" s="68" t="inlineStr">
        <is>
          <t>Hebdomadaire</t>
        </is>
      </c>
      <c r="Q529" s="69" t="inlineStr"/>
      <c r="R529" s="68" t="n">
        <v>1</v>
      </c>
      <c r="S529" s="68" t="inlineStr">
        <is>
          <t>Oui</t>
        </is>
      </c>
      <c r="T529" s="68" t="inlineStr">
        <is>
          <t>S5-025</t>
        </is>
      </c>
      <c r="U529" s="69" t="inlineStr">
        <is>
          <t>Généré (octobre)</t>
        </is>
      </c>
      <c r="V529" s="69" t="inlineStr"/>
      <c r="W529" s="10" t="n"/>
      <c r="X529" s="10" t="inlineStr"/>
      <c r="Y529" s="64">
        <f>IF($M529="","",IF(SUMPRODUCT(($D$4:$D$863=$D529)*($M$4:$M$863=$M529)*($T$4:$T$863&lt;&gt;$T529)*($F$4:$F$863&lt;$G529)*($G$4:$G$863&gt;$F529))&gt;0,"⚠ CONFLIT",""))</f>
        <v/>
      </c>
      <c r="Z529" s="64">
        <f>IF($J529="","",IF(SUMPRODUCT(($D$4:$D$863=$D529)*($J$4:$J$863=$J529)*($T$4:$T$863&lt;&gt;$T529)*($F$4:$F$863&lt;$G529)*($G$4:$G$863&gt;$F529)*(1-($X$4:$X$863="Oui")*($X529="Oui")))&gt;0,"⚠ CONFLIT",""))</f>
        <v/>
      </c>
      <c r="AA529" s="64">
        <f>IF(COUNTIFS($D$4:$D$863,$D529,$J$4:$J$863,$J529,$F$4:$F$863,$F529,$K$4:$K$863,$K529)&gt;1,"⚠ DOUBLON","")</f>
        <v/>
      </c>
      <c r="AB529" s="64">
        <f>IF(COUNTIF($T$4:$T$863,$T529)&lt;&gt;COUNTIFS($T$4:$T$863,$T529,$D$4:$D$863,$D529,$F$4:$F$863,$F529,$G$4:$G$863,$G529,$K$4:$K$863,$K529,$M$4:$M$863,$M529),"⚠ INCOHÉRENT","")</f>
        <v/>
      </c>
      <c r="AC529" s="64">
        <f>COUNTIFS($A$4:$A529,$A529,$J$4:$J529,$J529,$E$4:$E529,$E529)</f>
        <v/>
      </c>
      <c r="AD529" s="65">
        <f>$A529&amp;"|"&amp;$J529&amp;"|"&amp;$E529&amp;"|"&amp;$AC529</f>
        <v/>
      </c>
      <c r="AE529" s="66">
        <f>IF($W529&lt;&gt;"","⚑ "&amp;$W529&amp;CHAR(10),"")&amp;TEXT($F529,"hh:mm")&amp;"-"&amp;TEXT($G529,"hh:mm")&amp;IF(OR($P529="Quinzaine A",AND($P529="Hebdo · groupes alternés",$C529="A"))," Q-A",IF(OR($P529="Quinzaine B",AND($P529="Hebdo · groupes alternés",$C529="B"))," Q-B",IF($P529="Exception"," PONCT.","")))&amp;IF($X529="Oui"," OPT","")&amp;CHAR(10)&amp;$K529&amp;CHAR(10)&amp;$M529&amp;IF($N529&lt;&gt;"",CHAR(10)&amp;"Salle "&amp;$N529,"")&amp;IF($O529="En ligne",CHAR(10)&amp;"EN LIGNE","")&amp;IF($V529&lt;&gt;"",CHAR(10)&amp;$V529,"")</f>
        <v/>
      </c>
      <c r="AF529" s="65" t="inlineStr"/>
      <c r="AG529" s="65" t="inlineStr">
        <is>
          <t>— généré —</t>
        </is>
      </c>
    </row>
    <row r="530" ht="15" customHeight="1">
      <c r="A530" s="68" t="inlineStr">
        <is>
          <t>S5</t>
        </is>
      </c>
      <c r="B530" s="69" t="inlineStr">
        <is>
          <t>du 12 au 18 octobre 2026</t>
        </is>
      </c>
      <c r="C530" s="68" t="inlineStr">
        <is>
          <t>A</t>
        </is>
      </c>
      <c r="D530" s="70" t="n">
        <v>46309</v>
      </c>
      <c r="E530" s="68" t="inlineStr">
        <is>
          <t>Mercredi</t>
        </is>
      </c>
      <c r="F530" s="71" t="n">
        <v>0.8020833333333334</v>
      </c>
      <c r="G530" s="71" t="n">
        <v>0.8645833333333334</v>
      </c>
      <c r="H530" s="72">
        <f>IF(OR($F530="",$G530=""),"",($G530-$F530)*24)</f>
        <v/>
      </c>
      <c r="I530" s="68" t="inlineStr">
        <is>
          <t>Collège</t>
        </is>
      </c>
      <c r="J530" s="69" t="inlineStr">
        <is>
          <t>9éme (C)</t>
        </is>
      </c>
      <c r="K530" s="88" t="inlineStr">
        <is>
          <t>SVT</t>
        </is>
      </c>
      <c r="L530" s="88" t="inlineStr">
        <is>
          <t>SVT</t>
        </is>
      </c>
      <c r="M530" s="69" t="inlineStr">
        <is>
          <t>Imen Jribi</t>
        </is>
      </c>
      <c r="N530" s="68" t="n"/>
      <c r="O530" s="68" t="n"/>
      <c r="P530" s="68" t="inlineStr">
        <is>
          <t>Hebdomadaire</t>
        </is>
      </c>
      <c r="Q530" s="69" t="inlineStr"/>
      <c r="R530" s="68" t="n">
        <v>1</v>
      </c>
      <c r="S530" s="68" t="inlineStr">
        <is>
          <t>Oui</t>
        </is>
      </c>
      <c r="T530" s="68" t="inlineStr">
        <is>
          <t>S5-026</t>
        </is>
      </c>
      <c r="U530" s="69" t="inlineStr">
        <is>
          <t>Généré (octobre)</t>
        </is>
      </c>
      <c r="V530" s="69" t="inlineStr"/>
      <c r="W530" s="10" t="n"/>
      <c r="X530" s="10" t="inlineStr"/>
      <c r="Y530" s="64">
        <f>IF($M530="","",IF(SUMPRODUCT(($D$4:$D$863=$D530)*($M$4:$M$863=$M530)*($T$4:$T$863&lt;&gt;$T530)*($F$4:$F$863&lt;$G530)*($G$4:$G$863&gt;$F530))&gt;0,"⚠ CONFLIT",""))</f>
        <v/>
      </c>
      <c r="Z530" s="64">
        <f>IF($J530="","",IF(SUMPRODUCT(($D$4:$D$863=$D530)*($J$4:$J$863=$J530)*($T$4:$T$863&lt;&gt;$T530)*($F$4:$F$863&lt;$G530)*($G$4:$G$863&gt;$F530)*(1-($X$4:$X$863="Oui")*($X530="Oui")))&gt;0,"⚠ CONFLIT",""))</f>
        <v/>
      </c>
      <c r="AA530" s="64">
        <f>IF(COUNTIFS($D$4:$D$863,$D530,$J$4:$J$863,$J530,$F$4:$F$863,$F530,$K$4:$K$863,$K530)&gt;1,"⚠ DOUBLON","")</f>
        <v/>
      </c>
      <c r="AB530" s="64">
        <f>IF(COUNTIF($T$4:$T$863,$T530)&lt;&gt;COUNTIFS($T$4:$T$863,$T530,$D$4:$D$863,$D530,$F$4:$F$863,$F530,$G$4:$G$863,$G530,$K$4:$K$863,$K530,$M$4:$M$863,$M530),"⚠ INCOHÉRENT","")</f>
        <v/>
      </c>
      <c r="AC530" s="64">
        <f>COUNTIFS($A$4:$A530,$A530,$J$4:$J530,$J530,$E$4:$E530,$E530)</f>
        <v/>
      </c>
      <c r="AD530" s="65">
        <f>$A530&amp;"|"&amp;$J530&amp;"|"&amp;$E530&amp;"|"&amp;$AC530</f>
        <v/>
      </c>
      <c r="AE530" s="66">
        <f>IF($W530&lt;&gt;"","⚑ "&amp;$W530&amp;CHAR(10),"")&amp;TEXT($F530,"hh:mm")&amp;"-"&amp;TEXT($G530,"hh:mm")&amp;IF(OR($P530="Quinzaine A",AND($P530="Hebdo · groupes alternés",$C530="A"))," Q-A",IF(OR($P530="Quinzaine B",AND($P530="Hebdo · groupes alternés",$C530="B"))," Q-B",IF($P530="Exception"," PONCT.","")))&amp;IF($X530="Oui"," OPT","")&amp;CHAR(10)&amp;$K530&amp;CHAR(10)&amp;$M530&amp;IF($N530&lt;&gt;"",CHAR(10)&amp;"Salle "&amp;$N530,"")&amp;IF($O530="En ligne",CHAR(10)&amp;"EN LIGNE","")&amp;IF($V530&lt;&gt;"",CHAR(10)&amp;$V530,"")</f>
        <v/>
      </c>
      <c r="AF530" s="65" t="inlineStr"/>
      <c r="AG530" s="65" t="inlineStr">
        <is>
          <t>— généré —</t>
        </is>
      </c>
    </row>
    <row r="531" ht="15" customHeight="1">
      <c r="A531" s="74" t="inlineStr">
        <is>
          <t>S5</t>
        </is>
      </c>
      <c r="B531" s="75" t="inlineStr">
        <is>
          <t>du 12 au 18 octobre 2026</t>
        </is>
      </c>
      <c r="C531" s="74" t="inlineStr">
        <is>
          <t>A</t>
        </is>
      </c>
      <c r="D531" s="76" t="n">
        <v>46309</v>
      </c>
      <c r="E531" s="74" t="inlineStr">
        <is>
          <t>Mercredi</t>
        </is>
      </c>
      <c r="F531" s="77" t="n">
        <v>0.8020833333333334</v>
      </c>
      <c r="G531" s="77" t="n">
        <v>0.8645833333333334</v>
      </c>
      <c r="H531" s="78">
        <f>IF(OR($F531="",$G531=""),"",($G531-$F531)*24)</f>
        <v/>
      </c>
      <c r="I531" s="74" t="inlineStr">
        <is>
          <t>Secondaire</t>
        </is>
      </c>
      <c r="J531" s="75" t="inlineStr">
        <is>
          <t>1ére (B)</t>
        </is>
      </c>
      <c r="K531" s="67" t="inlineStr">
        <is>
          <t>Français</t>
        </is>
      </c>
      <c r="L531" s="67" t="inlineStr">
        <is>
          <t>Français</t>
        </is>
      </c>
      <c r="M531" s="75" t="inlineStr">
        <is>
          <t>Nassima</t>
        </is>
      </c>
      <c r="N531" s="74" t="n"/>
      <c r="O531" s="74" t="n"/>
      <c r="P531" s="74" t="inlineStr">
        <is>
          <t>Hebdomadaire</t>
        </is>
      </c>
      <c r="Q531" s="75" t="inlineStr"/>
      <c r="R531" s="74" t="n">
        <v>1</v>
      </c>
      <c r="S531" s="74" t="inlineStr">
        <is>
          <t>Oui</t>
        </is>
      </c>
      <c r="T531" s="74" t="inlineStr">
        <is>
          <t>S5-027</t>
        </is>
      </c>
      <c r="U531" s="75" t="inlineStr">
        <is>
          <t>Généré (octobre)</t>
        </is>
      </c>
      <c r="V531" s="75" t="inlineStr"/>
      <c r="W531" s="10" t="n"/>
      <c r="X531" s="10" t="inlineStr"/>
      <c r="Y531" s="64">
        <f>IF($M531="","",IF(SUMPRODUCT(($D$4:$D$863=$D531)*($M$4:$M$863=$M531)*($T$4:$T$863&lt;&gt;$T531)*($F$4:$F$863&lt;$G531)*($G$4:$G$863&gt;$F531))&gt;0,"⚠ CONFLIT",""))</f>
        <v/>
      </c>
      <c r="Z531" s="64">
        <f>IF($J531="","",IF(SUMPRODUCT(($D$4:$D$863=$D531)*($J$4:$J$863=$J531)*($T$4:$T$863&lt;&gt;$T531)*($F$4:$F$863&lt;$G531)*($G$4:$G$863&gt;$F531)*(1-($X$4:$X$863="Oui")*($X531="Oui")))&gt;0,"⚠ CONFLIT",""))</f>
        <v/>
      </c>
      <c r="AA531" s="64">
        <f>IF(COUNTIFS($D$4:$D$863,$D531,$J$4:$J$863,$J531,$F$4:$F$863,$F531,$K$4:$K$863,$K531)&gt;1,"⚠ DOUBLON","")</f>
        <v/>
      </c>
      <c r="AB531" s="64">
        <f>IF(COUNTIF($T$4:$T$863,$T531)&lt;&gt;COUNTIFS($T$4:$T$863,$T531,$D$4:$D$863,$D531,$F$4:$F$863,$F531,$G$4:$G$863,$G531,$K$4:$K$863,$K531,$M$4:$M$863,$M531),"⚠ INCOHÉRENT","")</f>
        <v/>
      </c>
      <c r="AC531" s="64">
        <f>COUNTIFS($A$4:$A531,$A531,$J$4:$J531,$J531,$E$4:$E531,$E531)</f>
        <v/>
      </c>
      <c r="AD531" s="65">
        <f>$A531&amp;"|"&amp;$J531&amp;"|"&amp;$E531&amp;"|"&amp;$AC531</f>
        <v/>
      </c>
      <c r="AE531" s="66">
        <f>IF($W531&lt;&gt;"","⚑ "&amp;$W531&amp;CHAR(10),"")&amp;TEXT($F531,"hh:mm")&amp;"-"&amp;TEXT($G531,"hh:mm")&amp;IF(OR($P531="Quinzaine A",AND($P531="Hebdo · groupes alternés",$C531="A"))," Q-A",IF(OR($P531="Quinzaine B",AND($P531="Hebdo · groupes alternés",$C531="B"))," Q-B",IF($P531="Exception"," PONCT.","")))&amp;IF($X531="Oui"," OPT","")&amp;CHAR(10)&amp;$K531&amp;CHAR(10)&amp;$M531&amp;IF($N531&lt;&gt;"",CHAR(10)&amp;"Salle "&amp;$N531,"")&amp;IF($O531="En ligne",CHAR(10)&amp;"EN LIGNE","")&amp;IF($V531&lt;&gt;"",CHAR(10)&amp;$V531,"")</f>
        <v/>
      </c>
      <c r="AF531" s="65" t="inlineStr"/>
      <c r="AG531" s="65" t="inlineStr">
        <is>
          <t>— généré —</t>
        </is>
      </c>
    </row>
    <row r="532" ht="15" customHeight="1">
      <c r="A532" s="74" t="inlineStr">
        <is>
          <t>S5</t>
        </is>
      </c>
      <c r="B532" s="75" t="inlineStr">
        <is>
          <t>du 12 au 18 octobre 2026</t>
        </is>
      </c>
      <c r="C532" s="74" t="inlineStr">
        <is>
          <t>A</t>
        </is>
      </c>
      <c r="D532" s="76" t="n">
        <v>46309</v>
      </c>
      <c r="E532" s="74" t="inlineStr">
        <is>
          <t>Mercredi</t>
        </is>
      </c>
      <c r="F532" s="77" t="n">
        <v>0.8125</v>
      </c>
      <c r="G532" s="77" t="n">
        <v>0.875</v>
      </c>
      <c r="H532" s="78">
        <f>IF(OR($F532="",$G532=""),"",($G532-$F532)*24)</f>
        <v/>
      </c>
      <c r="I532" s="74" t="inlineStr">
        <is>
          <t>Secondaire</t>
        </is>
      </c>
      <c r="J532" s="75" t="inlineStr">
        <is>
          <t>2éme Eco</t>
        </is>
      </c>
      <c r="K532" s="79" t="inlineStr">
        <is>
          <t>Math</t>
        </is>
      </c>
      <c r="L532" s="79" t="inlineStr">
        <is>
          <t>Math</t>
        </is>
      </c>
      <c r="M532" s="75" t="inlineStr">
        <is>
          <t>Haythem</t>
        </is>
      </c>
      <c r="N532" s="74" t="n"/>
      <c r="O532" s="74" t="n"/>
      <c r="P532" s="74" t="inlineStr">
        <is>
          <t>Hebdomadaire</t>
        </is>
      </c>
      <c r="Q532" s="75" t="inlineStr"/>
      <c r="R532" s="74" t="n">
        <v>1</v>
      </c>
      <c r="S532" s="74" t="inlineStr">
        <is>
          <t>Oui</t>
        </is>
      </c>
      <c r="T532" s="74" t="inlineStr">
        <is>
          <t>S5-028</t>
        </is>
      </c>
      <c r="U532" s="75" t="inlineStr">
        <is>
          <t>Généré (octobre)</t>
        </is>
      </c>
      <c r="V532" s="75" t="inlineStr"/>
      <c r="W532" s="10" t="n"/>
      <c r="X532" s="10" t="inlineStr"/>
      <c r="Y532" s="64">
        <f>IF($M532="","",IF(SUMPRODUCT(($D$4:$D$863=$D532)*($M$4:$M$863=$M532)*($T$4:$T$863&lt;&gt;$T532)*($F$4:$F$863&lt;$G532)*($G$4:$G$863&gt;$F532))&gt;0,"⚠ CONFLIT",""))</f>
        <v/>
      </c>
      <c r="Z532" s="64">
        <f>IF($J532="","",IF(SUMPRODUCT(($D$4:$D$863=$D532)*($J$4:$J$863=$J532)*($T$4:$T$863&lt;&gt;$T532)*($F$4:$F$863&lt;$G532)*($G$4:$G$863&gt;$F532)*(1-($X$4:$X$863="Oui")*($X532="Oui")))&gt;0,"⚠ CONFLIT",""))</f>
        <v/>
      </c>
      <c r="AA532" s="64">
        <f>IF(COUNTIFS($D$4:$D$863,$D532,$J$4:$J$863,$J532,$F$4:$F$863,$F532,$K$4:$K$863,$K532)&gt;1,"⚠ DOUBLON","")</f>
        <v/>
      </c>
      <c r="AB532" s="64">
        <f>IF(COUNTIF($T$4:$T$863,$T532)&lt;&gt;COUNTIFS($T$4:$T$863,$T532,$D$4:$D$863,$D532,$F$4:$F$863,$F532,$G$4:$G$863,$G532,$K$4:$K$863,$K532,$M$4:$M$863,$M532),"⚠ INCOHÉRENT","")</f>
        <v/>
      </c>
      <c r="AC532" s="64">
        <f>COUNTIFS($A$4:$A532,$A532,$J$4:$J532,$J532,$E$4:$E532,$E532)</f>
        <v/>
      </c>
      <c r="AD532" s="65">
        <f>$A532&amp;"|"&amp;$J532&amp;"|"&amp;$E532&amp;"|"&amp;$AC532</f>
        <v/>
      </c>
      <c r="AE532" s="66">
        <f>IF($W532&lt;&gt;"","⚑ "&amp;$W532&amp;CHAR(10),"")&amp;TEXT($F532,"hh:mm")&amp;"-"&amp;TEXT($G532,"hh:mm")&amp;IF(OR($P532="Quinzaine A",AND($P532="Hebdo · groupes alternés",$C532="A"))," Q-A",IF(OR($P532="Quinzaine B",AND($P532="Hebdo · groupes alternés",$C532="B"))," Q-B",IF($P532="Exception"," PONCT.","")))&amp;IF($X532="Oui"," OPT","")&amp;CHAR(10)&amp;$K532&amp;CHAR(10)&amp;$M532&amp;IF($N532&lt;&gt;"",CHAR(10)&amp;"Salle "&amp;$N532,"")&amp;IF($O532="En ligne",CHAR(10)&amp;"EN LIGNE","")&amp;IF($V532&lt;&gt;"",CHAR(10)&amp;$V532,"")</f>
        <v/>
      </c>
      <c r="AF532" s="65" t="inlineStr"/>
      <c r="AG532" s="65" t="inlineStr">
        <is>
          <t>— généré —</t>
        </is>
      </c>
    </row>
    <row r="533" ht="15" customHeight="1">
      <c r="A533" s="74" t="inlineStr">
        <is>
          <t>S5</t>
        </is>
      </c>
      <c r="B533" s="75" t="inlineStr">
        <is>
          <t>du 12 au 18 octobre 2026</t>
        </is>
      </c>
      <c r="C533" s="74" t="inlineStr">
        <is>
          <t>A</t>
        </is>
      </c>
      <c r="D533" s="76" t="n">
        <v>46309</v>
      </c>
      <c r="E533" s="74" t="inlineStr">
        <is>
          <t>Mercredi</t>
        </is>
      </c>
      <c r="F533" s="77" t="n">
        <v>0.7916666666666666</v>
      </c>
      <c r="G533" s="77" t="n">
        <v>0.8541666666666666</v>
      </c>
      <c r="H533" s="78">
        <f>IF(OR($F533="",$G533=""),"",($G533-$F533)*24)</f>
        <v/>
      </c>
      <c r="I533" s="74" t="inlineStr">
        <is>
          <t>Secondaire</t>
        </is>
      </c>
      <c r="J533" s="75" t="inlineStr">
        <is>
          <t>3éme Eco</t>
        </is>
      </c>
      <c r="K533" s="86" t="inlineStr">
        <is>
          <t>Gestion</t>
        </is>
      </c>
      <c r="L533" s="86" t="inlineStr">
        <is>
          <t>Gestion</t>
        </is>
      </c>
      <c r="M533" s="75" t="inlineStr">
        <is>
          <t>Yassine</t>
        </is>
      </c>
      <c r="N533" s="74" t="n"/>
      <c r="O533" s="74" t="n"/>
      <c r="P533" s="74" t="inlineStr">
        <is>
          <t>Hebdomadaire</t>
        </is>
      </c>
      <c r="Q533" s="75" t="inlineStr"/>
      <c r="R533" s="74" t="n">
        <v>1</v>
      </c>
      <c r="S533" s="74" t="inlineStr">
        <is>
          <t>Oui</t>
        </is>
      </c>
      <c r="T533" s="74" t="inlineStr">
        <is>
          <t>S5-029</t>
        </is>
      </c>
      <c r="U533" s="75" t="inlineStr">
        <is>
          <t>Généré (octobre)</t>
        </is>
      </c>
      <c r="V533" s="75" t="inlineStr"/>
      <c r="W533" s="10" t="n"/>
      <c r="X533" s="10" t="inlineStr"/>
      <c r="Y533" s="64">
        <f>IF($M533="","",IF(SUMPRODUCT(($D$4:$D$863=$D533)*($M$4:$M$863=$M533)*($T$4:$T$863&lt;&gt;$T533)*($F$4:$F$863&lt;$G533)*($G$4:$G$863&gt;$F533))&gt;0,"⚠ CONFLIT",""))</f>
        <v/>
      </c>
      <c r="Z533" s="64">
        <f>IF($J533="","",IF(SUMPRODUCT(($D$4:$D$863=$D533)*($J$4:$J$863=$J533)*($T$4:$T$863&lt;&gt;$T533)*($F$4:$F$863&lt;$G533)*($G$4:$G$863&gt;$F533)*(1-($X$4:$X$863="Oui")*($X533="Oui")))&gt;0,"⚠ CONFLIT",""))</f>
        <v/>
      </c>
      <c r="AA533" s="64">
        <f>IF(COUNTIFS($D$4:$D$863,$D533,$J$4:$J$863,$J533,$F$4:$F$863,$F533,$K$4:$K$863,$K533)&gt;1,"⚠ DOUBLON","")</f>
        <v/>
      </c>
      <c r="AB533" s="64">
        <f>IF(COUNTIF($T$4:$T$863,$T533)&lt;&gt;COUNTIFS($T$4:$T$863,$T533,$D$4:$D$863,$D533,$F$4:$F$863,$F533,$G$4:$G$863,$G533,$K$4:$K$863,$K533,$M$4:$M$863,$M533),"⚠ INCOHÉRENT","")</f>
        <v/>
      </c>
      <c r="AC533" s="64">
        <f>COUNTIFS($A$4:$A533,$A533,$J$4:$J533,$J533,$E$4:$E533,$E533)</f>
        <v/>
      </c>
      <c r="AD533" s="65">
        <f>$A533&amp;"|"&amp;$J533&amp;"|"&amp;$E533&amp;"|"&amp;$AC533</f>
        <v/>
      </c>
      <c r="AE533" s="66">
        <f>IF($W533&lt;&gt;"","⚑ "&amp;$W533&amp;CHAR(10),"")&amp;TEXT($F533,"hh:mm")&amp;"-"&amp;TEXT($G533,"hh:mm")&amp;IF(OR($P533="Quinzaine A",AND($P533="Hebdo · groupes alternés",$C533="A"))," Q-A",IF(OR($P533="Quinzaine B",AND($P533="Hebdo · groupes alternés",$C533="B"))," Q-B",IF($P533="Exception"," PONCT.","")))&amp;IF($X533="Oui"," OPT","")&amp;CHAR(10)&amp;$K533&amp;CHAR(10)&amp;$M533&amp;IF($N533&lt;&gt;"",CHAR(10)&amp;"Salle "&amp;$N533,"")&amp;IF($O533="En ligne",CHAR(10)&amp;"EN LIGNE","")&amp;IF($V533&lt;&gt;"",CHAR(10)&amp;$V533,"")</f>
        <v/>
      </c>
      <c r="AF533" s="65" t="inlineStr"/>
      <c r="AG533" s="65" t="inlineStr">
        <is>
          <t>— généré —</t>
        </is>
      </c>
    </row>
    <row r="534" ht="15" customHeight="1">
      <c r="A534" s="74" t="inlineStr">
        <is>
          <t>S5</t>
        </is>
      </c>
      <c r="B534" s="75" t="inlineStr">
        <is>
          <t>du 12 au 18 octobre 2026</t>
        </is>
      </c>
      <c r="C534" s="74" t="inlineStr">
        <is>
          <t>A</t>
        </is>
      </c>
      <c r="D534" s="76" t="n">
        <v>46309</v>
      </c>
      <c r="E534" s="74" t="inlineStr">
        <is>
          <t>Mercredi</t>
        </is>
      </c>
      <c r="F534" s="77" t="n">
        <v>0.8125</v>
      </c>
      <c r="G534" s="77" t="n">
        <v>0.875</v>
      </c>
      <c r="H534" s="78">
        <f>IF(OR($F534="",$G534=""),"",($G534-$F534)*24)</f>
        <v/>
      </c>
      <c r="I534" s="74" t="inlineStr">
        <is>
          <t>Secondaire</t>
        </is>
      </c>
      <c r="J534" s="75" t="inlineStr">
        <is>
          <t>3éme INFO</t>
        </is>
      </c>
      <c r="K534" s="73" t="inlineStr">
        <is>
          <t>Physique</t>
        </is>
      </c>
      <c r="L534" s="73" t="inlineStr">
        <is>
          <t>Physique</t>
        </is>
      </c>
      <c r="M534" s="75" t="inlineStr">
        <is>
          <t>Samia</t>
        </is>
      </c>
      <c r="N534" s="74" t="n"/>
      <c r="O534" s="74" t="n"/>
      <c r="P534" s="74" t="inlineStr">
        <is>
          <t>Hebdomadaire</t>
        </is>
      </c>
      <c r="Q534" s="75" t="inlineStr"/>
      <c r="R534" s="74" t="n">
        <v>1</v>
      </c>
      <c r="S534" s="74" t="inlineStr">
        <is>
          <t>Oui</t>
        </is>
      </c>
      <c r="T534" s="74" t="inlineStr">
        <is>
          <t>S5-030</t>
        </is>
      </c>
      <c r="U534" s="75" t="inlineStr">
        <is>
          <t>Généré (octobre)</t>
        </is>
      </c>
      <c r="V534" s="75" t="inlineStr"/>
      <c r="W534" s="10" t="n"/>
      <c r="X534" s="10" t="inlineStr"/>
      <c r="Y534" s="64">
        <f>IF($M534="","",IF(SUMPRODUCT(($D$4:$D$863=$D534)*($M$4:$M$863=$M534)*($T$4:$T$863&lt;&gt;$T534)*($F$4:$F$863&lt;$G534)*($G$4:$G$863&gt;$F534))&gt;0,"⚠ CONFLIT",""))</f>
        <v/>
      </c>
      <c r="Z534" s="64">
        <f>IF($J534="","",IF(SUMPRODUCT(($D$4:$D$863=$D534)*($J$4:$J$863=$J534)*($T$4:$T$863&lt;&gt;$T534)*($F$4:$F$863&lt;$G534)*($G$4:$G$863&gt;$F534)*(1-($X$4:$X$863="Oui")*($X534="Oui")))&gt;0,"⚠ CONFLIT",""))</f>
        <v/>
      </c>
      <c r="AA534" s="64">
        <f>IF(COUNTIFS($D$4:$D$863,$D534,$J$4:$J$863,$J534,$F$4:$F$863,$F534,$K$4:$K$863,$K534)&gt;1,"⚠ DOUBLON","")</f>
        <v/>
      </c>
      <c r="AB534" s="64">
        <f>IF(COUNTIF($T$4:$T$863,$T534)&lt;&gt;COUNTIFS($T$4:$T$863,$T534,$D$4:$D$863,$D534,$F$4:$F$863,$F534,$G$4:$G$863,$G534,$K$4:$K$863,$K534,$M$4:$M$863,$M534),"⚠ INCOHÉRENT","")</f>
        <v/>
      </c>
      <c r="AC534" s="64">
        <f>COUNTIFS($A$4:$A534,$A534,$J$4:$J534,$J534,$E$4:$E534,$E534)</f>
        <v/>
      </c>
      <c r="AD534" s="65">
        <f>$A534&amp;"|"&amp;$J534&amp;"|"&amp;$E534&amp;"|"&amp;$AC534</f>
        <v/>
      </c>
      <c r="AE534" s="66">
        <f>IF($W534&lt;&gt;"","⚑ "&amp;$W534&amp;CHAR(10),"")&amp;TEXT($F534,"hh:mm")&amp;"-"&amp;TEXT($G534,"hh:mm")&amp;IF(OR($P534="Quinzaine A",AND($P534="Hebdo · groupes alternés",$C534="A"))," Q-A",IF(OR($P534="Quinzaine B",AND($P534="Hebdo · groupes alternés",$C534="B"))," Q-B",IF($P534="Exception"," PONCT.","")))&amp;IF($X534="Oui"," OPT","")&amp;CHAR(10)&amp;$K534&amp;CHAR(10)&amp;$M534&amp;IF($N534&lt;&gt;"",CHAR(10)&amp;"Salle "&amp;$N534,"")&amp;IF($O534="En ligne",CHAR(10)&amp;"EN LIGNE","")&amp;IF($V534&lt;&gt;"",CHAR(10)&amp;$V534,"")</f>
        <v/>
      </c>
      <c r="AF534" s="65" t="inlineStr"/>
      <c r="AG534" s="65" t="inlineStr">
        <is>
          <t>— généré —</t>
        </is>
      </c>
    </row>
    <row r="535" ht="15" customHeight="1">
      <c r="A535" s="81" t="inlineStr">
        <is>
          <t>S5</t>
        </is>
      </c>
      <c r="B535" s="82" t="inlineStr">
        <is>
          <t>du 12 au 18 octobre 2026</t>
        </is>
      </c>
      <c r="C535" s="81" t="inlineStr">
        <is>
          <t>A</t>
        </is>
      </c>
      <c r="D535" s="83" t="n">
        <v>46309</v>
      </c>
      <c r="E535" s="81" t="inlineStr">
        <is>
          <t>Mercredi</t>
        </is>
      </c>
      <c r="F535" s="84" t="n">
        <v>0.7916666666666666</v>
      </c>
      <c r="G535" s="84" t="n">
        <v>0.875</v>
      </c>
      <c r="H535" s="85">
        <f>IF(OR($F535="",$G535=""),"",($G535-$F535)*24)</f>
        <v/>
      </c>
      <c r="I535" s="81" t="inlineStr">
        <is>
          <t>Bac</t>
        </is>
      </c>
      <c r="J535" s="82" t="inlineStr">
        <is>
          <t>Bac SCE</t>
        </is>
      </c>
      <c r="K535" s="79" t="inlineStr">
        <is>
          <t>Math</t>
        </is>
      </c>
      <c r="L535" s="79" t="inlineStr">
        <is>
          <t>Math</t>
        </is>
      </c>
      <c r="M535" s="82" t="inlineStr">
        <is>
          <t>Ahmed</t>
        </is>
      </c>
      <c r="N535" s="81" t="n"/>
      <c r="O535" s="81" t="n"/>
      <c r="P535" s="81" t="inlineStr">
        <is>
          <t>Hebdomadaire</t>
        </is>
      </c>
      <c r="Q535" s="82" t="inlineStr"/>
      <c r="R535" s="81" t="n">
        <v>1</v>
      </c>
      <c r="S535" s="81" t="inlineStr">
        <is>
          <t>Oui</t>
        </is>
      </c>
      <c r="T535" s="81" t="inlineStr">
        <is>
          <t>S5-031</t>
        </is>
      </c>
      <c r="U535" s="82" t="inlineStr">
        <is>
          <t>Généré (octobre)</t>
        </is>
      </c>
      <c r="V535" s="82" t="inlineStr"/>
      <c r="W535" s="10" t="n"/>
      <c r="X535" s="10" t="inlineStr"/>
      <c r="Y535" s="64">
        <f>IF($M535="","",IF(SUMPRODUCT(($D$4:$D$863=$D535)*($M$4:$M$863=$M535)*($T$4:$T$863&lt;&gt;$T535)*($F$4:$F$863&lt;$G535)*($G$4:$G$863&gt;$F535))&gt;0,"⚠ CONFLIT",""))</f>
        <v/>
      </c>
      <c r="Z535" s="64">
        <f>IF($J535="","",IF(SUMPRODUCT(($D$4:$D$863=$D535)*($J$4:$J$863=$J535)*($T$4:$T$863&lt;&gt;$T535)*($F$4:$F$863&lt;$G535)*($G$4:$G$863&gt;$F535)*(1-($X$4:$X$863="Oui")*($X535="Oui")))&gt;0,"⚠ CONFLIT",""))</f>
        <v/>
      </c>
      <c r="AA535" s="64">
        <f>IF(COUNTIFS($D$4:$D$863,$D535,$J$4:$J$863,$J535,$F$4:$F$863,$F535,$K$4:$K$863,$K535)&gt;1,"⚠ DOUBLON","")</f>
        <v/>
      </c>
      <c r="AB535" s="64">
        <f>IF(COUNTIF($T$4:$T$863,$T535)&lt;&gt;COUNTIFS($T$4:$T$863,$T535,$D$4:$D$863,$D535,$F$4:$F$863,$F535,$G$4:$G$863,$G535,$K$4:$K$863,$K535,$M$4:$M$863,$M535),"⚠ INCOHÉRENT","")</f>
        <v/>
      </c>
      <c r="AC535" s="64">
        <f>COUNTIFS($A$4:$A535,$A535,$J$4:$J535,$J535,$E$4:$E535,$E535)</f>
        <v/>
      </c>
      <c r="AD535" s="65">
        <f>$A535&amp;"|"&amp;$J535&amp;"|"&amp;$E535&amp;"|"&amp;$AC535</f>
        <v/>
      </c>
      <c r="AE535" s="66">
        <f>IF($W535&lt;&gt;"","⚑ "&amp;$W535&amp;CHAR(10),"")&amp;TEXT($F535,"hh:mm")&amp;"-"&amp;TEXT($G535,"hh:mm")&amp;IF(OR($P535="Quinzaine A",AND($P535="Hebdo · groupes alternés",$C535="A"))," Q-A",IF(OR($P535="Quinzaine B",AND($P535="Hebdo · groupes alternés",$C535="B"))," Q-B",IF($P535="Exception"," PONCT.","")))&amp;IF($X535="Oui"," OPT","")&amp;CHAR(10)&amp;$K535&amp;CHAR(10)&amp;$M535&amp;IF($N535&lt;&gt;"",CHAR(10)&amp;"Salle "&amp;$N535,"")&amp;IF($O535="En ligne",CHAR(10)&amp;"EN LIGNE","")&amp;IF($V535&lt;&gt;"",CHAR(10)&amp;$V535,"")</f>
        <v/>
      </c>
      <c r="AF535" s="65" t="inlineStr"/>
      <c r="AG535" s="65" t="inlineStr">
        <is>
          <t>— généré —</t>
        </is>
      </c>
    </row>
    <row r="536" ht="15" customHeight="1">
      <c r="A536" s="81" t="inlineStr">
        <is>
          <t>S5</t>
        </is>
      </c>
      <c r="B536" s="82" t="inlineStr">
        <is>
          <t>du 12 au 18 octobre 2026</t>
        </is>
      </c>
      <c r="C536" s="81" t="inlineStr">
        <is>
          <t>A</t>
        </is>
      </c>
      <c r="D536" s="83" t="n">
        <v>46309</v>
      </c>
      <c r="E536" s="81" t="inlineStr">
        <is>
          <t>Mercredi</t>
        </is>
      </c>
      <c r="F536" s="84" t="n">
        <v>0.7916666666666666</v>
      </c>
      <c r="G536" s="84" t="n">
        <v>0.875</v>
      </c>
      <c r="H536" s="85">
        <f>IF(OR($F536="",$G536=""),"",($G536-$F536)*24)</f>
        <v/>
      </c>
      <c r="I536" s="81" t="inlineStr">
        <is>
          <t>Bac</t>
        </is>
      </c>
      <c r="J536" s="82" t="inlineStr">
        <is>
          <t>Bac INFO</t>
        </is>
      </c>
      <c r="K536" s="96" t="inlineStr">
        <is>
          <t>STI</t>
        </is>
      </c>
      <c r="L536" s="96" t="inlineStr">
        <is>
          <t>STI</t>
        </is>
      </c>
      <c r="M536" s="82" t="inlineStr">
        <is>
          <t>Aymen</t>
        </is>
      </c>
      <c r="N536" s="81" t="n"/>
      <c r="O536" s="81" t="n"/>
      <c r="P536" s="81" t="inlineStr">
        <is>
          <t>Hebdomadaire</t>
        </is>
      </c>
      <c r="Q536" s="82" t="inlineStr"/>
      <c r="R536" s="81" t="n">
        <v>1</v>
      </c>
      <c r="S536" s="81" t="inlineStr">
        <is>
          <t>Oui</t>
        </is>
      </c>
      <c r="T536" s="81" t="inlineStr">
        <is>
          <t>S5-091</t>
        </is>
      </c>
      <c r="U536" s="82" t="inlineStr">
        <is>
          <t>Généré (octobre)</t>
        </is>
      </c>
      <c r="V536" s="82" t="inlineStr"/>
      <c r="W536" s="10" t="n"/>
      <c r="X536" s="10" t="inlineStr"/>
      <c r="Y536" s="64">
        <f>IF($M536="","",IF(SUMPRODUCT(($D$4:$D$863=$D536)*($M$4:$M$863=$M536)*($T$4:$T$863&lt;&gt;$T536)*($F$4:$F$863&lt;$G536)*($G$4:$G$863&gt;$F536))&gt;0,"⚠ CONFLIT",""))</f>
        <v/>
      </c>
      <c r="Z536" s="64">
        <f>IF($J536="","",IF(SUMPRODUCT(($D$4:$D$863=$D536)*($J$4:$J$863=$J536)*($T$4:$T$863&lt;&gt;$T536)*($F$4:$F$863&lt;$G536)*($G$4:$G$863&gt;$F536)*(1-($X$4:$X$863="Oui")*($X536="Oui")))&gt;0,"⚠ CONFLIT",""))</f>
        <v/>
      </c>
      <c r="AA536" s="64">
        <f>IF(COUNTIFS($D$4:$D$863,$D536,$J$4:$J$863,$J536,$F$4:$F$863,$F536,$K$4:$K$863,$K536)&gt;1,"⚠ DOUBLON","")</f>
        <v/>
      </c>
      <c r="AB536" s="64">
        <f>IF(COUNTIF($T$4:$T$863,$T536)&lt;&gt;COUNTIFS($T$4:$T$863,$T536,$D$4:$D$863,$D536,$F$4:$F$863,$F536,$G$4:$G$863,$G536,$K$4:$K$863,$K536,$M$4:$M$863,$M536),"⚠ INCOHÉRENT","")</f>
        <v/>
      </c>
      <c r="AC536" s="64">
        <f>COUNTIFS($A$4:$A536,$A536,$J$4:$J536,$J536,$E$4:$E536,$E536)</f>
        <v/>
      </c>
      <c r="AD536" s="65">
        <f>$A536&amp;"|"&amp;$J536&amp;"|"&amp;$E536&amp;"|"&amp;$AC536</f>
        <v/>
      </c>
      <c r="AE536" s="66">
        <f>IF($W536&lt;&gt;"","⚑ "&amp;$W536&amp;CHAR(10),"")&amp;TEXT($F536,"hh:mm")&amp;"-"&amp;TEXT($G536,"hh:mm")&amp;IF(OR($P536="Quinzaine A",AND($P536="Hebdo · groupes alternés",$C536="A"))," Q-A",IF(OR($P536="Quinzaine B",AND($P536="Hebdo · groupes alternés",$C536="B"))," Q-B",IF($P536="Exception"," PONCT.","")))&amp;IF($X536="Oui"," OPT","")&amp;CHAR(10)&amp;$K536&amp;CHAR(10)&amp;$M536&amp;IF($N536&lt;&gt;"",CHAR(10)&amp;"Salle "&amp;$N536,"")&amp;IF($O536="En ligne",CHAR(10)&amp;"EN LIGNE","")&amp;IF($V536&lt;&gt;"",CHAR(10)&amp;$V536,"")</f>
        <v/>
      </c>
      <c r="AF536" s="65" t="inlineStr"/>
      <c r="AG536" s="65" t="inlineStr">
        <is>
          <t>— généré —</t>
        </is>
      </c>
    </row>
    <row r="537" ht="15" customHeight="1">
      <c r="A537" s="58" t="inlineStr">
        <is>
          <t>S5</t>
        </is>
      </c>
      <c r="B537" s="59" t="inlineStr">
        <is>
          <t>du 12 au 18 octobre 2026</t>
        </is>
      </c>
      <c r="C537" s="58" t="inlineStr">
        <is>
          <t>A</t>
        </is>
      </c>
      <c r="D537" s="60" t="n">
        <v>46310</v>
      </c>
      <c r="E537" s="58" t="inlineStr">
        <is>
          <t>Jeudi</t>
        </is>
      </c>
      <c r="F537" s="61" t="n">
        <v>0.7916666666666666</v>
      </c>
      <c r="G537" s="61" t="n">
        <v>0.875</v>
      </c>
      <c r="H537" s="62">
        <f>IF(OR($F537="",$G537=""),"",($G537-$F537)*24)</f>
        <v/>
      </c>
      <c r="I537" s="58" t="inlineStr">
        <is>
          <t>Primaire</t>
        </is>
      </c>
      <c r="J537" s="59" t="inlineStr">
        <is>
          <t>5éme</t>
        </is>
      </c>
      <c r="K537" s="79" t="inlineStr">
        <is>
          <t>رياضيات</t>
        </is>
      </c>
      <c r="L537" s="79" t="inlineStr">
        <is>
          <t>Math</t>
        </is>
      </c>
      <c r="M537" s="59" t="inlineStr">
        <is>
          <t>Bassma</t>
        </is>
      </c>
      <c r="N537" s="58" t="n"/>
      <c r="O537" s="58" t="n"/>
      <c r="P537" s="58" t="inlineStr">
        <is>
          <t>Hebdomadaire</t>
        </is>
      </c>
      <c r="Q537" s="59" t="inlineStr"/>
      <c r="R537" s="58" t="n">
        <v>1</v>
      </c>
      <c r="S537" s="58" t="inlineStr">
        <is>
          <t>Oui</t>
        </is>
      </c>
      <c r="T537" s="58" t="inlineStr">
        <is>
          <t>S5-032</t>
        </is>
      </c>
      <c r="U537" s="59" t="inlineStr">
        <is>
          <t>Généré (octobre)</t>
        </is>
      </c>
      <c r="V537" s="59" t="inlineStr">
        <is>
          <t>Jour férié (Évacuation) — à confirmer</t>
        </is>
      </c>
      <c r="W537" s="10" t="n"/>
      <c r="X537" s="10" t="inlineStr"/>
      <c r="Y537" s="64">
        <f>IF($M537="","",IF(SUMPRODUCT(($D$4:$D$863=$D537)*($M$4:$M$863=$M537)*($T$4:$T$863&lt;&gt;$T537)*($F$4:$F$863&lt;$G537)*($G$4:$G$863&gt;$F537))&gt;0,"⚠ CONFLIT",""))</f>
        <v/>
      </c>
      <c r="Z537" s="64">
        <f>IF($J537="","",IF(SUMPRODUCT(($D$4:$D$863=$D537)*($J$4:$J$863=$J537)*($T$4:$T$863&lt;&gt;$T537)*($F$4:$F$863&lt;$G537)*($G$4:$G$863&gt;$F537)*(1-($X$4:$X$863="Oui")*($X537="Oui")))&gt;0,"⚠ CONFLIT",""))</f>
        <v/>
      </c>
      <c r="AA537" s="64">
        <f>IF(COUNTIFS($D$4:$D$863,$D537,$J$4:$J$863,$J537,$F$4:$F$863,$F537,$K$4:$K$863,$K537)&gt;1,"⚠ DOUBLON","")</f>
        <v/>
      </c>
      <c r="AB537" s="64">
        <f>IF(COUNTIF($T$4:$T$863,$T537)&lt;&gt;COUNTIFS($T$4:$T$863,$T537,$D$4:$D$863,$D537,$F$4:$F$863,$F537,$G$4:$G$863,$G537,$K$4:$K$863,$K537,$M$4:$M$863,$M537),"⚠ INCOHÉRENT","")</f>
        <v/>
      </c>
      <c r="AC537" s="64">
        <f>COUNTIFS($A$4:$A537,$A537,$J$4:$J537,$J537,$E$4:$E537,$E537)</f>
        <v/>
      </c>
      <c r="AD537" s="65">
        <f>$A537&amp;"|"&amp;$J537&amp;"|"&amp;$E537&amp;"|"&amp;$AC537</f>
        <v/>
      </c>
      <c r="AE537" s="66">
        <f>IF($W537&lt;&gt;"","⚑ "&amp;$W537&amp;CHAR(10),"")&amp;TEXT($F537,"hh:mm")&amp;"-"&amp;TEXT($G537,"hh:mm")&amp;IF(OR($P537="Quinzaine A",AND($P537="Hebdo · groupes alternés",$C537="A"))," Q-A",IF(OR($P537="Quinzaine B",AND($P537="Hebdo · groupes alternés",$C537="B"))," Q-B",IF($P537="Exception"," PONCT.","")))&amp;IF($X537="Oui"," OPT","")&amp;CHAR(10)&amp;$K537&amp;CHAR(10)&amp;$M537&amp;IF($N537&lt;&gt;"",CHAR(10)&amp;"Salle "&amp;$N537,"")&amp;IF($O537="En ligne",CHAR(10)&amp;"EN LIGNE","")&amp;IF($V537&lt;&gt;"",CHAR(10)&amp;$V537,"")</f>
        <v/>
      </c>
      <c r="AF537" s="65" t="inlineStr"/>
      <c r="AG537" s="65" t="inlineStr">
        <is>
          <t>— généré —</t>
        </is>
      </c>
    </row>
    <row r="538" ht="15" customHeight="1">
      <c r="A538" s="58" t="inlineStr">
        <is>
          <t>S5</t>
        </is>
      </c>
      <c r="B538" s="59" t="inlineStr">
        <is>
          <t>du 12 au 18 octobre 2026</t>
        </is>
      </c>
      <c r="C538" s="58" t="inlineStr">
        <is>
          <t>A</t>
        </is>
      </c>
      <c r="D538" s="60" t="n">
        <v>46310</v>
      </c>
      <c r="E538" s="58" t="inlineStr">
        <is>
          <t>Jeudi</t>
        </is>
      </c>
      <c r="F538" s="61" t="n">
        <v>0.7916666666666666</v>
      </c>
      <c r="G538" s="61" t="n">
        <v>0.875</v>
      </c>
      <c r="H538" s="62">
        <f>IF(OR($F538="",$G538=""),"",($G538-$F538)*24)</f>
        <v/>
      </c>
      <c r="I538" s="58" t="inlineStr">
        <is>
          <t>Primaire</t>
        </is>
      </c>
      <c r="J538" s="59" t="inlineStr">
        <is>
          <t>6éme (B)</t>
        </is>
      </c>
      <c r="K538" s="79" t="inlineStr">
        <is>
          <t>رياضيات</t>
        </is>
      </c>
      <c r="L538" s="79" t="inlineStr">
        <is>
          <t>Math</t>
        </is>
      </c>
      <c r="M538" s="59" t="inlineStr">
        <is>
          <t>Noura</t>
        </is>
      </c>
      <c r="N538" s="58" t="n"/>
      <c r="O538" s="58" t="n"/>
      <c r="P538" s="58" t="inlineStr">
        <is>
          <t>Hebdomadaire</t>
        </is>
      </c>
      <c r="Q538" s="59" t="inlineStr"/>
      <c r="R538" s="58" t="n">
        <v>1</v>
      </c>
      <c r="S538" s="58" t="inlineStr">
        <is>
          <t>Oui</t>
        </is>
      </c>
      <c r="T538" s="58" t="inlineStr">
        <is>
          <t>S5-033</t>
        </is>
      </c>
      <c r="U538" s="59" t="inlineStr">
        <is>
          <t>Généré (octobre)</t>
        </is>
      </c>
      <c r="V538" s="59" t="inlineStr">
        <is>
          <t>Jour férié (Évacuation) — à confirmer</t>
        </is>
      </c>
      <c r="W538" s="10" t="n"/>
      <c r="X538" s="10" t="inlineStr"/>
      <c r="Y538" s="64">
        <f>IF($M538="","",IF(SUMPRODUCT(($D$4:$D$863=$D538)*($M$4:$M$863=$M538)*($T$4:$T$863&lt;&gt;$T538)*($F$4:$F$863&lt;$G538)*($G$4:$G$863&gt;$F538))&gt;0,"⚠ CONFLIT",""))</f>
        <v/>
      </c>
      <c r="Z538" s="64">
        <f>IF($J538="","",IF(SUMPRODUCT(($D$4:$D$863=$D538)*($J$4:$J$863=$J538)*($T$4:$T$863&lt;&gt;$T538)*($F$4:$F$863&lt;$G538)*($G$4:$G$863&gt;$F538)*(1-($X$4:$X$863="Oui")*($X538="Oui")))&gt;0,"⚠ CONFLIT",""))</f>
        <v/>
      </c>
      <c r="AA538" s="64">
        <f>IF(COUNTIFS($D$4:$D$863,$D538,$J$4:$J$863,$J538,$F$4:$F$863,$F538,$K$4:$K$863,$K538)&gt;1,"⚠ DOUBLON","")</f>
        <v/>
      </c>
      <c r="AB538" s="64">
        <f>IF(COUNTIF($T$4:$T$863,$T538)&lt;&gt;COUNTIFS($T$4:$T$863,$T538,$D$4:$D$863,$D538,$F$4:$F$863,$F538,$G$4:$G$863,$G538,$K$4:$K$863,$K538,$M$4:$M$863,$M538),"⚠ INCOHÉRENT","")</f>
        <v/>
      </c>
      <c r="AC538" s="64">
        <f>COUNTIFS($A$4:$A538,$A538,$J$4:$J538,$J538,$E$4:$E538,$E538)</f>
        <v/>
      </c>
      <c r="AD538" s="65">
        <f>$A538&amp;"|"&amp;$J538&amp;"|"&amp;$E538&amp;"|"&amp;$AC538</f>
        <v/>
      </c>
      <c r="AE538" s="66">
        <f>IF($W538&lt;&gt;"","⚑ "&amp;$W538&amp;CHAR(10),"")&amp;TEXT($F538,"hh:mm")&amp;"-"&amp;TEXT($G538,"hh:mm")&amp;IF(OR($P538="Quinzaine A",AND($P538="Hebdo · groupes alternés",$C538="A"))," Q-A",IF(OR($P538="Quinzaine B",AND($P538="Hebdo · groupes alternés",$C538="B"))," Q-B",IF($P538="Exception"," PONCT.","")))&amp;IF($X538="Oui"," OPT","")&amp;CHAR(10)&amp;$K538&amp;CHAR(10)&amp;$M538&amp;IF($N538&lt;&gt;"",CHAR(10)&amp;"Salle "&amp;$N538,"")&amp;IF($O538="En ligne",CHAR(10)&amp;"EN LIGNE","")&amp;IF($V538&lt;&gt;"",CHAR(10)&amp;$V538,"")</f>
        <v/>
      </c>
      <c r="AF538" s="65" t="inlineStr"/>
      <c r="AG538" s="65" t="inlineStr">
        <is>
          <t>— généré —</t>
        </is>
      </c>
    </row>
    <row r="539" ht="15" customHeight="1">
      <c r="A539" s="68" t="inlineStr">
        <is>
          <t>S5</t>
        </is>
      </c>
      <c r="B539" s="69" t="inlineStr">
        <is>
          <t>du 12 au 18 octobre 2026</t>
        </is>
      </c>
      <c r="C539" s="68" t="inlineStr">
        <is>
          <t>A</t>
        </is>
      </c>
      <c r="D539" s="70" t="n">
        <v>46310</v>
      </c>
      <c r="E539" s="68" t="inlineStr">
        <is>
          <t>Jeudi</t>
        </is>
      </c>
      <c r="F539" s="71" t="n">
        <v>0.8020833333333334</v>
      </c>
      <c r="G539" s="71" t="n">
        <v>0.8645833333333334</v>
      </c>
      <c r="H539" s="72">
        <f>IF(OR($F539="",$G539=""),"",($G539-$F539)*24)</f>
        <v/>
      </c>
      <c r="I539" s="68" t="inlineStr">
        <is>
          <t>Collège</t>
        </is>
      </c>
      <c r="J539" s="69" t="inlineStr">
        <is>
          <t>8éme (A)</t>
        </is>
      </c>
      <c r="K539" s="67" t="inlineStr">
        <is>
          <t>Français</t>
        </is>
      </c>
      <c r="L539" s="67" t="inlineStr">
        <is>
          <t>Français</t>
        </is>
      </c>
      <c r="M539" s="69" t="inlineStr">
        <is>
          <t>Nassima</t>
        </is>
      </c>
      <c r="N539" s="68" t="n"/>
      <c r="O539" s="68" t="n"/>
      <c r="P539" s="68" t="inlineStr">
        <is>
          <t>Hebdomadaire</t>
        </is>
      </c>
      <c r="Q539" s="69" t="inlineStr"/>
      <c r="R539" s="68" t="n">
        <v>1</v>
      </c>
      <c r="S539" s="68" t="inlineStr">
        <is>
          <t>Oui</t>
        </is>
      </c>
      <c r="T539" s="68" t="inlineStr">
        <is>
          <t>S5-034</t>
        </is>
      </c>
      <c r="U539" s="69" t="inlineStr">
        <is>
          <t>Généré (octobre)</t>
        </is>
      </c>
      <c r="V539" s="69" t="inlineStr">
        <is>
          <t>Jour férié (Évacuation) — à confirmer</t>
        </is>
      </c>
      <c r="W539" s="10" t="n"/>
      <c r="X539" s="10" t="inlineStr"/>
      <c r="Y539" s="64">
        <f>IF($M539="","",IF(SUMPRODUCT(($D$4:$D$863=$D539)*($M$4:$M$863=$M539)*($T$4:$T$863&lt;&gt;$T539)*($F$4:$F$863&lt;$G539)*($G$4:$G$863&gt;$F539))&gt;0,"⚠ CONFLIT",""))</f>
        <v/>
      </c>
      <c r="Z539" s="64">
        <f>IF($J539="","",IF(SUMPRODUCT(($D$4:$D$863=$D539)*($J$4:$J$863=$J539)*($T$4:$T$863&lt;&gt;$T539)*($F$4:$F$863&lt;$G539)*($G$4:$G$863&gt;$F539)*(1-($X$4:$X$863="Oui")*($X539="Oui")))&gt;0,"⚠ CONFLIT",""))</f>
        <v/>
      </c>
      <c r="AA539" s="64">
        <f>IF(COUNTIFS($D$4:$D$863,$D539,$J$4:$J$863,$J539,$F$4:$F$863,$F539,$K$4:$K$863,$K539)&gt;1,"⚠ DOUBLON","")</f>
        <v/>
      </c>
      <c r="AB539" s="64">
        <f>IF(COUNTIF($T$4:$T$863,$T539)&lt;&gt;COUNTIFS($T$4:$T$863,$T539,$D$4:$D$863,$D539,$F$4:$F$863,$F539,$G$4:$G$863,$G539,$K$4:$K$863,$K539,$M$4:$M$863,$M539),"⚠ INCOHÉRENT","")</f>
        <v/>
      </c>
      <c r="AC539" s="64">
        <f>COUNTIFS($A$4:$A539,$A539,$J$4:$J539,$J539,$E$4:$E539,$E539)</f>
        <v/>
      </c>
      <c r="AD539" s="65">
        <f>$A539&amp;"|"&amp;$J539&amp;"|"&amp;$E539&amp;"|"&amp;$AC539</f>
        <v/>
      </c>
      <c r="AE539" s="66">
        <f>IF($W539&lt;&gt;"","⚑ "&amp;$W539&amp;CHAR(10),"")&amp;TEXT($F539,"hh:mm")&amp;"-"&amp;TEXT($G539,"hh:mm")&amp;IF(OR($P539="Quinzaine A",AND($P539="Hebdo · groupes alternés",$C539="A"))," Q-A",IF(OR($P539="Quinzaine B",AND($P539="Hebdo · groupes alternés",$C539="B"))," Q-B",IF($P539="Exception"," PONCT.","")))&amp;IF($X539="Oui"," OPT","")&amp;CHAR(10)&amp;$K539&amp;CHAR(10)&amp;$M539&amp;IF($N539&lt;&gt;"",CHAR(10)&amp;"Salle "&amp;$N539,"")&amp;IF($O539="En ligne",CHAR(10)&amp;"EN LIGNE","")&amp;IF($V539&lt;&gt;"",CHAR(10)&amp;$V539,"")</f>
        <v/>
      </c>
      <c r="AF539" s="65" t="inlineStr"/>
      <c r="AG539" s="65" t="inlineStr">
        <is>
          <t>— généré —</t>
        </is>
      </c>
    </row>
    <row r="540" ht="15" customHeight="1">
      <c r="A540" s="68" t="inlineStr">
        <is>
          <t>S5</t>
        </is>
      </c>
      <c r="B540" s="69" t="inlineStr">
        <is>
          <t>du 12 au 18 octobre 2026</t>
        </is>
      </c>
      <c r="C540" s="68" t="inlineStr">
        <is>
          <t>A</t>
        </is>
      </c>
      <c r="D540" s="70" t="n">
        <v>46310</v>
      </c>
      <c r="E540" s="68" t="inlineStr">
        <is>
          <t>Jeudi</t>
        </is>
      </c>
      <c r="F540" s="71" t="n">
        <v>0.8020833333333334</v>
      </c>
      <c r="G540" s="71" t="n">
        <v>0.8645833333333334</v>
      </c>
      <c r="H540" s="72">
        <f>IF(OR($F540="",$G540=""),"",($G540-$F540)*24)</f>
        <v/>
      </c>
      <c r="I540" s="68" t="inlineStr">
        <is>
          <t>Collège</t>
        </is>
      </c>
      <c r="J540" s="69" t="inlineStr">
        <is>
          <t>8éme (C)</t>
        </is>
      </c>
      <c r="K540" s="79" t="inlineStr">
        <is>
          <t>Math</t>
        </is>
      </c>
      <c r="L540" s="79" t="inlineStr">
        <is>
          <t>Math</t>
        </is>
      </c>
      <c r="M540" s="69" t="inlineStr">
        <is>
          <t>Khouloud</t>
        </is>
      </c>
      <c r="N540" s="68" t="n"/>
      <c r="O540" s="68" t="n"/>
      <c r="P540" s="68" t="inlineStr">
        <is>
          <t>Hebdomadaire</t>
        </is>
      </c>
      <c r="Q540" s="69" t="inlineStr"/>
      <c r="R540" s="68" t="n">
        <v>1</v>
      </c>
      <c r="S540" s="68" t="inlineStr">
        <is>
          <t>Oui</t>
        </is>
      </c>
      <c r="T540" s="68" t="inlineStr">
        <is>
          <t>S5-035</t>
        </is>
      </c>
      <c r="U540" s="69" t="inlineStr">
        <is>
          <t>Généré (octobre)</t>
        </is>
      </c>
      <c r="V540" s="69" t="inlineStr">
        <is>
          <t>Jour férié (Évacuation) — à confirmer</t>
        </is>
      </c>
      <c r="W540" s="10" t="n"/>
      <c r="X540" s="10" t="inlineStr"/>
      <c r="Y540" s="64">
        <f>IF($M540="","",IF(SUMPRODUCT(($D$4:$D$863=$D540)*($M$4:$M$863=$M540)*($T$4:$T$863&lt;&gt;$T540)*($F$4:$F$863&lt;$G540)*($G$4:$G$863&gt;$F540))&gt;0,"⚠ CONFLIT",""))</f>
        <v/>
      </c>
      <c r="Z540" s="64">
        <f>IF($J540="","",IF(SUMPRODUCT(($D$4:$D$863=$D540)*($J$4:$J$863=$J540)*($T$4:$T$863&lt;&gt;$T540)*($F$4:$F$863&lt;$G540)*($G$4:$G$863&gt;$F540)*(1-($X$4:$X$863="Oui")*($X540="Oui")))&gt;0,"⚠ CONFLIT",""))</f>
        <v/>
      </c>
      <c r="AA540" s="64">
        <f>IF(COUNTIFS($D$4:$D$863,$D540,$J$4:$J$863,$J540,$F$4:$F$863,$F540,$K$4:$K$863,$K540)&gt;1,"⚠ DOUBLON","")</f>
        <v/>
      </c>
      <c r="AB540" s="64">
        <f>IF(COUNTIF($T$4:$T$863,$T540)&lt;&gt;COUNTIFS($T$4:$T$863,$T540,$D$4:$D$863,$D540,$F$4:$F$863,$F540,$G$4:$G$863,$G540,$K$4:$K$863,$K540,$M$4:$M$863,$M540),"⚠ INCOHÉRENT","")</f>
        <v/>
      </c>
      <c r="AC540" s="64">
        <f>COUNTIFS($A$4:$A540,$A540,$J$4:$J540,$J540,$E$4:$E540,$E540)</f>
        <v/>
      </c>
      <c r="AD540" s="65">
        <f>$A540&amp;"|"&amp;$J540&amp;"|"&amp;$E540&amp;"|"&amp;$AC540</f>
        <v/>
      </c>
      <c r="AE540" s="66">
        <f>IF($W540&lt;&gt;"","⚑ "&amp;$W540&amp;CHAR(10),"")&amp;TEXT($F540,"hh:mm")&amp;"-"&amp;TEXT($G540,"hh:mm")&amp;IF(OR($P540="Quinzaine A",AND($P540="Hebdo · groupes alternés",$C540="A"))," Q-A",IF(OR($P540="Quinzaine B",AND($P540="Hebdo · groupes alternés",$C540="B"))," Q-B",IF($P540="Exception"," PONCT.","")))&amp;IF($X540="Oui"," OPT","")&amp;CHAR(10)&amp;$K540&amp;CHAR(10)&amp;$M540&amp;IF($N540&lt;&gt;"",CHAR(10)&amp;"Salle "&amp;$N540,"")&amp;IF($O540="En ligne",CHAR(10)&amp;"EN LIGNE","")&amp;IF($V540&lt;&gt;"",CHAR(10)&amp;$V540,"")</f>
        <v/>
      </c>
      <c r="AF540" s="65" t="inlineStr"/>
      <c r="AG540" s="65" t="inlineStr">
        <is>
          <t>— généré —</t>
        </is>
      </c>
    </row>
    <row r="541" ht="15" customHeight="1">
      <c r="A541" s="68" t="inlineStr">
        <is>
          <t>S5</t>
        </is>
      </c>
      <c r="B541" s="69" t="inlineStr">
        <is>
          <t>du 12 au 18 octobre 2026</t>
        </is>
      </c>
      <c r="C541" s="68" t="inlineStr">
        <is>
          <t>A</t>
        </is>
      </c>
      <c r="D541" s="70" t="n">
        <v>46310</v>
      </c>
      <c r="E541" s="68" t="inlineStr">
        <is>
          <t>Jeudi</t>
        </is>
      </c>
      <c r="F541" s="71" t="n">
        <v>0.8020833333333334</v>
      </c>
      <c r="G541" s="71" t="n">
        <v>0.8645833333333334</v>
      </c>
      <c r="H541" s="72">
        <f>IF(OR($F541="",$G541=""),"",($G541-$F541)*24)</f>
        <v/>
      </c>
      <c r="I541" s="68" t="inlineStr">
        <is>
          <t>Collège</t>
        </is>
      </c>
      <c r="J541" s="69" t="inlineStr">
        <is>
          <t>9éme (A)</t>
        </is>
      </c>
      <c r="K541" s="88" t="inlineStr">
        <is>
          <t>SVT</t>
        </is>
      </c>
      <c r="L541" s="88" t="inlineStr">
        <is>
          <t>SVT</t>
        </is>
      </c>
      <c r="M541" s="69" t="inlineStr">
        <is>
          <t>Imen Jribi</t>
        </is>
      </c>
      <c r="N541" s="68" t="n"/>
      <c r="O541" s="68" t="n"/>
      <c r="P541" s="68" t="inlineStr">
        <is>
          <t>Hebdomadaire</t>
        </is>
      </c>
      <c r="Q541" s="69" t="inlineStr"/>
      <c r="R541" s="68" t="n">
        <v>1</v>
      </c>
      <c r="S541" s="68" t="inlineStr">
        <is>
          <t>Oui</t>
        </is>
      </c>
      <c r="T541" s="68" t="inlineStr">
        <is>
          <t>S5-036</t>
        </is>
      </c>
      <c r="U541" s="69" t="inlineStr">
        <is>
          <t>Généré (octobre)</t>
        </is>
      </c>
      <c r="V541" s="69" t="inlineStr">
        <is>
          <t>Jour férié (Évacuation) — à confirmer</t>
        </is>
      </c>
      <c r="W541" s="10" t="n"/>
      <c r="X541" s="10" t="inlineStr"/>
      <c r="Y541" s="64">
        <f>IF($M541="","",IF(SUMPRODUCT(($D$4:$D$863=$D541)*($M$4:$M$863=$M541)*($T$4:$T$863&lt;&gt;$T541)*($F$4:$F$863&lt;$G541)*($G$4:$G$863&gt;$F541))&gt;0,"⚠ CONFLIT",""))</f>
        <v/>
      </c>
      <c r="Z541" s="64">
        <f>IF($J541="","",IF(SUMPRODUCT(($D$4:$D$863=$D541)*($J$4:$J$863=$J541)*($T$4:$T$863&lt;&gt;$T541)*($F$4:$F$863&lt;$G541)*($G$4:$G$863&gt;$F541)*(1-($X$4:$X$863="Oui")*($X541="Oui")))&gt;0,"⚠ CONFLIT",""))</f>
        <v/>
      </c>
      <c r="AA541" s="64">
        <f>IF(COUNTIFS($D$4:$D$863,$D541,$J$4:$J$863,$J541,$F$4:$F$863,$F541,$K$4:$K$863,$K541)&gt;1,"⚠ DOUBLON","")</f>
        <v/>
      </c>
      <c r="AB541" s="64">
        <f>IF(COUNTIF($T$4:$T$863,$T541)&lt;&gt;COUNTIFS($T$4:$T$863,$T541,$D$4:$D$863,$D541,$F$4:$F$863,$F541,$G$4:$G$863,$G541,$K$4:$K$863,$K541,$M$4:$M$863,$M541),"⚠ INCOHÉRENT","")</f>
        <v/>
      </c>
      <c r="AC541" s="64">
        <f>COUNTIFS($A$4:$A541,$A541,$J$4:$J541,$J541,$E$4:$E541,$E541)</f>
        <v/>
      </c>
      <c r="AD541" s="65">
        <f>$A541&amp;"|"&amp;$J541&amp;"|"&amp;$E541&amp;"|"&amp;$AC541</f>
        <v/>
      </c>
      <c r="AE541" s="66">
        <f>IF($W541&lt;&gt;"","⚑ "&amp;$W541&amp;CHAR(10),"")&amp;TEXT($F541,"hh:mm")&amp;"-"&amp;TEXT($G541,"hh:mm")&amp;IF(OR($P541="Quinzaine A",AND($P541="Hebdo · groupes alternés",$C541="A"))," Q-A",IF(OR($P541="Quinzaine B",AND($P541="Hebdo · groupes alternés",$C541="B"))," Q-B",IF($P541="Exception"," PONCT.","")))&amp;IF($X541="Oui"," OPT","")&amp;CHAR(10)&amp;$K541&amp;CHAR(10)&amp;$M541&amp;IF($N541&lt;&gt;"",CHAR(10)&amp;"Salle "&amp;$N541,"")&amp;IF($O541="En ligne",CHAR(10)&amp;"EN LIGNE","")&amp;IF($V541&lt;&gt;"",CHAR(10)&amp;$V541,"")</f>
        <v/>
      </c>
      <c r="AF541" s="65" t="inlineStr"/>
      <c r="AG541" s="65" t="inlineStr">
        <is>
          <t>— généré —</t>
        </is>
      </c>
    </row>
    <row r="542" ht="15" customHeight="1">
      <c r="A542" s="68" t="inlineStr">
        <is>
          <t>S5</t>
        </is>
      </c>
      <c r="B542" s="69" t="inlineStr">
        <is>
          <t>du 12 au 18 octobre 2026</t>
        </is>
      </c>
      <c r="C542" s="68" t="inlineStr">
        <is>
          <t>A</t>
        </is>
      </c>
      <c r="D542" s="70" t="n">
        <v>46310</v>
      </c>
      <c r="E542" s="68" t="inlineStr">
        <is>
          <t>Jeudi</t>
        </is>
      </c>
      <c r="F542" s="71" t="n">
        <v>0.8125</v>
      </c>
      <c r="G542" s="71" t="n">
        <v>0.875</v>
      </c>
      <c r="H542" s="72">
        <f>IF(OR($F542="",$G542=""),"",($G542-$F542)*24)</f>
        <v/>
      </c>
      <c r="I542" s="68" t="inlineStr">
        <is>
          <t>Collège</t>
        </is>
      </c>
      <c r="J542" s="69" t="inlineStr">
        <is>
          <t>9éme (C)</t>
        </is>
      </c>
      <c r="K542" s="87" t="inlineStr">
        <is>
          <t>Anglais</t>
        </is>
      </c>
      <c r="L542" s="87" t="inlineStr">
        <is>
          <t>Anglais</t>
        </is>
      </c>
      <c r="M542" s="69" t="inlineStr">
        <is>
          <t>Saber</t>
        </is>
      </c>
      <c r="N542" s="68" t="n"/>
      <c r="O542" s="68" t="n"/>
      <c r="P542" s="68" t="inlineStr">
        <is>
          <t>Hebdomadaire</t>
        </is>
      </c>
      <c r="Q542" s="69" t="inlineStr"/>
      <c r="R542" s="68" t="n">
        <v>1</v>
      </c>
      <c r="S542" s="68" t="inlineStr">
        <is>
          <t>Oui</t>
        </is>
      </c>
      <c r="T542" s="68" t="inlineStr">
        <is>
          <t>S5-037</t>
        </is>
      </c>
      <c r="U542" s="69" t="inlineStr">
        <is>
          <t>Généré (octobre)</t>
        </is>
      </c>
      <c r="V542" s="69" t="inlineStr">
        <is>
          <t>Jour férié (Évacuation) — à confirmer</t>
        </is>
      </c>
      <c r="W542" s="10" t="n"/>
      <c r="X542" s="10" t="inlineStr"/>
      <c r="Y542" s="64">
        <f>IF($M542="","",IF(SUMPRODUCT(($D$4:$D$863=$D542)*($M$4:$M$863=$M542)*($T$4:$T$863&lt;&gt;$T542)*($F$4:$F$863&lt;$G542)*($G$4:$G$863&gt;$F542))&gt;0,"⚠ CONFLIT",""))</f>
        <v/>
      </c>
      <c r="Z542" s="64">
        <f>IF($J542="","",IF(SUMPRODUCT(($D$4:$D$863=$D542)*($J$4:$J$863=$J542)*($T$4:$T$863&lt;&gt;$T542)*($F$4:$F$863&lt;$G542)*($G$4:$G$863&gt;$F542)*(1-($X$4:$X$863="Oui")*($X542="Oui")))&gt;0,"⚠ CONFLIT",""))</f>
        <v/>
      </c>
      <c r="AA542" s="64">
        <f>IF(COUNTIFS($D$4:$D$863,$D542,$J$4:$J$863,$J542,$F$4:$F$863,$F542,$K$4:$K$863,$K542)&gt;1,"⚠ DOUBLON","")</f>
        <v/>
      </c>
      <c r="AB542" s="64">
        <f>IF(COUNTIF($T$4:$T$863,$T542)&lt;&gt;COUNTIFS($T$4:$T$863,$T542,$D$4:$D$863,$D542,$F$4:$F$863,$F542,$G$4:$G$863,$G542,$K$4:$K$863,$K542,$M$4:$M$863,$M542),"⚠ INCOHÉRENT","")</f>
        <v/>
      </c>
      <c r="AC542" s="64">
        <f>COUNTIFS($A$4:$A542,$A542,$J$4:$J542,$J542,$E$4:$E542,$E542)</f>
        <v/>
      </c>
      <c r="AD542" s="65">
        <f>$A542&amp;"|"&amp;$J542&amp;"|"&amp;$E542&amp;"|"&amp;$AC542</f>
        <v/>
      </c>
      <c r="AE542" s="66">
        <f>IF($W542&lt;&gt;"","⚑ "&amp;$W542&amp;CHAR(10),"")&amp;TEXT($F542,"hh:mm")&amp;"-"&amp;TEXT($G542,"hh:mm")&amp;IF(OR($P542="Quinzaine A",AND($P542="Hebdo · groupes alternés",$C542="A"))," Q-A",IF(OR($P542="Quinzaine B",AND($P542="Hebdo · groupes alternés",$C542="B"))," Q-B",IF($P542="Exception"," PONCT.","")))&amp;IF($X542="Oui"," OPT","")&amp;CHAR(10)&amp;$K542&amp;CHAR(10)&amp;$M542&amp;IF($N542&lt;&gt;"",CHAR(10)&amp;"Salle "&amp;$N542,"")&amp;IF($O542="En ligne",CHAR(10)&amp;"EN LIGNE","")&amp;IF($V542&lt;&gt;"",CHAR(10)&amp;$V542,"")</f>
        <v/>
      </c>
      <c r="AF542" s="65" t="inlineStr"/>
      <c r="AG542" s="65" t="inlineStr">
        <is>
          <t>— généré —</t>
        </is>
      </c>
    </row>
    <row r="543" ht="15" customHeight="1">
      <c r="A543" s="74" t="inlineStr">
        <is>
          <t>S5</t>
        </is>
      </c>
      <c r="B543" s="75" t="inlineStr">
        <is>
          <t>du 12 au 18 octobre 2026</t>
        </is>
      </c>
      <c r="C543" s="74" t="inlineStr">
        <is>
          <t>A</t>
        </is>
      </c>
      <c r="D543" s="76" t="n">
        <v>46310</v>
      </c>
      <c r="E543" s="74" t="inlineStr">
        <is>
          <t>Jeudi</t>
        </is>
      </c>
      <c r="F543" s="77" t="n">
        <v>0.8020833333333334</v>
      </c>
      <c r="G543" s="77" t="n">
        <v>0.8645833333333334</v>
      </c>
      <c r="H543" s="78">
        <f>IF(OR($F543="",$G543=""),"",($G543-$F543)*24)</f>
        <v/>
      </c>
      <c r="I543" s="74" t="inlineStr">
        <is>
          <t>Secondaire</t>
        </is>
      </c>
      <c r="J543" s="75" t="inlineStr">
        <is>
          <t>1ére (A)</t>
        </is>
      </c>
      <c r="K543" s="87" t="inlineStr">
        <is>
          <t>Anglais</t>
        </is>
      </c>
      <c r="L543" s="87" t="inlineStr">
        <is>
          <t>Anglais</t>
        </is>
      </c>
      <c r="M543" s="75" t="inlineStr">
        <is>
          <t>Imen Bennour</t>
        </is>
      </c>
      <c r="N543" s="74" t="n"/>
      <c r="O543" s="74" t="n"/>
      <c r="P543" s="74" t="inlineStr">
        <is>
          <t>Hebdo · groupes alternés</t>
        </is>
      </c>
      <c r="Q543" s="75" t="inlineStr"/>
      <c r="R543" s="74" t="n">
        <v>1</v>
      </c>
      <c r="S543" s="74" t="inlineStr">
        <is>
          <t>Oui</t>
        </is>
      </c>
      <c r="T543" s="74" t="inlineStr">
        <is>
          <t>S5-038</t>
        </is>
      </c>
      <c r="U543" s="75" t="inlineStr">
        <is>
          <t>Généré (octobre)</t>
        </is>
      </c>
      <c r="V543" s="75" t="inlineStr">
        <is>
          <t>Jour férié (Évacuation) — à confirmer</t>
        </is>
      </c>
      <c r="W543" s="10" t="n"/>
      <c r="X543" s="10" t="inlineStr"/>
      <c r="Y543" s="64">
        <f>IF($M543="","",IF(SUMPRODUCT(($D$4:$D$863=$D543)*($M$4:$M$863=$M543)*($T$4:$T$863&lt;&gt;$T543)*($F$4:$F$863&lt;$G543)*($G$4:$G$863&gt;$F543))&gt;0,"⚠ CONFLIT",""))</f>
        <v/>
      </c>
      <c r="Z543" s="64">
        <f>IF($J543="","",IF(SUMPRODUCT(($D$4:$D$863=$D543)*($J$4:$J$863=$J543)*($T$4:$T$863&lt;&gt;$T543)*($F$4:$F$863&lt;$G543)*($G$4:$G$863&gt;$F543)*(1-($X$4:$X$863="Oui")*($X543="Oui")))&gt;0,"⚠ CONFLIT",""))</f>
        <v/>
      </c>
      <c r="AA543" s="64">
        <f>IF(COUNTIFS($D$4:$D$863,$D543,$J$4:$J$863,$J543,$F$4:$F$863,$F543,$K$4:$K$863,$K543)&gt;1,"⚠ DOUBLON","")</f>
        <v/>
      </c>
      <c r="AB543" s="64">
        <f>IF(COUNTIF($T$4:$T$863,$T543)&lt;&gt;COUNTIFS($T$4:$T$863,$T543,$D$4:$D$863,$D543,$F$4:$F$863,$F543,$G$4:$G$863,$G543,$K$4:$K$863,$K543,$M$4:$M$863,$M543),"⚠ INCOHÉRENT","")</f>
        <v/>
      </c>
      <c r="AC543" s="64">
        <f>COUNTIFS($A$4:$A543,$A543,$J$4:$J543,$J543,$E$4:$E543,$E543)</f>
        <v/>
      </c>
      <c r="AD543" s="65">
        <f>$A543&amp;"|"&amp;$J543&amp;"|"&amp;$E543&amp;"|"&amp;$AC543</f>
        <v/>
      </c>
      <c r="AE543" s="66">
        <f>IF($W543&lt;&gt;"","⚑ "&amp;$W543&amp;CHAR(10),"")&amp;TEXT($F543,"hh:mm")&amp;"-"&amp;TEXT($G543,"hh:mm")&amp;IF(OR($P543="Quinzaine A",AND($P543="Hebdo · groupes alternés",$C543="A"))," Q-A",IF(OR($P543="Quinzaine B",AND($P543="Hebdo · groupes alternés",$C543="B"))," Q-B",IF($P543="Exception"," PONCT.","")))&amp;IF($X543="Oui"," OPT","")&amp;CHAR(10)&amp;$K543&amp;CHAR(10)&amp;$M543&amp;IF($N543&lt;&gt;"",CHAR(10)&amp;"Salle "&amp;$N543,"")&amp;IF($O543="En ligne",CHAR(10)&amp;"EN LIGNE","")&amp;IF($V543&lt;&gt;"",CHAR(10)&amp;$V543,"")</f>
        <v/>
      </c>
      <c r="AF543" s="65" t="inlineStr"/>
      <c r="AG543" s="65" t="inlineStr">
        <is>
          <t>— généré —</t>
        </is>
      </c>
    </row>
    <row r="544" ht="15" customHeight="1">
      <c r="A544" s="74" t="inlineStr">
        <is>
          <t>S5</t>
        </is>
      </c>
      <c r="B544" s="75" t="inlineStr">
        <is>
          <t>du 12 au 18 octobre 2026</t>
        </is>
      </c>
      <c r="C544" s="74" t="inlineStr">
        <is>
          <t>A</t>
        </is>
      </c>
      <c r="D544" s="76" t="n">
        <v>46310</v>
      </c>
      <c r="E544" s="74" t="inlineStr">
        <is>
          <t>Jeudi</t>
        </is>
      </c>
      <c r="F544" s="77" t="n">
        <v>0.7916666666666666</v>
      </c>
      <c r="G544" s="77" t="n">
        <v>0.8541666666666666</v>
      </c>
      <c r="H544" s="78">
        <f>IF(OR($F544="",$G544=""),"",($G544-$F544)*24)</f>
        <v/>
      </c>
      <c r="I544" s="74" t="inlineStr">
        <is>
          <t>Secondaire</t>
        </is>
      </c>
      <c r="J544" s="75" t="inlineStr">
        <is>
          <t>2éme Eco</t>
        </is>
      </c>
      <c r="K544" s="86" t="inlineStr">
        <is>
          <t>Gestion</t>
        </is>
      </c>
      <c r="L544" s="86" t="inlineStr">
        <is>
          <t>Gestion</t>
        </is>
      </c>
      <c r="M544" s="75" t="inlineStr">
        <is>
          <t>Yassine</t>
        </is>
      </c>
      <c r="N544" s="74" t="n"/>
      <c r="O544" s="74" t="n"/>
      <c r="P544" s="74" t="inlineStr">
        <is>
          <t>Hebdomadaire</t>
        </is>
      </c>
      <c r="Q544" s="75" t="inlineStr"/>
      <c r="R544" s="74" t="n">
        <v>1</v>
      </c>
      <c r="S544" s="74" t="inlineStr">
        <is>
          <t>Oui</t>
        </is>
      </c>
      <c r="T544" s="74" t="inlineStr">
        <is>
          <t>S5-039</t>
        </is>
      </c>
      <c r="U544" s="75" t="inlineStr">
        <is>
          <t>Généré (octobre)</t>
        </is>
      </c>
      <c r="V544" s="75" t="inlineStr">
        <is>
          <t>Jour férié (Évacuation) — à confirmer</t>
        </is>
      </c>
      <c r="W544" s="10" t="n"/>
      <c r="X544" s="10" t="inlineStr"/>
      <c r="Y544" s="64">
        <f>IF($M544="","",IF(SUMPRODUCT(($D$4:$D$863=$D544)*($M$4:$M$863=$M544)*($T$4:$T$863&lt;&gt;$T544)*($F$4:$F$863&lt;$G544)*($G$4:$G$863&gt;$F544))&gt;0,"⚠ CONFLIT",""))</f>
        <v/>
      </c>
      <c r="Z544" s="64">
        <f>IF($J544="","",IF(SUMPRODUCT(($D$4:$D$863=$D544)*($J$4:$J$863=$J544)*($T$4:$T$863&lt;&gt;$T544)*($F$4:$F$863&lt;$G544)*($G$4:$G$863&gt;$F544)*(1-($X$4:$X$863="Oui")*($X544="Oui")))&gt;0,"⚠ CONFLIT",""))</f>
        <v/>
      </c>
      <c r="AA544" s="64">
        <f>IF(COUNTIFS($D$4:$D$863,$D544,$J$4:$J$863,$J544,$F$4:$F$863,$F544,$K$4:$K$863,$K544)&gt;1,"⚠ DOUBLON","")</f>
        <v/>
      </c>
      <c r="AB544" s="64">
        <f>IF(COUNTIF($T$4:$T$863,$T544)&lt;&gt;COUNTIFS($T$4:$T$863,$T544,$D$4:$D$863,$D544,$F$4:$F$863,$F544,$G$4:$G$863,$G544,$K$4:$K$863,$K544,$M$4:$M$863,$M544),"⚠ INCOHÉRENT","")</f>
        <v/>
      </c>
      <c r="AC544" s="64">
        <f>COUNTIFS($A$4:$A544,$A544,$J$4:$J544,$J544,$E$4:$E544,$E544)</f>
        <v/>
      </c>
      <c r="AD544" s="65">
        <f>$A544&amp;"|"&amp;$J544&amp;"|"&amp;$E544&amp;"|"&amp;$AC544</f>
        <v/>
      </c>
      <c r="AE544" s="66">
        <f>IF($W544&lt;&gt;"","⚑ "&amp;$W544&amp;CHAR(10),"")&amp;TEXT($F544,"hh:mm")&amp;"-"&amp;TEXT($G544,"hh:mm")&amp;IF(OR($P544="Quinzaine A",AND($P544="Hebdo · groupes alternés",$C544="A"))," Q-A",IF(OR($P544="Quinzaine B",AND($P544="Hebdo · groupes alternés",$C544="B"))," Q-B",IF($P544="Exception"," PONCT.","")))&amp;IF($X544="Oui"," OPT","")&amp;CHAR(10)&amp;$K544&amp;CHAR(10)&amp;$M544&amp;IF($N544&lt;&gt;"",CHAR(10)&amp;"Salle "&amp;$N544,"")&amp;IF($O544="En ligne",CHAR(10)&amp;"EN LIGNE","")&amp;IF($V544&lt;&gt;"",CHAR(10)&amp;$V544,"")</f>
        <v/>
      </c>
      <c r="AF544" s="65" t="inlineStr"/>
      <c r="AG544" s="65" t="inlineStr">
        <is>
          <t>— généré —</t>
        </is>
      </c>
    </row>
    <row r="545" ht="15" customHeight="1">
      <c r="A545" s="74" t="inlineStr">
        <is>
          <t>S5</t>
        </is>
      </c>
      <c r="B545" s="75" t="inlineStr">
        <is>
          <t>du 12 au 18 octobre 2026</t>
        </is>
      </c>
      <c r="C545" s="74" t="inlineStr">
        <is>
          <t>A</t>
        </is>
      </c>
      <c r="D545" s="76" t="n">
        <v>46310</v>
      </c>
      <c r="E545" s="74" t="inlineStr">
        <is>
          <t>Jeudi</t>
        </is>
      </c>
      <c r="F545" s="77" t="n">
        <v>0.8125</v>
      </c>
      <c r="G545" s="77" t="n">
        <v>0.875</v>
      </c>
      <c r="H545" s="78">
        <f>IF(OR($F545="",$G545=""),"",($G545-$F545)*24)</f>
        <v/>
      </c>
      <c r="I545" s="74" t="inlineStr">
        <is>
          <t>Secondaire</t>
        </is>
      </c>
      <c r="J545" s="75" t="inlineStr">
        <is>
          <t>2éme SCE</t>
        </is>
      </c>
      <c r="K545" s="79" t="inlineStr">
        <is>
          <t>Math</t>
        </is>
      </c>
      <c r="L545" s="79" t="inlineStr">
        <is>
          <t>Math</t>
        </is>
      </c>
      <c r="M545" s="75" t="inlineStr">
        <is>
          <t>Haythem</t>
        </is>
      </c>
      <c r="N545" s="74" t="n"/>
      <c r="O545" s="74" t="n"/>
      <c r="P545" s="74" t="inlineStr">
        <is>
          <t>Hebdomadaire</t>
        </is>
      </c>
      <c r="Q545" s="75" t="inlineStr"/>
      <c r="R545" s="74" t="n">
        <v>1</v>
      </c>
      <c r="S545" s="74" t="inlineStr">
        <is>
          <t>Oui</t>
        </is>
      </c>
      <c r="T545" s="74" t="inlineStr">
        <is>
          <t>S5-040</t>
        </is>
      </c>
      <c r="U545" s="75" t="inlineStr">
        <is>
          <t>Généré (octobre)</t>
        </is>
      </c>
      <c r="V545" s="75" t="inlineStr">
        <is>
          <t>Jour férié (Évacuation) — à confirmer</t>
        </is>
      </c>
      <c r="W545" s="10" t="n"/>
      <c r="X545" s="10" t="inlineStr"/>
      <c r="Y545" s="64">
        <f>IF($M545="","",IF(SUMPRODUCT(($D$4:$D$863=$D545)*($M$4:$M$863=$M545)*($T$4:$T$863&lt;&gt;$T545)*($F$4:$F$863&lt;$G545)*($G$4:$G$863&gt;$F545))&gt;0,"⚠ CONFLIT",""))</f>
        <v/>
      </c>
      <c r="Z545" s="64">
        <f>IF($J545="","",IF(SUMPRODUCT(($D$4:$D$863=$D545)*($J$4:$J$863=$J545)*($T$4:$T$863&lt;&gt;$T545)*($F$4:$F$863&lt;$G545)*($G$4:$G$863&gt;$F545)*(1-($X$4:$X$863="Oui")*($X545="Oui")))&gt;0,"⚠ CONFLIT",""))</f>
        <v/>
      </c>
      <c r="AA545" s="64">
        <f>IF(COUNTIFS($D$4:$D$863,$D545,$J$4:$J$863,$J545,$F$4:$F$863,$F545,$K$4:$K$863,$K545)&gt;1,"⚠ DOUBLON","")</f>
        <v/>
      </c>
      <c r="AB545" s="64">
        <f>IF(COUNTIF($T$4:$T$863,$T545)&lt;&gt;COUNTIFS($T$4:$T$863,$T545,$D$4:$D$863,$D545,$F$4:$F$863,$F545,$G$4:$G$863,$G545,$K$4:$K$863,$K545,$M$4:$M$863,$M545),"⚠ INCOHÉRENT","")</f>
        <v/>
      </c>
      <c r="AC545" s="64">
        <f>COUNTIFS($A$4:$A545,$A545,$J$4:$J545,$J545,$E$4:$E545,$E545)</f>
        <v/>
      </c>
      <c r="AD545" s="65">
        <f>$A545&amp;"|"&amp;$J545&amp;"|"&amp;$E545&amp;"|"&amp;$AC545</f>
        <v/>
      </c>
      <c r="AE545" s="66">
        <f>IF($W545&lt;&gt;"","⚑ "&amp;$W545&amp;CHAR(10),"")&amp;TEXT($F545,"hh:mm")&amp;"-"&amp;TEXT($G545,"hh:mm")&amp;IF(OR($P545="Quinzaine A",AND($P545="Hebdo · groupes alternés",$C545="A"))," Q-A",IF(OR($P545="Quinzaine B",AND($P545="Hebdo · groupes alternés",$C545="B"))," Q-B",IF($P545="Exception"," PONCT.","")))&amp;IF($X545="Oui"," OPT","")&amp;CHAR(10)&amp;$K545&amp;CHAR(10)&amp;$M545&amp;IF($N545&lt;&gt;"",CHAR(10)&amp;"Salle "&amp;$N545,"")&amp;IF($O545="En ligne",CHAR(10)&amp;"EN LIGNE","")&amp;IF($V545&lt;&gt;"",CHAR(10)&amp;$V545,"")</f>
        <v/>
      </c>
      <c r="AF545" s="65" t="inlineStr"/>
      <c r="AG545" s="65" t="inlineStr">
        <is>
          <t>— généré —</t>
        </is>
      </c>
    </row>
    <row r="546" ht="15" customHeight="1">
      <c r="A546" s="74" t="inlineStr">
        <is>
          <t>S5</t>
        </is>
      </c>
      <c r="B546" s="75" t="inlineStr">
        <is>
          <t>du 12 au 18 octobre 2026</t>
        </is>
      </c>
      <c r="C546" s="74" t="inlineStr">
        <is>
          <t>A</t>
        </is>
      </c>
      <c r="D546" s="76" t="n">
        <v>46310</v>
      </c>
      <c r="E546" s="74" t="inlineStr">
        <is>
          <t>Jeudi</t>
        </is>
      </c>
      <c r="F546" s="77" t="n">
        <v>0.8125</v>
      </c>
      <c r="G546" s="77" t="n">
        <v>0.875</v>
      </c>
      <c r="H546" s="78">
        <f>IF(OR($F546="",$G546=""),"",($G546-$F546)*24)</f>
        <v/>
      </c>
      <c r="I546" s="74" t="inlineStr">
        <is>
          <t>Secondaire</t>
        </is>
      </c>
      <c r="J546" s="75" t="inlineStr">
        <is>
          <t>2éme INFO</t>
        </is>
      </c>
      <c r="K546" s="73" t="inlineStr">
        <is>
          <t>Physique</t>
        </is>
      </c>
      <c r="L546" s="73" t="inlineStr">
        <is>
          <t>Physique</t>
        </is>
      </c>
      <c r="M546" s="75" t="inlineStr">
        <is>
          <t>Samia</t>
        </is>
      </c>
      <c r="N546" s="74" t="n"/>
      <c r="O546" s="74" t="n"/>
      <c r="P546" s="74" t="inlineStr">
        <is>
          <t>Hebdomadaire</t>
        </is>
      </c>
      <c r="Q546" s="75" t="inlineStr"/>
      <c r="R546" s="74" t="n">
        <v>1</v>
      </c>
      <c r="S546" s="74" t="inlineStr">
        <is>
          <t>Oui</t>
        </is>
      </c>
      <c r="T546" s="74" t="inlineStr">
        <is>
          <t>S5-041</t>
        </is>
      </c>
      <c r="U546" s="75" t="inlineStr">
        <is>
          <t>Généré (octobre)</t>
        </is>
      </c>
      <c r="V546" s="75" t="inlineStr">
        <is>
          <t>Jour férié (Évacuation) — à confirmer</t>
        </is>
      </c>
      <c r="W546" s="10" t="n"/>
      <c r="X546" s="10" t="inlineStr"/>
      <c r="Y546" s="64">
        <f>IF($M546="","",IF(SUMPRODUCT(($D$4:$D$863=$D546)*($M$4:$M$863=$M546)*($T$4:$T$863&lt;&gt;$T546)*($F$4:$F$863&lt;$G546)*($G$4:$G$863&gt;$F546))&gt;0,"⚠ CONFLIT",""))</f>
        <v/>
      </c>
      <c r="Z546" s="64">
        <f>IF($J546="","",IF(SUMPRODUCT(($D$4:$D$863=$D546)*($J$4:$J$863=$J546)*($T$4:$T$863&lt;&gt;$T546)*($F$4:$F$863&lt;$G546)*($G$4:$G$863&gt;$F546)*(1-($X$4:$X$863="Oui")*($X546="Oui")))&gt;0,"⚠ CONFLIT",""))</f>
        <v/>
      </c>
      <c r="AA546" s="64">
        <f>IF(COUNTIFS($D$4:$D$863,$D546,$J$4:$J$863,$J546,$F$4:$F$863,$F546,$K$4:$K$863,$K546)&gt;1,"⚠ DOUBLON","")</f>
        <v/>
      </c>
      <c r="AB546" s="64">
        <f>IF(COUNTIF($T$4:$T$863,$T546)&lt;&gt;COUNTIFS($T$4:$T$863,$T546,$D$4:$D$863,$D546,$F$4:$F$863,$F546,$G$4:$G$863,$G546,$K$4:$K$863,$K546,$M$4:$M$863,$M546),"⚠ INCOHÉRENT","")</f>
        <v/>
      </c>
      <c r="AC546" s="64">
        <f>COUNTIFS($A$4:$A546,$A546,$J$4:$J546,$J546,$E$4:$E546,$E546)</f>
        <v/>
      </c>
      <c r="AD546" s="65">
        <f>$A546&amp;"|"&amp;$J546&amp;"|"&amp;$E546&amp;"|"&amp;$AC546</f>
        <v/>
      </c>
      <c r="AE546" s="66">
        <f>IF($W546&lt;&gt;"","⚑ "&amp;$W546&amp;CHAR(10),"")&amp;TEXT($F546,"hh:mm")&amp;"-"&amp;TEXT($G546,"hh:mm")&amp;IF(OR($P546="Quinzaine A",AND($P546="Hebdo · groupes alternés",$C546="A"))," Q-A",IF(OR($P546="Quinzaine B",AND($P546="Hebdo · groupes alternés",$C546="B"))," Q-B",IF($P546="Exception"," PONCT.","")))&amp;IF($X546="Oui"," OPT","")&amp;CHAR(10)&amp;$K546&amp;CHAR(10)&amp;$M546&amp;IF($N546&lt;&gt;"",CHAR(10)&amp;"Salle "&amp;$N546,"")&amp;IF($O546="En ligne",CHAR(10)&amp;"EN LIGNE","")&amp;IF($V546&lt;&gt;"",CHAR(10)&amp;$V546,"")</f>
        <v/>
      </c>
      <c r="AF546" s="65" t="inlineStr"/>
      <c r="AG546" s="65" t="inlineStr">
        <is>
          <t>— généré —</t>
        </is>
      </c>
    </row>
    <row r="547" ht="15" customHeight="1">
      <c r="A547" s="74" t="inlineStr">
        <is>
          <t>S5</t>
        </is>
      </c>
      <c r="B547" s="75" t="inlineStr">
        <is>
          <t>du 12 au 18 octobre 2026</t>
        </is>
      </c>
      <c r="C547" s="74" t="inlineStr">
        <is>
          <t>A</t>
        </is>
      </c>
      <c r="D547" s="76" t="n">
        <v>46310</v>
      </c>
      <c r="E547" s="74" t="inlineStr">
        <is>
          <t>Jeudi</t>
        </is>
      </c>
      <c r="F547" s="77" t="n">
        <v>0.8125</v>
      </c>
      <c r="G547" s="77" t="n">
        <v>0.875</v>
      </c>
      <c r="H547" s="78">
        <f>IF(OR($F547="",$G547=""),"",($G547-$F547)*24)</f>
        <v/>
      </c>
      <c r="I547" s="74" t="inlineStr">
        <is>
          <t>Secondaire</t>
        </is>
      </c>
      <c r="J547" s="75" t="inlineStr">
        <is>
          <t>3éme Eco</t>
        </is>
      </c>
      <c r="K547" s="63" t="inlineStr">
        <is>
          <t>Arabe</t>
        </is>
      </c>
      <c r="L547" s="63" t="inlineStr">
        <is>
          <t>Arabe</t>
        </is>
      </c>
      <c r="M547" s="75" t="inlineStr">
        <is>
          <t>Najet</t>
        </is>
      </c>
      <c r="N547" s="74" t="n"/>
      <c r="O547" s="74" t="n"/>
      <c r="P547" s="74" t="inlineStr">
        <is>
          <t>Hebdo · groupes alternés</t>
        </is>
      </c>
      <c r="Q547" s="75" t="inlineStr">
        <is>
          <t>3éme Eco + 3éme INFO + 3éme SCE</t>
        </is>
      </c>
      <c r="R547" s="74" t="n">
        <v>3</v>
      </c>
      <c r="S547" s="74" t="inlineStr">
        <is>
          <t>Oui</t>
        </is>
      </c>
      <c r="T547" s="74" t="inlineStr">
        <is>
          <t>S5-042</t>
        </is>
      </c>
      <c r="U547" s="75" t="inlineStr">
        <is>
          <t>Généré (octobre)</t>
        </is>
      </c>
      <c r="V547" s="75" t="inlineStr">
        <is>
          <t>Jour férié (Évacuation) — à confirmer</t>
        </is>
      </c>
      <c r="W547" s="10" t="n"/>
      <c r="X547" s="10" t="inlineStr"/>
      <c r="Y547" s="64">
        <f>IF($M547="","",IF(SUMPRODUCT(($D$4:$D$863=$D547)*($M$4:$M$863=$M547)*($T$4:$T$863&lt;&gt;$T547)*($F$4:$F$863&lt;$G547)*($G$4:$G$863&gt;$F547))&gt;0,"⚠ CONFLIT",""))</f>
        <v/>
      </c>
      <c r="Z547" s="64">
        <f>IF($J547="","",IF(SUMPRODUCT(($D$4:$D$863=$D547)*($J$4:$J$863=$J547)*($T$4:$T$863&lt;&gt;$T547)*($F$4:$F$863&lt;$G547)*($G$4:$G$863&gt;$F547)*(1-($X$4:$X$863="Oui")*($X547="Oui")))&gt;0,"⚠ CONFLIT",""))</f>
        <v/>
      </c>
      <c r="AA547" s="64">
        <f>IF(COUNTIFS($D$4:$D$863,$D547,$J$4:$J$863,$J547,$F$4:$F$863,$F547,$K$4:$K$863,$K547)&gt;1,"⚠ DOUBLON","")</f>
        <v/>
      </c>
      <c r="AB547" s="64">
        <f>IF(COUNTIF($T$4:$T$863,$T547)&lt;&gt;COUNTIFS($T$4:$T$863,$T547,$D$4:$D$863,$D547,$F$4:$F$863,$F547,$G$4:$G$863,$G547,$K$4:$K$863,$K547,$M$4:$M$863,$M547),"⚠ INCOHÉRENT","")</f>
        <v/>
      </c>
      <c r="AC547" s="64">
        <f>COUNTIFS($A$4:$A547,$A547,$J$4:$J547,$J547,$E$4:$E547,$E547)</f>
        <v/>
      </c>
      <c r="AD547" s="65">
        <f>$A547&amp;"|"&amp;$J547&amp;"|"&amp;$E547&amp;"|"&amp;$AC547</f>
        <v/>
      </c>
      <c r="AE547" s="66">
        <f>IF($W547&lt;&gt;"","⚑ "&amp;$W547&amp;CHAR(10),"")&amp;TEXT($F547,"hh:mm")&amp;"-"&amp;TEXT($G547,"hh:mm")&amp;IF(OR($P547="Quinzaine A",AND($P547="Hebdo · groupes alternés",$C547="A"))," Q-A",IF(OR($P547="Quinzaine B",AND($P547="Hebdo · groupes alternés",$C547="B"))," Q-B",IF($P547="Exception"," PONCT.","")))&amp;IF($X547="Oui"," OPT","")&amp;CHAR(10)&amp;$K547&amp;CHAR(10)&amp;$M547&amp;IF($N547&lt;&gt;"",CHAR(10)&amp;"Salle "&amp;$N547,"")&amp;IF($O547="En ligne",CHAR(10)&amp;"EN LIGNE","")&amp;IF($V547&lt;&gt;"",CHAR(10)&amp;$V547,"")</f>
        <v/>
      </c>
      <c r="AF547" s="65" t="inlineStr"/>
      <c r="AG547" s="65" t="inlineStr">
        <is>
          <t>— généré —</t>
        </is>
      </c>
    </row>
    <row r="548" ht="15" customHeight="1">
      <c r="A548" s="74" t="inlineStr">
        <is>
          <t>S5</t>
        </is>
      </c>
      <c r="B548" s="75" t="inlineStr">
        <is>
          <t>du 12 au 18 octobre 2026</t>
        </is>
      </c>
      <c r="C548" s="74" t="inlineStr">
        <is>
          <t>A</t>
        </is>
      </c>
      <c r="D548" s="76" t="n">
        <v>46310</v>
      </c>
      <c r="E548" s="74" t="inlineStr">
        <is>
          <t>Jeudi</t>
        </is>
      </c>
      <c r="F548" s="77" t="n">
        <v>0.8125</v>
      </c>
      <c r="G548" s="77" t="n">
        <v>0.875</v>
      </c>
      <c r="H548" s="78">
        <f>IF(OR($F548="",$G548=""),"",($G548-$F548)*24)</f>
        <v/>
      </c>
      <c r="I548" s="74" t="inlineStr">
        <is>
          <t>Secondaire</t>
        </is>
      </c>
      <c r="J548" s="75" t="inlineStr">
        <is>
          <t>3éme INFO</t>
        </is>
      </c>
      <c r="K548" s="63" t="inlineStr">
        <is>
          <t>Arabe</t>
        </is>
      </c>
      <c r="L548" s="63" t="inlineStr">
        <is>
          <t>Arabe</t>
        </is>
      </c>
      <c r="M548" s="75" t="inlineStr">
        <is>
          <t>Najet</t>
        </is>
      </c>
      <c r="N548" s="74" t="n"/>
      <c r="O548" s="74" t="n"/>
      <c r="P548" s="74" t="inlineStr">
        <is>
          <t>Hebdo · groupes alternés</t>
        </is>
      </c>
      <c r="Q548" s="75" t="inlineStr">
        <is>
          <t>3éme Eco + 3éme INFO + 3éme SCE</t>
        </is>
      </c>
      <c r="R548" s="74" t="n">
        <v>3</v>
      </c>
      <c r="S548" s="74" t="inlineStr"/>
      <c r="T548" s="74" t="inlineStr">
        <is>
          <t>S5-042</t>
        </is>
      </c>
      <c r="U548" s="75" t="inlineStr">
        <is>
          <t>Généré (octobre)</t>
        </is>
      </c>
      <c r="V548" s="75" t="inlineStr">
        <is>
          <t>Jour férié (Évacuation) — à confirmer</t>
        </is>
      </c>
      <c r="W548" s="10" t="n"/>
      <c r="X548" s="10" t="inlineStr"/>
      <c r="Y548" s="64">
        <f>IF($M548="","",IF(SUMPRODUCT(($D$4:$D$863=$D548)*($M$4:$M$863=$M548)*($T$4:$T$863&lt;&gt;$T548)*($F$4:$F$863&lt;$G548)*($G$4:$G$863&gt;$F548))&gt;0,"⚠ CONFLIT",""))</f>
        <v/>
      </c>
      <c r="Z548" s="64">
        <f>IF($J548="","",IF(SUMPRODUCT(($D$4:$D$863=$D548)*($J$4:$J$863=$J548)*($T$4:$T$863&lt;&gt;$T548)*($F$4:$F$863&lt;$G548)*($G$4:$G$863&gt;$F548)*(1-($X$4:$X$863="Oui")*($X548="Oui")))&gt;0,"⚠ CONFLIT",""))</f>
        <v/>
      </c>
      <c r="AA548" s="64">
        <f>IF(COUNTIFS($D$4:$D$863,$D548,$J$4:$J$863,$J548,$F$4:$F$863,$F548,$K$4:$K$863,$K548)&gt;1,"⚠ DOUBLON","")</f>
        <v/>
      </c>
      <c r="AB548" s="64">
        <f>IF(COUNTIF($T$4:$T$863,$T548)&lt;&gt;COUNTIFS($T$4:$T$863,$T548,$D$4:$D$863,$D548,$F$4:$F$863,$F548,$G$4:$G$863,$G548,$K$4:$K$863,$K548,$M$4:$M$863,$M548),"⚠ INCOHÉRENT","")</f>
        <v/>
      </c>
      <c r="AC548" s="64">
        <f>COUNTIFS($A$4:$A548,$A548,$J$4:$J548,$J548,$E$4:$E548,$E548)</f>
        <v/>
      </c>
      <c r="AD548" s="65">
        <f>$A548&amp;"|"&amp;$J548&amp;"|"&amp;$E548&amp;"|"&amp;$AC548</f>
        <v/>
      </c>
      <c r="AE548" s="66">
        <f>IF($W548&lt;&gt;"","⚑ "&amp;$W548&amp;CHAR(10),"")&amp;TEXT($F548,"hh:mm")&amp;"-"&amp;TEXT($G548,"hh:mm")&amp;IF(OR($P548="Quinzaine A",AND($P548="Hebdo · groupes alternés",$C548="A"))," Q-A",IF(OR($P548="Quinzaine B",AND($P548="Hebdo · groupes alternés",$C548="B"))," Q-B",IF($P548="Exception"," PONCT.","")))&amp;IF($X548="Oui"," OPT","")&amp;CHAR(10)&amp;$K548&amp;CHAR(10)&amp;$M548&amp;IF($N548&lt;&gt;"",CHAR(10)&amp;"Salle "&amp;$N548,"")&amp;IF($O548="En ligne",CHAR(10)&amp;"EN LIGNE","")&amp;IF($V548&lt;&gt;"",CHAR(10)&amp;$V548,"")</f>
        <v/>
      </c>
      <c r="AF548" s="65" t="inlineStr"/>
      <c r="AG548" s="65" t="inlineStr">
        <is>
          <t>— généré —</t>
        </is>
      </c>
    </row>
    <row r="549" ht="15" customHeight="1">
      <c r="A549" s="74" t="inlineStr">
        <is>
          <t>S5</t>
        </is>
      </c>
      <c r="B549" s="75" t="inlineStr">
        <is>
          <t>du 12 au 18 octobre 2026</t>
        </is>
      </c>
      <c r="C549" s="74" t="inlineStr">
        <is>
          <t>A</t>
        </is>
      </c>
      <c r="D549" s="76" t="n">
        <v>46310</v>
      </c>
      <c r="E549" s="74" t="inlineStr">
        <is>
          <t>Jeudi</t>
        </is>
      </c>
      <c r="F549" s="77" t="n">
        <v>0.8125</v>
      </c>
      <c r="G549" s="77" t="n">
        <v>0.875</v>
      </c>
      <c r="H549" s="78">
        <f>IF(OR($F549="",$G549=""),"",($G549-$F549)*24)</f>
        <v/>
      </c>
      <c r="I549" s="74" t="inlineStr">
        <is>
          <t>Secondaire</t>
        </is>
      </c>
      <c r="J549" s="75" t="inlineStr">
        <is>
          <t>3éme SCE</t>
        </is>
      </c>
      <c r="K549" s="63" t="inlineStr">
        <is>
          <t>Arabe</t>
        </is>
      </c>
      <c r="L549" s="63" t="inlineStr">
        <is>
          <t>Arabe</t>
        </is>
      </c>
      <c r="M549" s="75" t="inlineStr">
        <is>
          <t>Najet</t>
        </is>
      </c>
      <c r="N549" s="74" t="n"/>
      <c r="O549" s="74" t="n"/>
      <c r="P549" s="74" t="inlineStr">
        <is>
          <t>Hebdo · groupes alternés</t>
        </is>
      </c>
      <c r="Q549" s="75" t="inlineStr">
        <is>
          <t>3éme Eco + 3éme INFO + 3éme SCE</t>
        </is>
      </c>
      <c r="R549" s="74" t="n">
        <v>3</v>
      </c>
      <c r="S549" s="74" t="inlineStr"/>
      <c r="T549" s="74" t="inlineStr">
        <is>
          <t>S5-042</t>
        </is>
      </c>
      <c r="U549" s="75" t="inlineStr">
        <is>
          <t>Généré (octobre)</t>
        </is>
      </c>
      <c r="V549" s="75" t="inlineStr">
        <is>
          <t>Jour férié (Évacuation) — à confirmer</t>
        </is>
      </c>
      <c r="W549" s="10" t="n"/>
      <c r="X549" s="10" t="inlineStr"/>
      <c r="Y549" s="64">
        <f>IF($M549="","",IF(SUMPRODUCT(($D$4:$D$863=$D549)*($M$4:$M$863=$M549)*($T$4:$T$863&lt;&gt;$T549)*($F$4:$F$863&lt;$G549)*($G$4:$G$863&gt;$F549))&gt;0,"⚠ CONFLIT",""))</f>
        <v/>
      </c>
      <c r="Z549" s="64">
        <f>IF($J549="","",IF(SUMPRODUCT(($D$4:$D$863=$D549)*($J$4:$J$863=$J549)*($T$4:$T$863&lt;&gt;$T549)*($F$4:$F$863&lt;$G549)*($G$4:$G$863&gt;$F549)*(1-($X$4:$X$863="Oui")*($X549="Oui")))&gt;0,"⚠ CONFLIT",""))</f>
        <v/>
      </c>
      <c r="AA549" s="64">
        <f>IF(COUNTIFS($D$4:$D$863,$D549,$J$4:$J$863,$J549,$F$4:$F$863,$F549,$K$4:$K$863,$K549)&gt;1,"⚠ DOUBLON","")</f>
        <v/>
      </c>
      <c r="AB549" s="64">
        <f>IF(COUNTIF($T$4:$T$863,$T549)&lt;&gt;COUNTIFS($T$4:$T$863,$T549,$D$4:$D$863,$D549,$F$4:$F$863,$F549,$G$4:$G$863,$G549,$K$4:$K$863,$K549,$M$4:$M$863,$M549),"⚠ INCOHÉRENT","")</f>
        <v/>
      </c>
      <c r="AC549" s="64">
        <f>COUNTIFS($A$4:$A549,$A549,$J$4:$J549,$J549,$E$4:$E549,$E549)</f>
        <v/>
      </c>
      <c r="AD549" s="65">
        <f>$A549&amp;"|"&amp;$J549&amp;"|"&amp;$E549&amp;"|"&amp;$AC549</f>
        <v/>
      </c>
      <c r="AE549" s="66">
        <f>IF($W549&lt;&gt;"","⚑ "&amp;$W549&amp;CHAR(10),"")&amp;TEXT($F549,"hh:mm")&amp;"-"&amp;TEXT($G549,"hh:mm")&amp;IF(OR($P549="Quinzaine A",AND($P549="Hebdo · groupes alternés",$C549="A"))," Q-A",IF(OR($P549="Quinzaine B",AND($P549="Hebdo · groupes alternés",$C549="B"))," Q-B",IF($P549="Exception"," PONCT.","")))&amp;IF($X549="Oui"," OPT","")&amp;CHAR(10)&amp;$K549&amp;CHAR(10)&amp;$M549&amp;IF($N549&lt;&gt;"",CHAR(10)&amp;"Salle "&amp;$N549,"")&amp;IF($O549="En ligne",CHAR(10)&amp;"EN LIGNE","")&amp;IF($V549&lt;&gt;"",CHAR(10)&amp;$V549,"")</f>
        <v/>
      </c>
      <c r="AF549" s="65" t="inlineStr"/>
      <c r="AG549" s="65" t="inlineStr">
        <is>
          <t>— généré —</t>
        </is>
      </c>
    </row>
    <row r="550" ht="15" customHeight="1">
      <c r="A550" s="81" t="inlineStr">
        <is>
          <t>S5</t>
        </is>
      </c>
      <c r="B550" s="82" t="inlineStr">
        <is>
          <t>du 12 au 18 octobre 2026</t>
        </is>
      </c>
      <c r="C550" s="81" t="inlineStr">
        <is>
          <t>A</t>
        </is>
      </c>
      <c r="D550" s="83" t="n">
        <v>46310</v>
      </c>
      <c r="E550" s="81" t="inlineStr">
        <is>
          <t>Jeudi</t>
        </is>
      </c>
      <c r="F550" s="84" t="n">
        <v>0.7916666666666666</v>
      </c>
      <c r="G550" s="84" t="n">
        <v>0.8541666666666666</v>
      </c>
      <c r="H550" s="85">
        <f>IF(OR($F550="",$G550=""),"",($G550-$F550)*24)</f>
        <v/>
      </c>
      <c r="I550" s="81" t="inlineStr">
        <is>
          <t>Bac</t>
        </is>
      </c>
      <c r="J550" s="82" t="inlineStr">
        <is>
          <t>Bac Eco</t>
        </is>
      </c>
      <c r="K550" s="91" t="inlineStr">
        <is>
          <t>Philo</t>
        </is>
      </c>
      <c r="L550" s="91" t="inlineStr">
        <is>
          <t>Philo</t>
        </is>
      </c>
      <c r="M550" s="82" t="inlineStr">
        <is>
          <t>Fayssel</t>
        </is>
      </c>
      <c r="N550" s="81" t="n"/>
      <c r="O550" s="81" t="n"/>
      <c r="P550" s="81" t="inlineStr">
        <is>
          <t>Hebdo · groupes alternés</t>
        </is>
      </c>
      <c r="Q550" s="82" t="inlineStr">
        <is>
          <t>Bac Eco + Bac SCE + Bac INFO</t>
        </is>
      </c>
      <c r="R550" s="81" t="n">
        <v>3</v>
      </c>
      <c r="S550" s="81" t="inlineStr">
        <is>
          <t>Oui</t>
        </is>
      </c>
      <c r="T550" s="81" t="inlineStr">
        <is>
          <t>S5-043</t>
        </is>
      </c>
      <c r="U550" s="82" t="inlineStr">
        <is>
          <t>Généré (octobre)</t>
        </is>
      </c>
      <c r="V550" s="82" t="inlineStr">
        <is>
          <t>Jour férié (Évacuation) — à confirmer</t>
        </is>
      </c>
      <c r="W550" s="10" t="n"/>
      <c r="X550" s="10" t="inlineStr"/>
      <c r="Y550" s="64">
        <f>IF($M550="","",IF(SUMPRODUCT(($D$4:$D$863=$D550)*($M$4:$M$863=$M550)*($T$4:$T$863&lt;&gt;$T550)*($F$4:$F$863&lt;$G550)*($G$4:$G$863&gt;$F550))&gt;0,"⚠ CONFLIT",""))</f>
        <v/>
      </c>
      <c r="Z550" s="64">
        <f>IF($J550="","",IF(SUMPRODUCT(($D$4:$D$863=$D550)*($J$4:$J$863=$J550)*($T$4:$T$863&lt;&gt;$T550)*($F$4:$F$863&lt;$G550)*($G$4:$G$863&gt;$F550)*(1-($X$4:$X$863="Oui")*($X550="Oui")))&gt;0,"⚠ CONFLIT",""))</f>
        <v/>
      </c>
      <c r="AA550" s="64">
        <f>IF(COUNTIFS($D$4:$D$863,$D550,$J$4:$J$863,$J550,$F$4:$F$863,$F550,$K$4:$K$863,$K550)&gt;1,"⚠ DOUBLON","")</f>
        <v/>
      </c>
      <c r="AB550" s="64">
        <f>IF(COUNTIF($T$4:$T$863,$T550)&lt;&gt;COUNTIFS($T$4:$T$863,$T550,$D$4:$D$863,$D550,$F$4:$F$863,$F550,$G$4:$G$863,$G550,$K$4:$K$863,$K550,$M$4:$M$863,$M550),"⚠ INCOHÉRENT","")</f>
        <v/>
      </c>
      <c r="AC550" s="64">
        <f>COUNTIFS($A$4:$A550,$A550,$J$4:$J550,$J550,$E$4:$E550,$E550)</f>
        <v/>
      </c>
      <c r="AD550" s="65">
        <f>$A550&amp;"|"&amp;$J550&amp;"|"&amp;$E550&amp;"|"&amp;$AC550</f>
        <v/>
      </c>
      <c r="AE550" s="66">
        <f>IF($W550&lt;&gt;"","⚑ "&amp;$W550&amp;CHAR(10),"")&amp;TEXT($F550,"hh:mm")&amp;"-"&amp;TEXT($G550,"hh:mm")&amp;IF(OR($P550="Quinzaine A",AND($P550="Hebdo · groupes alternés",$C550="A"))," Q-A",IF(OR($P550="Quinzaine B",AND($P550="Hebdo · groupes alternés",$C550="B"))," Q-B",IF($P550="Exception"," PONCT.","")))&amp;IF($X550="Oui"," OPT","")&amp;CHAR(10)&amp;$K550&amp;CHAR(10)&amp;$M550&amp;IF($N550&lt;&gt;"",CHAR(10)&amp;"Salle "&amp;$N550,"")&amp;IF($O550="En ligne",CHAR(10)&amp;"EN LIGNE","")&amp;IF($V550&lt;&gt;"",CHAR(10)&amp;$V550,"")</f>
        <v/>
      </c>
      <c r="AF550" s="65" t="inlineStr"/>
      <c r="AG550" s="65" t="inlineStr">
        <is>
          <t>— généré —</t>
        </is>
      </c>
    </row>
    <row r="551" ht="15" customHeight="1">
      <c r="A551" s="81" t="inlineStr">
        <is>
          <t>S5</t>
        </is>
      </c>
      <c r="B551" s="82" t="inlineStr">
        <is>
          <t>du 12 au 18 octobre 2026</t>
        </is>
      </c>
      <c r="C551" s="81" t="inlineStr">
        <is>
          <t>A</t>
        </is>
      </c>
      <c r="D551" s="83" t="n">
        <v>46310</v>
      </c>
      <c r="E551" s="81" t="inlineStr">
        <is>
          <t>Jeudi</t>
        </is>
      </c>
      <c r="F551" s="84" t="n">
        <v>0.7916666666666666</v>
      </c>
      <c r="G551" s="84" t="n">
        <v>0.8541666666666666</v>
      </c>
      <c r="H551" s="85">
        <f>IF(OR($F551="",$G551=""),"",($G551-$F551)*24)</f>
        <v/>
      </c>
      <c r="I551" s="81" t="inlineStr">
        <is>
          <t>Bac</t>
        </is>
      </c>
      <c r="J551" s="82" t="inlineStr">
        <is>
          <t>Bac SCE</t>
        </is>
      </c>
      <c r="K551" s="91" t="inlineStr">
        <is>
          <t>Philo</t>
        </is>
      </c>
      <c r="L551" s="91" t="inlineStr">
        <is>
          <t>Philo</t>
        </is>
      </c>
      <c r="M551" s="82" t="inlineStr">
        <is>
          <t>Fayssel</t>
        </is>
      </c>
      <c r="N551" s="81" t="n"/>
      <c r="O551" s="81" t="n"/>
      <c r="P551" s="81" t="inlineStr">
        <is>
          <t>Hebdo · groupes alternés</t>
        </is>
      </c>
      <c r="Q551" s="82" t="inlineStr">
        <is>
          <t>Bac Eco + Bac SCE + Bac INFO</t>
        </is>
      </c>
      <c r="R551" s="81" t="n">
        <v>3</v>
      </c>
      <c r="S551" s="81" t="inlineStr"/>
      <c r="T551" s="81" t="inlineStr">
        <is>
          <t>S5-043</t>
        </is>
      </c>
      <c r="U551" s="82" t="inlineStr">
        <is>
          <t>Généré (octobre)</t>
        </is>
      </c>
      <c r="V551" s="82" t="inlineStr">
        <is>
          <t>Jour férié (Évacuation) — à confirmer</t>
        </is>
      </c>
      <c r="W551" s="10" t="n"/>
      <c r="X551" s="10" t="inlineStr"/>
      <c r="Y551" s="64">
        <f>IF($M551="","",IF(SUMPRODUCT(($D$4:$D$863=$D551)*($M$4:$M$863=$M551)*($T$4:$T$863&lt;&gt;$T551)*($F$4:$F$863&lt;$G551)*($G$4:$G$863&gt;$F551))&gt;0,"⚠ CONFLIT",""))</f>
        <v/>
      </c>
      <c r="Z551" s="64">
        <f>IF($J551="","",IF(SUMPRODUCT(($D$4:$D$863=$D551)*($J$4:$J$863=$J551)*($T$4:$T$863&lt;&gt;$T551)*($F$4:$F$863&lt;$G551)*($G$4:$G$863&gt;$F551)*(1-($X$4:$X$863="Oui")*($X551="Oui")))&gt;0,"⚠ CONFLIT",""))</f>
        <v/>
      </c>
      <c r="AA551" s="64">
        <f>IF(COUNTIFS($D$4:$D$863,$D551,$J$4:$J$863,$J551,$F$4:$F$863,$F551,$K$4:$K$863,$K551)&gt;1,"⚠ DOUBLON","")</f>
        <v/>
      </c>
      <c r="AB551" s="64">
        <f>IF(COUNTIF($T$4:$T$863,$T551)&lt;&gt;COUNTIFS($T$4:$T$863,$T551,$D$4:$D$863,$D551,$F$4:$F$863,$F551,$G$4:$G$863,$G551,$K$4:$K$863,$K551,$M$4:$M$863,$M551),"⚠ INCOHÉRENT","")</f>
        <v/>
      </c>
      <c r="AC551" s="64">
        <f>COUNTIFS($A$4:$A551,$A551,$J$4:$J551,$J551,$E$4:$E551,$E551)</f>
        <v/>
      </c>
      <c r="AD551" s="65">
        <f>$A551&amp;"|"&amp;$J551&amp;"|"&amp;$E551&amp;"|"&amp;$AC551</f>
        <v/>
      </c>
      <c r="AE551" s="66">
        <f>IF($W551&lt;&gt;"","⚑ "&amp;$W551&amp;CHAR(10),"")&amp;TEXT($F551,"hh:mm")&amp;"-"&amp;TEXT($G551,"hh:mm")&amp;IF(OR($P551="Quinzaine A",AND($P551="Hebdo · groupes alternés",$C551="A"))," Q-A",IF(OR($P551="Quinzaine B",AND($P551="Hebdo · groupes alternés",$C551="B"))," Q-B",IF($P551="Exception"," PONCT.","")))&amp;IF($X551="Oui"," OPT","")&amp;CHAR(10)&amp;$K551&amp;CHAR(10)&amp;$M551&amp;IF($N551&lt;&gt;"",CHAR(10)&amp;"Salle "&amp;$N551,"")&amp;IF($O551="En ligne",CHAR(10)&amp;"EN LIGNE","")&amp;IF($V551&lt;&gt;"",CHAR(10)&amp;$V551,"")</f>
        <v/>
      </c>
      <c r="AF551" s="65" t="inlineStr"/>
      <c r="AG551" s="65" t="inlineStr">
        <is>
          <t>— généré —</t>
        </is>
      </c>
    </row>
    <row r="552" ht="15" customHeight="1">
      <c r="A552" s="81" t="inlineStr">
        <is>
          <t>S5</t>
        </is>
      </c>
      <c r="B552" s="82" t="inlineStr">
        <is>
          <t>du 12 au 18 octobre 2026</t>
        </is>
      </c>
      <c r="C552" s="81" t="inlineStr">
        <is>
          <t>A</t>
        </is>
      </c>
      <c r="D552" s="83" t="n">
        <v>46310</v>
      </c>
      <c r="E552" s="81" t="inlineStr">
        <is>
          <t>Jeudi</t>
        </is>
      </c>
      <c r="F552" s="84" t="n">
        <v>0.7916666666666666</v>
      </c>
      <c r="G552" s="84" t="n">
        <v>0.8541666666666666</v>
      </c>
      <c r="H552" s="85">
        <f>IF(OR($F552="",$G552=""),"",($G552-$F552)*24)</f>
        <v/>
      </c>
      <c r="I552" s="81" t="inlineStr">
        <is>
          <t>Bac</t>
        </is>
      </c>
      <c r="J552" s="82" t="inlineStr">
        <is>
          <t>Bac INFO</t>
        </is>
      </c>
      <c r="K552" s="91" t="inlineStr">
        <is>
          <t>Philo</t>
        </is>
      </c>
      <c r="L552" s="91" t="inlineStr">
        <is>
          <t>Philo</t>
        </is>
      </c>
      <c r="M552" s="82" t="inlineStr">
        <is>
          <t>Fayssel</t>
        </is>
      </c>
      <c r="N552" s="81" t="n"/>
      <c r="O552" s="81" t="n"/>
      <c r="P552" s="81" t="inlineStr">
        <is>
          <t>Hebdo · groupes alternés</t>
        </is>
      </c>
      <c r="Q552" s="82" t="inlineStr">
        <is>
          <t>Bac Eco + Bac SCE + Bac INFO</t>
        </is>
      </c>
      <c r="R552" s="81" t="n">
        <v>3</v>
      </c>
      <c r="S552" s="81" t="inlineStr"/>
      <c r="T552" s="81" t="inlineStr">
        <is>
          <t>S5-043</t>
        </is>
      </c>
      <c r="U552" s="82" t="inlineStr">
        <is>
          <t>Généré (octobre)</t>
        </is>
      </c>
      <c r="V552" s="82" t="inlineStr">
        <is>
          <t>Jour férié (Évacuation) — à confirmer</t>
        </is>
      </c>
      <c r="W552" s="10" t="n"/>
      <c r="X552" s="10" t="inlineStr"/>
      <c r="Y552" s="64">
        <f>IF($M552="","",IF(SUMPRODUCT(($D$4:$D$863=$D552)*($M$4:$M$863=$M552)*($T$4:$T$863&lt;&gt;$T552)*($F$4:$F$863&lt;$G552)*($G$4:$G$863&gt;$F552))&gt;0,"⚠ CONFLIT",""))</f>
        <v/>
      </c>
      <c r="Z552" s="64">
        <f>IF($J552="","",IF(SUMPRODUCT(($D$4:$D$863=$D552)*($J$4:$J$863=$J552)*($T$4:$T$863&lt;&gt;$T552)*($F$4:$F$863&lt;$G552)*($G$4:$G$863&gt;$F552)*(1-($X$4:$X$863="Oui")*($X552="Oui")))&gt;0,"⚠ CONFLIT",""))</f>
        <v/>
      </c>
      <c r="AA552" s="64">
        <f>IF(COUNTIFS($D$4:$D$863,$D552,$J$4:$J$863,$J552,$F$4:$F$863,$F552,$K$4:$K$863,$K552)&gt;1,"⚠ DOUBLON","")</f>
        <v/>
      </c>
      <c r="AB552" s="64">
        <f>IF(COUNTIF($T$4:$T$863,$T552)&lt;&gt;COUNTIFS($T$4:$T$863,$T552,$D$4:$D$863,$D552,$F$4:$F$863,$F552,$G$4:$G$863,$G552,$K$4:$K$863,$K552,$M$4:$M$863,$M552),"⚠ INCOHÉRENT","")</f>
        <v/>
      </c>
      <c r="AC552" s="64">
        <f>COUNTIFS($A$4:$A552,$A552,$J$4:$J552,$J552,$E$4:$E552,$E552)</f>
        <v/>
      </c>
      <c r="AD552" s="65">
        <f>$A552&amp;"|"&amp;$J552&amp;"|"&amp;$E552&amp;"|"&amp;$AC552</f>
        <v/>
      </c>
      <c r="AE552" s="66">
        <f>IF($W552&lt;&gt;"","⚑ "&amp;$W552&amp;CHAR(10),"")&amp;TEXT($F552,"hh:mm")&amp;"-"&amp;TEXT($G552,"hh:mm")&amp;IF(OR($P552="Quinzaine A",AND($P552="Hebdo · groupes alternés",$C552="A"))," Q-A",IF(OR($P552="Quinzaine B",AND($P552="Hebdo · groupes alternés",$C552="B"))," Q-B",IF($P552="Exception"," PONCT.","")))&amp;IF($X552="Oui"," OPT","")&amp;CHAR(10)&amp;$K552&amp;CHAR(10)&amp;$M552&amp;IF($N552&lt;&gt;"",CHAR(10)&amp;"Salle "&amp;$N552,"")&amp;IF($O552="En ligne",CHAR(10)&amp;"EN LIGNE","")&amp;IF($V552&lt;&gt;"",CHAR(10)&amp;$V552,"")</f>
        <v/>
      </c>
      <c r="AF552" s="65" t="inlineStr"/>
      <c r="AG552" s="65" t="inlineStr">
        <is>
          <t>— généré —</t>
        </is>
      </c>
    </row>
    <row r="553" ht="15" customHeight="1">
      <c r="A553" s="58" t="inlineStr">
        <is>
          <t>S5</t>
        </is>
      </c>
      <c r="B553" s="59" t="inlineStr">
        <is>
          <t>du 12 au 18 octobre 2026</t>
        </is>
      </c>
      <c r="C553" s="58" t="inlineStr">
        <is>
          <t>A</t>
        </is>
      </c>
      <c r="D553" s="60" t="n">
        <v>46311</v>
      </c>
      <c r="E553" s="58" t="inlineStr">
        <is>
          <t>Vendredi</t>
        </is>
      </c>
      <c r="F553" s="61" t="n">
        <v>0.7916666666666666</v>
      </c>
      <c r="G553" s="61" t="n">
        <v>0.8541666666666666</v>
      </c>
      <c r="H553" s="62">
        <f>IF(OR($F553="",$G553=""),"",($G553-$F553)*24)</f>
        <v/>
      </c>
      <c r="I553" s="58" t="inlineStr">
        <is>
          <t>Primaire</t>
        </is>
      </c>
      <c r="J553" s="59" t="inlineStr">
        <is>
          <t>4éme</t>
        </is>
      </c>
      <c r="K553" s="92" t="inlineStr">
        <is>
          <t>إيقاظ علمي</t>
        </is>
      </c>
      <c r="L553" s="92" t="inlineStr">
        <is>
          <t>Éveil scientifique</t>
        </is>
      </c>
      <c r="M553" s="59" t="inlineStr">
        <is>
          <t>Bassma</t>
        </is>
      </c>
      <c r="N553" s="58" t="n"/>
      <c r="O553" s="58" t="n"/>
      <c r="P553" s="58" t="inlineStr">
        <is>
          <t>Hebdo · groupes alternés</t>
        </is>
      </c>
      <c r="Q553" s="59" t="inlineStr"/>
      <c r="R553" s="58" t="n">
        <v>1</v>
      </c>
      <c r="S553" s="58" t="inlineStr">
        <is>
          <t>Oui</t>
        </is>
      </c>
      <c r="T553" s="58" t="inlineStr">
        <is>
          <t>S5-044</t>
        </is>
      </c>
      <c r="U553" s="59" t="inlineStr">
        <is>
          <t>Généré (octobre)</t>
        </is>
      </c>
      <c r="V553" s="59" t="inlineStr"/>
      <c r="W553" s="10" t="n"/>
      <c r="X553" s="10" t="inlineStr"/>
      <c r="Y553" s="64">
        <f>IF($M553="","",IF(SUMPRODUCT(($D$4:$D$863=$D553)*($M$4:$M$863=$M553)*($T$4:$T$863&lt;&gt;$T553)*($F$4:$F$863&lt;$G553)*($G$4:$G$863&gt;$F553))&gt;0,"⚠ CONFLIT",""))</f>
        <v/>
      </c>
      <c r="Z553" s="64">
        <f>IF($J553="","",IF(SUMPRODUCT(($D$4:$D$863=$D553)*($J$4:$J$863=$J553)*($T$4:$T$863&lt;&gt;$T553)*($F$4:$F$863&lt;$G553)*($G$4:$G$863&gt;$F553)*(1-($X$4:$X$863="Oui")*($X553="Oui")))&gt;0,"⚠ CONFLIT",""))</f>
        <v/>
      </c>
      <c r="AA553" s="64">
        <f>IF(COUNTIFS($D$4:$D$863,$D553,$J$4:$J$863,$J553,$F$4:$F$863,$F553,$K$4:$K$863,$K553)&gt;1,"⚠ DOUBLON","")</f>
        <v/>
      </c>
      <c r="AB553" s="64">
        <f>IF(COUNTIF($T$4:$T$863,$T553)&lt;&gt;COUNTIFS($T$4:$T$863,$T553,$D$4:$D$863,$D553,$F$4:$F$863,$F553,$G$4:$G$863,$G553,$K$4:$K$863,$K553,$M$4:$M$863,$M553),"⚠ INCOHÉRENT","")</f>
        <v/>
      </c>
      <c r="AC553" s="64">
        <f>COUNTIFS($A$4:$A553,$A553,$J$4:$J553,$J553,$E$4:$E553,$E553)</f>
        <v/>
      </c>
      <c r="AD553" s="65">
        <f>$A553&amp;"|"&amp;$J553&amp;"|"&amp;$E553&amp;"|"&amp;$AC553</f>
        <v/>
      </c>
      <c r="AE553" s="66">
        <f>IF($W553&lt;&gt;"","⚑ "&amp;$W553&amp;CHAR(10),"")&amp;TEXT($F553,"hh:mm")&amp;"-"&amp;TEXT($G553,"hh:mm")&amp;IF(OR($P553="Quinzaine A",AND($P553="Hebdo · groupes alternés",$C553="A"))," Q-A",IF(OR($P553="Quinzaine B",AND($P553="Hebdo · groupes alternés",$C553="B"))," Q-B",IF($P553="Exception"," PONCT.","")))&amp;IF($X553="Oui"," OPT","")&amp;CHAR(10)&amp;$K553&amp;CHAR(10)&amp;$M553&amp;IF($N553&lt;&gt;"",CHAR(10)&amp;"Salle "&amp;$N553,"")&amp;IF($O553="En ligne",CHAR(10)&amp;"EN LIGNE","")&amp;IF($V553&lt;&gt;"",CHAR(10)&amp;$V553,"")</f>
        <v/>
      </c>
      <c r="AF553" s="65" t="inlineStr"/>
      <c r="AG553" s="65" t="inlineStr">
        <is>
          <t>— généré —</t>
        </is>
      </c>
    </row>
    <row r="554" ht="15" customHeight="1">
      <c r="A554" s="58" t="inlineStr">
        <is>
          <t>S5</t>
        </is>
      </c>
      <c r="B554" s="59" t="inlineStr">
        <is>
          <t>du 12 au 18 octobre 2026</t>
        </is>
      </c>
      <c r="C554" s="58" t="inlineStr">
        <is>
          <t>A</t>
        </is>
      </c>
      <c r="D554" s="60" t="n">
        <v>46311</v>
      </c>
      <c r="E554" s="58" t="inlineStr">
        <is>
          <t>Vendredi</t>
        </is>
      </c>
      <c r="F554" s="61" t="n">
        <v>0.8125</v>
      </c>
      <c r="G554" s="61" t="n">
        <v>0.875</v>
      </c>
      <c r="H554" s="62">
        <f>IF(OR($F554="",$G554=""),"",($G554-$F554)*24)</f>
        <v/>
      </c>
      <c r="I554" s="58" t="inlineStr">
        <is>
          <t>Primaire</t>
        </is>
      </c>
      <c r="J554" s="59" t="inlineStr">
        <is>
          <t>6éme Pilote (A)</t>
        </is>
      </c>
      <c r="K554" s="92" t="inlineStr">
        <is>
          <t>إيقاظ علمي</t>
        </is>
      </c>
      <c r="L554" s="92" t="inlineStr">
        <is>
          <t>Éveil scientifique</t>
        </is>
      </c>
      <c r="M554" s="59" t="inlineStr">
        <is>
          <t>Noura</t>
        </is>
      </c>
      <c r="N554" s="58" t="n"/>
      <c r="O554" s="58" t="n"/>
      <c r="P554" s="58" t="inlineStr">
        <is>
          <t>Hebdomadaire</t>
        </is>
      </c>
      <c r="Q554" s="59" t="inlineStr">
        <is>
          <t>6éme Pilote (A) + 6éme (B)</t>
        </is>
      </c>
      <c r="R554" s="58" t="n">
        <v>2</v>
      </c>
      <c r="S554" s="58" t="inlineStr">
        <is>
          <t>Oui</t>
        </is>
      </c>
      <c r="T554" s="58" t="inlineStr">
        <is>
          <t>S5-045</t>
        </is>
      </c>
      <c r="U554" s="59" t="inlineStr">
        <is>
          <t>Généré (octobre)</t>
        </is>
      </c>
      <c r="V554" s="59" t="inlineStr"/>
      <c r="W554" s="10" t="n"/>
      <c r="X554" s="10" t="inlineStr"/>
      <c r="Y554" s="64">
        <f>IF($M554="","",IF(SUMPRODUCT(($D$4:$D$863=$D554)*($M$4:$M$863=$M554)*($T$4:$T$863&lt;&gt;$T554)*($F$4:$F$863&lt;$G554)*($G$4:$G$863&gt;$F554))&gt;0,"⚠ CONFLIT",""))</f>
        <v/>
      </c>
      <c r="Z554" s="64">
        <f>IF($J554="","",IF(SUMPRODUCT(($D$4:$D$863=$D554)*($J$4:$J$863=$J554)*($T$4:$T$863&lt;&gt;$T554)*($F$4:$F$863&lt;$G554)*($G$4:$G$863&gt;$F554)*(1-($X$4:$X$863="Oui")*($X554="Oui")))&gt;0,"⚠ CONFLIT",""))</f>
        <v/>
      </c>
      <c r="AA554" s="64">
        <f>IF(COUNTIFS($D$4:$D$863,$D554,$J$4:$J$863,$J554,$F$4:$F$863,$F554,$K$4:$K$863,$K554)&gt;1,"⚠ DOUBLON","")</f>
        <v/>
      </c>
      <c r="AB554" s="64">
        <f>IF(COUNTIF($T$4:$T$863,$T554)&lt;&gt;COUNTIFS($T$4:$T$863,$T554,$D$4:$D$863,$D554,$F$4:$F$863,$F554,$G$4:$G$863,$G554,$K$4:$K$863,$K554,$M$4:$M$863,$M554),"⚠ INCOHÉRENT","")</f>
        <v/>
      </c>
      <c r="AC554" s="64">
        <f>COUNTIFS($A$4:$A554,$A554,$J$4:$J554,$J554,$E$4:$E554,$E554)</f>
        <v/>
      </c>
      <c r="AD554" s="65">
        <f>$A554&amp;"|"&amp;$J554&amp;"|"&amp;$E554&amp;"|"&amp;$AC554</f>
        <v/>
      </c>
      <c r="AE554" s="66">
        <f>IF($W554&lt;&gt;"","⚑ "&amp;$W554&amp;CHAR(10),"")&amp;TEXT($F554,"hh:mm")&amp;"-"&amp;TEXT($G554,"hh:mm")&amp;IF(OR($P554="Quinzaine A",AND($P554="Hebdo · groupes alternés",$C554="A"))," Q-A",IF(OR($P554="Quinzaine B",AND($P554="Hebdo · groupes alternés",$C554="B"))," Q-B",IF($P554="Exception"," PONCT.","")))&amp;IF($X554="Oui"," OPT","")&amp;CHAR(10)&amp;$K554&amp;CHAR(10)&amp;$M554&amp;IF($N554&lt;&gt;"",CHAR(10)&amp;"Salle "&amp;$N554,"")&amp;IF($O554="En ligne",CHAR(10)&amp;"EN LIGNE","")&amp;IF($V554&lt;&gt;"",CHAR(10)&amp;$V554,"")</f>
        <v/>
      </c>
      <c r="AF554" s="65" t="inlineStr"/>
      <c r="AG554" s="65" t="inlineStr">
        <is>
          <t>— généré —</t>
        </is>
      </c>
    </row>
    <row r="555" ht="15" customHeight="1">
      <c r="A555" s="58" t="inlineStr">
        <is>
          <t>S5</t>
        </is>
      </c>
      <c r="B555" s="59" t="inlineStr">
        <is>
          <t>du 12 au 18 octobre 2026</t>
        </is>
      </c>
      <c r="C555" s="58" t="inlineStr">
        <is>
          <t>A</t>
        </is>
      </c>
      <c r="D555" s="60" t="n">
        <v>46311</v>
      </c>
      <c r="E555" s="58" t="inlineStr">
        <is>
          <t>Vendredi</t>
        </is>
      </c>
      <c r="F555" s="61" t="n">
        <v>0.8125</v>
      </c>
      <c r="G555" s="61" t="n">
        <v>0.875</v>
      </c>
      <c r="H555" s="62">
        <f>IF(OR($F555="",$G555=""),"",($G555-$F555)*24)</f>
        <v/>
      </c>
      <c r="I555" s="58" t="inlineStr">
        <is>
          <t>Primaire</t>
        </is>
      </c>
      <c r="J555" s="59" t="inlineStr">
        <is>
          <t>6éme (B)</t>
        </is>
      </c>
      <c r="K555" s="92" t="inlineStr">
        <is>
          <t>إيقاظ علمي</t>
        </is>
      </c>
      <c r="L555" s="92" t="inlineStr">
        <is>
          <t>Éveil scientifique</t>
        </is>
      </c>
      <c r="M555" s="59" t="inlineStr">
        <is>
          <t>Noura</t>
        </is>
      </c>
      <c r="N555" s="58" t="n"/>
      <c r="O555" s="58" t="n"/>
      <c r="P555" s="58" t="inlineStr">
        <is>
          <t>Hebdomadaire</t>
        </is>
      </c>
      <c r="Q555" s="59" t="inlineStr">
        <is>
          <t>6éme Pilote (A) + 6éme (B)</t>
        </is>
      </c>
      <c r="R555" s="58" t="n">
        <v>2</v>
      </c>
      <c r="S555" s="58" t="inlineStr"/>
      <c r="T555" s="58" t="inlineStr">
        <is>
          <t>S5-045</t>
        </is>
      </c>
      <c r="U555" s="59" t="inlineStr">
        <is>
          <t>Généré (octobre)</t>
        </is>
      </c>
      <c r="V555" s="59" t="inlineStr"/>
      <c r="W555" s="10" t="n"/>
      <c r="X555" s="10" t="inlineStr"/>
      <c r="Y555" s="64">
        <f>IF($M555="","",IF(SUMPRODUCT(($D$4:$D$863=$D555)*($M$4:$M$863=$M555)*($T$4:$T$863&lt;&gt;$T555)*($F$4:$F$863&lt;$G555)*($G$4:$G$863&gt;$F555))&gt;0,"⚠ CONFLIT",""))</f>
        <v/>
      </c>
      <c r="Z555" s="64">
        <f>IF($J555="","",IF(SUMPRODUCT(($D$4:$D$863=$D555)*($J$4:$J$863=$J555)*($T$4:$T$863&lt;&gt;$T555)*($F$4:$F$863&lt;$G555)*($G$4:$G$863&gt;$F555)*(1-($X$4:$X$863="Oui")*($X555="Oui")))&gt;0,"⚠ CONFLIT",""))</f>
        <v/>
      </c>
      <c r="AA555" s="64">
        <f>IF(COUNTIFS($D$4:$D$863,$D555,$J$4:$J$863,$J555,$F$4:$F$863,$F555,$K$4:$K$863,$K555)&gt;1,"⚠ DOUBLON","")</f>
        <v/>
      </c>
      <c r="AB555" s="64">
        <f>IF(COUNTIF($T$4:$T$863,$T555)&lt;&gt;COUNTIFS($T$4:$T$863,$T555,$D$4:$D$863,$D555,$F$4:$F$863,$F555,$G$4:$G$863,$G555,$K$4:$K$863,$K555,$M$4:$M$863,$M555),"⚠ INCOHÉRENT","")</f>
        <v/>
      </c>
      <c r="AC555" s="64">
        <f>COUNTIFS($A$4:$A555,$A555,$J$4:$J555,$J555,$E$4:$E555,$E555)</f>
        <v/>
      </c>
      <c r="AD555" s="65">
        <f>$A555&amp;"|"&amp;$J555&amp;"|"&amp;$E555&amp;"|"&amp;$AC555</f>
        <v/>
      </c>
      <c r="AE555" s="66">
        <f>IF($W555&lt;&gt;"","⚑ "&amp;$W555&amp;CHAR(10),"")&amp;TEXT($F555,"hh:mm")&amp;"-"&amp;TEXT($G555,"hh:mm")&amp;IF(OR($P555="Quinzaine A",AND($P555="Hebdo · groupes alternés",$C555="A"))," Q-A",IF(OR($P555="Quinzaine B",AND($P555="Hebdo · groupes alternés",$C555="B"))," Q-B",IF($P555="Exception"," PONCT.","")))&amp;IF($X555="Oui"," OPT","")&amp;CHAR(10)&amp;$K555&amp;CHAR(10)&amp;$M555&amp;IF($N555&lt;&gt;"",CHAR(10)&amp;"Salle "&amp;$N555,"")&amp;IF($O555="En ligne",CHAR(10)&amp;"EN LIGNE","")&amp;IF($V555&lt;&gt;"",CHAR(10)&amp;$V555,"")</f>
        <v/>
      </c>
      <c r="AF555" s="65" t="inlineStr"/>
      <c r="AG555" s="65" t="inlineStr">
        <is>
          <t>— généré —</t>
        </is>
      </c>
    </row>
    <row r="556" ht="15" customHeight="1">
      <c r="A556" s="68" t="inlineStr">
        <is>
          <t>S5</t>
        </is>
      </c>
      <c r="B556" s="69" t="inlineStr">
        <is>
          <t>du 12 au 18 octobre 2026</t>
        </is>
      </c>
      <c r="C556" s="68" t="inlineStr">
        <is>
          <t>A</t>
        </is>
      </c>
      <c r="D556" s="70" t="n">
        <v>46311</v>
      </c>
      <c r="E556" s="68" t="inlineStr">
        <is>
          <t>Vendredi</t>
        </is>
      </c>
      <c r="F556" s="71" t="n">
        <v>0.75</v>
      </c>
      <c r="G556" s="71" t="n">
        <v>0.8125</v>
      </c>
      <c r="H556" s="72">
        <f>IF(OR($F556="",$G556=""),"",($G556-$F556)*24)</f>
        <v/>
      </c>
      <c r="I556" s="68" t="inlineStr">
        <is>
          <t>Collège</t>
        </is>
      </c>
      <c r="J556" s="69" t="inlineStr">
        <is>
          <t>7éme (A)</t>
        </is>
      </c>
      <c r="K556" s="79" t="inlineStr">
        <is>
          <t>Math</t>
        </is>
      </c>
      <c r="L556" s="79" t="inlineStr">
        <is>
          <t>Math</t>
        </is>
      </c>
      <c r="M556" s="69" t="inlineStr">
        <is>
          <t>Khouloud</t>
        </is>
      </c>
      <c r="N556" s="68" t="n"/>
      <c r="O556" s="68" t="n"/>
      <c r="P556" s="68" t="inlineStr">
        <is>
          <t>Hebdomadaire</t>
        </is>
      </c>
      <c r="Q556" s="69" t="inlineStr"/>
      <c r="R556" s="68" t="n">
        <v>1</v>
      </c>
      <c r="S556" s="68" t="inlineStr">
        <is>
          <t>Oui</t>
        </is>
      </c>
      <c r="T556" s="68" t="inlineStr">
        <is>
          <t>S5-046</t>
        </is>
      </c>
      <c r="U556" s="69" t="inlineStr">
        <is>
          <t>Généré (octobre)</t>
        </is>
      </c>
      <c r="V556" s="69" t="inlineStr"/>
      <c r="W556" s="10" t="n"/>
      <c r="X556" s="10" t="inlineStr"/>
      <c r="Y556" s="64">
        <f>IF($M556="","",IF(SUMPRODUCT(($D$4:$D$863=$D556)*($M$4:$M$863=$M556)*($T$4:$T$863&lt;&gt;$T556)*($F$4:$F$863&lt;$G556)*($G$4:$G$863&gt;$F556))&gt;0,"⚠ CONFLIT",""))</f>
        <v/>
      </c>
      <c r="Z556" s="64">
        <f>IF($J556="","",IF(SUMPRODUCT(($D$4:$D$863=$D556)*($J$4:$J$863=$J556)*($T$4:$T$863&lt;&gt;$T556)*($F$4:$F$863&lt;$G556)*($G$4:$G$863&gt;$F556)*(1-($X$4:$X$863="Oui")*($X556="Oui")))&gt;0,"⚠ CONFLIT",""))</f>
        <v/>
      </c>
      <c r="AA556" s="64">
        <f>IF(COUNTIFS($D$4:$D$863,$D556,$J$4:$J$863,$J556,$F$4:$F$863,$F556,$K$4:$K$863,$K556)&gt;1,"⚠ DOUBLON","")</f>
        <v/>
      </c>
      <c r="AB556" s="64">
        <f>IF(COUNTIF($T$4:$T$863,$T556)&lt;&gt;COUNTIFS($T$4:$T$863,$T556,$D$4:$D$863,$D556,$F$4:$F$863,$F556,$G$4:$G$863,$G556,$K$4:$K$863,$K556,$M$4:$M$863,$M556),"⚠ INCOHÉRENT","")</f>
        <v/>
      </c>
      <c r="AC556" s="64">
        <f>COUNTIFS($A$4:$A556,$A556,$J$4:$J556,$J556,$E$4:$E556,$E556)</f>
        <v/>
      </c>
      <c r="AD556" s="65">
        <f>$A556&amp;"|"&amp;$J556&amp;"|"&amp;$E556&amp;"|"&amp;$AC556</f>
        <v/>
      </c>
      <c r="AE556" s="66">
        <f>IF($W556&lt;&gt;"","⚑ "&amp;$W556&amp;CHAR(10),"")&amp;TEXT($F556,"hh:mm")&amp;"-"&amp;TEXT($G556,"hh:mm")&amp;IF(OR($P556="Quinzaine A",AND($P556="Hebdo · groupes alternés",$C556="A"))," Q-A",IF(OR($P556="Quinzaine B",AND($P556="Hebdo · groupes alternés",$C556="B"))," Q-B",IF($P556="Exception"," PONCT.","")))&amp;IF($X556="Oui"," OPT","")&amp;CHAR(10)&amp;$K556&amp;CHAR(10)&amp;$M556&amp;IF($N556&lt;&gt;"",CHAR(10)&amp;"Salle "&amp;$N556,"")&amp;IF($O556="En ligne",CHAR(10)&amp;"EN LIGNE","")&amp;IF($V556&lt;&gt;"",CHAR(10)&amp;$V556,"")</f>
        <v/>
      </c>
      <c r="AF556" s="65" t="inlineStr"/>
      <c r="AG556" s="65" t="inlineStr">
        <is>
          <t>— généré —</t>
        </is>
      </c>
    </row>
    <row r="557" ht="15" customHeight="1">
      <c r="A557" s="68" t="inlineStr">
        <is>
          <t>S5</t>
        </is>
      </c>
      <c r="B557" s="69" t="inlineStr">
        <is>
          <t>du 12 au 18 octobre 2026</t>
        </is>
      </c>
      <c r="C557" s="68" t="inlineStr">
        <is>
          <t>A</t>
        </is>
      </c>
      <c r="D557" s="70" t="n">
        <v>46311</v>
      </c>
      <c r="E557" s="68" t="inlineStr">
        <is>
          <t>Vendredi</t>
        </is>
      </c>
      <c r="F557" s="71" t="n">
        <v>0.8125</v>
      </c>
      <c r="G557" s="71" t="n">
        <v>0.875</v>
      </c>
      <c r="H557" s="72">
        <f>IF(OR($F557="",$G557=""),"",($G557-$F557)*24)</f>
        <v/>
      </c>
      <c r="I557" s="68" t="inlineStr">
        <is>
          <t>Collège</t>
        </is>
      </c>
      <c r="J557" s="69" t="inlineStr">
        <is>
          <t>7éme (B)</t>
        </is>
      </c>
      <c r="K557" s="79" t="inlineStr">
        <is>
          <t>Math</t>
        </is>
      </c>
      <c r="L557" s="79" t="inlineStr">
        <is>
          <t>Math</t>
        </is>
      </c>
      <c r="M557" s="69" t="inlineStr">
        <is>
          <t>Khouloud</t>
        </is>
      </c>
      <c r="N557" s="68" t="n"/>
      <c r="O557" s="68" t="n"/>
      <c r="P557" s="68" t="inlineStr">
        <is>
          <t>Hebdomadaire</t>
        </is>
      </c>
      <c r="Q557" s="69" t="inlineStr"/>
      <c r="R557" s="68" t="n">
        <v>1</v>
      </c>
      <c r="S557" s="68" t="inlineStr">
        <is>
          <t>Oui</t>
        </is>
      </c>
      <c r="T557" s="68" t="inlineStr">
        <is>
          <t>S5-047</t>
        </is>
      </c>
      <c r="U557" s="69" t="inlineStr">
        <is>
          <t>Généré (octobre)</t>
        </is>
      </c>
      <c r="V557" s="69" t="inlineStr"/>
      <c r="W557" s="10" t="n"/>
      <c r="X557" s="10" t="inlineStr"/>
      <c r="Y557" s="64">
        <f>IF($M557="","",IF(SUMPRODUCT(($D$4:$D$863=$D557)*($M$4:$M$863=$M557)*($T$4:$T$863&lt;&gt;$T557)*($F$4:$F$863&lt;$G557)*($G$4:$G$863&gt;$F557))&gt;0,"⚠ CONFLIT",""))</f>
        <v/>
      </c>
      <c r="Z557" s="64">
        <f>IF($J557="","",IF(SUMPRODUCT(($D$4:$D$863=$D557)*($J$4:$J$863=$J557)*($T$4:$T$863&lt;&gt;$T557)*($F$4:$F$863&lt;$G557)*($G$4:$G$863&gt;$F557)*(1-($X$4:$X$863="Oui")*($X557="Oui")))&gt;0,"⚠ CONFLIT",""))</f>
        <v/>
      </c>
      <c r="AA557" s="64">
        <f>IF(COUNTIFS($D$4:$D$863,$D557,$J$4:$J$863,$J557,$F$4:$F$863,$F557,$K$4:$K$863,$K557)&gt;1,"⚠ DOUBLON","")</f>
        <v/>
      </c>
      <c r="AB557" s="64">
        <f>IF(COUNTIF($T$4:$T$863,$T557)&lt;&gt;COUNTIFS($T$4:$T$863,$T557,$D$4:$D$863,$D557,$F$4:$F$863,$F557,$G$4:$G$863,$G557,$K$4:$K$863,$K557,$M$4:$M$863,$M557),"⚠ INCOHÉRENT","")</f>
        <v/>
      </c>
      <c r="AC557" s="64">
        <f>COUNTIFS($A$4:$A557,$A557,$J$4:$J557,$J557,$E$4:$E557,$E557)</f>
        <v/>
      </c>
      <c r="AD557" s="65">
        <f>$A557&amp;"|"&amp;$J557&amp;"|"&amp;$E557&amp;"|"&amp;$AC557</f>
        <v/>
      </c>
      <c r="AE557" s="66">
        <f>IF($W557&lt;&gt;"","⚑ "&amp;$W557&amp;CHAR(10),"")&amp;TEXT($F557,"hh:mm")&amp;"-"&amp;TEXT($G557,"hh:mm")&amp;IF(OR($P557="Quinzaine A",AND($P557="Hebdo · groupes alternés",$C557="A"))," Q-A",IF(OR($P557="Quinzaine B",AND($P557="Hebdo · groupes alternés",$C557="B"))," Q-B",IF($P557="Exception"," PONCT.","")))&amp;IF($X557="Oui"," OPT","")&amp;CHAR(10)&amp;$K557&amp;CHAR(10)&amp;$M557&amp;IF($N557&lt;&gt;"",CHAR(10)&amp;"Salle "&amp;$N557,"")&amp;IF($O557="En ligne",CHAR(10)&amp;"EN LIGNE","")&amp;IF($V557&lt;&gt;"",CHAR(10)&amp;$V557,"")</f>
        <v/>
      </c>
      <c r="AF557" s="65" t="inlineStr"/>
      <c r="AG557" s="65" t="inlineStr">
        <is>
          <t>— généré —</t>
        </is>
      </c>
    </row>
    <row r="558" ht="15" customHeight="1">
      <c r="A558" s="68" t="inlineStr">
        <is>
          <t>S5</t>
        </is>
      </c>
      <c r="B558" s="69" t="inlineStr">
        <is>
          <t>du 12 au 18 octobre 2026</t>
        </is>
      </c>
      <c r="C558" s="68" t="inlineStr">
        <is>
          <t>A</t>
        </is>
      </c>
      <c r="D558" s="70" t="n">
        <v>46311</v>
      </c>
      <c r="E558" s="68" t="inlineStr">
        <is>
          <t>Vendredi</t>
        </is>
      </c>
      <c r="F558" s="71" t="n">
        <v>0.8125</v>
      </c>
      <c r="G558" s="71" t="n">
        <v>0.875</v>
      </c>
      <c r="H558" s="72">
        <f>IF(OR($F558="",$G558=""),"",($G558-$F558)*24)</f>
        <v/>
      </c>
      <c r="I558" s="68" t="inlineStr">
        <is>
          <t>Collège</t>
        </is>
      </c>
      <c r="J558" s="69" t="inlineStr">
        <is>
          <t>8éme (A)</t>
        </is>
      </c>
      <c r="K558" s="73" t="inlineStr">
        <is>
          <t>فيزياء</t>
        </is>
      </c>
      <c r="L558" s="73" t="inlineStr">
        <is>
          <t>Physique</t>
        </is>
      </c>
      <c r="M558" s="69" t="inlineStr">
        <is>
          <t>Melek</t>
        </is>
      </c>
      <c r="N558" s="68" t="n"/>
      <c r="O558" s="68" t="n"/>
      <c r="P558" s="68" t="inlineStr">
        <is>
          <t>Hebdomadaire</t>
        </is>
      </c>
      <c r="Q558" s="69" t="inlineStr">
        <is>
          <t>8éme (A) + 8éme (B) + 8éme (C)</t>
        </is>
      </c>
      <c r="R558" s="68" t="n">
        <v>3</v>
      </c>
      <c r="S558" s="68" t="inlineStr">
        <is>
          <t>Oui</t>
        </is>
      </c>
      <c r="T558" s="68" t="inlineStr">
        <is>
          <t>S5-048</t>
        </is>
      </c>
      <c r="U558" s="69" t="inlineStr">
        <is>
          <t>Généré (octobre)</t>
        </is>
      </c>
      <c r="V558" s="69" t="inlineStr"/>
      <c r="W558" s="10" t="n"/>
      <c r="X558" s="10" t="inlineStr"/>
      <c r="Y558" s="64">
        <f>IF($M558="","",IF(SUMPRODUCT(($D$4:$D$863=$D558)*($M$4:$M$863=$M558)*($T$4:$T$863&lt;&gt;$T558)*($F$4:$F$863&lt;$G558)*($G$4:$G$863&gt;$F558))&gt;0,"⚠ CONFLIT",""))</f>
        <v/>
      </c>
      <c r="Z558" s="64">
        <f>IF($J558="","",IF(SUMPRODUCT(($D$4:$D$863=$D558)*($J$4:$J$863=$J558)*($T$4:$T$863&lt;&gt;$T558)*($F$4:$F$863&lt;$G558)*($G$4:$G$863&gt;$F558)*(1-($X$4:$X$863="Oui")*($X558="Oui")))&gt;0,"⚠ CONFLIT",""))</f>
        <v/>
      </c>
      <c r="AA558" s="64">
        <f>IF(COUNTIFS($D$4:$D$863,$D558,$J$4:$J$863,$J558,$F$4:$F$863,$F558,$K$4:$K$863,$K558)&gt;1,"⚠ DOUBLON","")</f>
        <v/>
      </c>
      <c r="AB558" s="64">
        <f>IF(COUNTIF($T$4:$T$863,$T558)&lt;&gt;COUNTIFS($T$4:$T$863,$T558,$D$4:$D$863,$D558,$F$4:$F$863,$F558,$G$4:$G$863,$G558,$K$4:$K$863,$K558,$M$4:$M$863,$M558),"⚠ INCOHÉRENT","")</f>
        <v/>
      </c>
      <c r="AC558" s="64">
        <f>COUNTIFS($A$4:$A558,$A558,$J$4:$J558,$J558,$E$4:$E558,$E558)</f>
        <v/>
      </c>
      <c r="AD558" s="65">
        <f>$A558&amp;"|"&amp;$J558&amp;"|"&amp;$E558&amp;"|"&amp;$AC558</f>
        <v/>
      </c>
      <c r="AE558" s="66">
        <f>IF($W558&lt;&gt;"","⚑ "&amp;$W558&amp;CHAR(10),"")&amp;TEXT($F558,"hh:mm")&amp;"-"&amp;TEXT($G558,"hh:mm")&amp;IF(OR($P558="Quinzaine A",AND($P558="Hebdo · groupes alternés",$C558="A"))," Q-A",IF(OR($P558="Quinzaine B",AND($P558="Hebdo · groupes alternés",$C558="B"))," Q-B",IF($P558="Exception"," PONCT.","")))&amp;IF($X558="Oui"," OPT","")&amp;CHAR(10)&amp;$K558&amp;CHAR(10)&amp;$M558&amp;IF($N558&lt;&gt;"",CHAR(10)&amp;"Salle "&amp;$N558,"")&amp;IF($O558="En ligne",CHAR(10)&amp;"EN LIGNE","")&amp;IF($V558&lt;&gt;"",CHAR(10)&amp;$V558,"")</f>
        <v/>
      </c>
      <c r="AF558" s="65" t="inlineStr"/>
      <c r="AG558" s="65" t="inlineStr">
        <is>
          <t>— généré —</t>
        </is>
      </c>
    </row>
    <row r="559" ht="15" customHeight="1">
      <c r="A559" s="68" t="inlineStr">
        <is>
          <t>S5</t>
        </is>
      </c>
      <c r="B559" s="69" t="inlineStr">
        <is>
          <t>du 12 au 18 octobre 2026</t>
        </is>
      </c>
      <c r="C559" s="68" t="inlineStr">
        <is>
          <t>A</t>
        </is>
      </c>
      <c r="D559" s="70" t="n">
        <v>46311</v>
      </c>
      <c r="E559" s="68" t="inlineStr">
        <is>
          <t>Vendredi</t>
        </is>
      </c>
      <c r="F559" s="71" t="n">
        <v>0.8125</v>
      </c>
      <c r="G559" s="71" t="n">
        <v>0.875</v>
      </c>
      <c r="H559" s="72">
        <f>IF(OR($F559="",$G559=""),"",($G559-$F559)*24)</f>
        <v/>
      </c>
      <c r="I559" s="68" t="inlineStr">
        <is>
          <t>Collège</t>
        </is>
      </c>
      <c r="J559" s="69" t="inlineStr">
        <is>
          <t>8éme (B)</t>
        </is>
      </c>
      <c r="K559" s="73" t="inlineStr">
        <is>
          <t>فيزياء</t>
        </is>
      </c>
      <c r="L559" s="73" t="inlineStr">
        <is>
          <t>Physique</t>
        </is>
      </c>
      <c r="M559" s="69" t="inlineStr">
        <is>
          <t>Melek</t>
        </is>
      </c>
      <c r="N559" s="68" t="n"/>
      <c r="O559" s="68" t="n"/>
      <c r="P559" s="68" t="inlineStr">
        <is>
          <t>Hebdomadaire</t>
        </is>
      </c>
      <c r="Q559" s="69" t="inlineStr">
        <is>
          <t>8éme (A) + 8éme (B) + 8éme (C)</t>
        </is>
      </c>
      <c r="R559" s="68" t="n">
        <v>3</v>
      </c>
      <c r="S559" s="68" t="inlineStr"/>
      <c r="T559" s="68" t="inlineStr">
        <is>
          <t>S5-048</t>
        </is>
      </c>
      <c r="U559" s="69" t="inlineStr">
        <is>
          <t>Généré (octobre)</t>
        </is>
      </c>
      <c r="V559" s="69" t="inlineStr"/>
      <c r="W559" s="10" t="n"/>
      <c r="X559" s="10" t="inlineStr"/>
      <c r="Y559" s="64">
        <f>IF($M559="","",IF(SUMPRODUCT(($D$4:$D$863=$D559)*($M$4:$M$863=$M559)*($T$4:$T$863&lt;&gt;$T559)*($F$4:$F$863&lt;$G559)*($G$4:$G$863&gt;$F559))&gt;0,"⚠ CONFLIT",""))</f>
        <v/>
      </c>
      <c r="Z559" s="64">
        <f>IF($J559="","",IF(SUMPRODUCT(($D$4:$D$863=$D559)*($J$4:$J$863=$J559)*($T$4:$T$863&lt;&gt;$T559)*($F$4:$F$863&lt;$G559)*($G$4:$G$863&gt;$F559)*(1-($X$4:$X$863="Oui")*($X559="Oui")))&gt;0,"⚠ CONFLIT",""))</f>
        <v/>
      </c>
      <c r="AA559" s="64">
        <f>IF(COUNTIFS($D$4:$D$863,$D559,$J$4:$J$863,$J559,$F$4:$F$863,$F559,$K$4:$K$863,$K559)&gt;1,"⚠ DOUBLON","")</f>
        <v/>
      </c>
      <c r="AB559" s="64">
        <f>IF(COUNTIF($T$4:$T$863,$T559)&lt;&gt;COUNTIFS($T$4:$T$863,$T559,$D$4:$D$863,$D559,$F$4:$F$863,$F559,$G$4:$G$863,$G559,$K$4:$K$863,$K559,$M$4:$M$863,$M559),"⚠ INCOHÉRENT","")</f>
        <v/>
      </c>
      <c r="AC559" s="64">
        <f>COUNTIFS($A$4:$A559,$A559,$J$4:$J559,$J559,$E$4:$E559,$E559)</f>
        <v/>
      </c>
      <c r="AD559" s="65">
        <f>$A559&amp;"|"&amp;$J559&amp;"|"&amp;$E559&amp;"|"&amp;$AC559</f>
        <v/>
      </c>
      <c r="AE559" s="66">
        <f>IF($W559&lt;&gt;"","⚑ "&amp;$W559&amp;CHAR(10),"")&amp;TEXT($F559,"hh:mm")&amp;"-"&amp;TEXT($G559,"hh:mm")&amp;IF(OR($P559="Quinzaine A",AND($P559="Hebdo · groupes alternés",$C559="A"))," Q-A",IF(OR($P559="Quinzaine B",AND($P559="Hebdo · groupes alternés",$C559="B"))," Q-B",IF($P559="Exception"," PONCT.","")))&amp;IF($X559="Oui"," OPT","")&amp;CHAR(10)&amp;$K559&amp;CHAR(10)&amp;$M559&amp;IF($N559&lt;&gt;"",CHAR(10)&amp;"Salle "&amp;$N559,"")&amp;IF($O559="En ligne",CHAR(10)&amp;"EN LIGNE","")&amp;IF($V559&lt;&gt;"",CHAR(10)&amp;$V559,"")</f>
        <v/>
      </c>
      <c r="AF559" s="65" t="inlineStr"/>
      <c r="AG559" s="65" t="inlineStr">
        <is>
          <t>— généré —</t>
        </is>
      </c>
    </row>
    <row r="560" ht="15" customHeight="1">
      <c r="A560" s="68" t="inlineStr">
        <is>
          <t>S5</t>
        </is>
      </c>
      <c r="B560" s="69" t="inlineStr">
        <is>
          <t>du 12 au 18 octobre 2026</t>
        </is>
      </c>
      <c r="C560" s="68" t="inlineStr">
        <is>
          <t>A</t>
        </is>
      </c>
      <c r="D560" s="70" t="n">
        <v>46311</v>
      </c>
      <c r="E560" s="68" t="inlineStr">
        <is>
          <t>Vendredi</t>
        </is>
      </c>
      <c r="F560" s="71" t="n">
        <v>0.8125</v>
      </c>
      <c r="G560" s="71" t="n">
        <v>0.875</v>
      </c>
      <c r="H560" s="72">
        <f>IF(OR($F560="",$G560=""),"",($G560-$F560)*24)</f>
        <v/>
      </c>
      <c r="I560" s="68" t="inlineStr">
        <is>
          <t>Collège</t>
        </is>
      </c>
      <c r="J560" s="69" t="inlineStr">
        <is>
          <t>8éme (C)</t>
        </is>
      </c>
      <c r="K560" s="73" t="inlineStr">
        <is>
          <t>فيزياء</t>
        </is>
      </c>
      <c r="L560" s="73" t="inlineStr">
        <is>
          <t>Physique</t>
        </is>
      </c>
      <c r="M560" s="69" t="inlineStr">
        <is>
          <t>Melek</t>
        </is>
      </c>
      <c r="N560" s="68" t="n"/>
      <c r="O560" s="68" t="n"/>
      <c r="P560" s="68" t="inlineStr">
        <is>
          <t>Hebdomadaire</t>
        </is>
      </c>
      <c r="Q560" s="69" t="inlineStr">
        <is>
          <t>8éme (A) + 8éme (B) + 8éme (C)</t>
        </is>
      </c>
      <c r="R560" s="68" t="n">
        <v>3</v>
      </c>
      <c r="S560" s="68" t="inlineStr"/>
      <c r="T560" s="68" t="inlineStr">
        <is>
          <t>S5-048</t>
        </is>
      </c>
      <c r="U560" s="69" t="inlineStr">
        <is>
          <t>Généré (octobre)</t>
        </is>
      </c>
      <c r="V560" s="69" t="inlineStr"/>
      <c r="W560" s="10" t="n"/>
      <c r="X560" s="10" t="inlineStr"/>
      <c r="Y560" s="64">
        <f>IF($M560="","",IF(SUMPRODUCT(($D$4:$D$863=$D560)*($M$4:$M$863=$M560)*($T$4:$T$863&lt;&gt;$T560)*($F$4:$F$863&lt;$G560)*($G$4:$G$863&gt;$F560))&gt;0,"⚠ CONFLIT",""))</f>
        <v/>
      </c>
      <c r="Z560" s="64">
        <f>IF($J560="","",IF(SUMPRODUCT(($D$4:$D$863=$D560)*($J$4:$J$863=$J560)*($T$4:$T$863&lt;&gt;$T560)*($F$4:$F$863&lt;$G560)*($G$4:$G$863&gt;$F560)*(1-($X$4:$X$863="Oui")*($X560="Oui")))&gt;0,"⚠ CONFLIT",""))</f>
        <v/>
      </c>
      <c r="AA560" s="64">
        <f>IF(COUNTIFS($D$4:$D$863,$D560,$J$4:$J$863,$J560,$F$4:$F$863,$F560,$K$4:$K$863,$K560)&gt;1,"⚠ DOUBLON","")</f>
        <v/>
      </c>
      <c r="AB560" s="64">
        <f>IF(COUNTIF($T$4:$T$863,$T560)&lt;&gt;COUNTIFS($T$4:$T$863,$T560,$D$4:$D$863,$D560,$F$4:$F$863,$F560,$G$4:$G$863,$G560,$K$4:$K$863,$K560,$M$4:$M$863,$M560),"⚠ INCOHÉRENT","")</f>
        <v/>
      </c>
      <c r="AC560" s="64">
        <f>COUNTIFS($A$4:$A560,$A560,$J$4:$J560,$J560,$E$4:$E560,$E560)</f>
        <v/>
      </c>
      <c r="AD560" s="65">
        <f>$A560&amp;"|"&amp;$J560&amp;"|"&amp;$E560&amp;"|"&amp;$AC560</f>
        <v/>
      </c>
      <c r="AE560" s="66">
        <f>IF($W560&lt;&gt;"","⚑ "&amp;$W560&amp;CHAR(10),"")&amp;TEXT($F560,"hh:mm")&amp;"-"&amp;TEXT($G560,"hh:mm")&amp;IF(OR($P560="Quinzaine A",AND($P560="Hebdo · groupes alternés",$C560="A"))," Q-A",IF(OR($P560="Quinzaine B",AND($P560="Hebdo · groupes alternés",$C560="B"))," Q-B",IF($P560="Exception"," PONCT.","")))&amp;IF($X560="Oui"," OPT","")&amp;CHAR(10)&amp;$K560&amp;CHAR(10)&amp;$M560&amp;IF($N560&lt;&gt;"",CHAR(10)&amp;"Salle "&amp;$N560,"")&amp;IF($O560="En ligne",CHAR(10)&amp;"EN LIGNE","")&amp;IF($V560&lt;&gt;"",CHAR(10)&amp;$V560,"")</f>
        <v/>
      </c>
      <c r="AF560" s="65" t="inlineStr"/>
      <c r="AG560" s="65" t="inlineStr">
        <is>
          <t>— généré —</t>
        </is>
      </c>
    </row>
    <row r="561" ht="15" customHeight="1">
      <c r="A561" s="68" t="inlineStr">
        <is>
          <t>S5</t>
        </is>
      </c>
      <c r="B561" s="69" t="inlineStr">
        <is>
          <t>du 12 au 18 octobre 2026</t>
        </is>
      </c>
      <c r="C561" s="68" t="inlineStr">
        <is>
          <t>A</t>
        </is>
      </c>
      <c r="D561" s="70" t="n">
        <v>46311</v>
      </c>
      <c r="E561" s="68" t="inlineStr">
        <is>
          <t>Vendredi</t>
        </is>
      </c>
      <c r="F561" s="71" t="n">
        <v>0.8125</v>
      </c>
      <c r="G561" s="71" t="n">
        <v>0.875</v>
      </c>
      <c r="H561" s="72">
        <f>IF(OR($F561="",$G561=""),"",($G561-$F561)*24)</f>
        <v/>
      </c>
      <c r="I561" s="68" t="inlineStr">
        <is>
          <t>Collège</t>
        </is>
      </c>
      <c r="J561" s="69" t="inlineStr">
        <is>
          <t>9éme (C)</t>
        </is>
      </c>
      <c r="K561" s="63" t="inlineStr">
        <is>
          <t>Arabe</t>
        </is>
      </c>
      <c r="L561" s="63" t="inlineStr">
        <is>
          <t>Arabe</t>
        </is>
      </c>
      <c r="M561" s="69" t="inlineStr">
        <is>
          <t>Yahya</t>
        </is>
      </c>
      <c r="N561" s="68" t="n"/>
      <c r="O561" s="68" t="n"/>
      <c r="P561" s="68" t="inlineStr">
        <is>
          <t>Hebdomadaire</t>
        </is>
      </c>
      <c r="Q561" s="69" t="inlineStr"/>
      <c r="R561" s="68" t="n">
        <v>1</v>
      </c>
      <c r="S561" s="68" t="inlineStr">
        <is>
          <t>Oui</t>
        </is>
      </c>
      <c r="T561" s="68" t="inlineStr">
        <is>
          <t>S5-049</t>
        </is>
      </c>
      <c r="U561" s="69" t="inlineStr">
        <is>
          <t>Généré (octobre)</t>
        </is>
      </c>
      <c r="V561" s="69" t="inlineStr"/>
      <c r="W561" s="10" t="n"/>
      <c r="X561" s="10" t="inlineStr"/>
      <c r="Y561" s="64">
        <f>IF($M561="","",IF(SUMPRODUCT(($D$4:$D$863=$D561)*($M$4:$M$863=$M561)*($T$4:$T$863&lt;&gt;$T561)*($F$4:$F$863&lt;$G561)*($G$4:$G$863&gt;$F561))&gt;0,"⚠ CONFLIT",""))</f>
        <v/>
      </c>
      <c r="Z561" s="64">
        <f>IF($J561="","",IF(SUMPRODUCT(($D$4:$D$863=$D561)*($J$4:$J$863=$J561)*($T$4:$T$863&lt;&gt;$T561)*($F$4:$F$863&lt;$G561)*($G$4:$G$863&gt;$F561)*(1-($X$4:$X$863="Oui")*($X561="Oui")))&gt;0,"⚠ CONFLIT",""))</f>
        <v/>
      </c>
      <c r="AA561" s="64">
        <f>IF(COUNTIFS($D$4:$D$863,$D561,$J$4:$J$863,$J561,$F$4:$F$863,$F561,$K$4:$K$863,$K561)&gt;1,"⚠ DOUBLON","")</f>
        <v/>
      </c>
      <c r="AB561" s="64">
        <f>IF(COUNTIF($T$4:$T$863,$T561)&lt;&gt;COUNTIFS($T$4:$T$863,$T561,$D$4:$D$863,$D561,$F$4:$F$863,$F561,$G$4:$G$863,$G561,$K$4:$K$863,$K561,$M$4:$M$863,$M561),"⚠ INCOHÉRENT","")</f>
        <v/>
      </c>
      <c r="AC561" s="64">
        <f>COUNTIFS($A$4:$A561,$A561,$J$4:$J561,$J561,$E$4:$E561,$E561)</f>
        <v/>
      </c>
      <c r="AD561" s="65">
        <f>$A561&amp;"|"&amp;$J561&amp;"|"&amp;$E561&amp;"|"&amp;$AC561</f>
        <v/>
      </c>
      <c r="AE561" s="66">
        <f>IF($W561&lt;&gt;"","⚑ "&amp;$W561&amp;CHAR(10),"")&amp;TEXT($F561,"hh:mm")&amp;"-"&amp;TEXT($G561,"hh:mm")&amp;IF(OR($P561="Quinzaine A",AND($P561="Hebdo · groupes alternés",$C561="A"))," Q-A",IF(OR($P561="Quinzaine B",AND($P561="Hebdo · groupes alternés",$C561="B"))," Q-B",IF($P561="Exception"," PONCT.","")))&amp;IF($X561="Oui"," OPT","")&amp;CHAR(10)&amp;$K561&amp;CHAR(10)&amp;$M561&amp;IF($N561&lt;&gt;"",CHAR(10)&amp;"Salle "&amp;$N561,"")&amp;IF($O561="En ligne",CHAR(10)&amp;"EN LIGNE","")&amp;IF($V561&lt;&gt;"",CHAR(10)&amp;$V561,"")</f>
        <v/>
      </c>
      <c r="AF561" s="65" t="inlineStr"/>
      <c r="AG561" s="65" t="inlineStr">
        <is>
          <t>— généré —</t>
        </is>
      </c>
    </row>
    <row r="562" ht="15" customHeight="1">
      <c r="A562" s="74" t="inlineStr">
        <is>
          <t>S5</t>
        </is>
      </c>
      <c r="B562" s="75" t="inlineStr">
        <is>
          <t>du 12 au 18 octobre 2026</t>
        </is>
      </c>
      <c r="C562" s="74" t="inlineStr">
        <is>
          <t>A</t>
        </is>
      </c>
      <c r="D562" s="76" t="n">
        <v>46311</v>
      </c>
      <c r="E562" s="74" t="inlineStr">
        <is>
          <t>Vendredi</t>
        </is>
      </c>
      <c r="F562" s="77" t="n">
        <v>0.7291666666666666</v>
      </c>
      <c r="G562" s="77" t="n">
        <v>0.7916666666666666</v>
      </c>
      <c r="H562" s="78">
        <f>IF(OR($F562="",$G562=""),"",($G562-$F562)*24)</f>
        <v/>
      </c>
      <c r="I562" s="74" t="inlineStr">
        <is>
          <t>Secondaire</t>
        </is>
      </c>
      <c r="J562" s="75" t="inlineStr">
        <is>
          <t>1ére (A)</t>
        </is>
      </c>
      <c r="K562" s="63" t="inlineStr">
        <is>
          <t>Arabe</t>
        </is>
      </c>
      <c r="L562" s="63" t="inlineStr">
        <is>
          <t>Arabe</t>
        </is>
      </c>
      <c r="M562" s="75" t="inlineStr">
        <is>
          <t>Najet</t>
        </is>
      </c>
      <c r="N562" s="74" t="n"/>
      <c r="O562" s="74" t="n"/>
      <c r="P562" s="74" t="inlineStr">
        <is>
          <t>Hebdomadaire</t>
        </is>
      </c>
      <c r="Q562" s="75" t="inlineStr"/>
      <c r="R562" s="74" t="n">
        <v>1</v>
      </c>
      <c r="S562" s="74" t="inlineStr">
        <is>
          <t>Oui</t>
        </is>
      </c>
      <c r="T562" s="74" t="inlineStr">
        <is>
          <t>S5-050</t>
        </is>
      </c>
      <c r="U562" s="75" t="inlineStr">
        <is>
          <t>Généré (octobre)</t>
        </is>
      </c>
      <c r="V562" s="75" t="inlineStr"/>
      <c r="W562" s="10" t="n"/>
      <c r="X562" s="10" t="inlineStr"/>
      <c r="Y562" s="64">
        <f>IF($M562="","",IF(SUMPRODUCT(($D$4:$D$863=$D562)*($M$4:$M$863=$M562)*($T$4:$T$863&lt;&gt;$T562)*($F$4:$F$863&lt;$G562)*($G$4:$G$863&gt;$F562))&gt;0,"⚠ CONFLIT",""))</f>
        <v/>
      </c>
      <c r="Z562" s="64">
        <f>IF($J562="","",IF(SUMPRODUCT(($D$4:$D$863=$D562)*($J$4:$J$863=$J562)*($T$4:$T$863&lt;&gt;$T562)*($F$4:$F$863&lt;$G562)*($G$4:$G$863&gt;$F562)*(1-($X$4:$X$863="Oui")*($X562="Oui")))&gt;0,"⚠ CONFLIT",""))</f>
        <v/>
      </c>
      <c r="AA562" s="64">
        <f>IF(COUNTIFS($D$4:$D$863,$D562,$J$4:$J$863,$J562,$F$4:$F$863,$F562,$K$4:$K$863,$K562)&gt;1,"⚠ DOUBLON","")</f>
        <v/>
      </c>
      <c r="AB562" s="64">
        <f>IF(COUNTIF($T$4:$T$863,$T562)&lt;&gt;COUNTIFS($T$4:$T$863,$T562,$D$4:$D$863,$D562,$F$4:$F$863,$F562,$G$4:$G$863,$G562,$K$4:$K$863,$K562,$M$4:$M$863,$M562),"⚠ INCOHÉRENT","")</f>
        <v/>
      </c>
      <c r="AC562" s="64">
        <f>COUNTIFS($A$4:$A562,$A562,$J$4:$J562,$J562,$E$4:$E562,$E562)</f>
        <v/>
      </c>
      <c r="AD562" s="65">
        <f>$A562&amp;"|"&amp;$J562&amp;"|"&amp;$E562&amp;"|"&amp;$AC562</f>
        <v/>
      </c>
      <c r="AE562" s="66">
        <f>IF($W562&lt;&gt;"","⚑ "&amp;$W562&amp;CHAR(10),"")&amp;TEXT($F562,"hh:mm")&amp;"-"&amp;TEXT($G562,"hh:mm")&amp;IF(OR($P562="Quinzaine A",AND($P562="Hebdo · groupes alternés",$C562="A"))," Q-A",IF(OR($P562="Quinzaine B",AND($P562="Hebdo · groupes alternés",$C562="B"))," Q-B",IF($P562="Exception"," PONCT.","")))&amp;IF($X562="Oui"," OPT","")&amp;CHAR(10)&amp;$K562&amp;CHAR(10)&amp;$M562&amp;IF($N562&lt;&gt;"",CHAR(10)&amp;"Salle "&amp;$N562,"")&amp;IF($O562="En ligne",CHAR(10)&amp;"EN LIGNE","")&amp;IF($V562&lt;&gt;"",CHAR(10)&amp;$V562,"")</f>
        <v/>
      </c>
      <c r="AF562" s="65" t="inlineStr"/>
      <c r="AG562" s="65" t="inlineStr">
        <is>
          <t>— généré —</t>
        </is>
      </c>
    </row>
    <row r="563" ht="15" customHeight="1">
      <c r="A563" s="74" t="inlineStr">
        <is>
          <t>S5</t>
        </is>
      </c>
      <c r="B563" s="75" t="inlineStr">
        <is>
          <t>du 12 au 18 octobre 2026</t>
        </is>
      </c>
      <c r="C563" s="74" t="inlineStr">
        <is>
          <t>A</t>
        </is>
      </c>
      <c r="D563" s="76" t="n">
        <v>46311</v>
      </c>
      <c r="E563" s="74" t="inlineStr">
        <is>
          <t>Vendredi</t>
        </is>
      </c>
      <c r="F563" s="77" t="n">
        <v>0.7916666666666666</v>
      </c>
      <c r="G563" s="77" t="n">
        <v>0.8541666666666666</v>
      </c>
      <c r="H563" s="78">
        <f>IF(OR($F563="",$G563=""),"",($G563-$F563)*24)</f>
        <v/>
      </c>
      <c r="I563" s="74" t="inlineStr">
        <is>
          <t>Secondaire</t>
        </is>
      </c>
      <c r="J563" s="75" t="inlineStr">
        <is>
          <t>1ére (B)</t>
        </is>
      </c>
      <c r="K563" s="63" t="inlineStr">
        <is>
          <t>Arabe</t>
        </is>
      </c>
      <c r="L563" s="63" t="inlineStr">
        <is>
          <t>Arabe</t>
        </is>
      </c>
      <c r="M563" s="75" t="inlineStr">
        <is>
          <t>Najet</t>
        </is>
      </c>
      <c r="N563" s="74" t="n"/>
      <c r="O563" s="74" t="n"/>
      <c r="P563" s="74" t="inlineStr">
        <is>
          <t>Hebdomadaire</t>
        </is>
      </c>
      <c r="Q563" s="75" t="inlineStr"/>
      <c r="R563" s="74" t="n">
        <v>1</v>
      </c>
      <c r="S563" s="74" t="inlineStr">
        <is>
          <t>Oui</t>
        </is>
      </c>
      <c r="T563" s="74" t="inlineStr">
        <is>
          <t>S5-051</t>
        </is>
      </c>
      <c r="U563" s="75" t="inlineStr">
        <is>
          <t>Généré (octobre)</t>
        </is>
      </c>
      <c r="V563" s="75" t="inlineStr"/>
      <c r="W563" s="10" t="n"/>
      <c r="X563" s="10" t="inlineStr"/>
      <c r="Y563" s="64">
        <f>IF($M563="","",IF(SUMPRODUCT(($D$4:$D$863=$D563)*($M$4:$M$863=$M563)*($T$4:$T$863&lt;&gt;$T563)*($F$4:$F$863&lt;$G563)*($G$4:$G$863&gt;$F563))&gt;0,"⚠ CONFLIT",""))</f>
        <v/>
      </c>
      <c r="Z563" s="64">
        <f>IF($J563="","",IF(SUMPRODUCT(($D$4:$D$863=$D563)*($J$4:$J$863=$J563)*($T$4:$T$863&lt;&gt;$T563)*($F$4:$F$863&lt;$G563)*($G$4:$G$863&gt;$F563)*(1-($X$4:$X$863="Oui")*($X563="Oui")))&gt;0,"⚠ CONFLIT",""))</f>
        <v/>
      </c>
      <c r="AA563" s="64">
        <f>IF(COUNTIFS($D$4:$D$863,$D563,$J$4:$J$863,$J563,$F$4:$F$863,$F563,$K$4:$K$863,$K563)&gt;1,"⚠ DOUBLON","")</f>
        <v/>
      </c>
      <c r="AB563" s="64">
        <f>IF(COUNTIF($T$4:$T$863,$T563)&lt;&gt;COUNTIFS($T$4:$T$863,$T563,$D$4:$D$863,$D563,$F$4:$F$863,$F563,$G$4:$G$863,$G563,$K$4:$K$863,$K563,$M$4:$M$863,$M563),"⚠ INCOHÉRENT","")</f>
        <v/>
      </c>
      <c r="AC563" s="64">
        <f>COUNTIFS($A$4:$A563,$A563,$J$4:$J563,$J563,$E$4:$E563,$E563)</f>
        <v/>
      </c>
      <c r="AD563" s="65">
        <f>$A563&amp;"|"&amp;$J563&amp;"|"&amp;$E563&amp;"|"&amp;$AC563</f>
        <v/>
      </c>
      <c r="AE563" s="66">
        <f>IF($W563&lt;&gt;"","⚑ "&amp;$W563&amp;CHAR(10),"")&amp;TEXT($F563,"hh:mm")&amp;"-"&amp;TEXT($G563,"hh:mm")&amp;IF(OR($P563="Quinzaine A",AND($P563="Hebdo · groupes alternés",$C563="A"))," Q-A",IF(OR($P563="Quinzaine B",AND($P563="Hebdo · groupes alternés",$C563="B"))," Q-B",IF($P563="Exception"," PONCT.","")))&amp;IF($X563="Oui"," OPT","")&amp;CHAR(10)&amp;$K563&amp;CHAR(10)&amp;$M563&amp;IF($N563&lt;&gt;"",CHAR(10)&amp;"Salle "&amp;$N563,"")&amp;IF($O563="En ligne",CHAR(10)&amp;"EN LIGNE","")&amp;IF($V563&lt;&gt;"",CHAR(10)&amp;$V563,"")</f>
        <v/>
      </c>
      <c r="AF563" s="65" t="inlineStr"/>
      <c r="AG563" s="65" t="inlineStr">
        <is>
          <t>— généré —</t>
        </is>
      </c>
    </row>
    <row r="564" ht="15" customHeight="1">
      <c r="A564" s="74" t="inlineStr">
        <is>
          <t>S5</t>
        </is>
      </c>
      <c r="B564" s="75" t="inlineStr">
        <is>
          <t>du 12 au 18 octobre 2026</t>
        </is>
      </c>
      <c r="C564" s="74" t="inlineStr">
        <is>
          <t>A</t>
        </is>
      </c>
      <c r="D564" s="76" t="n">
        <v>46311</v>
      </c>
      <c r="E564" s="74" t="inlineStr">
        <is>
          <t>Vendredi</t>
        </is>
      </c>
      <c r="F564" s="77" t="n">
        <v>0.7291666666666666</v>
      </c>
      <c r="G564" s="77" t="n">
        <v>0.7916666666666666</v>
      </c>
      <c r="H564" s="78">
        <f>IF(OR($F564="",$G564=""),"",($G564-$F564)*24)</f>
        <v/>
      </c>
      <c r="I564" s="74" t="inlineStr">
        <is>
          <t>Secondaire</t>
        </is>
      </c>
      <c r="J564" s="75" t="inlineStr">
        <is>
          <t>2éme Eco</t>
        </is>
      </c>
      <c r="K564" s="67" t="inlineStr">
        <is>
          <t>Français</t>
        </is>
      </c>
      <c r="L564" s="67" t="inlineStr">
        <is>
          <t>Français</t>
        </is>
      </c>
      <c r="M564" s="75" t="inlineStr">
        <is>
          <t>Nabil</t>
        </is>
      </c>
      <c r="N564" s="74" t="n"/>
      <c r="O564" s="74" t="n"/>
      <c r="P564" s="74" t="inlineStr">
        <is>
          <t>Hebdo · groupes alternés</t>
        </is>
      </c>
      <c r="Q564" s="75" t="inlineStr">
        <is>
          <t>2éme Eco + 2éme SCE + 2éme INFO</t>
        </is>
      </c>
      <c r="R564" s="74" t="n">
        <v>3</v>
      </c>
      <c r="S564" s="74" t="inlineStr">
        <is>
          <t>Oui</t>
        </is>
      </c>
      <c r="T564" s="74" t="inlineStr">
        <is>
          <t>S5-052</t>
        </is>
      </c>
      <c r="U564" s="75" t="inlineStr">
        <is>
          <t>Généré (octobre)</t>
        </is>
      </c>
      <c r="V564" s="75" t="inlineStr"/>
      <c r="W564" s="10" t="n"/>
      <c r="X564" s="10" t="inlineStr"/>
      <c r="Y564" s="64">
        <f>IF($M564="","",IF(SUMPRODUCT(($D$4:$D$863=$D564)*($M$4:$M$863=$M564)*($T$4:$T$863&lt;&gt;$T564)*($F$4:$F$863&lt;$G564)*($G$4:$G$863&gt;$F564))&gt;0,"⚠ CONFLIT",""))</f>
        <v/>
      </c>
      <c r="Z564" s="64">
        <f>IF($J564="","",IF(SUMPRODUCT(($D$4:$D$863=$D564)*($J$4:$J$863=$J564)*($T$4:$T$863&lt;&gt;$T564)*($F$4:$F$863&lt;$G564)*($G$4:$G$863&gt;$F564)*(1-($X$4:$X$863="Oui")*($X564="Oui")))&gt;0,"⚠ CONFLIT",""))</f>
        <v/>
      </c>
      <c r="AA564" s="64">
        <f>IF(COUNTIFS($D$4:$D$863,$D564,$J$4:$J$863,$J564,$F$4:$F$863,$F564,$K$4:$K$863,$K564)&gt;1,"⚠ DOUBLON","")</f>
        <v/>
      </c>
      <c r="AB564" s="64">
        <f>IF(COUNTIF($T$4:$T$863,$T564)&lt;&gt;COUNTIFS($T$4:$T$863,$T564,$D$4:$D$863,$D564,$F$4:$F$863,$F564,$G$4:$G$863,$G564,$K$4:$K$863,$K564,$M$4:$M$863,$M564),"⚠ INCOHÉRENT","")</f>
        <v/>
      </c>
      <c r="AC564" s="64">
        <f>COUNTIFS($A$4:$A564,$A564,$J$4:$J564,$J564,$E$4:$E564,$E564)</f>
        <v/>
      </c>
      <c r="AD564" s="65">
        <f>$A564&amp;"|"&amp;$J564&amp;"|"&amp;$E564&amp;"|"&amp;$AC564</f>
        <v/>
      </c>
      <c r="AE564" s="66">
        <f>IF($W564&lt;&gt;"","⚑ "&amp;$W564&amp;CHAR(10),"")&amp;TEXT($F564,"hh:mm")&amp;"-"&amp;TEXT($G564,"hh:mm")&amp;IF(OR($P564="Quinzaine A",AND($P564="Hebdo · groupes alternés",$C564="A"))," Q-A",IF(OR($P564="Quinzaine B",AND($P564="Hebdo · groupes alternés",$C564="B"))," Q-B",IF($P564="Exception"," PONCT.","")))&amp;IF($X564="Oui"," OPT","")&amp;CHAR(10)&amp;$K564&amp;CHAR(10)&amp;$M564&amp;IF($N564&lt;&gt;"",CHAR(10)&amp;"Salle "&amp;$N564,"")&amp;IF($O564="En ligne",CHAR(10)&amp;"EN LIGNE","")&amp;IF($V564&lt;&gt;"",CHAR(10)&amp;$V564,"")</f>
        <v/>
      </c>
      <c r="AF564" s="65" t="inlineStr"/>
      <c r="AG564" s="65" t="inlineStr">
        <is>
          <t>— généré —</t>
        </is>
      </c>
    </row>
    <row r="565" ht="15" customHeight="1">
      <c r="A565" s="74" t="inlineStr">
        <is>
          <t>S5</t>
        </is>
      </c>
      <c r="B565" s="75" t="inlineStr">
        <is>
          <t>du 12 au 18 octobre 2026</t>
        </is>
      </c>
      <c r="C565" s="74" t="inlineStr">
        <is>
          <t>A</t>
        </is>
      </c>
      <c r="D565" s="76" t="n">
        <v>46311</v>
      </c>
      <c r="E565" s="74" t="inlineStr">
        <is>
          <t>Vendredi</t>
        </is>
      </c>
      <c r="F565" s="77" t="n">
        <v>0.7291666666666666</v>
      </c>
      <c r="G565" s="77" t="n">
        <v>0.7916666666666666</v>
      </c>
      <c r="H565" s="78">
        <f>IF(OR($F565="",$G565=""),"",($G565-$F565)*24)</f>
        <v/>
      </c>
      <c r="I565" s="74" t="inlineStr">
        <is>
          <t>Secondaire</t>
        </is>
      </c>
      <c r="J565" s="75" t="inlineStr">
        <is>
          <t>2éme SCE</t>
        </is>
      </c>
      <c r="K565" s="67" t="inlineStr">
        <is>
          <t>Français</t>
        </is>
      </c>
      <c r="L565" s="67" t="inlineStr">
        <is>
          <t>Français</t>
        </is>
      </c>
      <c r="M565" s="75" t="inlineStr">
        <is>
          <t>Nabil</t>
        </is>
      </c>
      <c r="N565" s="74" t="n"/>
      <c r="O565" s="74" t="n"/>
      <c r="P565" s="74" t="inlineStr">
        <is>
          <t>Hebdo · groupes alternés</t>
        </is>
      </c>
      <c r="Q565" s="75" t="inlineStr">
        <is>
          <t>2éme Eco + 2éme SCE + 2éme INFO</t>
        </is>
      </c>
      <c r="R565" s="74" t="n">
        <v>3</v>
      </c>
      <c r="S565" s="74" t="inlineStr"/>
      <c r="T565" s="74" t="inlineStr">
        <is>
          <t>S5-052</t>
        </is>
      </c>
      <c r="U565" s="75" t="inlineStr">
        <is>
          <t>Généré (octobre)</t>
        </is>
      </c>
      <c r="V565" s="75" t="inlineStr"/>
      <c r="W565" s="10" t="n"/>
      <c r="X565" s="10" t="inlineStr"/>
      <c r="Y565" s="64">
        <f>IF($M565="","",IF(SUMPRODUCT(($D$4:$D$863=$D565)*($M$4:$M$863=$M565)*($T$4:$T$863&lt;&gt;$T565)*($F$4:$F$863&lt;$G565)*($G$4:$G$863&gt;$F565))&gt;0,"⚠ CONFLIT",""))</f>
        <v/>
      </c>
      <c r="Z565" s="64">
        <f>IF($J565="","",IF(SUMPRODUCT(($D$4:$D$863=$D565)*($J$4:$J$863=$J565)*($T$4:$T$863&lt;&gt;$T565)*($F$4:$F$863&lt;$G565)*($G$4:$G$863&gt;$F565)*(1-($X$4:$X$863="Oui")*($X565="Oui")))&gt;0,"⚠ CONFLIT",""))</f>
        <v/>
      </c>
      <c r="AA565" s="64">
        <f>IF(COUNTIFS($D$4:$D$863,$D565,$J$4:$J$863,$J565,$F$4:$F$863,$F565,$K$4:$K$863,$K565)&gt;1,"⚠ DOUBLON","")</f>
        <v/>
      </c>
      <c r="AB565" s="64">
        <f>IF(COUNTIF($T$4:$T$863,$T565)&lt;&gt;COUNTIFS($T$4:$T$863,$T565,$D$4:$D$863,$D565,$F$4:$F$863,$F565,$G$4:$G$863,$G565,$K$4:$K$863,$K565,$M$4:$M$863,$M565),"⚠ INCOHÉRENT","")</f>
        <v/>
      </c>
      <c r="AC565" s="64">
        <f>COUNTIFS($A$4:$A565,$A565,$J$4:$J565,$J565,$E$4:$E565,$E565)</f>
        <v/>
      </c>
      <c r="AD565" s="65">
        <f>$A565&amp;"|"&amp;$J565&amp;"|"&amp;$E565&amp;"|"&amp;$AC565</f>
        <v/>
      </c>
      <c r="AE565" s="66">
        <f>IF($W565&lt;&gt;"","⚑ "&amp;$W565&amp;CHAR(10),"")&amp;TEXT($F565,"hh:mm")&amp;"-"&amp;TEXT($G565,"hh:mm")&amp;IF(OR($P565="Quinzaine A",AND($P565="Hebdo · groupes alternés",$C565="A"))," Q-A",IF(OR($P565="Quinzaine B",AND($P565="Hebdo · groupes alternés",$C565="B"))," Q-B",IF($P565="Exception"," PONCT.","")))&amp;IF($X565="Oui"," OPT","")&amp;CHAR(10)&amp;$K565&amp;CHAR(10)&amp;$M565&amp;IF($N565&lt;&gt;"",CHAR(10)&amp;"Salle "&amp;$N565,"")&amp;IF($O565="En ligne",CHAR(10)&amp;"EN LIGNE","")&amp;IF($V565&lt;&gt;"",CHAR(10)&amp;$V565,"")</f>
        <v/>
      </c>
      <c r="AF565" s="65" t="inlineStr"/>
      <c r="AG565" s="65" t="inlineStr">
        <is>
          <t>— généré —</t>
        </is>
      </c>
    </row>
    <row r="566" ht="15" customHeight="1">
      <c r="A566" s="74" t="inlineStr">
        <is>
          <t>S5</t>
        </is>
      </c>
      <c r="B566" s="75" t="inlineStr">
        <is>
          <t>du 12 au 18 octobre 2026</t>
        </is>
      </c>
      <c r="C566" s="74" t="inlineStr">
        <is>
          <t>A</t>
        </is>
      </c>
      <c r="D566" s="76" t="n">
        <v>46311</v>
      </c>
      <c r="E566" s="74" t="inlineStr">
        <is>
          <t>Vendredi</t>
        </is>
      </c>
      <c r="F566" s="77" t="n">
        <v>0.7291666666666666</v>
      </c>
      <c r="G566" s="77" t="n">
        <v>0.7916666666666666</v>
      </c>
      <c r="H566" s="78">
        <f>IF(OR($F566="",$G566=""),"",($G566-$F566)*24)</f>
        <v/>
      </c>
      <c r="I566" s="74" t="inlineStr">
        <is>
          <t>Secondaire</t>
        </is>
      </c>
      <c r="J566" s="75" t="inlineStr">
        <is>
          <t>2éme INFO</t>
        </is>
      </c>
      <c r="K566" s="67" t="inlineStr">
        <is>
          <t>Français</t>
        </is>
      </c>
      <c r="L566" s="67" t="inlineStr">
        <is>
          <t>Français</t>
        </is>
      </c>
      <c r="M566" s="75" t="inlineStr">
        <is>
          <t>Nabil</t>
        </is>
      </c>
      <c r="N566" s="74" t="n"/>
      <c r="O566" s="74" t="n"/>
      <c r="P566" s="74" t="inlineStr">
        <is>
          <t>Hebdo · groupes alternés</t>
        </is>
      </c>
      <c r="Q566" s="75" t="inlineStr">
        <is>
          <t>2éme Eco + 2éme SCE + 2éme INFO</t>
        </is>
      </c>
      <c r="R566" s="74" t="n">
        <v>3</v>
      </c>
      <c r="S566" s="74" t="inlineStr"/>
      <c r="T566" s="74" t="inlineStr">
        <is>
          <t>S5-052</t>
        </is>
      </c>
      <c r="U566" s="75" t="inlineStr">
        <is>
          <t>Généré (octobre)</t>
        </is>
      </c>
      <c r="V566" s="75" t="inlineStr"/>
      <c r="W566" s="10" t="n"/>
      <c r="X566" s="10" t="inlineStr"/>
      <c r="Y566" s="64">
        <f>IF($M566="","",IF(SUMPRODUCT(($D$4:$D$863=$D566)*($M$4:$M$863=$M566)*($T$4:$T$863&lt;&gt;$T566)*($F$4:$F$863&lt;$G566)*($G$4:$G$863&gt;$F566))&gt;0,"⚠ CONFLIT",""))</f>
        <v/>
      </c>
      <c r="Z566" s="64">
        <f>IF($J566="","",IF(SUMPRODUCT(($D$4:$D$863=$D566)*($J$4:$J$863=$J566)*($T$4:$T$863&lt;&gt;$T566)*($F$4:$F$863&lt;$G566)*($G$4:$G$863&gt;$F566)*(1-($X$4:$X$863="Oui")*($X566="Oui")))&gt;0,"⚠ CONFLIT",""))</f>
        <v/>
      </c>
      <c r="AA566" s="64">
        <f>IF(COUNTIFS($D$4:$D$863,$D566,$J$4:$J$863,$J566,$F$4:$F$863,$F566,$K$4:$K$863,$K566)&gt;1,"⚠ DOUBLON","")</f>
        <v/>
      </c>
      <c r="AB566" s="64">
        <f>IF(COUNTIF($T$4:$T$863,$T566)&lt;&gt;COUNTIFS($T$4:$T$863,$T566,$D$4:$D$863,$D566,$F$4:$F$863,$F566,$G$4:$G$863,$G566,$K$4:$K$863,$K566,$M$4:$M$863,$M566),"⚠ INCOHÉRENT","")</f>
        <v/>
      </c>
      <c r="AC566" s="64">
        <f>COUNTIFS($A$4:$A566,$A566,$J$4:$J566,$J566,$E$4:$E566,$E566)</f>
        <v/>
      </c>
      <c r="AD566" s="65">
        <f>$A566&amp;"|"&amp;$J566&amp;"|"&amp;$E566&amp;"|"&amp;$AC566</f>
        <v/>
      </c>
      <c r="AE566" s="66">
        <f>IF($W566&lt;&gt;"","⚑ "&amp;$W566&amp;CHAR(10),"")&amp;TEXT($F566,"hh:mm")&amp;"-"&amp;TEXT($G566,"hh:mm")&amp;IF(OR($P566="Quinzaine A",AND($P566="Hebdo · groupes alternés",$C566="A"))," Q-A",IF(OR($P566="Quinzaine B",AND($P566="Hebdo · groupes alternés",$C566="B"))," Q-B",IF($P566="Exception"," PONCT.","")))&amp;IF($X566="Oui"," OPT","")&amp;CHAR(10)&amp;$K566&amp;CHAR(10)&amp;$M566&amp;IF($N566&lt;&gt;"",CHAR(10)&amp;"Salle "&amp;$N566,"")&amp;IF($O566="En ligne",CHAR(10)&amp;"EN LIGNE","")&amp;IF($V566&lt;&gt;"",CHAR(10)&amp;$V566,"")</f>
        <v/>
      </c>
      <c r="AF566" s="65" t="inlineStr"/>
      <c r="AG566" s="65" t="inlineStr">
        <is>
          <t>— généré —</t>
        </is>
      </c>
    </row>
    <row r="567" ht="15" customHeight="1">
      <c r="A567" s="74" t="inlineStr">
        <is>
          <t>S5</t>
        </is>
      </c>
      <c r="B567" s="75" t="inlineStr">
        <is>
          <t>du 12 au 18 octobre 2026</t>
        </is>
      </c>
      <c r="C567" s="74" t="inlineStr">
        <is>
          <t>A</t>
        </is>
      </c>
      <c r="D567" s="76" t="n">
        <v>46311</v>
      </c>
      <c r="E567" s="74" t="inlineStr">
        <is>
          <t>Vendredi</t>
        </is>
      </c>
      <c r="F567" s="77" t="n">
        <v>0.8125</v>
      </c>
      <c r="G567" s="77" t="n">
        <v>0.875</v>
      </c>
      <c r="H567" s="78">
        <f>IF(OR($F567="",$G567=""),"",($G567-$F567)*24)</f>
        <v/>
      </c>
      <c r="I567" s="74" t="inlineStr">
        <is>
          <t>Secondaire</t>
        </is>
      </c>
      <c r="J567" s="75" t="inlineStr">
        <is>
          <t>2éme INFO</t>
        </is>
      </c>
      <c r="K567" s="79" t="inlineStr">
        <is>
          <t>Math</t>
        </is>
      </c>
      <c r="L567" s="79" t="inlineStr">
        <is>
          <t>Math</t>
        </is>
      </c>
      <c r="M567" s="75" t="inlineStr">
        <is>
          <t>Haythem</t>
        </is>
      </c>
      <c r="N567" s="74" t="n"/>
      <c r="O567" s="74" t="n"/>
      <c r="P567" s="74" t="inlineStr">
        <is>
          <t>Hebdomadaire</t>
        </is>
      </c>
      <c r="Q567" s="75" t="inlineStr"/>
      <c r="R567" s="74" t="n">
        <v>1</v>
      </c>
      <c r="S567" s="74" t="inlineStr">
        <is>
          <t>Oui</t>
        </is>
      </c>
      <c r="T567" s="74" t="inlineStr">
        <is>
          <t>S5-053</t>
        </is>
      </c>
      <c r="U567" s="75" t="inlineStr">
        <is>
          <t>Généré (octobre)</t>
        </is>
      </c>
      <c r="V567" s="75" t="inlineStr"/>
      <c r="W567" s="10" t="n"/>
      <c r="X567" s="10" t="inlineStr"/>
      <c r="Y567" s="64">
        <f>IF($M567="","",IF(SUMPRODUCT(($D$4:$D$863=$D567)*($M$4:$M$863=$M567)*($T$4:$T$863&lt;&gt;$T567)*($F$4:$F$863&lt;$G567)*($G$4:$G$863&gt;$F567))&gt;0,"⚠ CONFLIT",""))</f>
        <v/>
      </c>
      <c r="Z567" s="64">
        <f>IF($J567="","",IF(SUMPRODUCT(($D$4:$D$863=$D567)*($J$4:$J$863=$J567)*($T$4:$T$863&lt;&gt;$T567)*($F$4:$F$863&lt;$G567)*($G$4:$G$863&gt;$F567)*(1-($X$4:$X$863="Oui")*($X567="Oui")))&gt;0,"⚠ CONFLIT",""))</f>
        <v/>
      </c>
      <c r="AA567" s="64">
        <f>IF(COUNTIFS($D$4:$D$863,$D567,$J$4:$J$863,$J567,$F$4:$F$863,$F567,$K$4:$K$863,$K567)&gt;1,"⚠ DOUBLON","")</f>
        <v/>
      </c>
      <c r="AB567" s="64">
        <f>IF(COUNTIF($T$4:$T$863,$T567)&lt;&gt;COUNTIFS($T$4:$T$863,$T567,$D$4:$D$863,$D567,$F$4:$F$863,$F567,$G$4:$G$863,$G567,$K$4:$K$863,$K567,$M$4:$M$863,$M567),"⚠ INCOHÉRENT","")</f>
        <v/>
      </c>
      <c r="AC567" s="64">
        <f>COUNTIFS($A$4:$A567,$A567,$J$4:$J567,$J567,$E$4:$E567,$E567)</f>
        <v/>
      </c>
      <c r="AD567" s="65">
        <f>$A567&amp;"|"&amp;$J567&amp;"|"&amp;$E567&amp;"|"&amp;$AC567</f>
        <v/>
      </c>
      <c r="AE567" s="66">
        <f>IF($W567&lt;&gt;"","⚑ "&amp;$W567&amp;CHAR(10),"")&amp;TEXT($F567,"hh:mm")&amp;"-"&amp;TEXT($G567,"hh:mm")&amp;IF(OR($P567="Quinzaine A",AND($P567="Hebdo · groupes alternés",$C567="A"))," Q-A",IF(OR($P567="Quinzaine B",AND($P567="Hebdo · groupes alternés",$C567="B"))," Q-B",IF($P567="Exception"," PONCT.","")))&amp;IF($X567="Oui"," OPT","")&amp;CHAR(10)&amp;$K567&amp;CHAR(10)&amp;$M567&amp;IF($N567&lt;&gt;"",CHAR(10)&amp;"Salle "&amp;$N567,"")&amp;IF($O567="En ligne",CHAR(10)&amp;"EN LIGNE","")&amp;IF($V567&lt;&gt;"",CHAR(10)&amp;$V567,"")</f>
        <v/>
      </c>
      <c r="AF567" s="65" t="inlineStr"/>
      <c r="AG567" s="65" t="inlineStr">
        <is>
          <t>— généré —</t>
        </is>
      </c>
    </row>
    <row r="568" ht="15" customHeight="1">
      <c r="A568" s="74" t="inlineStr">
        <is>
          <t>S5</t>
        </is>
      </c>
      <c r="B568" s="75" t="inlineStr">
        <is>
          <t>du 12 au 18 octobre 2026</t>
        </is>
      </c>
      <c r="C568" s="74" t="inlineStr">
        <is>
          <t>A</t>
        </is>
      </c>
      <c r="D568" s="76" t="n">
        <v>46311</v>
      </c>
      <c r="E568" s="74" t="inlineStr">
        <is>
          <t>Vendredi</t>
        </is>
      </c>
      <c r="F568" s="77" t="n">
        <v>0.7916666666666666</v>
      </c>
      <c r="G568" s="77" t="n">
        <v>0.8541666666666666</v>
      </c>
      <c r="H568" s="78">
        <f>IF(OR($F568="",$G568=""),"",($G568-$F568)*24)</f>
        <v/>
      </c>
      <c r="I568" s="74" t="inlineStr">
        <is>
          <t>Secondaire</t>
        </is>
      </c>
      <c r="J568" s="75" t="inlineStr">
        <is>
          <t>3éme Eco</t>
        </is>
      </c>
      <c r="K568" s="67" t="inlineStr">
        <is>
          <t>Français</t>
        </is>
      </c>
      <c r="L568" s="67" t="inlineStr">
        <is>
          <t>Français</t>
        </is>
      </c>
      <c r="M568" s="75" t="inlineStr">
        <is>
          <t>Nabil</t>
        </is>
      </c>
      <c r="N568" s="74" t="n"/>
      <c r="O568" s="74" t="n"/>
      <c r="P568" s="74" t="inlineStr">
        <is>
          <t>Quinzaine A</t>
        </is>
      </c>
      <c r="Q568" s="75" t="inlineStr">
        <is>
          <t>3éme Eco + 3éme INFO + 3éme SCE</t>
        </is>
      </c>
      <c r="R568" s="74" t="n">
        <v>3</v>
      </c>
      <c r="S568" s="74" t="inlineStr">
        <is>
          <t>Oui</t>
        </is>
      </c>
      <c r="T568" s="74" t="inlineStr">
        <is>
          <t>S5-096</t>
        </is>
      </c>
      <c r="U568" s="75" t="inlineStr">
        <is>
          <t>Généré (octobre)</t>
        </is>
      </c>
      <c r="V568" s="75" t="inlineStr"/>
      <c r="W568" s="10" t="n"/>
      <c r="X568" s="10" t="inlineStr"/>
      <c r="Y568" s="64">
        <f>IF($M568="","",IF(SUMPRODUCT(($D$4:$D$863=$D568)*($M$4:$M$863=$M568)*($T$4:$T$863&lt;&gt;$T568)*($F$4:$F$863&lt;$G568)*($G$4:$G$863&gt;$F568))&gt;0,"⚠ CONFLIT",""))</f>
        <v/>
      </c>
      <c r="Z568" s="64">
        <f>IF($J568="","",IF(SUMPRODUCT(($D$4:$D$863=$D568)*($J$4:$J$863=$J568)*($T$4:$T$863&lt;&gt;$T568)*($F$4:$F$863&lt;$G568)*($G$4:$G$863&gt;$F568)*(1-($X$4:$X$863="Oui")*($X568="Oui")))&gt;0,"⚠ CONFLIT",""))</f>
        <v/>
      </c>
      <c r="AA568" s="64">
        <f>IF(COUNTIFS($D$4:$D$863,$D568,$J$4:$J$863,$J568,$F$4:$F$863,$F568,$K$4:$K$863,$K568)&gt;1,"⚠ DOUBLON","")</f>
        <v/>
      </c>
      <c r="AB568" s="64">
        <f>IF(COUNTIF($T$4:$T$863,$T568)&lt;&gt;COUNTIFS($T$4:$T$863,$T568,$D$4:$D$863,$D568,$F$4:$F$863,$F568,$G$4:$G$863,$G568,$K$4:$K$863,$K568,$M$4:$M$863,$M568),"⚠ INCOHÉRENT","")</f>
        <v/>
      </c>
      <c r="AC568" s="64">
        <f>COUNTIFS($A$4:$A568,$A568,$J$4:$J568,$J568,$E$4:$E568,$E568)</f>
        <v/>
      </c>
      <c r="AD568" s="65">
        <f>$A568&amp;"|"&amp;$J568&amp;"|"&amp;$E568&amp;"|"&amp;$AC568</f>
        <v/>
      </c>
      <c r="AE568" s="66">
        <f>IF($W568&lt;&gt;"","⚑ "&amp;$W568&amp;CHAR(10),"")&amp;TEXT($F568,"hh:mm")&amp;"-"&amp;TEXT($G568,"hh:mm")&amp;IF(OR($P568="Quinzaine A",AND($P568="Hebdo · groupes alternés",$C568="A"))," Q-A",IF(OR($P568="Quinzaine B",AND($P568="Hebdo · groupes alternés",$C568="B"))," Q-B",IF($P568="Exception"," PONCT.","")))&amp;IF($X568="Oui"," OPT","")&amp;CHAR(10)&amp;$K568&amp;CHAR(10)&amp;$M568&amp;IF($N568&lt;&gt;"",CHAR(10)&amp;"Salle "&amp;$N568,"")&amp;IF($O568="En ligne",CHAR(10)&amp;"EN LIGNE","")&amp;IF($V568&lt;&gt;"",CHAR(10)&amp;$V568,"")</f>
        <v/>
      </c>
      <c r="AF568" s="65" t="inlineStr"/>
      <c r="AG568" s="65" t="inlineStr">
        <is>
          <t>— généré —</t>
        </is>
      </c>
    </row>
    <row r="569" ht="15" customHeight="1">
      <c r="A569" s="74" t="inlineStr">
        <is>
          <t>S5</t>
        </is>
      </c>
      <c r="B569" s="75" t="inlineStr">
        <is>
          <t>du 12 au 18 octobre 2026</t>
        </is>
      </c>
      <c r="C569" s="74" t="inlineStr">
        <is>
          <t>A</t>
        </is>
      </c>
      <c r="D569" s="76" t="n">
        <v>46311</v>
      </c>
      <c r="E569" s="74" t="inlineStr">
        <is>
          <t>Vendredi</t>
        </is>
      </c>
      <c r="F569" s="77" t="n">
        <v>0.7916666666666666</v>
      </c>
      <c r="G569" s="77" t="n">
        <v>0.8541666666666666</v>
      </c>
      <c r="H569" s="78">
        <f>IF(OR($F569="",$G569=""),"",($G569-$F569)*24)</f>
        <v/>
      </c>
      <c r="I569" s="74" t="inlineStr">
        <is>
          <t>Secondaire</t>
        </is>
      </c>
      <c r="J569" s="75" t="inlineStr">
        <is>
          <t>3éme INFO</t>
        </is>
      </c>
      <c r="K569" s="67" t="inlineStr">
        <is>
          <t>Français</t>
        </is>
      </c>
      <c r="L569" s="67" t="inlineStr">
        <is>
          <t>Français</t>
        </is>
      </c>
      <c r="M569" s="75" t="inlineStr">
        <is>
          <t>Nabil</t>
        </is>
      </c>
      <c r="N569" s="74" t="n"/>
      <c r="O569" s="74" t="n"/>
      <c r="P569" s="74" t="inlineStr">
        <is>
          <t>Quinzaine A</t>
        </is>
      </c>
      <c r="Q569" s="75" t="inlineStr">
        <is>
          <t>3éme Eco + 3éme INFO + 3éme SCE</t>
        </is>
      </c>
      <c r="R569" s="74" t="n">
        <v>3</v>
      </c>
      <c r="S569" s="74" t="inlineStr"/>
      <c r="T569" s="74" t="inlineStr">
        <is>
          <t>S5-096</t>
        </is>
      </c>
      <c r="U569" s="75" t="inlineStr">
        <is>
          <t>Généré (octobre)</t>
        </is>
      </c>
      <c r="V569" s="75" t="inlineStr"/>
      <c r="W569" s="10" t="n"/>
      <c r="X569" s="10" t="inlineStr"/>
      <c r="Y569" s="64">
        <f>IF($M569="","",IF(SUMPRODUCT(($D$4:$D$863=$D569)*($M$4:$M$863=$M569)*($T$4:$T$863&lt;&gt;$T569)*($F$4:$F$863&lt;$G569)*($G$4:$G$863&gt;$F569))&gt;0,"⚠ CONFLIT",""))</f>
        <v/>
      </c>
      <c r="Z569" s="64">
        <f>IF($J569="","",IF(SUMPRODUCT(($D$4:$D$863=$D569)*($J$4:$J$863=$J569)*($T$4:$T$863&lt;&gt;$T569)*($F$4:$F$863&lt;$G569)*($G$4:$G$863&gt;$F569)*(1-($X$4:$X$863="Oui")*($X569="Oui")))&gt;0,"⚠ CONFLIT",""))</f>
        <v/>
      </c>
      <c r="AA569" s="64">
        <f>IF(COUNTIFS($D$4:$D$863,$D569,$J$4:$J$863,$J569,$F$4:$F$863,$F569,$K$4:$K$863,$K569)&gt;1,"⚠ DOUBLON","")</f>
        <v/>
      </c>
      <c r="AB569" s="64">
        <f>IF(COUNTIF($T$4:$T$863,$T569)&lt;&gt;COUNTIFS($T$4:$T$863,$T569,$D$4:$D$863,$D569,$F$4:$F$863,$F569,$G$4:$G$863,$G569,$K$4:$K$863,$K569,$M$4:$M$863,$M569),"⚠ INCOHÉRENT","")</f>
        <v/>
      </c>
      <c r="AC569" s="64">
        <f>COUNTIFS($A$4:$A569,$A569,$J$4:$J569,$J569,$E$4:$E569,$E569)</f>
        <v/>
      </c>
      <c r="AD569" s="65">
        <f>$A569&amp;"|"&amp;$J569&amp;"|"&amp;$E569&amp;"|"&amp;$AC569</f>
        <v/>
      </c>
      <c r="AE569" s="66">
        <f>IF($W569&lt;&gt;"","⚑ "&amp;$W569&amp;CHAR(10),"")&amp;TEXT($F569,"hh:mm")&amp;"-"&amp;TEXT($G569,"hh:mm")&amp;IF(OR($P569="Quinzaine A",AND($P569="Hebdo · groupes alternés",$C569="A"))," Q-A",IF(OR($P569="Quinzaine B",AND($P569="Hebdo · groupes alternés",$C569="B"))," Q-B",IF($P569="Exception"," PONCT.","")))&amp;IF($X569="Oui"," OPT","")&amp;CHAR(10)&amp;$K569&amp;CHAR(10)&amp;$M569&amp;IF($N569&lt;&gt;"",CHAR(10)&amp;"Salle "&amp;$N569,"")&amp;IF($O569="En ligne",CHAR(10)&amp;"EN LIGNE","")&amp;IF($V569&lt;&gt;"",CHAR(10)&amp;$V569,"")</f>
        <v/>
      </c>
      <c r="AF569" s="65" t="inlineStr"/>
      <c r="AG569" s="65" t="inlineStr">
        <is>
          <t>— généré —</t>
        </is>
      </c>
    </row>
    <row r="570" ht="15" customHeight="1">
      <c r="A570" s="74" t="inlineStr">
        <is>
          <t>S5</t>
        </is>
      </c>
      <c r="B570" s="75" t="inlineStr">
        <is>
          <t>du 12 au 18 octobre 2026</t>
        </is>
      </c>
      <c r="C570" s="74" t="inlineStr">
        <is>
          <t>A</t>
        </is>
      </c>
      <c r="D570" s="76" t="n">
        <v>46311</v>
      </c>
      <c r="E570" s="74" t="inlineStr">
        <is>
          <t>Vendredi</t>
        </is>
      </c>
      <c r="F570" s="77" t="n">
        <v>0.7916666666666666</v>
      </c>
      <c r="G570" s="77" t="n">
        <v>0.8541666666666666</v>
      </c>
      <c r="H570" s="78">
        <f>IF(OR($F570="",$G570=""),"",($G570-$F570)*24)</f>
        <v/>
      </c>
      <c r="I570" s="74" t="inlineStr">
        <is>
          <t>Secondaire</t>
        </is>
      </c>
      <c r="J570" s="75" t="inlineStr">
        <is>
          <t>3éme SCE</t>
        </is>
      </c>
      <c r="K570" s="67" t="inlineStr">
        <is>
          <t>Français</t>
        </is>
      </c>
      <c r="L570" s="67" t="inlineStr">
        <is>
          <t>Français</t>
        </is>
      </c>
      <c r="M570" s="75" t="inlineStr">
        <is>
          <t>Nabil</t>
        </is>
      </c>
      <c r="N570" s="74" t="n"/>
      <c r="O570" s="74" t="n"/>
      <c r="P570" s="74" t="inlineStr">
        <is>
          <t>Quinzaine A</t>
        </is>
      </c>
      <c r="Q570" s="75" t="inlineStr">
        <is>
          <t>3éme Eco + 3éme INFO + 3éme SCE</t>
        </is>
      </c>
      <c r="R570" s="74" t="n">
        <v>3</v>
      </c>
      <c r="S570" s="74" t="inlineStr"/>
      <c r="T570" s="74" t="inlineStr">
        <is>
          <t>S5-096</t>
        </is>
      </c>
      <c r="U570" s="75" t="inlineStr">
        <is>
          <t>Généré (octobre)</t>
        </is>
      </c>
      <c r="V570" s="75" t="inlineStr"/>
      <c r="W570" s="10" t="n"/>
      <c r="X570" s="10" t="inlineStr"/>
      <c r="Y570" s="64">
        <f>IF($M570="","",IF(SUMPRODUCT(($D$4:$D$863=$D570)*($M$4:$M$863=$M570)*($T$4:$T$863&lt;&gt;$T570)*($F$4:$F$863&lt;$G570)*($G$4:$G$863&gt;$F570))&gt;0,"⚠ CONFLIT",""))</f>
        <v/>
      </c>
      <c r="Z570" s="64">
        <f>IF($J570="","",IF(SUMPRODUCT(($D$4:$D$863=$D570)*($J$4:$J$863=$J570)*($T$4:$T$863&lt;&gt;$T570)*($F$4:$F$863&lt;$G570)*($G$4:$G$863&gt;$F570)*(1-($X$4:$X$863="Oui")*($X570="Oui")))&gt;0,"⚠ CONFLIT",""))</f>
        <v/>
      </c>
      <c r="AA570" s="64">
        <f>IF(COUNTIFS($D$4:$D$863,$D570,$J$4:$J$863,$J570,$F$4:$F$863,$F570,$K$4:$K$863,$K570)&gt;1,"⚠ DOUBLON","")</f>
        <v/>
      </c>
      <c r="AB570" s="64">
        <f>IF(COUNTIF($T$4:$T$863,$T570)&lt;&gt;COUNTIFS($T$4:$T$863,$T570,$D$4:$D$863,$D570,$F$4:$F$863,$F570,$G$4:$G$863,$G570,$K$4:$K$863,$K570,$M$4:$M$863,$M570),"⚠ INCOHÉRENT","")</f>
        <v/>
      </c>
      <c r="AC570" s="64">
        <f>COUNTIFS($A$4:$A570,$A570,$J$4:$J570,$J570,$E$4:$E570,$E570)</f>
        <v/>
      </c>
      <c r="AD570" s="65">
        <f>$A570&amp;"|"&amp;$J570&amp;"|"&amp;$E570&amp;"|"&amp;$AC570</f>
        <v/>
      </c>
      <c r="AE570" s="66">
        <f>IF($W570&lt;&gt;"","⚑ "&amp;$W570&amp;CHAR(10),"")&amp;TEXT($F570,"hh:mm")&amp;"-"&amp;TEXT($G570,"hh:mm")&amp;IF(OR($P570="Quinzaine A",AND($P570="Hebdo · groupes alternés",$C570="A"))," Q-A",IF(OR($P570="Quinzaine B",AND($P570="Hebdo · groupes alternés",$C570="B"))," Q-B",IF($P570="Exception"," PONCT.","")))&amp;IF($X570="Oui"," OPT","")&amp;CHAR(10)&amp;$K570&amp;CHAR(10)&amp;$M570&amp;IF($N570&lt;&gt;"",CHAR(10)&amp;"Salle "&amp;$N570,"")&amp;IF($O570="En ligne",CHAR(10)&amp;"EN LIGNE","")&amp;IF($V570&lt;&gt;"",CHAR(10)&amp;$V570,"")</f>
        <v/>
      </c>
      <c r="AF570" s="65" t="inlineStr"/>
      <c r="AG570" s="65" t="inlineStr">
        <is>
          <t>— généré —</t>
        </is>
      </c>
    </row>
    <row r="571" ht="15" customHeight="1">
      <c r="A571" s="81" t="inlineStr">
        <is>
          <t>S5</t>
        </is>
      </c>
      <c r="B571" s="82" t="inlineStr">
        <is>
          <t>du 12 au 18 octobre 2026</t>
        </is>
      </c>
      <c r="C571" s="81" t="inlineStr">
        <is>
          <t>A</t>
        </is>
      </c>
      <c r="D571" s="83" t="n">
        <v>46311</v>
      </c>
      <c r="E571" s="81" t="inlineStr">
        <is>
          <t>Vendredi</t>
        </is>
      </c>
      <c r="F571" s="84" t="n">
        <v>0.7291666666666666</v>
      </c>
      <c r="G571" s="84" t="n">
        <v>0.7916666666666666</v>
      </c>
      <c r="H571" s="85">
        <f>IF(OR($F571="",$G571=""),"",($G571-$F571)*24)</f>
        <v/>
      </c>
      <c r="I571" s="81" t="inlineStr">
        <is>
          <t>Bac</t>
        </is>
      </c>
      <c r="J571" s="82" t="inlineStr">
        <is>
          <t>Bac Eco</t>
        </is>
      </c>
      <c r="K571" s="87" t="inlineStr">
        <is>
          <t>Anglais</t>
        </is>
      </c>
      <c r="L571" s="87" t="inlineStr">
        <is>
          <t>Anglais</t>
        </is>
      </c>
      <c r="M571" s="82" t="inlineStr">
        <is>
          <t>Khaled</t>
        </is>
      </c>
      <c r="N571" s="81" t="n"/>
      <c r="O571" s="81" t="n"/>
      <c r="P571" s="81" t="inlineStr">
        <is>
          <t>Hebdo · groupes alternés</t>
        </is>
      </c>
      <c r="Q571" s="82" t="inlineStr">
        <is>
          <t>Bac Eco + Bac SCE + Bac INFO</t>
        </is>
      </c>
      <c r="R571" s="81" t="n">
        <v>3</v>
      </c>
      <c r="S571" s="81" t="inlineStr">
        <is>
          <t>Oui</t>
        </is>
      </c>
      <c r="T571" s="81" t="inlineStr">
        <is>
          <t>S5-054</t>
        </is>
      </c>
      <c r="U571" s="82" t="inlineStr">
        <is>
          <t>Généré (octobre)</t>
        </is>
      </c>
      <c r="V571" s="82" t="inlineStr"/>
      <c r="W571" s="10" t="n"/>
      <c r="X571" s="10" t="inlineStr"/>
      <c r="Y571" s="64">
        <f>IF($M571="","",IF(SUMPRODUCT(($D$4:$D$863=$D571)*($M$4:$M$863=$M571)*($T$4:$T$863&lt;&gt;$T571)*($F$4:$F$863&lt;$G571)*($G$4:$G$863&gt;$F571))&gt;0,"⚠ CONFLIT",""))</f>
        <v/>
      </c>
      <c r="Z571" s="64">
        <f>IF($J571="","",IF(SUMPRODUCT(($D$4:$D$863=$D571)*($J$4:$J$863=$J571)*($T$4:$T$863&lt;&gt;$T571)*($F$4:$F$863&lt;$G571)*($G$4:$G$863&gt;$F571)*(1-($X$4:$X$863="Oui")*($X571="Oui")))&gt;0,"⚠ CONFLIT",""))</f>
        <v/>
      </c>
      <c r="AA571" s="64">
        <f>IF(COUNTIFS($D$4:$D$863,$D571,$J$4:$J$863,$J571,$F$4:$F$863,$F571,$K$4:$K$863,$K571)&gt;1,"⚠ DOUBLON","")</f>
        <v/>
      </c>
      <c r="AB571" s="64">
        <f>IF(COUNTIF($T$4:$T$863,$T571)&lt;&gt;COUNTIFS($T$4:$T$863,$T571,$D$4:$D$863,$D571,$F$4:$F$863,$F571,$G$4:$G$863,$G571,$K$4:$K$863,$K571,$M$4:$M$863,$M571),"⚠ INCOHÉRENT","")</f>
        <v/>
      </c>
      <c r="AC571" s="64">
        <f>COUNTIFS($A$4:$A571,$A571,$J$4:$J571,$J571,$E$4:$E571,$E571)</f>
        <v/>
      </c>
      <c r="AD571" s="65">
        <f>$A571&amp;"|"&amp;$J571&amp;"|"&amp;$E571&amp;"|"&amp;$AC571</f>
        <v/>
      </c>
      <c r="AE571" s="66">
        <f>IF($W571&lt;&gt;"","⚑ "&amp;$W571&amp;CHAR(10),"")&amp;TEXT($F571,"hh:mm")&amp;"-"&amp;TEXT($G571,"hh:mm")&amp;IF(OR($P571="Quinzaine A",AND($P571="Hebdo · groupes alternés",$C571="A"))," Q-A",IF(OR($P571="Quinzaine B",AND($P571="Hebdo · groupes alternés",$C571="B"))," Q-B",IF($P571="Exception"," PONCT.","")))&amp;IF($X571="Oui"," OPT","")&amp;CHAR(10)&amp;$K571&amp;CHAR(10)&amp;$M571&amp;IF($N571&lt;&gt;"",CHAR(10)&amp;"Salle "&amp;$N571,"")&amp;IF($O571="En ligne",CHAR(10)&amp;"EN LIGNE","")&amp;IF($V571&lt;&gt;"",CHAR(10)&amp;$V571,"")</f>
        <v/>
      </c>
      <c r="AF571" s="65" t="inlineStr"/>
      <c r="AG571" s="65" t="inlineStr">
        <is>
          <t>— généré —</t>
        </is>
      </c>
    </row>
    <row r="572" ht="15" customHeight="1">
      <c r="A572" s="81" t="inlineStr">
        <is>
          <t>S5</t>
        </is>
      </c>
      <c r="B572" s="82" t="inlineStr">
        <is>
          <t>du 12 au 18 octobre 2026</t>
        </is>
      </c>
      <c r="C572" s="81" t="inlineStr">
        <is>
          <t>A</t>
        </is>
      </c>
      <c r="D572" s="83" t="n">
        <v>46311</v>
      </c>
      <c r="E572" s="81" t="inlineStr">
        <is>
          <t>Vendredi</t>
        </is>
      </c>
      <c r="F572" s="84" t="n">
        <v>0.7291666666666666</v>
      </c>
      <c r="G572" s="84" t="n">
        <v>0.7916666666666666</v>
      </c>
      <c r="H572" s="85">
        <f>IF(OR($F572="",$G572=""),"",($G572-$F572)*24)</f>
        <v/>
      </c>
      <c r="I572" s="81" t="inlineStr">
        <is>
          <t>Bac</t>
        </is>
      </c>
      <c r="J572" s="82" t="inlineStr">
        <is>
          <t>Bac SCE</t>
        </is>
      </c>
      <c r="K572" s="87" t="inlineStr">
        <is>
          <t>Anglais</t>
        </is>
      </c>
      <c r="L572" s="87" t="inlineStr">
        <is>
          <t>Anglais</t>
        </is>
      </c>
      <c r="M572" s="82" t="inlineStr">
        <is>
          <t>Khaled</t>
        </is>
      </c>
      <c r="N572" s="81" t="n"/>
      <c r="O572" s="81" t="n"/>
      <c r="P572" s="81" t="inlineStr">
        <is>
          <t>Hebdo · groupes alternés</t>
        </is>
      </c>
      <c r="Q572" s="82" t="inlineStr">
        <is>
          <t>Bac Eco + Bac SCE + Bac INFO</t>
        </is>
      </c>
      <c r="R572" s="81" t="n">
        <v>3</v>
      </c>
      <c r="S572" s="81" t="inlineStr"/>
      <c r="T572" s="81" t="inlineStr">
        <is>
          <t>S5-054</t>
        </is>
      </c>
      <c r="U572" s="82" t="inlineStr">
        <is>
          <t>Généré (octobre)</t>
        </is>
      </c>
      <c r="V572" s="82" t="inlineStr"/>
      <c r="W572" s="10" t="n"/>
      <c r="X572" s="10" t="inlineStr"/>
      <c r="Y572" s="64">
        <f>IF($M572="","",IF(SUMPRODUCT(($D$4:$D$863=$D572)*($M$4:$M$863=$M572)*($T$4:$T$863&lt;&gt;$T572)*($F$4:$F$863&lt;$G572)*($G$4:$G$863&gt;$F572))&gt;0,"⚠ CONFLIT",""))</f>
        <v/>
      </c>
      <c r="Z572" s="64">
        <f>IF($J572="","",IF(SUMPRODUCT(($D$4:$D$863=$D572)*($J$4:$J$863=$J572)*($T$4:$T$863&lt;&gt;$T572)*($F$4:$F$863&lt;$G572)*($G$4:$G$863&gt;$F572)*(1-($X$4:$X$863="Oui")*($X572="Oui")))&gt;0,"⚠ CONFLIT",""))</f>
        <v/>
      </c>
      <c r="AA572" s="64">
        <f>IF(COUNTIFS($D$4:$D$863,$D572,$J$4:$J$863,$J572,$F$4:$F$863,$F572,$K$4:$K$863,$K572)&gt;1,"⚠ DOUBLON","")</f>
        <v/>
      </c>
      <c r="AB572" s="64">
        <f>IF(COUNTIF($T$4:$T$863,$T572)&lt;&gt;COUNTIFS($T$4:$T$863,$T572,$D$4:$D$863,$D572,$F$4:$F$863,$F572,$G$4:$G$863,$G572,$K$4:$K$863,$K572,$M$4:$M$863,$M572),"⚠ INCOHÉRENT","")</f>
        <v/>
      </c>
      <c r="AC572" s="64">
        <f>COUNTIFS($A$4:$A572,$A572,$J$4:$J572,$J572,$E$4:$E572,$E572)</f>
        <v/>
      </c>
      <c r="AD572" s="65">
        <f>$A572&amp;"|"&amp;$J572&amp;"|"&amp;$E572&amp;"|"&amp;$AC572</f>
        <v/>
      </c>
      <c r="AE572" s="66">
        <f>IF($W572&lt;&gt;"","⚑ "&amp;$W572&amp;CHAR(10),"")&amp;TEXT($F572,"hh:mm")&amp;"-"&amp;TEXT($G572,"hh:mm")&amp;IF(OR($P572="Quinzaine A",AND($P572="Hebdo · groupes alternés",$C572="A"))," Q-A",IF(OR($P572="Quinzaine B",AND($P572="Hebdo · groupes alternés",$C572="B"))," Q-B",IF($P572="Exception"," PONCT.","")))&amp;IF($X572="Oui"," OPT","")&amp;CHAR(10)&amp;$K572&amp;CHAR(10)&amp;$M572&amp;IF($N572&lt;&gt;"",CHAR(10)&amp;"Salle "&amp;$N572,"")&amp;IF($O572="En ligne",CHAR(10)&amp;"EN LIGNE","")&amp;IF($V572&lt;&gt;"",CHAR(10)&amp;$V572,"")</f>
        <v/>
      </c>
      <c r="AF572" s="65" t="inlineStr"/>
      <c r="AG572" s="65" t="inlineStr">
        <is>
          <t>— généré —</t>
        </is>
      </c>
    </row>
    <row r="573" ht="15" customHeight="1">
      <c r="A573" s="81" t="inlineStr">
        <is>
          <t>S5</t>
        </is>
      </c>
      <c r="B573" s="82" t="inlineStr">
        <is>
          <t>du 12 au 18 octobre 2026</t>
        </is>
      </c>
      <c r="C573" s="81" t="inlineStr">
        <is>
          <t>A</t>
        </is>
      </c>
      <c r="D573" s="83" t="n">
        <v>46311</v>
      </c>
      <c r="E573" s="81" t="inlineStr">
        <is>
          <t>Vendredi</t>
        </is>
      </c>
      <c r="F573" s="84" t="n">
        <v>0.7291666666666666</v>
      </c>
      <c r="G573" s="84" t="n">
        <v>0.7916666666666666</v>
      </c>
      <c r="H573" s="85">
        <f>IF(OR($F573="",$G573=""),"",($G573-$F573)*24)</f>
        <v/>
      </c>
      <c r="I573" s="81" t="inlineStr">
        <is>
          <t>Bac</t>
        </is>
      </c>
      <c r="J573" s="82" t="inlineStr">
        <is>
          <t>Bac INFO</t>
        </is>
      </c>
      <c r="K573" s="87" t="inlineStr">
        <is>
          <t>Anglais</t>
        </is>
      </c>
      <c r="L573" s="87" t="inlineStr">
        <is>
          <t>Anglais</t>
        </is>
      </c>
      <c r="M573" s="82" t="inlineStr">
        <is>
          <t>Khaled</t>
        </is>
      </c>
      <c r="N573" s="81" t="n"/>
      <c r="O573" s="81" t="n"/>
      <c r="P573" s="81" t="inlineStr">
        <is>
          <t>Hebdo · groupes alternés</t>
        </is>
      </c>
      <c r="Q573" s="82" t="inlineStr">
        <is>
          <t>Bac Eco + Bac SCE + Bac INFO</t>
        </is>
      </c>
      <c r="R573" s="81" t="n">
        <v>3</v>
      </c>
      <c r="S573" s="81" t="inlineStr"/>
      <c r="T573" s="81" t="inlineStr">
        <is>
          <t>S5-054</t>
        </is>
      </c>
      <c r="U573" s="82" t="inlineStr">
        <is>
          <t>Généré (octobre)</t>
        </is>
      </c>
      <c r="V573" s="82" t="inlineStr"/>
      <c r="W573" s="10" t="n"/>
      <c r="X573" s="10" t="inlineStr"/>
      <c r="Y573" s="64">
        <f>IF($M573="","",IF(SUMPRODUCT(($D$4:$D$863=$D573)*($M$4:$M$863=$M573)*($T$4:$T$863&lt;&gt;$T573)*($F$4:$F$863&lt;$G573)*($G$4:$G$863&gt;$F573))&gt;0,"⚠ CONFLIT",""))</f>
        <v/>
      </c>
      <c r="Z573" s="64">
        <f>IF($J573="","",IF(SUMPRODUCT(($D$4:$D$863=$D573)*($J$4:$J$863=$J573)*($T$4:$T$863&lt;&gt;$T573)*($F$4:$F$863&lt;$G573)*($G$4:$G$863&gt;$F573)*(1-($X$4:$X$863="Oui")*($X573="Oui")))&gt;0,"⚠ CONFLIT",""))</f>
        <v/>
      </c>
      <c r="AA573" s="64">
        <f>IF(COUNTIFS($D$4:$D$863,$D573,$J$4:$J$863,$J573,$F$4:$F$863,$F573,$K$4:$K$863,$K573)&gt;1,"⚠ DOUBLON","")</f>
        <v/>
      </c>
      <c r="AB573" s="64">
        <f>IF(COUNTIF($T$4:$T$863,$T573)&lt;&gt;COUNTIFS($T$4:$T$863,$T573,$D$4:$D$863,$D573,$F$4:$F$863,$F573,$G$4:$G$863,$G573,$K$4:$K$863,$K573,$M$4:$M$863,$M573),"⚠ INCOHÉRENT","")</f>
        <v/>
      </c>
      <c r="AC573" s="64">
        <f>COUNTIFS($A$4:$A573,$A573,$J$4:$J573,$J573,$E$4:$E573,$E573)</f>
        <v/>
      </c>
      <c r="AD573" s="65">
        <f>$A573&amp;"|"&amp;$J573&amp;"|"&amp;$E573&amp;"|"&amp;$AC573</f>
        <v/>
      </c>
      <c r="AE573" s="66">
        <f>IF($W573&lt;&gt;"","⚑ "&amp;$W573&amp;CHAR(10),"")&amp;TEXT($F573,"hh:mm")&amp;"-"&amp;TEXT($G573,"hh:mm")&amp;IF(OR($P573="Quinzaine A",AND($P573="Hebdo · groupes alternés",$C573="A"))," Q-A",IF(OR($P573="Quinzaine B",AND($P573="Hebdo · groupes alternés",$C573="B"))," Q-B",IF($P573="Exception"," PONCT.","")))&amp;IF($X573="Oui"," OPT","")&amp;CHAR(10)&amp;$K573&amp;CHAR(10)&amp;$M573&amp;IF($N573&lt;&gt;"",CHAR(10)&amp;"Salle "&amp;$N573,"")&amp;IF($O573="En ligne",CHAR(10)&amp;"EN LIGNE","")&amp;IF($V573&lt;&gt;"",CHAR(10)&amp;$V573,"")</f>
        <v/>
      </c>
      <c r="AF573" s="65" t="inlineStr"/>
      <c r="AG573" s="65" t="inlineStr">
        <is>
          <t>— généré —</t>
        </is>
      </c>
    </row>
    <row r="574" ht="15" customHeight="1">
      <c r="A574" s="58" t="inlineStr">
        <is>
          <t>S5</t>
        </is>
      </c>
      <c r="B574" s="59" t="inlineStr">
        <is>
          <t>du 12 au 18 octobre 2026</t>
        </is>
      </c>
      <c r="C574" s="58" t="inlineStr">
        <is>
          <t>A</t>
        </is>
      </c>
      <c r="D574" s="60" t="n">
        <v>46312</v>
      </c>
      <c r="E574" s="58" t="inlineStr">
        <is>
          <t>Samedi</t>
        </is>
      </c>
      <c r="F574" s="61" t="n">
        <v>0.6666666666666666</v>
      </c>
      <c r="G574" s="61" t="n">
        <v>0.7291666666666666</v>
      </c>
      <c r="H574" s="62">
        <f>IF(OR($F574="",$G574=""),"",($G574-$F574)*24)</f>
        <v/>
      </c>
      <c r="I574" s="58" t="inlineStr">
        <is>
          <t>Primaire</t>
        </is>
      </c>
      <c r="J574" s="59" t="inlineStr">
        <is>
          <t>4éme</t>
        </is>
      </c>
      <c r="K574" s="67" t="inlineStr">
        <is>
          <t>Français</t>
        </is>
      </c>
      <c r="L574" s="67" t="inlineStr">
        <is>
          <t>Français</t>
        </is>
      </c>
      <c r="M574" s="59" t="inlineStr">
        <is>
          <t>Hend</t>
        </is>
      </c>
      <c r="N574" s="58" t="n"/>
      <c r="O574" s="58" t="n"/>
      <c r="P574" s="58" t="inlineStr">
        <is>
          <t>Hebdomadaire</t>
        </is>
      </c>
      <c r="Q574" s="59" t="inlineStr"/>
      <c r="R574" s="58" t="n">
        <v>1</v>
      </c>
      <c r="S574" s="58" t="inlineStr">
        <is>
          <t>Oui</t>
        </is>
      </c>
      <c r="T574" s="58" t="inlineStr">
        <is>
          <t>S5-055</t>
        </is>
      </c>
      <c r="U574" s="59" t="inlineStr">
        <is>
          <t>Généré (octobre)</t>
        </is>
      </c>
      <c r="V574" s="59" t="inlineStr"/>
      <c r="W574" s="10" t="n"/>
      <c r="X574" s="10" t="inlineStr"/>
      <c r="Y574" s="64">
        <f>IF($M574="","",IF(SUMPRODUCT(($D$4:$D$863=$D574)*($M$4:$M$863=$M574)*($T$4:$T$863&lt;&gt;$T574)*($F$4:$F$863&lt;$G574)*($G$4:$G$863&gt;$F574))&gt;0,"⚠ CONFLIT",""))</f>
        <v/>
      </c>
      <c r="Z574" s="64">
        <f>IF($J574="","",IF(SUMPRODUCT(($D$4:$D$863=$D574)*($J$4:$J$863=$J574)*($T$4:$T$863&lt;&gt;$T574)*($F$4:$F$863&lt;$G574)*($G$4:$G$863&gt;$F574)*(1-($X$4:$X$863="Oui")*($X574="Oui")))&gt;0,"⚠ CONFLIT",""))</f>
        <v/>
      </c>
      <c r="AA574" s="64">
        <f>IF(COUNTIFS($D$4:$D$863,$D574,$J$4:$J$863,$J574,$F$4:$F$863,$F574,$K$4:$K$863,$K574)&gt;1,"⚠ DOUBLON","")</f>
        <v/>
      </c>
      <c r="AB574" s="64">
        <f>IF(COUNTIF($T$4:$T$863,$T574)&lt;&gt;COUNTIFS($T$4:$T$863,$T574,$D$4:$D$863,$D574,$F$4:$F$863,$F574,$G$4:$G$863,$G574,$K$4:$K$863,$K574,$M$4:$M$863,$M574),"⚠ INCOHÉRENT","")</f>
        <v/>
      </c>
      <c r="AC574" s="64">
        <f>COUNTIFS($A$4:$A574,$A574,$J$4:$J574,$J574,$E$4:$E574,$E574)</f>
        <v/>
      </c>
      <c r="AD574" s="65">
        <f>$A574&amp;"|"&amp;$J574&amp;"|"&amp;$E574&amp;"|"&amp;$AC574</f>
        <v/>
      </c>
      <c r="AE574" s="66">
        <f>IF($W574&lt;&gt;"","⚑ "&amp;$W574&amp;CHAR(10),"")&amp;TEXT($F574,"hh:mm")&amp;"-"&amp;TEXT($G574,"hh:mm")&amp;IF(OR($P574="Quinzaine A",AND($P574="Hebdo · groupes alternés",$C574="A"))," Q-A",IF(OR($P574="Quinzaine B",AND($P574="Hebdo · groupes alternés",$C574="B"))," Q-B",IF($P574="Exception"," PONCT.","")))&amp;IF($X574="Oui"," OPT","")&amp;CHAR(10)&amp;$K574&amp;CHAR(10)&amp;$M574&amp;IF($N574&lt;&gt;"",CHAR(10)&amp;"Salle "&amp;$N574,"")&amp;IF($O574="En ligne",CHAR(10)&amp;"EN LIGNE","")&amp;IF($V574&lt;&gt;"",CHAR(10)&amp;$V574,"")</f>
        <v/>
      </c>
      <c r="AF574" s="65" t="inlineStr"/>
      <c r="AG574" s="65" t="inlineStr">
        <is>
          <t>— généré —</t>
        </is>
      </c>
    </row>
    <row r="575" ht="15" customHeight="1">
      <c r="A575" s="58" t="inlineStr">
        <is>
          <t>S5</t>
        </is>
      </c>
      <c r="B575" s="59" t="inlineStr">
        <is>
          <t>du 12 au 18 octobre 2026</t>
        </is>
      </c>
      <c r="C575" s="58" t="inlineStr">
        <is>
          <t>A</t>
        </is>
      </c>
      <c r="D575" s="60" t="n">
        <v>46312</v>
      </c>
      <c r="E575" s="58" t="inlineStr">
        <is>
          <t>Samedi</t>
        </is>
      </c>
      <c r="F575" s="61" t="n">
        <v>0.75</v>
      </c>
      <c r="G575" s="61" t="n">
        <v>0.8125</v>
      </c>
      <c r="H575" s="62">
        <f>IF(OR($F575="",$G575=""),"",($G575-$F575)*24)</f>
        <v/>
      </c>
      <c r="I575" s="58" t="inlineStr">
        <is>
          <t>Primaire</t>
        </is>
      </c>
      <c r="J575" s="59" t="inlineStr">
        <is>
          <t>5éme</t>
        </is>
      </c>
      <c r="K575" s="67" t="inlineStr">
        <is>
          <t>Français</t>
        </is>
      </c>
      <c r="L575" s="67" t="inlineStr">
        <is>
          <t>Français</t>
        </is>
      </c>
      <c r="M575" s="59" t="inlineStr">
        <is>
          <t>Hend</t>
        </is>
      </c>
      <c r="N575" s="58" t="n"/>
      <c r="O575" s="58" t="n"/>
      <c r="P575" s="58" t="inlineStr">
        <is>
          <t>Hebdomadaire</t>
        </is>
      </c>
      <c r="Q575" s="59" t="inlineStr"/>
      <c r="R575" s="58" t="n">
        <v>1</v>
      </c>
      <c r="S575" s="58" t="inlineStr">
        <is>
          <t>Oui</t>
        </is>
      </c>
      <c r="T575" s="58" t="inlineStr">
        <is>
          <t>S5-056</t>
        </is>
      </c>
      <c r="U575" s="59" t="inlineStr">
        <is>
          <t>Généré (octobre)</t>
        </is>
      </c>
      <c r="V575" s="59" t="inlineStr"/>
      <c r="W575" s="10" t="n"/>
      <c r="X575" s="10" t="inlineStr"/>
      <c r="Y575" s="64">
        <f>IF($M575="","",IF(SUMPRODUCT(($D$4:$D$863=$D575)*($M$4:$M$863=$M575)*($T$4:$T$863&lt;&gt;$T575)*($F$4:$F$863&lt;$G575)*($G$4:$G$863&gt;$F575))&gt;0,"⚠ CONFLIT",""))</f>
        <v/>
      </c>
      <c r="Z575" s="64">
        <f>IF($J575="","",IF(SUMPRODUCT(($D$4:$D$863=$D575)*($J$4:$J$863=$J575)*($T$4:$T$863&lt;&gt;$T575)*($F$4:$F$863&lt;$G575)*($G$4:$G$863&gt;$F575)*(1-($X$4:$X$863="Oui")*($X575="Oui")))&gt;0,"⚠ CONFLIT",""))</f>
        <v/>
      </c>
      <c r="AA575" s="64">
        <f>IF(COUNTIFS($D$4:$D$863,$D575,$J$4:$J$863,$J575,$F$4:$F$863,$F575,$K$4:$K$863,$K575)&gt;1,"⚠ DOUBLON","")</f>
        <v/>
      </c>
      <c r="AB575" s="64">
        <f>IF(COUNTIF($T$4:$T$863,$T575)&lt;&gt;COUNTIFS($T$4:$T$863,$T575,$D$4:$D$863,$D575,$F$4:$F$863,$F575,$G$4:$G$863,$G575,$K$4:$K$863,$K575,$M$4:$M$863,$M575),"⚠ INCOHÉRENT","")</f>
        <v/>
      </c>
      <c r="AC575" s="64">
        <f>COUNTIFS($A$4:$A575,$A575,$J$4:$J575,$J575,$E$4:$E575,$E575)</f>
        <v/>
      </c>
      <c r="AD575" s="65">
        <f>$A575&amp;"|"&amp;$J575&amp;"|"&amp;$E575&amp;"|"&amp;$AC575</f>
        <v/>
      </c>
      <c r="AE575" s="66">
        <f>IF($W575&lt;&gt;"","⚑ "&amp;$W575&amp;CHAR(10),"")&amp;TEXT($F575,"hh:mm")&amp;"-"&amp;TEXT($G575,"hh:mm")&amp;IF(OR($P575="Quinzaine A",AND($P575="Hebdo · groupes alternés",$C575="A"))," Q-A",IF(OR($P575="Quinzaine B",AND($P575="Hebdo · groupes alternés",$C575="B"))," Q-B",IF($P575="Exception"," PONCT.","")))&amp;IF($X575="Oui"," OPT","")&amp;CHAR(10)&amp;$K575&amp;CHAR(10)&amp;$M575&amp;IF($N575&lt;&gt;"",CHAR(10)&amp;"Salle "&amp;$N575,"")&amp;IF($O575="En ligne",CHAR(10)&amp;"EN LIGNE","")&amp;IF($V575&lt;&gt;"",CHAR(10)&amp;$V575,"")</f>
        <v/>
      </c>
      <c r="AF575" s="65" t="inlineStr"/>
      <c r="AG575" s="65" t="inlineStr">
        <is>
          <t>— généré —</t>
        </is>
      </c>
    </row>
    <row r="576" ht="15" customHeight="1">
      <c r="A576" s="58" t="inlineStr">
        <is>
          <t>S5</t>
        </is>
      </c>
      <c r="B576" s="59" t="inlineStr">
        <is>
          <t>du 12 au 18 octobre 2026</t>
        </is>
      </c>
      <c r="C576" s="58" t="inlineStr">
        <is>
          <t>A</t>
        </is>
      </c>
      <c r="D576" s="60" t="n">
        <v>46312</v>
      </c>
      <c r="E576" s="58" t="inlineStr">
        <is>
          <t>Samedi</t>
        </is>
      </c>
      <c r="F576" s="61" t="n">
        <v>0.7916666666666666</v>
      </c>
      <c r="G576" s="61" t="n">
        <v>0.875</v>
      </c>
      <c r="H576" s="62">
        <f>IF(OR($F576="",$G576=""),"",($G576-$F576)*24)</f>
        <v/>
      </c>
      <c r="I576" s="58" t="inlineStr">
        <is>
          <t>Primaire</t>
        </is>
      </c>
      <c r="J576" s="59" t="inlineStr">
        <is>
          <t>6éme Pilote (A)</t>
        </is>
      </c>
      <c r="K576" s="63" t="inlineStr">
        <is>
          <t>عربية</t>
        </is>
      </c>
      <c r="L576" s="63" t="inlineStr">
        <is>
          <t>Arabe</t>
        </is>
      </c>
      <c r="M576" s="59" t="inlineStr">
        <is>
          <t>Lobna</t>
        </is>
      </c>
      <c r="N576" s="58" t="n"/>
      <c r="O576" s="58" t="n"/>
      <c r="P576" s="58" t="inlineStr">
        <is>
          <t>Hebdomadaire</t>
        </is>
      </c>
      <c r="Q576" s="59" t="inlineStr"/>
      <c r="R576" s="58" t="n">
        <v>1</v>
      </c>
      <c r="S576" s="58" t="inlineStr">
        <is>
          <t>Oui</t>
        </is>
      </c>
      <c r="T576" s="58" t="inlineStr">
        <is>
          <t>S5-057</t>
        </is>
      </c>
      <c r="U576" s="59" t="inlineStr">
        <is>
          <t>Généré (octobre)</t>
        </is>
      </c>
      <c r="V576" s="59" t="inlineStr"/>
      <c r="W576" s="10" t="n"/>
      <c r="X576" s="10" t="inlineStr"/>
      <c r="Y576" s="64">
        <f>IF($M576="","",IF(SUMPRODUCT(($D$4:$D$863=$D576)*($M$4:$M$863=$M576)*($T$4:$T$863&lt;&gt;$T576)*($F$4:$F$863&lt;$G576)*($G$4:$G$863&gt;$F576))&gt;0,"⚠ CONFLIT",""))</f>
        <v/>
      </c>
      <c r="Z576" s="64">
        <f>IF($J576="","",IF(SUMPRODUCT(($D$4:$D$863=$D576)*($J$4:$J$863=$J576)*($T$4:$T$863&lt;&gt;$T576)*($F$4:$F$863&lt;$G576)*($G$4:$G$863&gt;$F576)*(1-($X$4:$X$863="Oui")*($X576="Oui")))&gt;0,"⚠ CONFLIT",""))</f>
        <v/>
      </c>
      <c r="AA576" s="64">
        <f>IF(COUNTIFS($D$4:$D$863,$D576,$J$4:$J$863,$J576,$F$4:$F$863,$F576,$K$4:$K$863,$K576)&gt;1,"⚠ DOUBLON","")</f>
        <v/>
      </c>
      <c r="AB576" s="64">
        <f>IF(COUNTIF($T$4:$T$863,$T576)&lt;&gt;COUNTIFS($T$4:$T$863,$T576,$D$4:$D$863,$D576,$F$4:$F$863,$F576,$G$4:$G$863,$G576,$K$4:$K$863,$K576,$M$4:$M$863,$M576),"⚠ INCOHÉRENT","")</f>
        <v/>
      </c>
      <c r="AC576" s="64">
        <f>COUNTIFS($A$4:$A576,$A576,$J$4:$J576,$J576,$E$4:$E576,$E576)</f>
        <v/>
      </c>
      <c r="AD576" s="65">
        <f>$A576&amp;"|"&amp;$J576&amp;"|"&amp;$E576&amp;"|"&amp;$AC576</f>
        <v/>
      </c>
      <c r="AE576" s="66">
        <f>IF($W576&lt;&gt;"","⚑ "&amp;$W576&amp;CHAR(10),"")&amp;TEXT($F576,"hh:mm")&amp;"-"&amp;TEXT($G576,"hh:mm")&amp;IF(OR($P576="Quinzaine A",AND($P576="Hebdo · groupes alternés",$C576="A"))," Q-A",IF(OR($P576="Quinzaine B",AND($P576="Hebdo · groupes alternés",$C576="B"))," Q-B",IF($P576="Exception"," PONCT.","")))&amp;IF($X576="Oui"," OPT","")&amp;CHAR(10)&amp;$K576&amp;CHAR(10)&amp;$M576&amp;IF($N576&lt;&gt;"",CHAR(10)&amp;"Salle "&amp;$N576,"")&amp;IF($O576="En ligne",CHAR(10)&amp;"EN LIGNE","")&amp;IF($V576&lt;&gt;"",CHAR(10)&amp;$V576,"")</f>
        <v/>
      </c>
      <c r="AF576" s="65" t="inlineStr"/>
      <c r="AG576" s="65" t="inlineStr">
        <is>
          <t>— généré —</t>
        </is>
      </c>
    </row>
    <row r="577" ht="15" customHeight="1">
      <c r="A577" s="58" t="inlineStr">
        <is>
          <t>S5</t>
        </is>
      </c>
      <c r="B577" s="59" t="inlineStr">
        <is>
          <t>du 12 au 18 octobre 2026</t>
        </is>
      </c>
      <c r="C577" s="58" t="inlineStr">
        <is>
          <t>A</t>
        </is>
      </c>
      <c r="D577" s="60" t="n">
        <v>46312</v>
      </c>
      <c r="E577" s="58" t="inlineStr">
        <is>
          <t>Samedi</t>
        </is>
      </c>
      <c r="F577" s="61" t="n">
        <v>0.7083333333333334</v>
      </c>
      <c r="G577" s="61" t="n">
        <v>0.7916666666666666</v>
      </c>
      <c r="H577" s="62">
        <f>IF(OR($F577="",$G577=""),"",($G577-$F577)*24)</f>
        <v/>
      </c>
      <c r="I577" s="58" t="inlineStr">
        <is>
          <t>Primaire</t>
        </is>
      </c>
      <c r="J577" s="59" t="inlineStr">
        <is>
          <t>6éme (B)</t>
        </is>
      </c>
      <c r="K577" s="63" t="inlineStr">
        <is>
          <t>عربية</t>
        </is>
      </c>
      <c r="L577" s="63" t="inlineStr">
        <is>
          <t>Arabe</t>
        </is>
      </c>
      <c r="M577" s="59" t="inlineStr">
        <is>
          <t>Lobna</t>
        </is>
      </c>
      <c r="N577" s="58" t="n"/>
      <c r="O577" s="58" t="n"/>
      <c r="P577" s="58" t="inlineStr">
        <is>
          <t>Hebdomadaire</t>
        </is>
      </c>
      <c r="Q577" s="59" t="inlineStr"/>
      <c r="R577" s="58" t="n">
        <v>1</v>
      </c>
      <c r="S577" s="58" t="inlineStr">
        <is>
          <t>Oui</t>
        </is>
      </c>
      <c r="T577" s="58" t="inlineStr">
        <is>
          <t>S5-058</t>
        </is>
      </c>
      <c r="U577" s="59" t="inlineStr">
        <is>
          <t>Généré (octobre)</t>
        </is>
      </c>
      <c r="V577" s="59" t="inlineStr"/>
      <c r="W577" s="10" t="n"/>
      <c r="X577" s="10" t="inlineStr"/>
      <c r="Y577" s="64">
        <f>IF($M577="","",IF(SUMPRODUCT(($D$4:$D$863=$D577)*($M$4:$M$863=$M577)*($T$4:$T$863&lt;&gt;$T577)*($F$4:$F$863&lt;$G577)*($G$4:$G$863&gt;$F577))&gt;0,"⚠ CONFLIT",""))</f>
        <v/>
      </c>
      <c r="Z577" s="64">
        <f>IF($J577="","",IF(SUMPRODUCT(($D$4:$D$863=$D577)*($J$4:$J$863=$J577)*($T$4:$T$863&lt;&gt;$T577)*($F$4:$F$863&lt;$G577)*($G$4:$G$863&gt;$F577)*(1-($X$4:$X$863="Oui")*($X577="Oui")))&gt;0,"⚠ CONFLIT",""))</f>
        <v/>
      </c>
      <c r="AA577" s="64">
        <f>IF(COUNTIFS($D$4:$D$863,$D577,$J$4:$J$863,$J577,$F$4:$F$863,$F577,$K$4:$K$863,$K577)&gt;1,"⚠ DOUBLON","")</f>
        <v/>
      </c>
      <c r="AB577" s="64">
        <f>IF(COUNTIF($T$4:$T$863,$T577)&lt;&gt;COUNTIFS($T$4:$T$863,$T577,$D$4:$D$863,$D577,$F$4:$F$863,$F577,$G$4:$G$863,$G577,$K$4:$K$863,$K577,$M$4:$M$863,$M577),"⚠ INCOHÉRENT","")</f>
        <v/>
      </c>
      <c r="AC577" s="64">
        <f>COUNTIFS($A$4:$A577,$A577,$J$4:$J577,$J577,$E$4:$E577,$E577)</f>
        <v/>
      </c>
      <c r="AD577" s="65">
        <f>$A577&amp;"|"&amp;$J577&amp;"|"&amp;$E577&amp;"|"&amp;$AC577</f>
        <v/>
      </c>
      <c r="AE577" s="66">
        <f>IF($W577&lt;&gt;"","⚑ "&amp;$W577&amp;CHAR(10),"")&amp;TEXT($F577,"hh:mm")&amp;"-"&amp;TEXT($G577,"hh:mm")&amp;IF(OR($P577="Quinzaine A",AND($P577="Hebdo · groupes alternés",$C577="A"))," Q-A",IF(OR($P577="Quinzaine B",AND($P577="Hebdo · groupes alternés",$C577="B"))," Q-B",IF($P577="Exception"," PONCT.","")))&amp;IF($X577="Oui"," OPT","")&amp;CHAR(10)&amp;$K577&amp;CHAR(10)&amp;$M577&amp;IF($N577&lt;&gt;"",CHAR(10)&amp;"Salle "&amp;$N577,"")&amp;IF($O577="En ligne",CHAR(10)&amp;"EN LIGNE","")&amp;IF($V577&lt;&gt;"",CHAR(10)&amp;$V577,"")</f>
        <v/>
      </c>
      <c r="AF577" s="65" t="inlineStr"/>
      <c r="AG577" s="65" t="inlineStr">
        <is>
          <t>— généré —</t>
        </is>
      </c>
    </row>
    <row r="578" ht="15" customHeight="1">
      <c r="A578" s="68" t="inlineStr">
        <is>
          <t>S5</t>
        </is>
      </c>
      <c r="B578" s="69" t="inlineStr">
        <is>
          <t>du 12 au 18 octobre 2026</t>
        </is>
      </c>
      <c r="C578" s="68" t="inlineStr">
        <is>
          <t>A</t>
        </is>
      </c>
      <c r="D578" s="70" t="n">
        <v>46312</v>
      </c>
      <c r="E578" s="68" t="inlineStr">
        <is>
          <t>Samedi</t>
        </is>
      </c>
      <c r="F578" s="71" t="n">
        <v>0.6666666666666666</v>
      </c>
      <c r="G578" s="71" t="n">
        <v>0.7291666666666666</v>
      </c>
      <c r="H578" s="72">
        <f>IF(OR($F578="",$G578=""),"",($G578-$F578)*24)</f>
        <v/>
      </c>
      <c r="I578" s="68" t="inlineStr">
        <is>
          <t>Collège</t>
        </is>
      </c>
      <c r="J578" s="69" t="inlineStr">
        <is>
          <t>7éme (A)</t>
        </is>
      </c>
      <c r="K578" s="88" t="inlineStr">
        <is>
          <t>SVT</t>
        </is>
      </c>
      <c r="L578" s="88" t="inlineStr">
        <is>
          <t>SVT</t>
        </is>
      </c>
      <c r="M578" s="69" t="inlineStr">
        <is>
          <t>Sabrine</t>
        </is>
      </c>
      <c r="N578" s="68" t="n"/>
      <c r="O578" s="68" t="n"/>
      <c r="P578" s="68" t="inlineStr">
        <is>
          <t>Hebdo · groupes alternés</t>
        </is>
      </c>
      <c r="Q578" s="69" t="inlineStr"/>
      <c r="R578" s="68" t="n">
        <v>1</v>
      </c>
      <c r="S578" s="68" t="inlineStr">
        <is>
          <t>Oui</t>
        </is>
      </c>
      <c r="T578" s="68" t="inlineStr">
        <is>
          <t>S5-059</t>
        </is>
      </c>
      <c r="U578" s="69" t="inlineStr">
        <is>
          <t>Généré (octobre)</t>
        </is>
      </c>
      <c r="V578" s="69" t="inlineStr"/>
      <c r="W578" s="10" t="n"/>
      <c r="X578" s="10" t="inlineStr"/>
      <c r="Y578" s="64">
        <f>IF($M578="","",IF(SUMPRODUCT(($D$4:$D$863=$D578)*($M$4:$M$863=$M578)*($T$4:$T$863&lt;&gt;$T578)*($F$4:$F$863&lt;$G578)*($G$4:$G$863&gt;$F578))&gt;0,"⚠ CONFLIT",""))</f>
        <v/>
      </c>
      <c r="Z578" s="64">
        <f>IF($J578="","",IF(SUMPRODUCT(($D$4:$D$863=$D578)*($J$4:$J$863=$J578)*($T$4:$T$863&lt;&gt;$T578)*($F$4:$F$863&lt;$G578)*($G$4:$G$863&gt;$F578)*(1-($X$4:$X$863="Oui")*($X578="Oui")))&gt;0,"⚠ CONFLIT",""))</f>
        <v/>
      </c>
      <c r="AA578" s="64">
        <f>IF(COUNTIFS($D$4:$D$863,$D578,$J$4:$J$863,$J578,$F$4:$F$863,$F578,$K$4:$K$863,$K578)&gt;1,"⚠ DOUBLON","")</f>
        <v/>
      </c>
      <c r="AB578" s="64">
        <f>IF(COUNTIF($T$4:$T$863,$T578)&lt;&gt;COUNTIFS($T$4:$T$863,$T578,$D$4:$D$863,$D578,$F$4:$F$863,$F578,$G$4:$G$863,$G578,$K$4:$K$863,$K578,$M$4:$M$863,$M578),"⚠ INCOHÉRENT","")</f>
        <v/>
      </c>
      <c r="AC578" s="64">
        <f>COUNTIFS($A$4:$A578,$A578,$J$4:$J578,$J578,$E$4:$E578,$E578)</f>
        <v/>
      </c>
      <c r="AD578" s="65">
        <f>$A578&amp;"|"&amp;$J578&amp;"|"&amp;$E578&amp;"|"&amp;$AC578</f>
        <v/>
      </c>
      <c r="AE578" s="66">
        <f>IF($W578&lt;&gt;"","⚑ "&amp;$W578&amp;CHAR(10),"")&amp;TEXT($F578,"hh:mm")&amp;"-"&amp;TEXT($G578,"hh:mm")&amp;IF(OR($P578="Quinzaine A",AND($P578="Hebdo · groupes alternés",$C578="A"))," Q-A",IF(OR($P578="Quinzaine B",AND($P578="Hebdo · groupes alternés",$C578="B"))," Q-B",IF($P578="Exception"," PONCT.","")))&amp;IF($X578="Oui"," OPT","")&amp;CHAR(10)&amp;$K578&amp;CHAR(10)&amp;$M578&amp;IF($N578&lt;&gt;"",CHAR(10)&amp;"Salle "&amp;$N578,"")&amp;IF($O578="En ligne",CHAR(10)&amp;"EN LIGNE","")&amp;IF($V578&lt;&gt;"",CHAR(10)&amp;$V578,"")</f>
        <v/>
      </c>
      <c r="AF578" s="65" t="inlineStr"/>
      <c r="AG578" s="65" t="inlineStr">
        <is>
          <t>— généré —</t>
        </is>
      </c>
    </row>
    <row r="579" ht="15" customHeight="1">
      <c r="A579" s="68" t="inlineStr">
        <is>
          <t>S5</t>
        </is>
      </c>
      <c r="B579" s="69" t="inlineStr">
        <is>
          <t>du 12 au 18 octobre 2026</t>
        </is>
      </c>
      <c r="C579" s="68" t="inlineStr">
        <is>
          <t>A</t>
        </is>
      </c>
      <c r="D579" s="70" t="n">
        <v>46312</v>
      </c>
      <c r="E579" s="68" t="inlineStr">
        <is>
          <t>Samedi</t>
        </is>
      </c>
      <c r="F579" s="71" t="n">
        <v>0.75</v>
      </c>
      <c r="G579" s="71" t="n">
        <v>0.8125</v>
      </c>
      <c r="H579" s="72">
        <f>IF(OR($F579="",$G579=""),"",($G579-$F579)*24)</f>
        <v/>
      </c>
      <c r="I579" s="68" t="inlineStr">
        <is>
          <t>Collège</t>
        </is>
      </c>
      <c r="J579" s="69" t="inlineStr">
        <is>
          <t>7éme (A)</t>
        </is>
      </c>
      <c r="K579" s="63" t="inlineStr">
        <is>
          <t>Arabe</t>
        </is>
      </c>
      <c r="L579" s="63" t="inlineStr">
        <is>
          <t>Arabe</t>
        </is>
      </c>
      <c r="M579" s="69" t="inlineStr">
        <is>
          <t>Awatef</t>
        </is>
      </c>
      <c r="N579" s="68" t="n"/>
      <c r="O579" s="68" t="n"/>
      <c r="P579" s="68" t="inlineStr">
        <is>
          <t>Hebdomadaire</t>
        </is>
      </c>
      <c r="Q579" s="69" t="inlineStr"/>
      <c r="R579" s="68" t="n">
        <v>1</v>
      </c>
      <c r="S579" s="68" t="inlineStr">
        <is>
          <t>Oui</t>
        </is>
      </c>
      <c r="T579" s="68" t="inlineStr">
        <is>
          <t>S5-060</t>
        </is>
      </c>
      <c r="U579" s="69" t="inlineStr">
        <is>
          <t>Généré (octobre)</t>
        </is>
      </c>
      <c r="V579" s="69" t="inlineStr"/>
      <c r="W579" s="10" t="n"/>
      <c r="X579" s="10" t="inlineStr"/>
      <c r="Y579" s="64">
        <f>IF($M579="","",IF(SUMPRODUCT(($D$4:$D$863=$D579)*($M$4:$M$863=$M579)*($T$4:$T$863&lt;&gt;$T579)*($F$4:$F$863&lt;$G579)*($G$4:$G$863&gt;$F579))&gt;0,"⚠ CONFLIT",""))</f>
        <v/>
      </c>
      <c r="Z579" s="64">
        <f>IF($J579="","",IF(SUMPRODUCT(($D$4:$D$863=$D579)*($J$4:$J$863=$J579)*($T$4:$T$863&lt;&gt;$T579)*($F$4:$F$863&lt;$G579)*($G$4:$G$863&gt;$F579)*(1-($X$4:$X$863="Oui")*($X579="Oui")))&gt;0,"⚠ CONFLIT",""))</f>
        <v/>
      </c>
      <c r="AA579" s="64">
        <f>IF(COUNTIFS($D$4:$D$863,$D579,$J$4:$J$863,$J579,$F$4:$F$863,$F579,$K$4:$K$863,$K579)&gt;1,"⚠ DOUBLON","")</f>
        <v/>
      </c>
      <c r="AB579" s="64">
        <f>IF(COUNTIF($T$4:$T$863,$T579)&lt;&gt;COUNTIFS($T$4:$T$863,$T579,$D$4:$D$863,$D579,$F$4:$F$863,$F579,$G$4:$G$863,$G579,$K$4:$K$863,$K579,$M$4:$M$863,$M579),"⚠ INCOHÉRENT","")</f>
        <v/>
      </c>
      <c r="AC579" s="64">
        <f>COUNTIFS($A$4:$A579,$A579,$J$4:$J579,$J579,$E$4:$E579,$E579)</f>
        <v/>
      </c>
      <c r="AD579" s="65">
        <f>$A579&amp;"|"&amp;$J579&amp;"|"&amp;$E579&amp;"|"&amp;$AC579</f>
        <v/>
      </c>
      <c r="AE579" s="66">
        <f>IF($W579&lt;&gt;"","⚑ "&amp;$W579&amp;CHAR(10),"")&amp;TEXT($F579,"hh:mm")&amp;"-"&amp;TEXT($G579,"hh:mm")&amp;IF(OR($P579="Quinzaine A",AND($P579="Hebdo · groupes alternés",$C579="A"))," Q-A",IF(OR($P579="Quinzaine B",AND($P579="Hebdo · groupes alternés",$C579="B"))," Q-B",IF($P579="Exception"," PONCT.","")))&amp;IF($X579="Oui"," OPT","")&amp;CHAR(10)&amp;$K579&amp;CHAR(10)&amp;$M579&amp;IF($N579&lt;&gt;"",CHAR(10)&amp;"Salle "&amp;$N579,"")&amp;IF($O579="En ligne",CHAR(10)&amp;"EN LIGNE","")&amp;IF($V579&lt;&gt;"",CHAR(10)&amp;$V579,"")</f>
        <v/>
      </c>
      <c r="AF579" s="65" t="inlineStr"/>
      <c r="AG579" s="65" t="inlineStr">
        <is>
          <t>— généré —</t>
        </is>
      </c>
    </row>
    <row r="580" ht="15" customHeight="1">
      <c r="A580" s="68" t="inlineStr">
        <is>
          <t>S5</t>
        </is>
      </c>
      <c r="B580" s="69" t="inlineStr">
        <is>
          <t>du 12 au 18 octobre 2026</t>
        </is>
      </c>
      <c r="C580" s="68" t="inlineStr">
        <is>
          <t>A</t>
        </is>
      </c>
      <c r="D580" s="70" t="n">
        <v>46312</v>
      </c>
      <c r="E580" s="68" t="inlineStr">
        <is>
          <t>Samedi</t>
        </is>
      </c>
      <c r="F580" s="71" t="n">
        <v>0.7291666666666666</v>
      </c>
      <c r="G580" s="71" t="n">
        <v>0.7916666666666666</v>
      </c>
      <c r="H580" s="72">
        <f>IF(OR($F580="",$G580=""),"",($G580-$F580)*24)</f>
        <v/>
      </c>
      <c r="I580" s="68" t="inlineStr">
        <is>
          <t>Collège</t>
        </is>
      </c>
      <c r="J580" s="69" t="inlineStr">
        <is>
          <t>8éme (A)</t>
        </is>
      </c>
      <c r="K580" s="88" t="inlineStr">
        <is>
          <t>SVT</t>
        </is>
      </c>
      <c r="L580" s="88" t="inlineStr">
        <is>
          <t>SVT</t>
        </is>
      </c>
      <c r="M580" s="69" t="inlineStr">
        <is>
          <t>Sabrine</t>
        </is>
      </c>
      <c r="N580" s="68" t="n"/>
      <c r="O580" s="68" t="n"/>
      <c r="P580" s="68" t="inlineStr">
        <is>
          <t>Hebdo · groupes alternés</t>
        </is>
      </c>
      <c r="Q580" s="69" t="inlineStr"/>
      <c r="R580" s="68" t="n">
        <v>1</v>
      </c>
      <c r="S580" s="68" t="inlineStr">
        <is>
          <t>Oui</t>
        </is>
      </c>
      <c r="T580" s="68" t="inlineStr">
        <is>
          <t>S5-061</t>
        </is>
      </c>
      <c r="U580" s="69" t="inlineStr">
        <is>
          <t>Généré (octobre)</t>
        </is>
      </c>
      <c r="V580" s="69" t="inlineStr"/>
      <c r="W580" s="10" t="n"/>
      <c r="X580" s="10" t="inlineStr"/>
      <c r="Y580" s="64">
        <f>IF($M580="","",IF(SUMPRODUCT(($D$4:$D$863=$D580)*($M$4:$M$863=$M580)*($T$4:$T$863&lt;&gt;$T580)*($F$4:$F$863&lt;$G580)*($G$4:$G$863&gt;$F580))&gt;0,"⚠ CONFLIT",""))</f>
        <v/>
      </c>
      <c r="Z580" s="64">
        <f>IF($J580="","",IF(SUMPRODUCT(($D$4:$D$863=$D580)*($J$4:$J$863=$J580)*($T$4:$T$863&lt;&gt;$T580)*($F$4:$F$863&lt;$G580)*($G$4:$G$863&gt;$F580)*(1-($X$4:$X$863="Oui")*($X580="Oui")))&gt;0,"⚠ CONFLIT",""))</f>
        <v/>
      </c>
      <c r="AA580" s="64">
        <f>IF(COUNTIFS($D$4:$D$863,$D580,$J$4:$J$863,$J580,$F$4:$F$863,$F580,$K$4:$K$863,$K580)&gt;1,"⚠ DOUBLON","")</f>
        <v/>
      </c>
      <c r="AB580" s="64">
        <f>IF(COUNTIF($T$4:$T$863,$T580)&lt;&gt;COUNTIFS($T$4:$T$863,$T580,$D$4:$D$863,$D580,$F$4:$F$863,$F580,$G$4:$G$863,$G580,$K$4:$K$863,$K580,$M$4:$M$863,$M580),"⚠ INCOHÉRENT","")</f>
        <v/>
      </c>
      <c r="AC580" s="64">
        <f>COUNTIFS($A$4:$A580,$A580,$J$4:$J580,$J580,$E$4:$E580,$E580)</f>
        <v/>
      </c>
      <c r="AD580" s="65">
        <f>$A580&amp;"|"&amp;$J580&amp;"|"&amp;$E580&amp;"|"&amp;$AC580</f>
        <v/>
      </c>
      <c r="AE580" s="66">
        <f>IF($W580&lt;&gt;"","⚑ "&amp;$W580&amp;CHAR(10),"")&amp;TEXT($F580,"hh:mm")&amp;"-"&amp;TEXT($G580,"hh:mm")&amp;IF(OR($P580="Quinzaine A",AND($P580="Hebdo · groupes alternés",$C580="A"))," Q-A",IF(OR($P580="Quinzaine B",AND($P580="Hebdo · groupes alternés",$C580="B"))," Q-B",IF($P580="Exception"," PONCT.","")))&amp;IF($X580="Oui"," OPT","")&amp;CHAR(10)&amp;$K580&amp;CHAR(10)&amp;$M580&amp;IF($N580&lt;&gt;"",CHAR(10)&amp;"Salle "&amp;$N580,"")&amp;IF($O580="En ligne",CHAR(10)&amp;"EN LIGNE","")&amp;IF($V580&lt;&gt;"",CHAR(10)&amp;$V580,"")</f>
        <v/>
      </c>
      <c r="AF580" s="65" t="inlineStr"/>
      <c r="AG580" s="65" t="inlineStr">
        <is>
          <t>— généré —</t>
        </is>
      </c>
    </row>
    <row r="581" ht="15" customHeight="1">
      <c r="A581" s="68" t="inlineStr">
        <is>
          <t>S5</t>
        </is>
      </c>
      <c r="B581" s="69" t="inlineStr">
        <is>
          <t>du 12 au 18 octobre 2026</t>
        </is>
      </c>
      <c r="C581" s="68" t="inlineStr">
        <is>
          <t>A</t>
        </is>
      </c>
      <c r="D581" s="70" t="n">
        <v>46312</v>
      </c>
      <c r="E581" s="68" t="inlineStr">
        <is>
          <t>Samedi</t>
        </is>
      </c>
      <c r="F581" s="71" t="n">
        <v>0.7291666666666666</v>
      </c>
      <c r="G581" s="71" t="n">
        <v>0.7916666666666666</v>
      </c>
      <c r="H581" s="72">
        <f>IF(OR($F581="",$G581=""),"",($G581-$F581)*24)</f>
        <v/>
      </c>
      <c r="I581" s="68" t="inlineStr">
        <is>
          <t>Collège</t>
        </is>
      </c>
      <c r="J581" s="69" t="inlineStr">
        <is>
          <t>8éme (B)</t>
        </is>
      </c>
      <c r="K581" s="87" t="inlineStr">
        <is>
          <t>Anglais</t>
        </is>
      </c>
      <c r="L581" s="87" t="inlineStr">
        <is>
          <t>Anglais</t>
        </is>
      </c>
      <c r="M581" s="69" t="inlineStr">
        <is>
          <t>Imen Ben Lazrak</t>
        </is>
      </c>
      <c r="N581" s="68" t="n"/>
      <c r="O581" s="68" t="n"/>
      <c r="P581" s="68" t="inlineStr">
        <is>
          <t>Hebdo · groupes alternés</t>
        </is>
      </c>
      <c r="Q581" s="69" t="inlineStr">
        <is>
          <t>8éme (B) + 8éme (C)</t>
        </is>
      </c>
      <c r="R581" s="68" t="n">
        <v>2</v>
      </c>
      <c r="S581" s="68" t="inlineStr">
        <is>
          <t>Oui</t>
        </is>
      </c>
      <c r="T581" s="68" t="inlineStr">
        <is>
          <t>S5-062</t>
        </is>
      </c>
      <c r="U581" s="69" t="inlineStr">
        <is>
          <t>Généré (octobre)</t>
        </is>
      </c>
      <c r="V581" s="69" t="inlineStr"/>
      <c r="W581" s="10" t="n"/>
      <c r="X581" s="10" t="inlineStr"/>
      <c r="Y581" s="64">
        <f>IF($M581="","",IF(SUMPRODUCT(($D$4:$D$863=$D581)*($M$4:$M$863=$M581)*($T$4:$T$863&lt;&gt;$T581)*($F$4:$F$863&lt;$G581)*($G$4:$G$863&gt;$F581))&gt;0,"⚠ CONFLIT",""))</f>
        <v/>
      </c>
      <c r="Z581" s="64">
        <f>IF($J581="","",IF(SUMPRODUCT(($D$4:$D$863=$D581)*($J$4:$J$863=$J581)*($T$4:$T$863&lt;&gt;$T581)*($F$4:$F$863&lt;$G581)*($G$4:$G$863&gt;$F581)*(1-($X$4:$X$863="Oui")*($X581="Oui")))&gt;0,"⚠ CONFLIT",""))</f>
        <v/>
      </c>
      <c r="AA581" s="64">
        <f>IF(COUNTIFS($D$4:$D$863,$D581,$J$4:$J$863,$J581,$F$4:$F$863,$F581,$K$4:$K$863,$K581)&gt;1,"⚠ DOUBLON","")</f>
        <v/>
      </c>
      <c r="AB581" s="64">
        <f>IF(COUNTIF($T$4:$T$863,$T581)&lt;&gt;COUNTIFS($T$4:$T$863,$T581,$D$4:$D$863,$D581,$F$4:$F$863,$F581,$G$4:$G$863,$G581,$K$4:$K$863,$K581,$M$4:$M$863,$M581),"⚠ INCOHÉRENT","")</f>
        <v/>
      </c>
      <c r="AC581" s="64">
        <f>COUNTIFS($A$4:$A581,$A581,$J$4:$J581,$J581,$E$4:$E581,$E581)</f>
        <v/>
      </c>
      <c r="AD581" s="65">
        <f>$A581&amp;"|"&amp;$J581&amp;"|"&amp;$E581&amp;"|"&amp;$AC581</f>
        <v/>
      </c>
      <c r="AE581" s="66">
        <f>IF($W581&lt;&gt;"","⚑ "&amp;$W581&amp;CHAR(10),"")&amp;TEXT($F581,"hh:mm")&amp;"-"&amp;TEXT($G581,"hh:mm")&amp;IF(OR($P581="Quinzaine A",AND($P581="Hebdo · groupes alternés",$C581="A"))," Q-A",IF(OR($P581="Quinzaine B",AND($P581="Hebdo · groupes alternés",$C581="B"))," Q-B",IF($P581="Exception"," PONCT.","")))&amp;IF($X581="Oui"," OPT","")&amp;CHAR(10)&amp;$K581&amp;CHAR(10)&amp;$M581&amp;IF($N581&lt;&gt;"",CHAR(10)&amp;"Salle "&amp;$N581,"")&amp;IF($O581="En ligne",CHAR(10)&amp;"EN LIGNE","")&amp;IF($V581&lt;&gt;"",CHAR(10)&amp;$V581,"")</f>
        <v/>
      </c>
      <c r="AF581" s="65" t="inlineStr"/>
      <c r="AG581" s="65" t="inlineStr">
        <is>
          <t>— généré —</t>
        </is>
      </c>
    </row>
    <row r="582" ht="15" customHeight="1">
      <c r="A582" s="68" t="inlineStr">
        <is>
          <t>S5</t>
        </is>
      </c>
      <c r="B582" s="69" t="inlineStr">
        <is>
          <t>du 12 au 18 octobre 2026</t>
        </is>
      </c>
      <c r="C582" s="68" t="inlineStr">
        <is>
          <t>A</t>
        </is>
      </c>
      <c r="D582" s="70" t="n">
        <v>46312</v>
      </c>
      <c r="E582" s="68" t="inlineStr">
        <is>
          <t>Samedi</t>
        </is>
      </c>
      <c r="F582" s="71" t="n">
        <v>0.7291666666666666</v>
      </c>
      <c r="G582" s="71" t="n">
        <v>0.7916666666666666</v>
      </c>
      <c r="H582" s="72">
        <f>IF(OR($F582="",$G582=""),"",($G582-$F582)*24)</f>
        <v/>
      </c>
      <c r="I582" s="68" t="inlineStr">
        <is>
          <t>Collège</t>
        </is>
      </c>
      <c r="J582" s="69" t="inlineStr">
        <is>
          <t>8éme (C)</t>
        </is>
      </c>
      <c r="K582" s="87" t="inlineStr">
        <is>
          <t>Anglais</t>
        </is>
      </c>
      <c r="L582" s="87" t="inlineStr">
        <is>
          <t>Anglais</t>
        </is>
      </c>
      <c r="M582" s="69" t="inlineStr">
        <is>
          <t>Imen Ben Lazrak</t>
        </is>
      </c>
      <c r="N582" s="68" t="n"/>
      <c r="O582" s="68" t="n"/>
      <c r="P582" s="68" t="inlineStr">
        <is>
          <t>Hebdo · groupes alternés</t>
        </is>
      </c>
      <c r="Q582" s="69" t="inlineStr">
        <is>
          <t>8éme (B) + 8éme (C)</t>
        </is>
      </c>
      <c r="R582" s="68" t="n">
        <v>2</v>
      </c>
      <c r="S582" s="68" t="inlineStr"/>
      <c r="T582" s="68" t="inlineStr">
        <is>
          <t>S5-062</t>
        </is>
      </c>
      <c r="U582" s="69" t="inlineStr">
        <is>
          <t>Généré (octobre)</t>
        </is>
      </c>
      <c r="V582" s="69" t="inlineStr"/>
      <c r="W582" s="10" t="n"/>
      <c r="X582" s="10" t="inlineStr"/>
      <c r="Y582" s="64">
        <f>IF($M582="","",IF(SUMPRODUCT(($D$4:$D$863=$D582)*($M$4:$M$863=$M582)*($T$4:$T$863&lt;&gt;$T582)*($F$4:$F$863&lt;$G582)*($G$4:$G$863&gt;$F582))&gt;0,"⚠ CONFLIT",""))</f>
        <v/>
      </c>
      <c r="Z582" s="64">
        <f>IF($J582="","",IF(SUMPRODUCT(($D$4:$D$863=$D582)*($J$4:$J$863=$J582)*($T$4:$T$863&lt;&gt;$T582)*($F$4:$F$863&lt;$G582)*($G$4:$G$863&gt;$F582)*(1-($X$4:$X$863="Oui")*($X582="Oui")))&gt;0,"⚠ CONFLIT",""))</f>
        <v/>
      </c>
      <c r="AA582" s="64">
        <f>IF(COUNTIFS($D$4:$D$863,$D582,$J$4:$J$863,$J582,$F$4:$F$863,$F582,$K$4:$K$863,$K582)&gt;1,"⚠ DOUBLON","")</f>
        <v/>
      </c>
      <c r="AB582" s="64">
        <f>IF(COUNTIF($T$4:$T$863,$T582)&lt;&gt;COUNTIFS($T$4:$T$863,$T582,$D$4:$D$863,$D582,$F$4:$F$863,$F582,$G$4:$G$863,$G582,$K$4:$K$863,$K582,$M$4:$M$863,$M582),"⚠ INCOHÉRENT","")</f>
        <v/>
      </c>
      <c r="AC582" s="64">
        <f>COUNTIFS($A$4:$A582,$A582,$J$4:$J582,$J582,$E$4:$E582,$E582)</f>
        <v/>
      </c>
      <c r="AD582" s="65">
        <f>$A582&amp;"|"&amp;$J582&amp;"|"&amp;$E582&amp;"|"&amp;$AC582</f>
        <v/>
      </c>
      <c r="AE582" s="66">
        <f>IF($W582&lt;&gt;"","⚑ "&amp;$W582&amp;CHAR(10),"")&amp;TEXT($F582,"hh:mm")&amp;"-"&amp;TEXT($G582,"hh:mm")&amp;IF(OR($P582="Quinzaine A",AND($P582="Hebdo · groupes alternés",$C582="A"))," Q-A",IF(OR($P582="Quinzaine B",AND($P582="Hebdo · groupes alternés",$C582="B"))," Q-B",IF($P582="Exception"," PONCT.","")))&amp;IF($X582="Oui"," OPT","")&amp;CHAR(10)&amp;$K582&amp;CHAR(10)&amp;$M582&amp;IF($N582&lt;&gt;"",CHAR(10)&amp;"Salle "&amp;$N582,"")&amp;IF($O582="En ligne",CHAR(10)&amp;"EN LIGNE","")&amp;IF($V582&lt;&gt;"",CHAR(10)&amp;$V582,"")</f>
        <v/>
      </c>
      <c r="AF582" s="65" t="inlineStr"/>
      <c r="AG582" s="65" t="inlineStr">
        <is>
          <t>— généré —</t>
        </is>
      </c>
    </row>
    <row r="583" ht="15" customHeight="1">
      <c r="A583" s="68" t="inlineStr">
        <is>
          <t>S5</t>
        </is>
      </c>
      <c r="B583" s="69" t="inlineStr">
        <is>
          <t>du 12 au 18 octobre 2026</t>
        </is>
      </c>
      <c r="C583" s="68" t="inlineStr">
        <is>
          <t>A</t>
        </is>
      </c>
      <c r="D583" s="70" t="n">
        <v>46312</v>
      </c>
      <c r="E583" s="68" t="inlineStr">
        <is>
          <t>Samedi</t>
        </is>
      </c>
      <c r="F583" s="71" t="n">
        <v>0.6875</v>
      </c>
      <c r="G583" s="71" t="n">
        <v>0.75</v>
      </c>
      <c r="H583" s="72">
        <f>IF(OR($F583="",$G583=""),"",($G583-$F583)*24)</f>
        <v/>
      </c>
      <c r="I583" s="68" t="inlineStr">
        <is>
          <t>Collège</t>
        </is>
      </c>
      <c r="J583" s="69" t="inlineStr">
        <is>
          <t>9éme (A)</t>
        </is>
      </c>
      <c r="K583" s="63" t="inlineStr">
        <is>
          <t>Arabe</t>
        </is>
      </c>
      <c r="L583" s="63" t="inlineStr">
        <is>
          <t>Arabe</t>
        </is>
      </c>
      <c r="M583" s="69" t="inlineStr">
        <is>
          <t>Awatef</t>
        </is>
      </c>
      <c r="N583" s="68" t="n"/>
      <c r="O583" s="68" t="n"/>
      <c r="P583" s="68" t="inlineStr">
        <is>
          <t>Hebdomadaire</t>
        </is>
      </c>
      <c r="Q583" s="69" t="inlineStr"/>
      <c r="R583" s="68" t="n">
        <v>1</v>
      </c>
      <c r="S583" s="68" t="inlineStr">
        <is>
          <t>Oui</t>
        </is>
      </c>
      <c r="T583" s="68" t="inlineStr">
        <is>
          <t>S5-063</t>
        </is>
      </c>
      <c r="U583" s="69" t="inlineStr">
        <is>
          <t>Généré (octobre)</t>
        </is>
      </c>
      <c r="V583" s="69" t="inlineStr"/>
      <c r="W583" s="10" t="n"/>
      <c r="X583" s="10" t="inlineStr"/>
      <c r="Y583" s="64">
        <f>IF($M583="","",IF(SUMPRODUCT(($D$4:$D$863=$D583)*($M$4:$M$863=$M583)*($T$4:$T$863&lt;&gt;$T583)*($F$4:$F$863&lt;$G583)*($G$4:$G$863&gt;$F583))&gt;0,"⚠ CONFLIT",""))</f>
        <v/>
      </c>
      <c r="Z583" s="64">
        <f>IF($J583="","",IF(SUMPRODUCT(($D$4:$D$863=$D583)*($J$4:$J$863=$J583)*($T$4:$T$863&lt;&gt;$T583)*($F$4:$F$863&lt;$G583)*($G$4:$G$863&gt;$F583)*(1-($X$4:$X$863="Oui")*($X583="Oui")))&gt;0,"⚠ CONFLIT",""))</f>
        <v/>
      </c>
      <c r="AA583" s="64">
        <f>IF(COUNTIFS($D$4:$D$863,$D583,$J$4:$J$863,$J583,$F$4:$F$863,$F583,$K$4:$K$863,$K583)&gt;1,"⚠ DOUBLON","")</f>
        <v/>
      </c>
      <c r="AB583" s="64">
        <f>IF(COUNTIF($T$4:$T$863,$T583)&lt;&gt;COUNTIFS($T$4:$T$863,$T583,$D$4:$D$863,$D583,$F$4:$F$863,$F583,$G$4:$G$863,$G583,$K$4:$K$863,$K583,$M$4:$M$863,$M583),"⚠ INCOHÉRENT","")</f>
        <v/>
      </c>
      <c r="AC583" s="64">
        <f>COUNTIFS($A$4:$A583,$A583,$J$4:$J583,$J583,$E$4:$E583,$E583)</f>
        <v/>
      </c>
      <c r="AD583" s="65">
        <f>$A583&amp;"|"&amp;$J583&amp;"|"&amp;$E583&amp;"|"&amp;$AC583</f>
        <v/>
      </c>
      <c r="AE583" s="66">
        <f>IF($W583&lt;&gt;"","⚑ "&amp;$W583&amp;CHAR(10),"")&amp;TEXT($F583,"hh:mm")&amp;"-"&amp;TEXT($G583,"hh:mm")&amp;IF(OR($P583="Quinzaine A",AND($P583="Hebdo · groupes alternés",$C583="A"))," Q-A",IF(OR($P583="Quinzaine B",AND($P583="Hebdo · groupes alternés",$C583="B"))," Q-B",IF($P583="Exception"," PONCT.","")))&amp;IF($X583="Oui"," OPT","")&amp;CHAR(10)&amp;$K583&amp;CHAR(10)&amp;$M583&amp;IF($N583&lt;&gt;"",CHAR(10)&amp;"Salle "&amp;$N583,"")&amp;IF($O583="En ligne",CHAR(10)&amp;"EN LIGNE","")&amp;IF($V583&lt;&gt;"",CHAR(10)&amp;$V583,"")</f>
        <v/>
      </c>
      <c r="AF583" s="65" t="inlineStr"/>
      <c r="AG583" s="65" t="inlineStr">
        <is>
          <t>— généré —</t>
        </is>
      </c>
    </row>
    <row r="584" ht="15" customHeight="1">
      <c r="A584" s="68" t="inlineStr">
        <is>
          <t>S5</t>
        </is>
      </c>
      <c r="B584" s="69" t="inlineStr">
        <is>
          <t>du 12 au 18 octobre 2026</t>
        </is>
      </c>
      <c r="C584" s="68" t="inlineStr">
        <is>
          <t>A</t>
        </is>
      </c>
      <c r="D584" s="70" t="n">
        <v>46312</v>
      </c>
      <c r="E584" s="68" t="inlineStr">
        <is>
          <t>Samedi</t>
        </is>
      </c>
      <c r="F584" s="71" t="n">
        <v>0.7291666666666666</v>
      </c>
      <c r="G584" s="71" t="n">
        <v>0.7916666666666666</v>
      </c>
      <c r="H584" s="72">
        <f>IF(OR($F584="",$G584=""),"",($G584-$F584)*24)</f>
        <v/>
      </c>
      <c r="I584" s="68" t="inlineStr">
        <is>
          <t>Collège</t>
        </is>
      </c>
      <c r="J584" s="69" t="inlineStr">
        <is>
          <t>9éme (B)</t>
        </is>
      </c>
      <c r="K584" s="79" t="inlineStr">
        <is>
          <t>Math</t>
        </is>
      </c>
      <c r="L584" s="79" t="inlineStr">
        <is>
          <t>Math</t>
        </is>
      </c>
      <c r="M584" s="69" t="inlineStr">
        <is>
          <t>Hajer</t>
        </is>
      </c>
      <c r="N584" s="68" t="n"/>
      <c r="O584" s="68" t="n"/>
      <c r="P584" s="68" t="inlineStr">
        <is>
          <t>Hebdomadaire</t>
        </is>
      </c>
      <c r="Q584" s="69" t="inlineStr"/>
      <c r="R584" s="68" t="n">
        <v>1</v>
      </c>
      <c r="S584" s="68" t="inlineStr">
        <is>
          <t>Oui</t>
        </is>
      </c>
      <c r="T584" s="68" t="inlineStr">
        <is>
          <t>S5-064</t>
        </is>
      </c>
      <c r="U584" s="69" t="inlineStr">
        <is>
          <t>Généré (octobre)</t>
        </is>
      </c>
      <c r="V584" s="69" t="inlineStr"/>
      <c r="W584" s="10" t="n"/>
      <c r="X584" s="10" t="inlineStr"/>
      <c r="Y584" s="64">
        <f>IF($M584="","",IF(SUMPRODUCT(($D$4:$D$863=$D584)*($M$4:$M$863=$M584)*($T$4:$T$863&lt;&gt;$T584)*($F$4:$F$863&lt;$G584)*($G$4:$G$863&gt;$F584))&gt;0,"⚠ CONFLIT",""))</f>
        <v/>
      </c>
      <c r="Z584" s="64">
        <f>IF($J584="","",IF(SUMPRODUCT(($D$4:$D$863=$D584)*($J$4:$J$863=$J584)*($T$4:$T$863&lt;&gt;$T584)*($F$4:$F$863&lt;$G584)*($G$4:$G$863&gt;$F584)*(1-($X$4:$X$863="Oui")*($X584="Oui")))&gt;0,"⚠ CONFLIT",""))</f>
        <v/>
      </c>
      <c r="AA584" s="64">
        <f>IF(COUNTIFS($D$4:$D$863,$D584,$J$4:$J$863,$J584,$F$4:$F$863,$F584,$K$4:$K$863,$K584)&gt;1,"⚠ DOUBLON","")</f>
        <v/>
      </c>
      <c r="AB584" s="64">
        <f>IF(COUNTIF($T$4:$T$863,$T584)&lt;&gt;COUNTIFS($T$4:$T$863,$T584,$D$4:$D$863,$D584,$F$4:$F$863,$F584,$G$4:$G$863,$G584,$K$4:$K$863,$K584,$M$4:$M$863,$M584),"⚠ INCOHÉRENT","")</f>
        <v/>
      </c>
      <c r="AC584" s="64">
        <f>COUNTIFS($A$4:$A584,$A584,$J$4:$J584,$J584,$E$4:$E584,$E584)</f>
        <v/>
      </c>
      <c r="AD584" s="65">
        <f>$A584&amp;"|"&amp;$J584&amp;"|"&amp;$E584&amp;"|"&amp;$AC584</f>
        <v/>
      </c>
      <c r="AE584" s="66">
        <f>IF($W584&lt;&gt;"","⚑ "&amp;$W584&amp;CHAR(10),"")&amp;TEXT($F584,"hh:mm")&amp;"-"&amp;TEXT($G584,"hh:mm")&amp;IF(OR($P584="Quinzaine A",AND($P584="Hebdo · groupes alternés",$C584="A"))," Q-A",IF(OR($P584="Quinzaine B",AND($P584="Hebdo · groupes alternés",$C584="B"))," Q-B",IF($P584="Exception"," PONCT.","")))&amp;IF($X584="Oui"," OPT","")&amp;CHAR(10)&amp;$K584&amp;CHAR(10)&amp;$M584&amp;IF($N584&lt;&gt;"",CHAR(10)&amp;"Salle "&amp;$N584,"")&amp;IF($O584="En ligne",CHAR(10)&amp;"EN LIGNE","")&amp;IF($V584&lt;&gt;"",CHAR(10)&amp;$V584,"")</f>
        <v/>
      </c>
      <c r="AF584" s="65" t="inlineStr"/>
      <c r="AG584" s="65" t="inlineStr">
        <is>
          <t>— généré —</t>
        </is>
      </c>
    </row>
    <row r="585" ht="15" customHeight="1">
      <c r="A585" s="68" t="inlineStr">
        <is>
          <t>S5</t>
        </is>
      </c>
      <c r="B585" s="69" t="inlineStr">
        <is>
          <t>du 12 au 18 octobre 2026</t>
        </is>
      </c>
      <c r="C585" s="68" t="inlineStr">
        <is>
          <t>A</t>
        </is>
      </c>
      <c r="D585" s="70" t="n">
        <v>46312</v>
      </c>
      <c r="E585" s="68" t="inlineStr">
        <is>
          <t>Samedi</t>
        </is>
      </c>
      <c r="F585" s="71" t="n">
        <v>0.7916666666666666</v>
      </c>
      <c r="G585" s="71" t="n">
        <v>0.8541666666666666</v>
      </c>
      <c r="H585" s="72">
        <f>IF(OR($F585="",$G585=""),"",($G585-$F585)*24)</f>
        <v/>
      </c>
      <c r="I585" s="68" t="inlineStr">
        <is>
          <t>Collège</t>
        </is>
      </c>
      <c r="J585" s="69" t="inlineStr">
        <is>
          <t>9éme (C)</t>
        </is>
      </c>
      <c r="K585" s="79" t="inlineStr">
        <is>
          <t>Math</t>
        </is>
      </c>
      <c r="L585" s="79" t="inlineStr">
        <is>
          <t>Math</t>
        </is>
      </c>
      <c r="M585" s="69" t="inlineStr">
        <is>
          <t>Hajer</t>
        </is>
      </c>
      <c r="N585" s="68" t="n"/>
      <c r="O585" s="68" t="n"/>
      <c r="P585" s="68" t="inlineStr">
        <is>
          <t>Hebdomadaire</t>
        </is>
      </c>
      <c r="Q585" s="69" t="inlineStr"/>
      <c r="R585" s="68" t="n">
        <v>1</v>
      </c>
      <c r="S585" s="68" t="inlineStr">
        <is>
          <t>Oui</t>
        </is>
      </c>
      <c r="T585" s="68" t="inlineStr">
        <is>
          <t>S5-065</t>
        </is>
      </c>
      <c r="U585" s="69" t="inlineStr">
        <is>
          <t>Généré (octobre)</t>
        </is>
      </c>
      <c r="V585" s="69" t="inlineStr"/>
      <c r="W585" s="10" t="n"/>
      <c r="X585" s="10" t="inlineStr"/>
      <c r="Y585" s="64">
        <f>IF($M585="","",IF(SUMPRODUCT(($D$4:$D$863=$D585)*($M$4:$M$863=$M585)*($T$4:$T$863&lt;&gt;$T585)*($F$4:$F$863&lt;$G585)*($G$4:$G$863&gt;$F585))&gt;0,"⚠ CONFLIT",""))</f>
        <v/>
      </c>
      <c r="Z585" s="64">
        <f>IF($J585="","",IF(SUMPRODUCT(($D$4:$D$863=$D585)*($J$4:$J$863=$J585)*($T$4:$T$863&lt;&gt;$T585)*($F$4:$F$863&lt;$G585)*($G$4:$G$863&gt;$F585)*(1-($X$4:$X$863="Oui")*($X585="Oui")))&gt;0,"⚠ CONFLIT",""))</f>
        <v/>
      </c>
      <c r="AA585" s="64">
        <f>IF(COUNTIFS($D$4:$D$863,$D585,$J$4:$J$863,$J585,$F$4:$F$863,$F585,$K$4:$K$863,$K585)&gt;1,"⚠ DOUBLON","")</f>
        <v/>
      </c>
      <c r="AB585" s="64">
        <f>IF(COUNTIF($T$4:$T$863,$T585)&lt;&gt;COUNTIFS($T$4:$T$863,$T585,$D$4:$D$863,$D585,$F$4:$F$863,$F585,$G$4:$G$863,$G585,$K$4:$K$863,$K585,$M$4:$M$863,$M585),"⚠ INCOHÉRENT","")</f>
        <v/>
      </c>
      <c r="AC585" s="64">
        <f>COUNTIFS($A$4:$A585,$A585,$J$4:$J585,$J585,$E$4:$E585,$E585)</f>
        <v/>
      </c>
      <c r="AD585" s="65">
        <f>$A585&amp;"|"&amp;$J585&amp;"|"&amp;$E585&amp;"|"&amp;$AC585</f>
        <v/>
      </c>
      <c r="AE585" s="66">
        <f>IF($W585&lt;&gt;"","⚑ "&amp;$W585&amp;CHAR(10),"")&amp;TEXT($F585,"hh:mm")&amp;"-"&amp;TEXT($G585,"hh:mm")&amp;IF(OR($P585="Quinzaine A",AND($P585="Hebdo · groupes alternés",$C585="A"))," Q-A",IF(OR($P585="Quinzaine B",AND($P585="Hebdo · groupes alternés",$C585="B"))," Q-B",IF($P585="Exception"," PONCT.","")))&amp;IF($X585="Oui"," OPT","")&amp;CHAR(10)&amp;$K585&amp;CHAR(10)&amp;$M585&amp;IF($N585&lt;&gt;"",CHAR(10)&amp;"Salle "&amp;$N585,"")&amp;IF($O585="En ligne",CHAR(10)&amp;"EN LIGNE","")&amp;IF($V585&lt;&gt;"",CHAR(10)&amp;$V585,"")</f>
        <v/>
      </c>
      <c r="AF585" s="65" t="inlineStr"/>
      <c r="AG585" s="65" t="inlineStr">
        <is>
          <t>— généré —</t>
        </is>
      </c>
    </row>
    <row r="586" ht="15" customHeight="1">
      <c r="A586" s="74" t="inlineStr">
        <is>
          <t>S5</t>
        </is>
      </c>
      <c r="B586" s="75" t="inlineStr">
        <is>
          <t>du 12 au 18 octobre 2026</t>
        </is>
      </c>
      <c r="C586" s="74" t="inlineStr">
        <is>
          <t>A</t>
        </is>
      </c>
      <c r="D586" s="76" t="n">
        <v>46312</v>
      </c>
      <c r="E586" s="74" t="inlineStr">
        <is>
          <t>Samedi</t>
        </is>
      </c>
      <c r="F586" s="77" t="n">
        <v>0.6458333333333334</v>
      </c>
      <c r="G586" s="77" t="n">
        <v>0.7083333333333334</v>
      </c>
      <c r="H586" s="78">
        <f>IF(OR($F586="",$G586=""),"",($G586-$F586)*24)</f>
        <v/>
      </c>
      <c r="I586" s="74" t="inlineStr">
        <is>
          <t>Secondaire</t>
        </is>
      </c>
      <c r="J586" s="75" t="inlineStr">
        <is>
          <t>2éme Eco</t>
        </is>
      </c>
      <c r="K586" s="93" t="inlineStr">
        <is>
          <t>Histoire</t>
        </is>
      </c>
      <c r="L586" s="93" t="inlineStr">
        <is>
          <t>Histoire</t>
        </is>
      </c>
      <c r="M586" s="75" t="inlineStr">
        <is>
          <t>Abdelwaheb</t>
        </is>
      </c>
      <c r="N586" s="74" t="n"/>
      <c r="O586" s="74" t="n"/>
      <c r="P586" s="74" t="inlineStr">
        <is>
          <t>Quinzaine A</t>
        </is>
      </c>
      <c r="Q586" s="75" t="inlineStr"/>
      <c r="R586" s="74" t="n">
        <v>1</v>
      </c>
      <c r="S586" s="74" t="inlineStr">
        <is>
          <t>Oui</t>
        </is>
      </c>
      <c r="T586" s="74" t="inlineStr">
        <is>
          <t>S5-097</t>
        </is>
      </c>
      <c r="U586" s="75" t="inlineStr">
        <is>
          <t>Généré (octobre)</t>
        </is>
      </c>
      <c r="V586" s="75" t="inlineStr"/>
      <c r="W586" s="10" t="n"/>
      <c r="X586" s="10" t="inlineStr"/>
      <c r="Y586" s="64">
        <f>IF($M586="","",IF(SUMPRODUCT(($D$4:$D$863=$D586)*($M$4:$M$863=$M586)*($T$4:$T$863&lt;&gt;$T586)*($F$4:$F$863&lt;$G586)*($G$4:$G$863&gt;$F586))&gt;0,"⚠ CONFLIT",""))</f>
        <v/>
      </c>
      <c r="Z586" s="64">
        <f>IF($J586="","",IF(SUMPRODUCT(($D$4:$D$863=$D586)*($J$4:$J$863=$J586)*($T$4:$T$863&lt;&gt;$T586)*($F$4:$F$863&lt;$G586)*($G$4:$G$863&gt;$F586)*(1-($X$4:$X$863="Oui")*($X586="Oui")))&gt;0,"⚠ CONFLIT",""))</f>
        <v/>
      </c>
      <c r="AA586" s="64">
        <f>IF(COUNTIFS($D$4:$D$863,$D586,$J$4:$J$863,$J586,$F$4:$F$863,$F586,$K$4:$K$863,$K586)&gt;1,"⚠ DOUBLON","")</f>
        <v/>
      </c>
      <c r="AB586" s="64">
        <f>IF(COUNTIF($T$4:$T$863,$T586)&lt;&gt;COUNTIFS($T$4:$T$863,$T586,$D$4:$D$863,$D586,$F$4:$F$863,$F586,$G$4:$G$863,$G586,$K$4:$K$863,$K586,$M$4:$M$863,$M586),"⚠ INCOHÉRENT","")</f>
        <v/>
      </c>
      <c r="AC586" s="64">
        <f>COUNTIFS($A$4:$A586,$A586,$J$4:$J586,$J586,$E$4:$E586,$E586)</f>
        <v/>
      </c>
      <c r="AD586" s="65">
        <f>$A586&amp;"|"&amp;$J586&amp;"|"&amp;$E586&amp;"|"&amp;$AC586</f>
        <v/>
      </c>
      <c r="AE586" s="66">
        <f>IF($W586&lt;&gt;"","⚑ "&amp;$W586&amp;CHAR(10),"")&amp;TEXT($F586,"hh:mm")&amp;"-"&amp;TEXT($G586,"hh:mm")&amp;IF(OR($P586="Quinzaine A",AND($P586="Hebdo · groupes alternés",$C586="A"))," Q-A",IF(OR($P586="Quinzaine B",AND($P586="Hebdo · groupes alternés",$C586="B"))," Q-B",IF($P586="Exception"," PONCT.","")))&amp;IF($X586="Oui"," OPT","")&amp;CHAR(10)&amp;$K586&amp;CHAR(10)&amp;$M586&amp;IF($N586&lt;&gt;"",CHAR(10)&amp;"Salle "&amp;$N586,"")&amp;IF($O586="En ligne",CHAR(10)&amp;"EN LIGNE","")&amp;IF($V586&lt;&gt;"",CHAR(10)&amp;$V586,"")</f>
        <v/>
      </c>
      <c r="AF586" s="65" t="inlineStr"/>
      <c r="AG586" s="65" t="inlineStr">
        <is>
          <t>— généré —</t>
        </is>
      </c>
    </row>
    <row r="587" ht="15" customHeight="1">
      <c r="A587" s="74" t="inlineStr">
        <is>
          <t>S5</t>
        </is>
      </c>
      <c r="B587" s="75" t="inlineStr">
        <is>
          <t>du 12 au 18 octobre 2026</t>
        </is>
      </c>
      <c r="C587" s="74" t="inlineStr">
        <is>
          <t>A</t>
        </is>
      </c>
      <c r="D587" s="76" t="n">
        <v>46312</v>
      </c>
      <c r="E587" s="74" t="inlineStr">
        <is>
          <t>Samedi</t>
        </is>
      </c>
      <c r="F587" s="77" t="n">
        <v>0.6666666666666666</v>
      </c>
      <c r="G587" s="77" t="n">
        <v>0.7291666666666666</v>
      </c>
      <c r="H587" s="78">
        <f>IF(OR($F587="",$G587=""),"",($G587-$F587)*24)</f>
        <v/>
      </c>
      <c r="I587" s="74" t="inlineStr">
        <is>
          <t>Secondaire</t>
        </is>
      </c>
      <c r="J587" s="75" t="inlineStr">
        <is>
          <t>2éme SCE</t>
        </is>
      </c>
      <c r="K587" s="88" t="inlineStr">
        <is>
          <t>SVT</t>
        </is>
      </c>
      <c r="L587" s="88" t="inlineStr">
        <is>
          <t>SVT</t>
        </is>
      </c>
      <c r="M587" s="75" t="inlineStr">
        <is>
          <t>Rym</t>
        </is>
      </c>
      <c r="N587" s="74" t="n"/>
      <c r="O587" s="74" t="n"/>
      <c r="P587" s="74" t="inlineStr">
        <is>
          <t>Hebdomadaire</t>
        </is>
      </c>
      <c r="Q587" s="75" t="inlineStr"/>
      <c r="R587" s="74" t="n">
        <v>1</v>
      </c>
      <c r="S587" s="74" t="inlineStr">
        <is>
          <t>Oui</t>
        </is>
      </c>
      <c r="T587" s="74" t="inlineStr">
        <is>
          <t>S5-066</t>
        </is>
      </c>
      <c r="U587" s="75" t="inlineStr">
        <is>
          <t>Généré (octobre)</t>
        </is>
      </c>
      <c r="V587" s="75" t="inlineStr"/>
      <c r="W587" s="10" t="n"/>
      <c r="X587" s="10" t="inlineStr"/>
      <c r="Y587" s="64">
        <f>IF($M587="","",IF(SUMPRODUCT(($D$4:$D$863=$D587)*($M$4:$M$863=$M587)*($T$4:$T$863&lt;&gt;$T587)*($F$4:$F$863&lt;$G587)*($G$4:$G$863&gt;$F587))&gt;0,"⚠ CONFLIT",""))</f>
        <v/>
      </c>
      <c r="Z587" s="64">
        <f>IF($J587="","",IF(SUMPRODUCT(($D$4:$D$863=$D587)*($J$4:$J$863=$J587)*($T$4:$T$863&lt;&gt;$T587)*($F$4:$F$863&lt;$G587)*($G$4:$G$863&gt;$F587)*(1-($X$4:$X$863="Oui")*($X587="Oui")))&gt;0,"⚠ CONFLIT",""))</f>
        <v/>
      </c>
      <c r="AA587" s="64">
        <f>IF(COUNTIFS($D$4:$D$863,$D587,$J$4:$J$863,$J587,$F$4:$F$863,$F587,$K$4:$K$863,$K587)&gt;1,"⚠ DOUBLON","")</f>
        <v/>
      </c>
      <c r="AB587" s="64">
        <f>IF(COUNTIF($T$4:$T$863,$T587)&lt;&gt;COUNTIFS($T$4:$T$863,$T587,$D$4:$D$863,$D587,$F$4:$F$863,$F587,$G$4:$G$863,$G587,$K$4:$K$863,$K587,$M$4:$M$863,$M587),"⚠ INCOHÉRENT","")</f>
        <v/>
      </c>
      <c r="AC587" s="64">
        <f>COUNTIFS($A$4:$A587,$A587,$J$4:$J587,$J587,$E$4:$E587,$E587)</f>
        <v/>
      </c>
      <c r="AD587" s="65">
        <f>$A587&amp;"|"&amp;$J587&amp;"|"&amp;$E587&amp;"|"&amp;$AC587</f>
        <v/>
      </c>
      <c r="AE587" s="66">
        <f>IF($W587&lt;&gt;"","⚑ "&amp;$W587&amp;CHAR(10),"")&amp;TEXT($F587,"hh:mm")&amp;"-"&amp;TEXT($G587,"hh:mm")&amp;IF(OR($P587="Quinzaine A",AND($P587="Hebdo · groupes alternés",$C587="A"))," Q-A",IF(OR($P587="Quinzaine B",AND($P587="Hebdo · groupes alternés",$C587="B"))," Q-B",IF($P587="Exception"," PONCT.","")))&amp;IF($X587="Oui"," OPT","")&amp;CHAR(10)&amp;$K587&amp;CHAR(10)&amp;$M587&amp;IF($N587&lt;&gt;"",CHAR(10)&amp;"Salle "&amp;$N587,"")&amp;IF($O587="En ligne",CHAR(10)&amp;"EN LIGNE","")&amp;IF($V587&lt;&gt;"",CHAR(10)&amp;$V587,"")</f>
        <v/>
      </c>
      <c r="AF587" s="65" t="inlineStr"/>
      <c r="AG587" s="65" t="inlineStr">
        <is>
          <t>— généré —</t>
        </is>
      </c>
    </row>
    <row r="588" ht="15" customHeight="1">
      <c r="A588" s="74" t="inlineStr">
        <is>
          <t>S5</t>
        </is>
      </c>
      <c r="B588" s="75" t="inlineStr">
        <is>
          <t>du 12 au 18 octobre 2026</t>
        </is>
      </c>
      <c r="C588" s="74" t="inlineStr">
        <is>
          <t>A</t>
        </is>
      </c>
      <c r="D588" s="76" t="n">
        <v>46312</v>
      </c>
      <c r="E588" s="74" t="inlineStr">
        <is>
          <t>Samedi</t>
        </is>
      </c>
      <c r="F588" s="77" t="n">
        <v>0.7083333333333334</v>
      </c>
      <c r="G588" s="77" t="n">
        <v>0.7916666666666666</v>
      </c>
      <c r="H588" s="78">
        <f>IF(OR($F588="",$G588=""),"",($G588-$F588)*24)</f>
        <v/>
      </c>
      <c r="I588" s="74" t="inlineStr">
        <is>
          <t>Secondaire</t>
        </is>
      </c>
      <c r="J588" s="75" t="inlineStr">
        <is>
          <t>2éme INFO</t>
        </is>
      </c>
      <c r="K588" s="80" t="inlineStr">
        <is>
          <t>Informatique</t>
        </is>
      </c>
      <c r="L588" s="80" t="inlineStr">
        <is>
          <t>Informatique</t>
        </is>
      </c>
      <c r="M588" s="75" t="inlineStr">
        <is>
          <t>Aymen</t>
        </is>
      </c>
      <c r="N588" s="74" t="n"/>
      <c r="O588" s="74" t="n"/>
      <c r="P588" s="74" t="inlineStr">
        <is>
          <t>Hebdomadaire</t>
        </is>
      </c>
      <c r="Q588" s="75" t="inlineStr"/>
      <c r="R588" s="74" t="n">
        <v>1</v>
      </c>
      <c r="S588" s="74" t="inlineStr">
        <is>
          <t>Oui</t>
        </is>
      </c>
      <c r="T588" s="74" t="inlineStr">
        <is>
          <t>S5-094</t>
        </is>
      </c>
      <c r="U588" s="75" t="inlineStr">
        <is>
          <t>Généré (octobre)</t>
        </is>
      </c>
      <c r="V588" s="75" t="inlineStr"/>
      <c r="W588" s="10" t="n"/>
      <c r="X588" s="10" t="inlineStr"/>
      <c r="Y588" s="64">
        <f>IF($M588="","",IF(SUMPRODUCT(($D$4:$D$863=$D588)*($M$4:$M$863=$M588)*($T$4:$T$863&lt;&gt;$T588)*($F$4:$F$863&lt;$G588)*($G$4:$G$863&gt;$F588))&gt;0,"⚠ CONFLIT",""))</f>
        <v/>
      </c>
      <c r="Z588" s="64">
        <f>IF($J588="","",IF(SUMPRODUCT(($D$4:$D$863=$D588)*($J$4:$J$863=$J588)*($T$4:$T$863&lt;&gt;$T588)*($F$4:$F$863&lt;$G588)*($G$4:$G$863&gt;$F588)*(1-($X$4:$X$863="Oui")*($X588="Oui")))&gt;0,"⚠ CONFLIT",""))</f>
        <v/>
      </c>
      <c r="AA588" s="64">
        <f>IF(COUNTIFS($D$4:$D$863,$D588,$J$4:$J$863,$J588,$F$4:$F$863,$F588,$K$4:$K$863,$K588)&gt;1,"⚠ DOUBLON","")</f>
        <v/>
      </c>
      <c r="AB588" s="64">
        <f>IF(COUNTIF($T$4:$T$863,$T588)&lt;&gt;COUNTIFS($T$4:$T$863,$T588,$D$4:$D$863,$D588,$F$4:$F$863,$F588,$G$4:$G$863,$G588,$K$4:$K$863,$K588,$M$4:$M$863,$M588),"⚠ INCOHÉRENT","")</f>
        <v/>
      </c>
      <c r="AC588" s="64">
        <f>COUNTIFS($A$4:$A588,$A588,$J$4:$J588,$J588,$E$4:$E588,$E588)</f>
        <v/>
      </c>
      <c r="AD588" s="65">
        <f>$A588&amp;"|"&amp;$J588&amp;"|"&amp;$E588&amp;"|"&amp;$AC588</f>
        <v/>
      </c>
      <c r="AE588" s="66">
        <f>IF($W588&lt;&gt;"","⚑ "&amp;$W588&amp;CHAR(10),"")&amp;TEXT($F588,"hh:mm")&amp;"-"&amp;TEXT($G588,"hh:mm")&amp;IF(OR($P588="Quinzaine A",AND($P588="Hebdo · groupes alternés",$C588="A"))," Q-A",IF(OR($P588="Quinzaine B",AND($P588="Hebdo · groupes alternés",$C588="B"))," Q-B",IF($P588="Exception"," PONCT.","")))&amp;IF($X588="Oui"," OPT","")&amp;CHAR(10)&amp;$K588&amp;CHAR(10)&amp;$M588&amp;IF($N588&lt;&gt;"",CHAR(10)&amp;"Salle "&amp;$N588,"")&amp;IF($O588="En ligne",CHAR(10)&amp;"EN LIGNE","")&amp;IF($V588&lt;&gt;"",CHAR(10)&amp;$V588,"")</f>
        <v/>
      </c>
      <c r="AF588" s="65" t="inlineStr"/>
      <c r="AG588" s="65" t="inlineStr">
        <is>
          <t>— généré —</t>
        </is>
      </c>
    </row>
    <row r="589" ht="15" customHeight="1">
      <c r="A589" s="74" t="inlineStr">
        <is>
          <t>S5</t>
        </is>
      </c>
      <c r="B589" s="75" t="inlineStr">
        <is>
          <t>du 12 au 18 octobre 2026</t>
        </is>
      </c>
      <c r="C589" s="74" t="inlineStr">
        <is>
          <t>A</t>
        </is>
      </c>
      <c r="D589" s="76" t="n">
        <v>46312</v>
      </c>
      <c r="E589" s="74" t="inlineStr">
        <is>
          <t>Samedi</t>
        </is>
      </c>
      <c r="F589" s="77" t="n">
        <v>0.7083333333333334</v>
      </c>
      <c r="G589" s="77" t="n">
        <v>0.7708333333333334</v>
      </c>
      <c r="H589" s="78">
        <f>IF(OR($F589="",$G589=""),"",($G589-$F589)*24)</f>
        <v/>
      </c>
      <c r="I589" s="74" t="inlineStr">
        <is>
          <t>Secondaire</t>
        </is>
      </c>
      <c r="J589" s="75" t="inlineStr">
        <is>
          <t>3éme Eco</t>
        </is>
      </c>
      <c r="K589" s="93" t="inlineStr">
        <is>
          <t>Histoire</t>
        </is>
      </c>
      <c r="L589" s="93" t="inlineStr">
        <is>
          <t>Histoire</t>
        </is>
      </c>
      <c r="M589" s="75" t="inlineStr">
        <is>
          <t>Abdelwaheb</t>
        </is>
      </c>
      <c r="N589" s="74" t="n"/>
      <c r="O589" s="74" t="n"/>
      <c r="P589" s="74" t="inlineStr">
        <is>
          <t>Quinzaine A</t>
        </is>
      </c>
      <c r="Q589" s="75" t="inlineStr"/>
      <c r="R589" s="74" t="n">
        <v>1</v>
      </c>
      <c r="S589" s="74" t="inlineStr">
        <is>
          <t>Oui</t>
        </is>
      </c>
      <c r="T589" s="74" t="inlineStr">
        <is>
          <t>S5-098</t>
        </is>
      </c>
      <c r="U589" s="75" t="inlineStr">
        <is>
          <t>Généré (octobre)</t>
        </is>
      </c>
      <c r="V589" s="75" t="inlineStr"/>
      <c r="W589" s="10" t="n"/>
      <c r="X589" s="10" t="inlineStr"/>
      <c r="Y589" s="64">
        <f>IF($M589="","",IF(SUMPRODUCT(($D$4:$D$863=$D589)*($M$4:$M$863=$M589)*($T$4:$T$863&lt;&gt;$T589)*($F$4:$F$863&lt;$G589)*($G$4:$G$863&gt;$F589))&gt;0,"⚠ CONFLIT",""))</f>
        <v/>
      </c>
      <c r="Z589" s="64">
        <f>IF($J589="","",IF(SUMPRODUCT(($D$4:$D$863=$D589)*($J$4:$J$863=$J589)*($T$4:$T$863&lt;&gt;$T589)*($F$4:$F$863&lt;$G589)*($G$4:$G$863&gt;$F589)*(1-($X$4:$X$863="Oui")*($X589="Oui")))&gt;0,"⚠ CONFLIT",""))</f>
        <v/>
      </c>
      <c r="AA589" s="64">
        <f>IF(COUNTIFS($D$4:$D$863,$D589,$J$4:$J$863,$J589,$F$4:$F$863,$F589,$K$4:$K$863,$K589)&gt;1,"⚠ DOUBLON","")</f>
        <v/>
      </c>
      <c r="AB589" s="64">
        <f>IF(COUNTIF($T$4:$T$863,$T589)&lt;&gt;COUNTIFS($T$4:$T$863,$T589,$D$4:$D$863,$D589,$F$4:$F$863,$F589,$G$4:$G$863,$G589,$K$4:$K$863,$K589,$M$4:$M$863,$M589),"⚠ INCOHÉRENT","")</f>
        <v/>
      </c>
      <c r="AC589" s="64">
        <f>COUNTIFS($A$4:$A589,$A589,$J$4:$J589,$J589,$E$4:$E589,$E589)</f>
        <v/>
      </c>
      <c r="AD589" s="65">
        <f>$A589&amp;"|"&amp;$J589&amp;"|"&amp;$E589&amp;"|"&amp;$AC589</f>
        <v/>
      </c>
      <c r="AE589" s="66">
        <f>IF($W589&lt;&gt;"","⚑ "&amp;$W589&amp;CHAR(10),"")&amp;TEXT($F589,"hh:mm")&amp;"-"&amp;TEXT($G589,"hh:mm")&amp;IF(OR($P589="Quinzaine A",AND($P589="Hebdo · groupes alternés",$C589="A"))," Q-A",IF(OR($P589="Quinzaine B",AND($P589="Hebdo · groupes alternés",$C589="B"))," Q-B",IF($P589="Exception"," PONCT.","")))&amp;IF($X589="Oui"," OPT","")&amp;CHAR(10)&amp;$K589&amp;CHAR(10)&amp;$M589&amp;IF($N589&lt;&gt;"",CHAR(10)&amp;"Salle "&amp;$N589,"")&amp;IF($O589="En ligne",CHAR(10)&amp;"EN LIGNE","")&amp;IF($V589&lt;&gt;"",CHAR(10)&amp;$V589,"")</f>
        <v/>
      </c>
      <c r="AF589" s="65" t="inlineStr"/>
      <c r="AG589" s="65" t="inlineStr">
        <is>
          <t>— généré —</t>
        </is>
      </c>
    </row>
    <row r="590" ht="15" customHeight="1">
      <c r="A590" s="74" t="inlineStr">
        <is>
          <t>S5</t>
        </is>
      </c>
      <c r="B590" s="75" t="inlineStr">
        <is>
          <t>du 12 au 18 octobre 2026</t>
        </is>
      </c>
      <c r="C590" s="74" t="inlineStr">
        <is>
          <t>A</t>
        </is>
      </c>
      <c r="D590" s="76" t="n">
        <v>46312</v>
      </c>
      <c r="E590" s="74" t="inlineStr">
        <is>
          <t>Samedi</t>
        </is>
      </c>
      <c r="F590" s="77" t="n">
        <v>0.625</v>
      </c>
      <c r="G590" s="77" t="n">
        <v>0.7083333333333334</v>
      </c>
      <c r="H590" s="78">
        <f>IF(OR($F590="",$G590=""),"",($G590-$F590)*24)</f>
        <v/>
      </c>
      <c r="I590" s="74" t="inlineStr">
        <is>
          <t>Secondaire</t>
        </is>
      </c>
      <c r="J590" s="75" t="inlineStr">
        <is>
          <t>3éme INFO</t>
        </is>
      </c>
      <c r="K590" s="94" t="inlineStr">
        <is>
          <t>ALGO</t>
        </is>
      </c>
      <c r="L590" s="94" t="inlineStr">
        <is>
          <t>ALGO</t>
        </is>
      </c>
      <c r="M590" s="75" t="inlineStr">
        <is>
          <t>Aymen</t>
        </is>
      </c>
      <c r="N590" s="74" t="n"/>
      <c r="O590" s="74" t="n"/>
      <c r="P590" s="74" t="inlineStr">
        <is>
          <t>Hebdomadaire</t>
        </is>
      </c>
      <c r="Q590" s="75" t="inlineStr"/>
      <c r="R590" s="74" t="n">
        <v>1</v>
      </c>
      <c r="S590" s="74" t="inlineStr">
        <is>
          <t>Oui</t>
        </is>
      </c>
      <c r="T590" s="74" t="inlineStr">
        <is>
          <t>S5-067</t>
        </is>
      </c>
      <c r="U590" s="75" t="inlineStr">
        <is>
          <t>Généré (octobre)</t>
        </is>
      </c>
      <c r="V590" s="75" t="inlineStr"/>
      <c r="W590" s="10" t="n"/>
      <c r="X590" s="10" t="inlineStr"/>
      <c r="Y590" s="64">
        <f>IF($M590="","",IF(SUMPRODUCT(($D$4:$D$863=$D590)*($M$4:$M$863=$M590)*($T$4:$T$863&lt;&gt;$T590)*($F$4:$F$863&lt;$G590)*($G$4:$G$863&gt;$F590))&gt;0,"⚠ CONFLIT",""))</f>
        <v/>
      </c>
      <c r="Z590" s="64">
        <f>IF($J590="","",IF(SUMPRODUCT(($D$4:$D$863=$D590)*($J$4:$J$863=$J590)*($T$4:$T$863&lt;&gt;$T590)*($F$4:$F$863&lt;$G590)*($G$4:$G$863&gt;$F590)*(1-($X$4:$X$863="Oui")*($X590="Oui")))&gt;0,"⚠ CONFLIT",""))</f>
        <v/>
      </c>
      <c r="AA590" s="64">
        <f>IF(COUNTIFS($D$4:$D$863,$D590,$J$4:$J$863,$J590,$F$4:$F$863,$F590,$K$4:$K$863,$K590)&gt;1,"⚠ DOUBLON","")</f>
        <v/>
      </c>
      <c r="AB590" s="64">
        <f>IF(COUNTIF($T$4:$T$863,$T590)&lt;&gt;COUNTIFS($T$4:$T$863,$T590,$D$4:$D$863,$D590,$F$4:$F$863,$F590,$G$4:$G$863,$G590,$K$4:$K$863,$K590,$M$4:$M$863,$M590),"⚠ INCOHÉRENT","")</f>
        <v/>
      </c>
      <c r="AC590" s="64">
        <f>COUNTIFS($A$4:$A590,$A590,$J$4:$J590,$J590,$E$4:$E590,$E590)</f>
        <v/>
      </c>
      <c r="AD590" s="65">
        <f>$A590&amp;"|"&amp;$J590&amp;"|"&amp;$E590&amp;"|"&amp;$AC590</f>
        <v/>
      </c>
      <c r="AE590" s="66">
        <f>IF($W590&lt;&gt;"","⚑ "&amp;$W590&amp;CHAR(10),"")&amp;TEXT($F590,"hh:mm")&amp;"-"&amp;TEXT($G590,"hh:mm")&amp;IF(OR($P590="Quinzaine A",AND($P590="Hebdo · groupes alternés",$C590="A"))," Q-A",IF(OR($P590="Quinzaine B",AND($P590="Hebdo · groupes alternés",$C590="B"))," Q-B",IF($P590="Exception"," PONCT.","")))&amp;IF($X590="Oui"," OPT","")&amp;CHAR(10)&amp;$K590&amp;CHAR(10)&amp;$M590&amp;IF($N590&lt;&gt;"",CHAR(10)&amp;"Salle "&amp;$N590,"")&amp;IF($O590="En ligne",CHAR(10)&amp;"EN LIGNE","")&amp;IF($V590&lt;&gt;"",CHAR(10)&amp;$V590,"")</f>
        <v/>
      </c>
      <c r="AF590" s="65" t="inlineStr"/>
      <c r="AG590" s="65" t="inlineStr">
        <is>
          <t>— généré —</t>
        </is>
      </c>
    </row>
    <row r="591" ht="15" customHeight="1">
      <c r="A591" s="74" t="inlineStr">
        <is>
          <t>S5</t>
        </is>
      </c>
      <c r="B591" s="75" t="inlineStr">
        <is>
          <t>du 12 au 18 octobre 2026</t>
        </is>
      </c>
      <c r="C591" s="74" t="inlineStr">
        <is>
          <t>A</t>
        </is>
      </c>
      <c r="D591" s="76" t="n">
        <v>46312</v>
      </c>
      <c r="E591" s="74" t="inlineStr">
        <is>
          <t>Samedi</t>
        </is>
      </c>
      <c r="F591" s="77" t="n">
        <v>0.7291666666666666</v>
      </c>
      <c r="G591" s="77" t="n">
        <v>0.7916666666666666</v>
      </c>
      <c r="H591" s="78">
        <f>IF(OR($F591="",$G591=""),"",($G591-$F591)*24)</f>
        <v/>
      </c>
      <c r="I591" s="74" t="inlineStr">
        <is>
          <t>Secondaire</t>
        </is>
      </c>
      <c r="J591" s="75" t="inlineStr">
        <is>
          <t>3éme SCE</t>
        </is>
      </c>
      <c r="K591" s="88" t="inlineStr">
        <is>
          <t>SVT</t>
        </is>
      </c>
      <c r="L591" s="88" t="inlineStr">
        <is>
          <t>SVT</t>
        </is>
      </c>
      <c r="M591" s="75" t="inlineStr">
        <is>
          <t>Rym</t>
        </is>
      </c>
      <c r="N591" s="74" t="n"/>
      <c r="O591" s="74" t="n"/>
      <c r="P591" s="74" t="inlineStr">
        <is>
          <t>Hebdomadaire</t>
        </is>
      </c>
      <c r="Q591" s="75" t="inlineStr"/>
      <c r="R591" s="74" t="n">
        <v>1</v>
      </c>
      <c r="S591" s="74" t="inlineStr">
        <is>
          <t>Oui</t>
        </is>
      </c>
      <c r="T591" s="74" t="inlineStr">
        <is>
          <t>S5-068</t>
        </is>
      </c>
      <c r="U591" s="75" t="inlineStr">
        <is>
          <t>Généré (octobre)</t>
        </is>
      </c>
      <c r="V591" s="75" t="inlineStr"/>
      <c r="W591" s="10" t="n"/>
      <c r="X591" s="10" t="inlineStr"/>
      <c r="Y591" s="64">
        <f>IF($M591="","",IF(SUMPRODUCT(($D$4:$D$863=$D591)*($M$4:$M$863=$M591)*($T$4:$T$863&lt;&gt;$T591)*($F$4:$F$863&lt;$G591)*($G$4:$G$863&gt;$F591))&gt;0,"⚠ CONFLIT",""))</f>
        <v/>
      </c>
      <c r="Z591" s="64">
        <f>IF($J591="","",IF(SUMPRODUCT(($D$4:$D$863=$D591)*($J$4:$J$863=$J591)*($T$4:$T$863&lt;&gt;$T591)*($F$4:$F$863&lt;$G591)*($G$4:$G$863&gt;$F591)*(1-($X$4:$X$863="Oui")*($X591="Oui")))&gt;0,"⚠ CONFLIT",""))</f>
        <v/>
      </c>
      <c r="AA591" s="64">
        <f>IF(COUNTIFS($D$4:$D$863,$D591,$J$4:$J$863,$J591,$F$4:$F$863,$F591,$K$4:$K$863,$K591)&gt;1,"⚠ DOUBLON","")</f>
        <v/>
      </c>
      <c r="AB591" s="64">
        <f>IF(COUNTIF($T$4:$T$863,$T591)&lt;&gt;COUNTIFS($T$4:$T$863,$T591,$D$4:$D$863,$D591,$F$4:$F$863,$F591,$G$4:$G$863,$G591,$K$4:$K$863,$K591,$M$4:$M$863,$M591),"⚠ INCOHÉRENT","")</f>
        <v/>
      </c>
      <c r="AC591" s="64">
        <f>COUNTIFS($A$4:$A591,$A591,$J$4:$J591,$J591,$E$4:$E591,$E591)</f>
        <v/>
      </c>
      <c r="AD591" s="65">
        <f>$A591&amp;"|"&amp;$J591&amp;"|"&amp;$E591&amp;"|"&amp;$AC591</f>
        <v/>
      </c>
      <c r="AE591" s="66">
        <f>IF($W591&lt;&gt;"","⚑ "&amp;$W591&amp;CHAR(10),"")&amp;TEXT($F591,"hh:mm")&amp;"-"&amp;TEXT($G591,"hh:mm")&amp;IF(OR($P591="Quinzaine A",AND($P591="Hebdo · groupes alternés",$C591="A"))," Q-A",IF(OR($P591="Quinzaine B",AND($P591="Hebdo · groupes alternés",$C591="B"))," Q-B",IF($P591="Exception"," PONCT.","")))&amp;IF($X591="Oui"," OPT","")&amp;CHAR(10)&amp;$K591&amp;CHAR(10)&amp;$M591&amp;IF($N591&lt;&gt;"",CHAR(10)&amp;"Salle "&amp;$N591,"")&amp;IF($O591="En ligne",CHAR(10)&amp;"EN LIGNE","")&amp;IF($V591&lt;&gt;"",CHAR(10)&amp;$V591,"")</f>
        <v/>
      </c>
      <c r="AF591" s="65" t="inlineStr"/>
      <c r="AG591" s="65" t="inlineStr">
        <is>
          <t>— généré —</t>
        </is>
      </c>
    </row>
    <row r="592" ht="15" customHeight="1">
      <c r="A592" s="81" t="inlineStr">
        <is>
          <t>S5</t>
        </is>
      </c>
      <c r="B592" s="82" t="inlineStr">
        <is>
          <t>du 12 au 18 octobre 2026</t>
        </is>
      </c>
      <c r="C592" s="81" t="inlineStr">
        <is>
          <t>A</t>
        </is>
      </c>
      <c r="D592" s="83" t="n">
        <v>46312</v>
      </c>
      <c r="E592" s="81" t="inlineStr">
        <is>
          <t>Samedi</t>
        </is>
      </c>
      <c r="F592" s="84" t="n">
        <v>0.7708333333333334</v>
      </c>
      <c r="G592" s="84" t="n">
        <v>0.8333333333333334</v>
      </c>
      <c r="H592" s="85">
        <f>IF(OR($F592="",$G592=""),"",($G592-$F592)*24)</f>
        <v/>
      </c>
      <c r="I592" s="81" t="inlineStr">
        <is>
          <t>Bac</t>
        </is>
      </c>
      <c r="J592" s="82" t="inlineStr">
        <is>
          <t>Bac Eco</t>
        </is>
      </c>
      <c r="K592" s="93" t="inlineStr">
        <is>
          <t>Histoire</t>
        </is>
      </c>
      <c r="L592" s="93" t="inlineStr">
        <is>
          <t>Histoire</t>
        </is>
      </c>
      <c r="M592" s="82" t="inlineStr">
        <is>
          <t>Abdelwaheb</t>
        </is>
      </c>
      <c r="N592" s="81" t="n"/>
      <c r="O592" s="81" t="n"/>
      <c r="P592" s="81" t="inlineStr">
        <is>
          <t>Quinzaine A</t>
        </is>
      </c>
      <c r="Q592" s="82" t="inlineStr"/>
      <c r="R592" s="81" t="n">
        <v>1</v>
      </c>
      <c r="S592" s="81" t="inlineStr">
        <is>
          <t>Oui</t>
        </is>
      </c>
      <c r="T592" s="81" t="inlineStr">
        <is>
          <t>S5-099</t>
        </is>
      </c>
      <c r="U592" s="82" t="inlineStr">
        <is>
          <t>Généré (octobre)</t>
        </is>
      </c>
      <c r="V592" s="82" t="inlineStr"/>
      <c r="W592" s="10" t="n"/>
      <c r="X592" s="10" t="inlineStr"/>
      <c r="Y592" s="64">
        <f>IF($M592="","",IF(SUMPRODUCT(($D$4:$D$863=$D592)*($M$4:$M$863=$M592)*($T$4:$T$863&lt;&gt;$T592)*($F$4:$F$863&lt;$G592)*($G$4:$G$863&gt;$F592))&gt;0,"⚠ CONFLIT",""))</f>
        <v/>
      </c>
      <c r="Z592" s="64">
        <f>IF($J592="","",IF(SUMPRODUCT(($D$4:$D$863=$D592)*($J$4:$J$863=$J592)*($T$4:$T$863&lt;&gt;$T592)*($F$4:$F$863&lt;$G592)*($G$4:$G$863&gt;$F592)*(1-($X$4:$X$863="Oui")*($X592="Oui")))&gt;0,"⚠ CONFLIT",""))</f>
        <v/>
      </c>
      <c r="AA592" s="64">
        <f>IF(COUNTIFS($D$4:$D$863,$D592,$J$4:$J$863,$J592,$F$4:$F$863,$F592,$K$4:$K$863,$K592)&gt;1,"⚠ DOUBLON","")</f>
        <v/>
      </c>
      <c r="AB592" s="64">
        <f>IF(COUNTIF($T$4:$T$863,$T592)&lt;&gt;COUNTIFS($T$4:$T$863,$T592,$D$4:$D$863,$D592,$F$4:$F$863,$F592,$G$4:$G$863,$G592,$K$4:$K$863,$K592,$M$4:$M$863,$M592),"⚠ INCOHÉRENT","")</f>
        <v/>
      </c>
      <c r="AC592" s="64">
        <f>COUNTIFS($A$4:$A592,$A592,$J$4:$J592,$J592,$E$4:$E592,$E592)</f>
        <v/>
      </c>
      <c r="AD592" s="65">
        <f>$A592&amp;"|"&amp;$J592&amp;"|"&amp;$E592&amp;"|"&amp;$AC592</f>
        <v/>
      </c>
      <c r="AE592" s="66">
        <f>IF($W592&lt;&gt;"","⚑ "&amp;$W592&amp;CHAR(10),"")&amp;TEXT($F592,"hh:mm")&amp;"-"&amp;TEXT($G592,"hh:mm")&amp;IF(OR($P592="Quinzaine A",AND($P592="Hebdo · groupes alternés",$C592="A"))," Q-A",IF(OR($P592="Quinzaine B",AND($P592="Hebdo · groupes alternés",$C592="B"))," Q-B",IF($P592="Exception"," PONCT.","")))&amp;IF($X592="Oui"," OPT","")&amp;CHAR(10)&amp;$K592&amp;CHAR(10)&amp;$M592&amp;IF($N592&lt;&gt;"",CHAR(10)&amp;"Salle "&amp;$N592,"")&amp;IF($O592="En ligne",CHAR(10)&amp;"EN LIGNE","")&amp;IF($V592&lt;&gt;"",CHAR(10)&amp;$V592,"")</f>
        <v/>
      </c>
      <c r="AF592" s="65" t="inlineStr"/>
      <c r="AG592" s="65" t="inlineStr">
        <is>
          <t>— généré —</t>
        </is>
      </c>
    </row>
    <row r="593" ht="15" customHeight="1">
      <c r="A593" s="81" t="inlineStr">
        <is>
          <t>S5</t>
        </is>
      </c>
      <c r="B593" s="82" t="inlineStr">
        <is>
          <t>du 12 au 18 octobre 2026</t>
        </is>
      </c>
      <c r="C593" s="81" t="inlineStr">
        <is>
          <t>A</t>
        </is>
      </c>
      <c r="D593" s="83" t="n">
        <v>46312</v>
      </c>
      <c r="E593" s="81" t="inlineStr">
        <is>
          <t>Samedi</t>
        </is>
      </c>
      <c r="F593" s="84" t="n">
        <v>0.7916666666666666</v>
      </c>
      <c r="G593" s="84" t="n">
        <v>0.8541666666666666</v>
      </c>
      <c r="H593" s="85">
        <f>IF(OR($F593="",$G593=""),"",($G593-$F593)*24)</f>
        <v/>
      </c>
      <c r="I593" s="81" t="inlineStr">
        <is>
          <t>Bac</t>
        </is>
      </c>
      <c r="J593" s="82" t="inlineStr">
        <is>
          <t>Bac SCE</t>
        </is>
      </c>
      <c r="K593" s="88" t="inlineStr">
        <is>
          <t>SVT</t>
        </is>
      </c>
      <c r="L593" s="88" t="inlineStr">
        <is>
          <t>SVT</t>
        </is>
      </c>
      <c r="M593" s="82" t="inlineStr">
        <is>
          <t>Rym</t>
        </is>
      </c>
      <c r="N593" s="81" t="n"/>
      <c r="O593" s="81" t="n"/>
      <c r="P593" s="81" t="inlineStr">
        <is>
          <t>Hebdomadaire</t>
        </is>
      </c>
      <c r="Q593" s="82" t="inlineStr"/>
      <c r="R593" s="81" t="n">
        <v>1</v>
      </c>
      <c r="S593" s="81" t="inlineStr">
        <is>
          <t>Oui</t>
        </is>
      </c>
      <c r="T593" s="81" t="inlineStr">
        <is>
          <t>S5-069</t>
        </is>
      </c>
      <c r="U593" s="82" t="inlineStr">
        <is>
          <t>Généré (octobre)</t>
        </is>
      </c>
      <c r="V593" s="82" t="inlineStr"/>
      <c r="W593" s="10" t="n"/>
      <c r="X593" s="10" t="inlineStr"/>
      <c r="Y593" s="64">
        <f>IF($M593="","",IF(SUMPRODUCT(($D$4:$D$863=$D593)*($M$4:$M$863=$M593)*($T$4:$T$863&lt;&gt;$T593)*($F$4:$F$863&lt;$G593)*($G$4:$G$863&gt;$F593))&gt;0,"⚠ CONFLIT",""))</f>
        <v/>
      </c>
      <c r="Z593" s="64">
        <f>IF($J593="","",IF(SUMPRODUCT(($D$4:$D$863=$D593)*($J$4:$J$863=$J593)*($T$4:$T$863&lt;&gt;$T593)*($F$4:$F$863&lt;$G593)*($G$4:$G$863&gt;$F593)*(1-($X$4:$X$863="Oui")*($X593="Oui")))&gt;0,"⚠ CONFLIT",""))</f>
        <v/>
      </c>
      <c r="AA593" s="64">
        <f>IF(COUNTIFS($D$4:$D$863,$D593,$J$4:$J$863,$J593,$F$4:$F$863,$F593,$K$4:$K$863,$K593)&gt;1,"⚠ DOUBLON","")</f>
        <v/>
      </c>
      <c r="AB593" s="64">
        <f>IF(COUNTIF($T$4:$T$863,$T593)&lt;&gt;COUNTIFS($T$4:$T$863,$T593,$D$4:$D$863,$D593,$F$4:$F$863,$F593,$G$4:$G$863,$G593,$K$4:$K$863,$K593,$M$4:$M$863,$M593),"⚠ INCOHÉRENT","")</f>
        <v/>
      </c>
      <c r="AC593" s="64">
        <f>COUNTIFS($A$4:$A593,$A593,$J$4:$J593,$J593,$E$4:$E593,$E593)</f>
        <v/>
      </c>
      <c r="AD593" s="65">
        <f>$A593&amp;"|"&amp;$J593&amp;"|"&amp;$E593&amp;"|"&amp;$AC593</f>
        <v/>
      </c>
      <c r="AE593" s="66">
        <f>IF($W593&lt;&gt;"","⚑ "&amp;$W593&amp;CHAR(10),"")&amp;TEXT($F593,"hh:mm")&amp;"-"&amp;TEXT($G593,"hh:mm")&amp;IF(OR($P593="Quinzaine A",AND($P593="Hebdo · groupes alternés",$C593="A"))," Q-A",IF(OR($P593="Quinzaine B",AND($P593="Hebdo · groupes alternés",$C593="B"))," Q-B",IF($P593="Exception"," PONCT.","")))&amp;IF($X593="Oui"," OPT","")&amp;CHAR(10)&amp;$K593&amp;CHAR(10)&amp;$M593&amp;IF($N593&lt;&gt;"",CHAR(10)&amp;"Salle "&amp;$N593,"")&amp;IF($O593="En ligne",CHAR(10)&amp;"EN LIGNE","")&amp;IF($V593&lt;&gt;"",CHAR(10)&amp;$V593,"")</f>
        <v/>
      </c>
      <c r="AF593" s="65" t="inlineStr"/>
      <c r="AG593" s="65" t="inlineStr">
        <is>
          <t>— généré —</t>
        </is>
      </c>
    </row>
    <row r="594" ht="15" customHeight="1">
      <c r="A594" s="81" t="inlineStr">
        <is>
          <t>S5</t>
        </is>
      </c>
      <c r="B594" s="82" t="inlineStr">
        <is>
          <t>du 12 au 18 octobre 2026</t>
        </is>
      </c>
      <c r="C594" s="81" t="inlineStr">
        <is>
          <t>A</t>
        </is>
      </c>
      <c r="D594" s="83" t="n">
        <v>46312</v>
      </c>
      <c r="E594" s="81" t="inlineStr">
        <is>
          <t>Samedi</t>
        </is>
      </c>
      <c r="F594" s="84" t="n">
        <v>0.7916666666666666</v>
      </c>
      <c r="G594" s="84" t="n">
        <v>0.875</v>
      </c>
      <c r="H594" s="85">
        <f>IF(OR($F594="",$G594=""),"",($G594-$F594)*24)</f>
        <v/>
      </c>
      <c r="I594" s="81" t="inlineStr">
        <is>
          <t>Bac</t>
        </is>
      </c>
      <c r="J594" s="82" t="inlineStr">
        <is>
          <t>Bac INFO</t>
        </is>
      </c>
      <c r="K594" s="94" t="inlineStr">
        <is>
          <t>ALGO</t>
        </is>
      </c>
      <c r="L594" s="94" t="inlineStr">
        <is>
          <t>ALGO</t>
        </is>
      </c>
      <c r="M594" s="82" t="inlineStr">
        <is>
          <t>Heni</t>
        </is>
      </c>
      <c r="N594" s="81" t="n"/>
      <c r="O594" s="81" t="n"/>
      <c r="P594" s="81" t="inlineStr">
        <is>
          <t>Hebdomadaire</t>
        </is>
      </c>
      <c r="Q594" s="82" t="inlineStr"/>
      <c r="R594" s="81" t="n">
        <v>1</v>
      </c>
      <c r="S594" s="81" t="inlineStr">
        <is>
          <t>Oui</t>
        </is>
      </c>
      <c r="T594" s="81" t="inlineStr">
        <is>
          <t>S5-070</t>
        </is>
      </c>
      <c r="U594" s="82" t="inlineStr">
        <is>
          <t>Généré (octobre)</t>
        </is>
      </c>
      <c r="V594" s="82" t="inlineStr"/>
      <c r="W594" s="10" t="n"/>
      <c r="X594" s="10" t="inlineStr"/>
      <c r="Y594" s="64">
        <f>IF($M594="","",IF(SUMPRODUCT(($D$4:$D$863=$D594)*($M$4:$M$863=$M594)*($T$4:$T$863&lt;&gt;$T594)*($F$4:$F$863&lt;$G594)*($G$4:$G$863&gt;$F594))&gt;0,"⚠ CONFLIT",""))</f>
        <v/>
      </c>
      <c r="Z594" s="64">
        <f>IF($J594="","",IF(SUMPRODUCT(($D$4:$D$863=$D594)*($J$4:$J$863=$J594)*($T$4:$T$863&lt;&gt;$T594)*($F$4:$F$863&lt;$G594)*($G$4:$G$863&gt;$F594)*(1-($X$4:$X$863="Oui")*($X594="Oui")))&gt;0,"⚠ CONFLIT",""))</f>
        <v/>
      </c>
      <c r="AA594" s="64">
        <f>IF(COUNTIFS($D$4:$D$863,$D594,$J$4:$J$863,$J594,$F$4:$F$863,$F594,$K$4:$K$863,$K594)&gt;1,"⚠ DOUBLON","")</f>
        <v/>
      </c>
      <c r="AB594" s="64">
        <f>IF(COUNTIF($T$4:$T$863,$T594)&lt;&gt;COUNTIFS($T$4:$T$863,$T594,$D$4:$D$863,$D594,$F$4:$F$863,$F594,$G$4:$G$863,$G594,$K$4:$K$863,$K594,$M$4:$M$863,$M594),"⚠ INCOHÉRENT","")</f>
        <v/>
      </c>
      <c r="AC594" s="64">
        <f>COUNTIFS($A$4:$A594,$A594,$J$4:$J594,$J594,$E$4:$E594,$E594)</f>
        <v/>
      </c>
      <c r="AD594" s="65">
        <f>$A594&amp;"|"&amp;$J594&amp;"|"&amp;$E594&amp;"|"&amp;$AC594</f>
        <v/>
      </c>
      <c r="AE594" s="66">
        <f>IF($W594&lt;&gt;"","⚑ "&amp;$W594&amp;CHAR(10),"")&amp;TEXT($F594,"hh:mm")&amp;"-"&amp;TEXT($G594,"hh:mm")&amp;IF(OR($P594="Quinzaine A",AND($P594="Hebdo · groupes alternés",$C594="A"))," Q-A",IF(OR($P594="Quinzaine B",AND($P594="Hebdo · groupes alternés",$C594="B"))," Q-B",IF($P594="Exception"," PONCT.","")))&amp;IF($X594="Oui"," OPT","")&amp;CHAR(10)&amp;$K594&amp;CHAR(10)&amp;$M594&amp;IF($N594&lt;&gt;"",CHAR(10)&amp;"Salle "&amp;$N594,"")&amp;IF($O594="En ligne",CHAR(10)&amp;"EN LIGNE","")&amp;IF($V594&lt;&gt;"",CHAR(10)&amp;$V594,"")</f>
        <v/>
      </c>
      <c r="AF594" s="65" t="inlineStr"/>
      <c r="AG594" s="65" t="inlineStr">
        <is>
          <t>— généré —</t>
        </is>
      </c>
    </row>
    <row r="595" ht="15" customHeight="1">
      <c r="A595" s="58" t="inlineStr">
        <is>
          <t>S5</t>
        </is>
      </c>
      <c r="B595" s="59" t="inlineStr">
        <is>
          <t>du 12 au 18 octobre 2026</t>
        </is>
      </c>
      <c r="C595" s="58" t="inlineStr">
        <is>
          <t>A</t>
        </is>
      </c>
      <c r="D595" s="60" t="n">
        <v>46313</v>
      </c>
      <c r="E595" s="58" t="inlineStr">
        <is>
          <t>Dimanche</t>
        </is>
      </c>
      <c r="F595" s="61" t="n">
        <v>0.4375</v>
      </c>
      <c r="G595" s="61" t="n">
        <v>0.5</v>
      </c>
      <c r="H595" s="62">
        <f>IF(OR($F595="",$G595=""),"",($G595-$F595)*24)</f>
        <v/>
      </c>
      <c r="I595" s="58" t="inlineStr">
        <is>
          <t>Primaire</t>
        </is>
      </c>
      <c r="J595" s="59" t="inlineStr">
        <is>
          <t>4éme</t>
        </is>
      </c>
      <c r="K595" s="87" t="inlineStr">
        <is>
          <t>Anglais</t>
        </is>
      </c>
      <c r="L595" s="87" t="inlineStr">
        <is>
          <t>Anglais</t>
        </is>
      </c>
      <c r="M595" s="59" t="inlineStr">
        <is>
          <t>Samar</t>
        </is>
      </c>
      <c r="N595" s="58" t="n"/>
      <c r="O595" s="58" t="n"/>
      <c r="P595" s="58" t="inlineStr">
        <is>
          <t>Hebdo · groupes alternés</t>
        </is>
      </c>
      <c r="Q595" s="59" t="inlineStr"/>
      <c r="R595" s="58" t="n">
        <v>1</v>
      </c>
      <c r="S595" s="58" t="inlineStr">
        <is>
          <t>Oui</t>
        </is>
      </c>
      <c r="T595" s="58" t="inlineStr">
        <is>
          <t>S5-071</t>
        </is>
      </c>
      <c r="U595" s="59" t="inlineStr">
        <is>
          <t>Généré (octobre)</t>
        </is>
      </c>
      <c r="V595" s="59" t="inlineStr"/>
      <c r="W595" s="10" t="n"/>
      <c r="X595" s="10" t="inlineStr"/>
      <c r="Y595" s="64">
        <f>IF($M595="","",IF(SUMPRODUCT(($D$4:$D$863=$D595)*($M$4:$M$863=$M595)*($T$4:$T$863&lt;&gt;$T595)*($F$4:$F$863&lt;$G595)*($G$4:$G$863&gt;$F595))&gt;0,"⚠ CONFLIT",""))</f>
        <v/>
      </c>
      <c r="Z595" s="64">
        <f>IF($J595="","",IF(SUMPRODUCT(($D$4:$D$863=$D595)*($J$4:$J$863=$J595)*($T$4:$T$863&lt;&gt;$T595)*($F$4:$F$863&lt;$G595)*($G$4:$G$863&gt;$F595)*(1-($X$4:$X$863="Oui")*($X595="Oui")))&gt;0,"⚠ CONFLIT",""))</f>
        <v/>
      </c>
      <c r="AA595" s="64">
        <f>IF(COUNTIFS($D$4:$D$863,$D595,$J$4:$J$863,$J595,$F$4:$F$863,$F595,$K$4:$K$863,$K595)&gt;1,"⚠ DOUBLON","")</f>
        <v/>
      </c>
      <c r="AB595" s="64">
        <f>IF(COUNTIF($T$4:$T$863,$T595)&lt;&gt;COUNTIFS($T$4:$T$863,$T595,$D$4:$D$863,$D595,$F$4:$F$863,$F595,$G$4:$G$863,$G595,$K$4:$K$863,$K595,$M$4:$M$863,$M595),"⚠ INCOHÉRENT","")</f>
        <v/>
      </c>
      <c r="AC595" s="64">
        <f>COUNTIFS($A$4:$A595,$A595,$J$4:$J595,$J595,$E$4:$E595,$E595)</f>
        <v/>
      </c>
      <c r="AD595" s="65">
        <f>$A595&amp;"|"&amp;$J595&amp;"|"&amp;$E595&amp;"|"&amp;$AC595</f>
        <v/>
      </c>
      <c r="AE595" s="66">
        <f>IF($W595&lt;&gt;"","⚑ "&amp;$W595&amp;CHAR(10),"")&amp;TEXT($F595,"hh:mm")&amp;"-"&amp;TEXT($G595,"hh:mm")&amp;IF(OR($P595="Quinzaine A",AND($P595="Hebdo · groupes alternés",$C595="A"))," Q-A",IF(OR($P595="Quinzaine B",AND($P595="Hebdo · groupes alternés",$C595="B"))," Q-B",IF($P595="Exception"," PONCT.","")))&amp;IF($X595="Oui"," OPT","")&amp;CHAR(10)&amp;$K595&amp;CHAR(10)&amp;$M595&amp;IF($N595&lt;&gt;"",CHAR(10)&amp;"Salle "&amp;$N595,"")&amp;IF($O595="En ligne",CHAR(10)&amp;"EN LIGNE","")&amp;IF($V595&lt;&gt;"",CHAR(10)&amp;$V595,"")</f>
        <v/>
      </c>
      <c r="AF595" s="65" t="inlineStr"/>
      <c r="AG595" s="65" t="inlineStr">
        <is>
          <t>— généré —</t>
        </is>
      </c>
    </row>
    <row r="596" ht="15" customHeight="1">
      <c r="A596" s="58" t="inlineStr">
        <is>
          <t>S5</t>
        </is>
      </c>
      <c r="B596" s="59" t="inlineStr">
        <is>
          <t>du 12 au 18 octobre 2026</t>
        </is>
      </c>
      <c r="C596" s="58" t="inlineStr">
        <is>
          <t>A</t>
        </is>
      </c>
      <c r="D596" s="60" t="n">
        <v>46313</v>
      </c>
      <c r="E596" s="58" t="inlineStr">
        <is>
          <t>Dimanche</t>
        </is>
      </c>
      <c r="F596" s="61" t="n">
        <v>0.5</v>
      </c>
      <c r="G596" s="61" t="n">
        <v>0.5625</v>
      </c>
      <c r="H596" s="62">
        <f>IF(OR($F596="",$G596=""),"",($G596-$F596)*24)</f>
        <v/>
      </c>
      <c r="I596" s="58" t="inlineStr">
        <is>
          <t>Primaire</t>
        </is>
      </c>
      <c r="J596" s="59" t="inlineStr">
        <is>
          <t>6éme Pilote (A)</t>
        </is>
      </c>
      <c r="K596" s="87" t="inlineStr">
        <is>
          <t>Anglais</t>
        </is>
      </c>
      <c r="L596" s="87" t="inlineStr">
        <is>
          <t>Anglais</t>
        </is>
      </c>
      <c r="M596" s="59" t="inlineStr">
        <is>
          <t>Samar</t>
        </is>
      </c>
      <c r="N596" s="58" t="n"/>
      <c r="O596" s="58" t="n"/>
      <c r="P596" s="58" t="inlineStr">
        <is>
          <t>Quinzaine A</t>
        </is>
      </c>
      <c r="Q596" s="59" t="inlineStr">
        <is>
          <t>6éme Pilote (A) + 6éme (B)</t>
        </is>
      </c>
      <c r="R596" s="58" t="n">
        <v>2</v>
      </c>
      <c r="S596" s="58" t="inlineStr">
        <is>
          <t>Oui</t>
        </is>
      </c>
      <c r="T596" s="58" t="inlineStr">
        <is>
          <t>S5-100</t>
        </is>
      </c>
      <c r="U596" s="59" t="inlineStr">
        <is>
          <t>Généré (octobre)</t>
        </is>
      </c>
      <c r="V596" s="59" t="inlineStr"/>
      <c r="W596" s="10" t="n"/>
      <c r="X596" s="10" t="inlineStr"/>
      <c r="Y596" s="64">
        <f>IF($M596="","",IF(SUMPRODUCT(($D$4:$D$863=$D596)*($M$4:$M$863=$M596)*($T$4:$T$863&lt;&gt;$T596)*($F$4:$F$863&lt;$G596)*($G$4:$G$863&gt;$F596))&gt;0,"⚠ CONFLIT",""))</f>
        <v/>
      </c>
      <c r="Z596" s="64">
        <f>IF($J596="","",IF(SUMPRODUCT(($D$4:$D$863=$D596)*($J$4:$J$863=$J596)*($T$4:$T$863&lt;&gt;$T596)*($F$4:$F$863&lt;$G596)*($G$4:$G$863&gt;$F596)*(1-($X$4:$X$863="Oui")*($X596="Oui")))&gt;0,"⚠ CONFLIT",""))</f>
        <v/>
      </c>
      <c r="AA596" s="64">
        <f>IF(COUNTIFS($D$4:$D$863,$D596,$J$4:$J$863,$J596,$F$4:$F$863,$F596,$K$4:$K$863,$K596)&gt;1,"⚠ DOUBLON","")</f>
        <v/>
      </c>
      <c r="AB596" s="64">
        <f>IF(COUNTIF($T$4:$T$863,$T596)&lt;&gt;COUNTIFS($T$4:$T$863,$T596,$D$4:$D$863,$D596,$F$4:$F$863,$F596,$G$4:$G$863,$G596,$K$4:$K$863,$K596,$M$4:$M$863,$M596),"⚠ INCOHÉRENT","")</f>
        <v/>
      </c>
      <c r="AC596" s="64">
        <f>COUNTIFS($A$4:$A596,$A596,$J$4:$J596,$J596,$E$4:$E596,$E596)</f>
        <v/>
      </c>
      <c r="AD596" s="65">
        <f>$A596&amp;"|"&amp;$J596&amp;"|"&amp;$E596&amp;"|"&amp;$AC596</f>
        <v/>
      </c>
      <c r="AE596" s="66">
        <f>IF($W596&lt;&gt;"","⚑ "&amp;$W596&amp;CHAR(10),"")&amp;TEXT($F596,"hh:mm")&amp;"-"&amp;TEXT($G596,"hh:mm")&amp;IF(OR($P596="Quinzaine A",AND($P596="Hebdo · groupes alternés",$C596="A"))," Q-A",IF(OR($P596="Quinzaine B",AND($P596="Hebdo · groupes alternés",$C596="B"))," Q-B",IF($P596="Exception"," PONCT.","")))&amp;IF($X596="Oui"," OPT","")&amp;CHAR(10)&amp;$K596&amp;CHAR(10)&amp;$M596&amp;IF($N596&lt;&gt;"",CHAR(10)&amp;"Salle "&amp;$N596,"")&amp;IF($O596="En ligne",CHAR(10)&amp;"EN LIGNE","")&amp;IF($V596&lt;&gt;"",CHAR(10)&amp;$V596,"")</f>
        <v/>
      </c>
      <c r="AF596" s="65" t="inlineStr"/>
      <c r="AG596" s="65" t="inlineStr">
        <is>
          <t>— généré —</t>
        </is>
      </c>
    </row>
    <row r="597" ht="15" customHeight="1">
      <c r="A597" s="58" t="inlineStr">
        <is>
          <t>S5</t>
        </is>
      </c>
      <c r="B597" s="59" t="inlineStr">
        <is>
          <t>du 12 au 18 octobre 2026</t>
        </is>
      </c>
      <c r="C597" s="58" t="inlineStr">
        <is>
          <t>A</t>
        </is>
      </c>
      <c r="D597" s="60" t="n">
        <v>46313</v>
      </c>
      <c r="E597" s="58" t="inlineStr">
        <is>
          <t>Dimanche</t>
        </is>
      </c>
      <c r="F597" s="61" t="n">
        <v>0.5</v>
      </c>
      <c r="G597" s="61" t="n">
        <v>0.5625</v>
      </c>
      <c r="H597" s="62">
        <f>IF(OR($F597="",$G597=""),"",($G597-$F597)*24)</f>
        <v/>
      </c>
      <c r="I597" s="58" t="inlineStr">
        <is>
          <t>Primaire</t>
        </is>
      </c>
      <c r="J597" s="59" t="inlineStr">
        <is>
          <t>6éme (B)</t>
        </is>
      </c>
      <c r="K597" s="87" t="inlineStr">
        <is>
          <t>Anglais</t>
        </is>
      </c>
      <c r="L597" s="87" t="inlineStr">
        <is>
          <t>Anglais</t>
        </is>
      </c>
      <c r="M597" s="59" t="inlineStr">
        <is>
          <t>Samar</t>
        </is>
      </c>
      <c r="N597" s="58" t="n"/>
      <c r="O597" s="58" t="n"/>
      <c r="P597" s="58" t="inlineStr">
        <is>
          <t>Quinzaine A</t>
        </is>
      </c>
      <c r="Q597" s="59" t="inlineStr">
        <is>
          <t>6éme Pilote (A) + 6éme (B)</t>
        </is>
      </c>
      <c r="R597" s="58" t="n">
        <v>2</v>
      </c>
      <c r="S597" s="58" t="inlineStr"/>
      <c r="T597" s="58" t="inlineStr">
        <is>
          <t>S5-100</t>
        </is>
      </c>
      <c r="U597" s="59" t="inlineStr">
        <is>
          <t>Généré (octobre)</t>
        </is>
      </c>
      <c r="V597" s="59" t="inlineStr"/>
      <c r="W597" s="10" t="n"/>
      <c r="X597" s="10" t="inlineStr"/>
      <c r="Y597" s="64">
        <f>IF($M597="","",IF(SUMPRODUCT(($D$4:$D$863=$D597)*($M$4:$M$863=$M597)*($T$4:$T$863&lt;&gt;$T597)*($F$4:$F$863&lt;$G597)*($G$4:$G$863&gt;$F597))&gt;0,"⚠ CONFLIT",""))</f>
        <v/>
      </c>
      <c r="Z597" s="64">
        <f>IF($J597="","",IF(SUMPRODUCT(($D$4:$D$863=$D597)*($J$4:$J$863=$J597)*($T$4:$T$863&lt;&gt;$T597)*($F$4:$F$863&lt;$G597)*($G$4:$G$863&gt;$F597)*(1-($X$4:$X$863="Oui")*($X597="Oui")))&gt;0,"⚠ CONFLIT",""))</f>
        <v/>
      </c>
      <c r="AA597" s="64">
        <f>IF(COUNTIFS($D$4:$D$863,$D597,$J$4:$J$863,$J597,$F$4:$F$863,$F597,$K$4:$K$863,$K597)&gt;1,"⚠ DOUBLON","")</f>
        <v/>
      </c>
      <c r="AB597" s="64">
        <f>IF(COUNTIF($T$4:$T$863,$T597)&lt;&gt;COUNTIFS($T$4:$T$863,$T597,$D$4:$D$863,$D597,$F$4:$F$863,$F597,$G$4:$G$863,$G597,$K$4:$K$863,$K597,$M$4:$M$863,$M597),"⚠ INCOHÉRENT","")</f>
        <v/>
      </c>
      <c r="AC597" s="64">
        <f>COUNTIFS($A$4:$A597,$A597,$J$4:$J597,$J597,$E$4:$E597,$E597)</f>
        <v/>
      </c>
      <c r="AD597" s="65">
        <f>$A597&amp;"|"&amp;$J597&amp;"|"&amp;$E597&amp;"|"&amp;$AC597</f>
        <v/>
      </c>
      <c r="AE597" s="66">
        <f>IF($W597&lt;&gt;"","⚑ "&amp;$W597&amp;CHAR(10),"")&amp;TEXT($F597,"hh:mm")&amp;"-"&amp;TEXT($G597,"hh:mm")&amp;IF(OR($P597="Quinzaine A",AND($P597="Hebdo · groupes alternés",$C597="A"))," Q-A",IF(OR($P597="Quinzaine B",AND($P597="Hebdo · groupes alternés",$C597="B"))," Q-B",IF($P597="Exception"," PONCT.","")))&amp;IF($X597="Oui"," OPT","")&amp;CHAR(10)&amp;$K597&amp;CHAR(10)&amp;$M597&amp;IF($N597&lt;&gt;"",CHAR(10)&amp;"Salle "&amp;$N597,"")&amp;IF($O597="En ligne",CHAR(10)&amp;"EN LIGNE","")&amp;IF($V597&lt;&gt;"",CHAR(10)&amp;$V597,"")</f>
        <v/>
      </c>
      <c r="AF597" s="65" t="inlineStr"/>
      <c r="AG597" s="65" t="inlineStr">
        <is>
          <t>— généré —</t>
        </is>
      </c>
    </row>
    <row r="598" ht="15" customHeight="1">
      <c r="A598" s="68" t="inlineStr">
        <is>
          <t>S5</t>
        </is>
      </c>
      <c r="B598" s="69" t="inlineStr">
        <is>
          <t>du 12 au 18 octobre 2026</t>
        </is>
      </c>
      <c r="C598" s="68" t="inlineStr">
        <is>
          <t>A</t>
        </is>
      </c>
      <c r="D598" s="70" t="n">
        <v>46313</v>
      </c>
      <c r="E598" s="68" t="inlineStr">
        <is>
          <t>Dimanche</t>
        </is>
      </c>
      <c r="F598" s="71" t="n">
        <v>0.5833333333333334</v>
      </c>
      <c r="G598" s="71" t="n">
        <v>0.6458333333333334</v>
      </c>
      <c r="H598" s="72">
        <f>IF(OR($F598="",$G598=""),"",($G598-$F598)*24)</f>
        <v/>
      </c>
      <c r="I598" s="68" t="inlineStr">
        <is>
          <t>Collège</t>
        </is>
      </c>
      <c r="J598" s="69" t="inlineStr">
        <is>
          <t>7éme (A)</t>
        </is>
      </c>
      <c r="K598" s="67" t="inlineStr">
        <is>
          <t>Français</t>
        </is>
      </c>
      <c r="L598" s="67" t="inlineStr">
        <is>
          <t>Français</t>
        </is>
      </c>
      <c r="M598" s="69" t="inlineStr">
        <is>
          <t>Marwa</t>
        </is>
      </c>
      <c r="N598" s="68" t="n"/>
      <c r="O598" s="68" t="n"/>
      <c r="P598" s="68" t="inlineStr">
        <is>
          <t>Hebdomadaire</t>
        </is>
      </c>
      <c r="Q598" s="69" t="inlineStr"/>
      <c r="R598" s="68" t="n">
        <v>1</v>
      </c>
      <c r="S598" s="68" t="inlineStr">
        <is>
          <t>Oui</t>
        </is>
      </c>
      <c r="T598" s="68" t="inlineStr">
        <is>
          <t>S5-072</t>
        </is>
      </c>
      <c r="U598" s="69" t="inlineStr">
        <is>
          <t>Généré (octobre)</t>
        </is>
      </c>
      <c r="V598" s="69" t="inlineStr"/>
      <c r="W598" s="10" t="n"/>
      <c r="X598" s="10" t="inlineStr"/>
      <c r="Y598" s="64">
        <f>IF($M598="","",IF(SUMPRODUCT(($D$4:$D$863=$D598)*($M$4:$M$863=$M598)*($T$4:$T$863&lt;&gt;$T598)*($F$4:$F$863&lt;$G598)*($G$4:$G$863&gt;$F598))&gt;0,"⚠ CONFLIT",""))</f>
        <v/>
      </c>
      <c r="Z598" s="64">
        <f>IF($J598="","",IF(SUMPRODUCT(($D$4:$D$863=$D598)*($J$4:$J$863=$J598)*($T$4:$T$863&lt;&gt;$T598)*($F$4:$F$863&lt;$G598)*($G$4:$G$863&gt;$F598)*(1-($X$4:$X$863="Oui")*($X598="Oui")))&gt;0,"⚠ CONFLIT",""))</f>
        <v/>
      </c>
      <c r="AA598" s="64">
        <f>IF(COUNTIFS($D$4:$D$863,$D598,$J$4:$J$863,$J598,$F$4:$F$863,$F598,$K$4:$K$863,$K598)&gt;1,"⚠ DOUBLON","")</f>
        <v/>
      </c>
      <c r="AB598" s="64">
        <f>IF(COUNTIF($T$4:$T$863,$T598)&lt;&gt;COUNTIFS($T$4:$T$863,$T598,$D$4:$D$863,$D598,$F$4:$F$863,$F598,$G$4:$G$863,$G598,$K$4:$K$863,$K598,$M$4:$M$863,$M598),"⚠ INCOHÉRENT","")</f>
        <v/>
      </c>
      <c r="AC598" s="64">
        <f>COUNTIFS($A$4:$A598,$A598,$J$4:$J598,$J598,$E$4:$E598,$E598)</f>
        <v/>
      </c>
      <c r="AD598" s="65">
        <f>$A598&amp;"|"&amp;$J598&amp;"|"&amp;$E598&amp;"|"&amp;$AC598</f>
        <v/>
      </c>
      <c r="AE598" s="66">
        <f>IF($W598&lt;&gt;"","⚑ "&amp;$W598&amp;CHAR(10),"")&amp;TEXT($F598,"hh:mm")&amp;"-"&amp;TEXT($G598,"hh:mm")&amp;IF(OR($P598="Quinzaine A",AND($P598="Hebdo · groupes alternés",$C598="A"))," Q-A",IF(OR($P598="Quinzaine B",AND($P598="Hebdo · groupes alternés",$C598="B"))," Q-B",IF($P598="Exception"," PONCT.","")))&amp;IF($X598="Oui"," OPT","")&amp;CHAR(10)&amp;$K598&amp;CHAR(10)&amp;$M598&amp;IF($N598&lt;&gt;"",CHAR(10)&amp;"Salle "&amp;$N598,"")&amp;IF($O598="En ligne",CHAR(10)&amp;"EN LIGNE","")&amp;IF($V598&lt;&gt;"",CHAR(10)&amp;$V598,"")</f>
        <v/>
      </c>
      <c r="AF598" s="65" t="inlineStr"/>
      <c r="AG598" s="65" t="inlineStr">
        <is>
          <t>— généré —</t>
        </is>
      </c>
    </row>
    <row r="599" ht="15" customHeight="1">
      <c r="A599" s="68" t="inlineStr">
        <is>
          <t>S5</t>
        </is>
      </c>
      <c r="B599" s="69" t="inlineStr">
        <is>
          <t>du 12 au 18 octobre 2026</t>
        </is>
      </c>
      <c r="C599" s="68" t="inlineStr">
        <is>
          <t>A</t>
        </is>
      </c>
      <c r="D599" s="70" t="n">
        <v>46313</v>
      </c>
      <c r="E599" s="68" t="inlineStr">
        <is>
          <t>Dimanche</t>
        </is>
      </c>
      <c r="F599" s="71" t="n">
        <v>0.6458333333333334</v>
      </c>
      <c r="G599" s="71" t="n">
        <v>0.7083333333333334</v>
      </c>
      <c r="H599" s="72">
        <f>IF(OR($F599="",$G599=""),"",($G599-$F599)*24)</f>
        <v/>
      </c>
      <c r="I599" s="68" t="inlineStr">
        <is>
          <t>Collège</t>
        </is>
      </c>
      <c r="J599" s="69" t="inlineStr">
        <is>
          <t>7éme (B)</t>
        </is>
      </c>
      <c r="K599" s="67" t="inlineStr">
        <is>
          <t>Français</t>
        </is>
      </c>
      <c r="L599" s="67" t="inlineStr">
        <is>
          <t>Français</t>
        </is>
      </c>
      <c r="M599" s="69" t="inlineStr">
        <is>
          <t>Marwa</t>
        </is>
      </c>
      <c r="N599" s="68" t="n"/>
      <c r="O599" s="68" t="n"/>
      <c r="P599" s="68" t="inlineStr">
        <is>
          <t>Hebdomadaire</t>
        </is>
      </c>
      <c r="Q599" s="69" t="inlineStr"/>
      <c r="R599" s="68" t="n">
        <v>1</v>
      </c>
      <c r="S599" s="68" t="inlineStr">
        <is>
          <t>Oui</t>
        </is>
      </c>
      <c r="T599" s="68" t="inlineStr">
        <is>
          <t>S5-073</t>
        </is>
      </c>
      <c r="U599" s="69" t="inlineStr">
        <is>
          <t>Généré (octobre)</t>
        </is>
      </c>
      <c r="V599" s="69" t="inlineStr"/>
      <c r="W599" s="10" t="n"/>
      <c r="X599" s="10" t="inlineStr"/>
      <c r="Y599" s="64">
        <f>IF($M599="","",IF(SUMPRODUCT(($D$4:$D$863=$D599)*($M$4:$M$863=$M599)*($T$4:$T$863&lt;&gt;$T599)*($F$4:$F$863&lt;$G599)*($G$4:$G$863&gt;$F599))&gt;0,"⚠ CONFLIT",""))</f>
        <v/>
      </c>
      <c r="Z599" s="64">
        <f>IF($J599="","",IF(SUMPRODUCT(($D$4:$D$863=$D599)*($J$4:$J$863=$J599)*($T$4:$T$863&lt;&gt;$T599)*($F$4:$F$863&lt;$G599)*($G$4:$G$863&gt;$F599)*(1-($X$4:$X$863="Oui")*($X599="Oui")))&gt;0,"⚠ CONFLIT",""))</f>
        <v/>
      </c>
      <c r="AA599" s="64">
        <f>IF(COUNTIFS($D$4:$D$863,$D599,$J$4:$J$863,$J599,$F$4:$F$863,$F599,$K$4:$K$863,$K599)&gt;1,"⚠ DOUBLON","")</f>
        <v/>
      </c>
      <c r="AB599" s="64">
        <f>IF(COUNTIF($T$4:$T$863,$T599)&lt;&gt;COUNTIFS($T$4:$T$863,$T599,$D$4:$D$863,$D599,$F$4:$F$863,$F599,$G$4:$G$863,$G599,$K$4:$K$863,$K599,$M$4:$M$863,$M599),"⚠ INCOHÉRENT","")</f>
        <v/>
      </c>
      <c r="AC599" s="64">
        <f>COUNTIFS($A$4:$A599,$A599,$J$4:$J599,$J599,$E$4:$E599,$E599)</f>
        <v/>
      </c>
      <c r="AD599" s="65">
        <f>$A599&amp;"|"&amp;$J599&amp;"|"&amp;$E599&amp;"|"&amp;$AC599</f>
        <v/>
      </c>
      <c r="AE599" s="66">
        <f>IF($W599&lt;&gt;"","⚑ "&amp;$W599&amp;CHAR(10),"")&amp;TEXT($F599,"hh:mm")&amp;"-"&amp;TEXT($G599,"hh:mm")&amp;IF(OR($P599="Quinzaine A",AND($P599="Hebdo · groupes alternés",$C599="A"))," Q-A",IF(OR($P599="Quinzaine B",AND($P599="Hebdo · groupes alternés",$C599="B"))," Q-B",IF($P599="Exception"," PONCT.","")))&amp;IF($X599="Oui"," OPT","")&amp;CHAR(10)&amp;$K599&amp;CHAR(10)&amp;$M599&amp;IF($N599&lt;&gt;"",CHAR(10)&amp;"Salle "&amp;$N599,"")&amp;IF($O599="En ligne",CHAR(10)&amp;"EN LIGNE","")&amp;IF($V599&lt;&gt;"",CHAR(10)&amp;$V599,"")</f>
        <v/>
      </c>
      <c r="AF599" s="65" t="inlineStr"/>
      <c r="AG599" s="65" t="inlineStr">
        <is>
          <t>— généré —</t>
        </is>
      </c>
    </row>
    <row r="600" ht="15" customHeight="1">
      <c r="A600" s="68" t="inlineStr">
        <is>
          <t>S5</t>
        </is>
      </c>
      <c r="B600" s="69" t="inlineStr">
        <is>
          <t>du 12 au 18 octobre 2026</t>
        </is>
      </c>
      <c r="C600" s="68" t="inlineStr">
        <is>
          <t>A</t>
        </is>
      </c>
      <c r="D600" s="70" t="n">
        <v>46313</v>
      </c>
      <c r="E600" s="68" t="inlineStr">
        <is>
          <t>Dimanche</t>
        </is>
      </c>
      <c r="F600" s="71" t="n">
        <v>0.5729166666666666</v>
      </c>
      <c r="G600" s="71" t="n">
        <v>0.6354166666666666</v>
      </c>
      <c r="H600" s="72">
        <f>IF(OR($F600="",$G600=""),"",($G600-$F600)*24)</f>
        <v/>
      </c>
      <c r="I600" s="68" t="inlineStr">
        <is>
          <t>Collège</t>
        </is>
      </c>
      <c r="J600" s="69" t="inlineStr">
        <is>
          <t>8éme (A)</t>
        </is>
      </c>
      <c r="K600" s="79" t="inlineStr">
        <is>
          <t>Math</t>
        </is>
      </c>
      <c r="L600" s="79" t="inlineStr">
        <is>
          <t>Math</t>
        </is>
      </c>
      <c r="M600" s="69" t="inlineStr">
        <is>
          <t>Hajer</t>
        </is>
      </c>
      <c r="N600" s="68" t="n"/>
      <c r="O600" s="68" t="n"/>
      <c r="P600" s="68" t="inlineStr">
        <is>
          <t>Hebdomadaire</t>
        </is>
      </c>
      <c r="Q600" s="69" t="inlineStr"/>
      <c r="R600" s="68" t="n">
        <v>1</v>
      </c>
      <c r="S600" s="68" t="inlineStr">
        <is>
          <t>Oui</t>
        </is>
      </c>
      <c r="T600" s="68" t="inlineStr">
        <is>
          <t>S5-074</t>
        </is>
      </c>
      <c r="U600" s="69" t="inlineStr">
        <is>
          <t>Généré (octobre)</t>
        </is>
      </c>
      <c r="V600" s="69" t="inlineStr"/>
      <c r="W600" s="10" t="n"/>
      <c r="X600" s="10" t="inlineStr"/>
      <c r="Y600" s="64">
        <f>IF($M600="","",IF(SUMPRODUCT(($D$4:$D$863=$D600)*($M$4:$M$863=$M600)*($T$4:$T$863&lt;&gt;$T600)*($F$4:$F$863&lt;$G600)*($G$4:$G$863&gt;$F600))&gt;0,"⚠ CONFLIT",""))</f>
        <v/>
      </c>
      <c r="Z600" s="64">
        <f>IF($J600="","",IF(SUMPRODUCT(($D$4:$D$863=$D600)*($J$4:$J$863=$J600)*($T$4:$T$863&lt;&gt;$T600)*($F$4:$F$863&lt;$G600)*($G$4:$G$863&gt;$F600)*(1-($X$4:$X$863="Oui")*($X600="Oui")))&gt;0,"⚠ CONFLIT",""))</f>
        <v/>
      </c>
      <c r="AA600" s="64">
        <f>IF(COUNTIFS($D$4:$D$863,$D600,$J$4:$J$863,$J600,$F$4:$F$863,$F600,$K$4:$K$863,$K600)&gt;1,"⚠ DOUBLON","")</f>
        <v/>
      </c>
      <c r="AB600" s="64">
        <f>IF(COUNTIF($T$4:$T$863,$T600)&lt;&gt;COUNTIFS($T$4:$T$863,$T600,$D$4:$D$863,$D600,$F$4:$F$863,$F600,$G$4:$G$863,$G600,$K$4:$K$863,$K600,$M$4:$M$863,$M600),"⚠ INCOHÉRENT","")</f>
        <v/>
      </c>
      <c r="AC600" s="64">
        <f>COUNTIFS($A$4:$A600,$A600,$J$4:$J600,$J600,$E$4:$E600,$E600)</f>
        <v/>
      </c>
      <c r="AD600" s="65">
        <f>$A600&amp;"|"&amp;$J600&amp;"|"&amp;$E600&amp;"|"&amp;$AC600</f>
        <v/>
      </c>
      <c r="AE600" s="66">
        <f>IF($W600&lt;&gt;"","⚑ "&amp;$W600&amp;CHAR(10),"")&amp;TEXT($F600,"hh:mm")&amp;"-"&amp;TEXT($G600,"hh:mm")&amp;IF(OR($P600="Quinzaine A",AND($P600="Hebdo · groupes alternés",$C600="A"))," Q-A",IF(OR($P600="Quinzaine B",AND($P600="Hebdo · groupes alternés",$C600="B"))," Q-B",IF($P600="Exception"," PONCT.","")))&amp;IF($X600="Oui"," OPT","")&amp;CHAR(10)&amp;$K600&amp;CHAR(10)&amp;$M600&amp;IF($N600&lt;&gt;"",CHAR(10)&amp;"Salle "&amp;$N600,"")&amp;IF($O600="En ligne",CHAR(10)&amp;"EN LIGNE","")&amp;IF($V600&lt;&gt;"",CHAR(10)&amp;$V600,"")</f>
        <v/>
      </c>
      <c r="AF600" s="65" t="inlineStr"/>
      <c r="AG600" s="65" t="inlineStr">
        <is>
          <t>— généré —</t>
        </is>
      </c>
    </row>
    <row r="601" ht="15" customHeight="1">
      <c r="A601" s="68" t="inlineStr">
        <is>
          <t>S5</t>
        </is>
      </c>
      <c r="B601" s="69" t="inlineStr">
        <is>
          <t>du 12 au 18 octobre 2026</t>
        </is>
      </c>
      <c r="C601" s="68" t="inlineStr">
        <is>
          <t>A</t>
        </is>
      </c>
      <c r="D601" s="70" t="n">
        <v>46313</v>
      </c>
      <c r="E601" s="68" t="inlineStr">
        <is>
          <t>Dimanche</t>
        </is>
      </c>
      <c r="F601" s="71" t="n">
        <v>0.7083333333333334</v>
      </c>
      <c r="G601" s="71" t="n">
        <v>0.7708333333333334</v>
      </c>
      <c r="H601" s="72">
        <f>IF(OR($F601="",$G601=""),"",($G601-$F601)*24)</f>
        <v/>
      </c>
      <c r="I601" s="68" t="inlineStr">
        <is>
          <t>Collège</t>
        </is>
      </c>
      <c r="J601" s="69" t="inlineStr">
        <is>
          <t>8éme (B)</t>
        </is>
      </c>
      <c r="K601" s="67" t="inlineStr">
        <is>
          <t>Français</t>
        </is>
      </c>
      <c r="L601" s="67" t="inlineStr">
        <is>
          <t>Français</t>
        </is>
      </c>
      <c r="M601" s="69" t="inlineStr">
        <is>
          <t>Marwa</t>
        </is>
      </c>
      <c r="N601" s="68" t="n"/>
      <c r="O601" s="68" t="n"/>
      <c r="P601" s="68" t="inlineStr">
        <is>
          <t>Hebdomadaire</t>
        </is>
      </c>
      <c r="Q601" s="69" t="inlineStr"/>
      <c r="R601" s="68" t="n">
        <v>1</v>
      </c>
      <c r="S601" s="68" t="inlineStr">
        <is>
          <t>Oui</t>
        </is>
      </c>
      <c r="T601" s="68" t="inlineStr">
        <is>
          <t>S5-075</t>
        </is>
      </c>
      <c r="U601" s="69" t="inlineStr">
        <is>
          <t>Généré (octobre)</t>
        </is>
      </c>
      <c r="V601" s="69" t="inlineStr"/>
      <c r="W601" s="10" t="n"/>
      <c r="X601" s="10" t="inlineStr"/>
      <c r="Y601" s="64">
        <f>IF($M601="","",IF(SUMPRODUCT(($D$4:$D$863=$D601)*($M$4:$M$863=$M601)*($T$4:$T$863&lt;&gt;$T601)*($F$4:$F$863&lt;$G601)*($G$4:$G$863&gt;$F601))&gt;0,"⚠ CONFLIT",""))</f>
        <v/>
      </c>
      <c r="Z601" s="64">
        <f>IF($J601="","",IF(SUMPRODUCT(($D$4:$D$863=$D601)*($J$4:$J$863=$J601)*($T$4:$T$863&lt;&gt;$T601)*($F$4:$F$863&lt;$G601)*($G$4:$G$863&gt;$F601)*(1-($X$4:$X$863="Oui")*($X601="Oui")))&gt;0,"⚠ CONFLIT",""))</f>
        <v/>
      </c>
      <c r="AA601" s="64">
        <f>IF(COUNTIFS($D$4:$D$863,$D601,$J$4:$J$863,$J601,$F$4:$F$863,$F601,$K$4:$K$863,$K601)&gt;1,"⚠ DOUBLON","")</f>
        <v/>
      </c>
      <c r="AB601" s="64">
        <f>IF(COUNTIF($T$4:$T$863,$T601)&lt;&gt;COUNTIFS($T$4:$T$863,$T601,$D$4:$D$863,$D601,$F$4:$F$863,$F601,$G$4:$G$863,$G601,$K$4:$K$863,$K601,$M$4:$M$863,$M601),"⚠ INCOHÉRENT","")</f>
        <v/>
      </c>
      <c r="AC601" s="64">
        <f>COUNTIFS($A$4:$A601,$A601,$J$4:$J601,$J601,$E$4:$E601,$E601)</f>
        <v/>
      </c>
      <c r="AD601" s="65">
        <f>$A601&amp;"|"&amp;$J601&amp;"|"&amp;$E601&amp;"|"&amp;$AC601</f>
        <v/>
      </c>
      <c r="AE601" s="66">
        <f>IF($W601&lt;&gt;"","⚑ "&amp;$W601&amp;CHAR(10),"")&amp;TEXT($F601,"hh:mm")&amp;"-"&amp;TEXT($G601,"hh:mm")&amp;IF(OR($P601="Quinzaine A",AND($P601="Hebdo · groupes alternés",$C601="A"))," Q-A",IF(OR($P601="Quinzaine B",AND($P601="Hebdo · groupes alternés",$C601="B"))," Q-B",IF($P601="Exception"," PONCT.","")))&amp;IF($X601="Oui"," OPT","")&amp;CHAR(10)&amp;$K601&amp;CHAR(10)&amp;$M601&amp;IF($N601&lt;&gt;"",CHAR(10)&amp;"Salle "&amp;$N601,"")&amp;IF($O601="En ligne",CHAR(10)&amp;"EN LIGNE","")&amp;IF($V601&lt;&gt;"",CHAR(10)&amp;$V601,"")</f>
        <v/>
      </c>
      <c r="AF601" s="65" t="inlineStr"/>
      <c r="AG601" s="65" t="inlineStr">
        <is>
          <t>— généré —</t>
        </is>
      </c>
    </row>
    <row r="602" ht="15" customHeight="1">
      <c r="A602" s="68" t="inlineStr">
        <is>
          <t>S5</t>
        </is>
      </c>
      <c r="B602" s="69" t="inlineStr">
        <is>
          <t>du 12 au 18 octobre 2026</t>
        </is>
      </c>
      <c r="C602" s="68" t="inlineStr">
        <is>
          <t>A</t>
        </is>
      </c>
      <c r="D602" s="70" t="n">
        <v>46313</v>
      </c>
      <c r="E602" s="68" t="inlineStr">
        <is>
          <t>Dimanche</t>
        </is>
      </c>
      <c r="F602" s="71" t="n">
        <v>0.4375</v>
      </c>
      <c r="G602" s="71" t="n">
        <v>0.5</v>
      </c>
      <c r="H602" s="72">
        <f>IF(OR($F602="",$G602=""),"",($G602-$F602)*24)</f>
        <v/>
      </c>
      <c r="I602" s="68" t="inlineStr">
        <is>
          <t>Collège</t>
        </is>
      </c>
      <c r="J602" s="69" t="inlineStr">
        <is>
          <t>9éme (A)</t>
        </is>
      </c>
      <c r="K602" s="87" t="inlineStr">
        <is>
          <t>Anglais</t>
        </is>
      </c>
      <c r="L602" s="87" t="inlineStr">
        <is>
          <t>Anglais</t>
        </is>
      </c>
      <c r="M602" s="69" t="inlineStr">
        <is>
          <t>Bassma</t>
        </is>
      </c>
      <c r="N602" s="68" t="n"/>
      <c r="O602" s="68" t="n"/>
      <c r="P602" s="68" t="inlineStr">
        <is>
          <t>Hebdomadaire</t>
        </is>
      </c>
      <c r="Q602" s="69" t="inlineStr"/>
      <c r="R602" s="68" t="n">
        <v>1</v>
      </c>
      <c r="S602" s="68" t="inlineStr">
        <is>
          <t>Oui</t>
        </is>
      </c>
      <c r="T602" s="68" t="inlineStr">
        <is>
          <t>S5-076</t>
        </is>
      </c>
      <c r="U602" s="69" t="inlineStr">
        <is>
          <t>Généré (octobre)</t>
        </is>
      </c>
      <c r="V602" s="69" t="inlineStr"/>
      <c r="W602" s="10" t="n"/>
      <c r="X602" s="10" t="inlineStr"/>
      <c r="Y602" s="64">
        <f>IF($M602="","",IF(SUMPRODUCT(($D$4:$D$863=$D602)*($M$4:$M$863=$M602)*($T$4:$T$863&lt;&gt;$T602)*($F$4:$F$863&lt;$G602)*($G$4:$G$863&gt;$F602))&gt;0,"⚠ CONFLIT",""))</f>
        <v/>
      </c>
      <c r="Z602" s="64">
        <f>IF($J602="","",IF(SUMPRODUCT(($D$4:$D$863=$D602)*($J$4:$J$863=$J602)*($T$4:$T$863&lt;&gt;$T602)*($F$4:$F$863&lt;$G602)*($G$4:$G$863&gt;$F602)*(1-($X$4:$X$863="Oui")*($X602="Oui")))&gt;0,"⚠ CONFLIT",""))</f>
        <v/>
      </c>
      <c r="AA602" s="64">
        <f>IF(COUNTIFS($D$4:$D$863,$D602,$J$4:$J$863,$J602,$F$4:$F$863,$F602,$K$4:$K$863,$K602)&gt;1,"⚠ DOUBLON","")</f>
        <v/>
      </c>
      <c r="AB602" s="64">
        <f>IF(COUNTIF($T$4:$T$863,$T602)&lt;&gt;COUNTIFS($T$4:$T$863,$T602,$D$4:$D$863,$D602,$F$4:$F$863,$F602,$G$4:$G$863,$G602,$K$4:$K$863,$K602,$M$4:$M$863,$M602),"⚠ INCOHÉRENT","")</f>
        <v/>
      </c>
      <c r="AC602" s="64">
        <f>COUNTIFS($A$4:$A602,$A602,$J$4:$J602,$J602,$E$4:$E602,$E602)</f>
        <v/>
      </c>
      <c r="AD602" s="65">
        <f>$A602&amp;"|"&amp;$J602&amp;"|"&amp;$E602&amp;"|"&amp;$AC602</f>
        <v/>
      </c>
      <c r="AE602" s="66">
        <f>IF($W602&lt;&gt;"","⚑ "&amp;$W602&amp;CHAR(10),"")&amp;TEXT($F602,"hh:mm")&amp;"-"&amp;TEXT($G602,"hh:mm")&amp;IF(OR($P602="Quinzaine A",AND($P602="Hebdo · groupes alternés",$C602="A"))," Q-A",IF(OR($P602="Quinzaine B",AND($P602="Hebdo · groupes alternés",$C602="B"))," Q-B",IF($P602="Exception"," PONCT.","")))&amp;IF($X602="Oui"," OPT","")&amp;CHAR(10)&amp;$K602&amp;CHAR(10)&amp;$M602&amp;IF($N602&lt;&gt;"",CHAR(10)&amp;"Salle "&amp;$N602,"")&amp;IF($O602="En ligne",CHAR(10)&amp;"EN LIGNE","")&amp;IF($V602&lt;&gt;"",CHAR(10)&amp;$V602,"")</f>
        <v/>
      </c>
      <c r="AF602" s="65" t="inlineStr"/>
      <c r="AG602" s="65" t="inlineStr">
        <is>
          <t>— généré —</t>
        </is>
      </c>
    </row>
    <row r="603" ht="15" customHeight="1">
      <c r="A603" s="68" t="inlineStr">
        <is>
          <t>S5</t>
        </is>
      </c>
      <c r="B603" s="69" t="inlineStr">
        <is>
          <t>du 12 au 18 octobre 2026</t>
        </is>
      </c>
      <c r="C603" s="68" t="inlineStr">
        <is>
          <t>A</t>
        </is>
      </c>
      <c r="D603" s="70" t="n">
        <v>46313</v>
      </c>
      <c r="E603" s="68" t="inlineStr">
        <is>
          <t>Dimanche</t>
        </is>
      </c>
      <c r="F603" s="71" t="n">
        <v>0.6458333333333334</v>
      </c>
      <c r="G603" s="71" t="n">
        <v>0.7083333333333334</v>
      </c>
      <c r="H603" s="72">
        <f>IF(OR($F603="",$G603=""),"",($G603-$F603)*24)</f>
        <v/>
      </c>
      <c r="I603" s="68" t="inlineStr">
        <is>
          <t>Collège</t>
        </is>
      </c>
      <c r="J603" s="69" t="inlineStr">
        <is>
          <t>9éme (A)</t>
        </is>
      </c>
      <c r="K603" s="67" t="inlineStr">
        <is>
          <t>Français</t>
        </is>
      </c>
      <c r="L603" s="67" t="inlineStr">
        <is>
          <t>Français</t>
        </is>
      </c>
      <c r="M603" s="69" t="inlineStr">
        <is>
          <t>Nassima</t>
        </is>
      </c>
      <c r="N603" s="68" t="n"/>
      <c r="O603" s="68" t="n"/>
      <c r="P603" s="68" t="inlineStr">
        <is>
          <t>Hebdomadaire</t>
        </is>
      </c>
      <c r="Q603" s="69" t="inlineStr"/>
      <c r="R603" s="68" t="n">
        <v>1</v>
      </c>
      <c r="S603" s="68" t="inlineStr">
        <is>
          <t>Oui</t>
        </is>
      </c>
      <c r="T603" s="68" t="inlineStr">
        <is>
          <t>S5-077</t>
        </is>
      </c>
      <c r="U603" s="69" t="inlineStr">
        <is>
          <t>Généré (octobre)</t>
        </is>
      </c>
      <c r="V603" s="69" t="inlineStr"/>
      <c r="W603" s="10" t="n"/>
      <c r="X603" s="10" t="inlineStr"/>
      <c r="Y603" s="64">
        <f>IF($M603="","",IF(SUMPRODUCT(($D$4:$D$863=$D603)*($M$4:$M$863=$M603)*($T$4:$T$863&lt;&gt;$T603)*($F$4:$F$863&lt;$G603)*($G$4:$G$863&gt;$F603))&gt;0,"⚠ CONFLIT",""))</f>
        <v/>
      </c>
      <c r="Z603" s="64">
        <f>IF($J603="","",IF(SUMPRODUCT(($D$4:$D$863=$D603)*($J$4:$J$863=$J603)*($T$4:$T$863&lt;&gt;$T603)*($F$4:$F$863&lt;$G603)*($G$4:$G$863&gt;$F603)*(1-($X$4:$X$863="Oui")*($X603="Oui")))&gt;0,"⚠ CONFLIT",""))</f>
        <v/>
      </c>
      <c r="AA603" s="64">
        <f>IF(COUNTIFS($D$4:$D$863,$D603,$J$4:$J$863,$J603,$F$4:$F$863,$F603,$K$4:$K$863,$K603)&gt;1,"⚠ DOUBLON","")</f>
        <v/>
      </c>
      <c r="AB603" s="64">
        <f>IF(COUNTIF($T$4:$T$863,$T603)&lt;&gt;COUNTIFS($T$4:$T$863,$T603,$D$4:$D$863,$D603,$F$4:$F$863,$F603,$G$4:$G$863,$G603,$K$4:$K$863,$K603,$M$4:$M$863,$M603),"⚠ INCOHÉRENT","")</f>
        <v/>
      </c>
      <c r="AC603" s="64">
        <f>COUNTIFS($A$4:$A603,$A603,$J$4:$J603,$J603,$E$4:$E603,$E603)</f>
        <v/>
      </c>
      <c r="AD603" s="65">
        <f>$A603&amp;"|"&amp;$J603&amp;"|"&amp;$E603&amp;"|"&amp;$AC603</f>
        <v/>
      </c>
      <c r="AE603" s="66">
        <f>IF($W603&lt;&gt;"","⚑ "&amp;$W603&amp;CHAR(10),"")&amp;TEXT($F603,"hh:mm")&amp;"-"&amp;TEXT($G603,"hh:mm")&amp;IF(OR($P603="Quinzaine A",AND($P603="Hebdo · groupes alternés",$C603="A"))," Q-A",IF(OR($P603="Quinzaine B",AND($P603="Hebdo · groupes alternés",$C603="B"))," Q-B",IF($P603="Exception"," PONCT.","")))&amp;IF($X603="Oui"," OPT","")&amp;CHAR(10)&amp;$K603&amp;CHAR(10)&amp;$M603&amp;IF($N603&lt;&gt;"",CHAR(10)&amp;"Salle "&amp;$N603,"")&amp;IF($O603="En ligne",CHAR(10)&amp;"EN LIGNE","")&amp;IF($V603&lt;&gt;"",CHAR(10)&amp;$V603,"")</f>
        <v/>
      </c>
      <c r="AF603" s="65" t="inlineStr"/>
      <c r="AG603" s="65" t="inlineStr">
        <is>
          <t>— généré —</t>
        </is>
      </c>
    </row>
    <row r="604" ht="15" customHeight="1">
      <c r="A604" s="68" t="inlineStr">
        <is>
          <t>S5</t>
        </is>
      </c>
      <c r="B604" s="69" t="inlineStr">
        <is>
          <t>du 12 au 18 octobre 2026</t>
        </is>
      </c>
      <c r="C604" s="68" t="inlineStr">
        <is>
          <t>A</t>
        </is>
      </c>
      <c r="D604" s="70" t="n">
        <v>46313</v>
      </c>
      <c r="E604" s="68" t="inlineStr">
        <is>
          <t>Dimanche</t>
        </is>
      </c>
      <c r="F604" s="71" t="n">
        <v>0.375</v>
      </c>
      <c r="G604" s="71" t="n">
        <v>0.4375</v>
      </c>
      <c r="H604" s="72">
        <f>IF(OR($F604="",$G604=""),"",($G604-$F604)*24)</f>
        <v/>
      </c>
      <c r="I604" s="68" t="inlineStr">
        <is>
          <t>Collège</t>
        </is>
      </c>
      <c r="J604" s="69" t="inlineStr">
        <is>
          <t>9éme (B)</t>
        </is>
      </c>
      <c r="K604" s="87" t="inlineStr">
        <is>
          <t>Anglais</t>
        </is>
      </c>
      <c r="L604" s="87" t="inlineStr">
        <is>
          <t>Anglais</t>
        </is>
      </c>
      <c r="M604" s="69" t="inlineStr">
        <is>
          <t>Bassma</t>
        </is>
      </c>
      <c r="N604" s="68" t="n"/>
      <c r="O604" s="68" t="n"/>
      <c r="P604" s="68" t="inlineStr">
        <is>
          <t>Hebdomadaire</t>
        </is>
      </c>
      <c r="Q604" s="69" t="inlineStr"/>
      <c r="R604" s="68" t="n">
        <v>1</v>
      </c>
      <c r="S604" s="68" t="inlineStr">
        <is>
          <t>Oui</t>
        </is>
      </c>
      <c r="T604" s="68" t="inlineStr">
        <is>
          <t>S5-078</t>
        </is>
      </c>
      <c r="U604" s="69" t="inlineStr">
        <is>
          <t>Généré (octobre)</t>
        </is>
      </c>
      <c r="V604" s="69" t="inlineStr"/>
      <c r="W604" s="10" t="n"/>
      <c r="X604" s="10" t="inlineStr"/>
      <c r="Y604" s="64">
        <f>IF($M604="","",IF(SUMPRODUCT(($D$4:$D$863=$D604)*($M$4:$M$863=$M604)*($T$4:$T$863&lt;&gt;$T604)*($F$4:$F$863&lt;$G604)*($G$4:$G$863&gt;$F604))&gt;0,"⚠ CONFLIT",""))</f>
        <v/>
      </c>
      <c r="Z604" s="64">
        <f>IF($J604="","",IF(SUMPRODUCT(($D$4:$D$863=$D604)*($J$4:$J$863=$J604)*($T$4:$T$863&lt;&gt;$T604)*($F$4:$F$863&lt;$G604)*($G$4:$G$863&gt;$F604)*(1-($X$4:$X$863="Oui")*($X604="Oui")))&gt;0,"⚠ CONFLIT",""))</f>
        <v/>
      </c>
      <c r="AA604" s="64">
        <f>IF(COUNTIFS($D$4:$D$863,$D604,$J$4:$J$863,$J604,$F$4:$F$863,$F604,$K$4:$K$863,$K604)&gt;1,"⚠ DOUBLON","")</f>
        <v/>
      </c>
      <c r="AB604" s="64">
        <f>IF(COUNTIF($T$4:$T$863,$T604)&lt;&gt;COUNTIFS($T$4:$T$863,$T604,$D$4:$D$863,$D604,$F$4:$F$863,$F604,$G$4:$G$863,$G604,$K$4:$K$863,$K604,$M$4:$M$863,$M604),"⚠ INCOHÉRENT","")</f>
        <v/>
      </c>
      <c r="AC604" s="64">
        <f>COUNTIFS($A$4:$A604,$A604,$J$4:$J604,$J604,$E$4:$E604,$E604)</f>
        <v/>
      </c>
      <c r="AD604" s="65">
        <f>$A604&amp;"|"&amp;$J604&amp;"|"&amp;$E604&amp;"|"&amp;$AC604</f>
        <v/>
      </c>
      <c r="AE604" s="66">
        <f>IF($W604&lt;&gt;"","⚑ "&amp;$W604&amp;CHAR(10),"")&amp;TEXT($F604,"hh:mm")&amp;"-"&amp;TEXT($G604,"hh:mm")&amp;IF(OR($P604="Quinzaine A",AND($P604="Hebdo · groupes alternés",$C604="A"))," Q-A",IF(OR($P604="Quinzaine B",AND($P604="Hebdo · groupes alternés",$C604="B"))," Q-B",IF($P604="Exception"," PONCT.","")))&amp;IF($X604="Oui"," OPT","")&amp;CHAR(10)&amp;$K604&amp;CHAR(10)&amp;$M604&amp;IF($N604&lt;&gt;"",CHAR(10)&amp;"Salle "&amp;$N604,"")&amp;IF($O604="En ligne",CHAR(10)&amp;"EN LIGNE","")&amp;IF($V604&lt;&gt;"",CHAR(10)&amp;$V604,"")</f>
        <v/>
      </c>
      <c r="AF604" s="65" t="inlineStr"/>
      <c r="AG604" s="65" t="inlineStr">
        <is>
          <t>— généré —</t>
        </is>
      </c>
    </row>
    <row r="605" ht="15" customHeight="1">
      <c r="A605" s="68" t="inlineStr">
        <is>
          <t>S5</t>
        </is>
      </c>
      <c r="B605" s="69" t="inlineStr">
        <is>
          <t>du 12 au 18 octobre 2026</t>
        </is>
      </c>
      <c r="C605" s="68" t="inlineStr">
        <is>
          <t>A</t>
        </is>
      </c>
      <c r="D605" s="70" t="n">
        <v>46313</v>
      </c>
      <c r="E605" s="68" t="inlineStr">
        <is>
          <t>Dimanche</t>
        </is>
      </c>
      <c r="F605" s="71" t="n">
        <v>0.7083333333333334</v>
      </c>
      <c r="G605" s="71" t="n">
        <v>0.7708333333333334</v>
      </c>
      <c r="H605" s="72">
        <f>IF(OR($F605="",$G605=""),"",($G605-$F605)*24)</f>
        <v/>
      </c>
      <c r="I605" s="68" t="inlineStr">
        <is>
          <t>Collège</t>
        </is>
      </c>
      <c r="J605" s="69" t="inlineStr">
        <is>
          <t>9éme (B)</t>
        </is>
      </c>
      <c r="K605" s="67" t="inlineStr">
        <is>
          <t>Français</t>
        </is>
      </c>
      <c r="L605" s="67" t="inlineStr">
        <is>
          <t>Français</t>
        </is>
      </c>
      <c r="M605" s="69" t="inlineStr">
        <is>
          <t>Nassima</t>
        </is>
      </c>
      <c r="N605" s="68" t="n"/>
      <c r="O605" s="68" t="n"/>
      <c r="P605" s="68" t="inlineStr">
        <is>
          <t>Hebdomadaire</t>
        </is>
      </c>
      <c r="Q605" s="69" t="inlineStr">
        <is>
          <t>9éme (B) + 9éme (C)</t>
        </is>
      </c>
      <c r="R605" s="68" t="n">
        <v>2</v>
      </c>
      <c r="S605" s="68" t="inlineStr">
        <is>
          <t>Oui</t>
        </is>
      </c>
      <c r="T605" s="68" t="inlineStr">
        <is>
          <t>S5-079</t>
        </is>
      </c>
      <c r="U605" s="69" t="inlineStr">
        <is>
          <t>Généré (octobre)</t>
        </is>
      </c>
      <c r="V605" s="69" t="inlineStr"/>
      <c r="W605" s="10" t="n"/>
      <c r="X605" s="10" t="inlineStr"/>
      <c r="Y605" s="64">
        <f>IF($M605="","",IF(SUMPRODUCT(($D$4:$D$863=$D605)*($M$4:$M$863=$M605)*($T$4:$T$863&lt;&gt;$T605)*($F$4:$F$863&lt;$G605)*($G$4:$G$863&gt;$F605))&gt;0,"⚠ CONFLIT",""))</f>
        <v/>
      </c>
      <c r="Z605" s="64">
        <f>IF($J605="","",IF(SUMPRODUCT(($D$4:$D$863=$D605)*($J$4:$J$863=$J605)*($T$4:$T$863&lt;&gt;$T605)*($F$4:$F$863&lt;$G605)*($G$4:$G$863&gt;$F605)*(1-($X$4:$X$863="Oui")*($X605="Oui")))&gt;0,"⚠ CONFLIT",""))</f>
        <v/>
      </c>
      <c r="AA605" s="64">
        <f>IF(COUNTIFS($D$4:$D$863,$D605,$J$4:$J$863,$J605,$F$4:$F$863,$F605,$K$4:$K$863,$K605)&gt;1,"⚠ DOUBLON","")</f>
        <v/>
      </c>
      <c r="AB605" s="64">
        <f>IF(COUNTIF($T$4:$T$863,$T605)&lt;&gt;COUNTIFS($T$4:$T$863,$T605,$D$4:$D$863,$D605,$F$4:$F$863,$F605,$G$4:$G$863,$G605,$K$4:$K$863,$K605,$M$4:$M$863,$M605),"⚠ INCOHÉRENT","")</f>
        <v/>
      </c>
      <c r="AC605" s="64">
        <f>COUNTIFS($A$4:$A605,$A605,$J$4:$J605,$J605,$E$4:$E605,$E605)</f>
        <v/>
      </c>
      <c r="AD605" s="65">
        <f>$A605&amp;"|"&amp;$J605&amp;"|"&amp;$E605&amp;"|"&amp;$AC605</f>
        <v/>
      </c>
      <c r="AE605" s="66">
        <f>IF($W605&lt;&gt;"","⚑ "&amp;$W605&amp;CHAR(10),"")&amp;TEXT($F605,"hh:mm")&amp;"-"&amp;TEXT($G605,"hh:mm")&amp;IF(OR($P605="Quinzaine A",AND($P605="Hebdo · groupes alternés",$C605="A"))," Q-A",IF(OR($P605="Quinzaine B",AND($P605="Hebdo · groupes alternés",$C605="B"))," Q-B",IF($P605="Exception"," PONCT.","")))&amp;IF($X605="Oui"," OPT","")&amp;CHAR(10)&amp;$K605&amp;CHAR(10)&amp;$M605&amp;IF($N605&lt;&gt;"",CHAR(10)&amp;"Salle "&amp;$N605,"")&amp;IF($O605="En ligne",CHAR(10)&amp;"EN LIGNE","")&amp;IF($V605&lt;&gt;"",CHAR(10)&amp;$V605,"")</f>
        <v/>
      </c>
      <c r="AF605" s="65" t="inlineStr"/>
      <c r="AG605" s="65" t="inlineStr">
        <is>
          <t>— généré —</t>
        </is>
      </c>
    </row>
    <row r="606" ht="15" customHeight="1">
      <c r="A606" s="68" t="inlineStr">
        <is>
          <t>S5</t>
        </is>
      </c>
      <c r="B606" s="69" t="inlineStr">
        <is>
          <t>du 12 au 18 octobre 2026</t>
        </is>
      </c>
      <c r="C606" s="68" t="inlineStr">
        <is>
          <t>A</t>
        </is>
      </c>
      <c r="D606" s="70" t="n">
        <v>46313</v>
      </c>
      <c r="E606" s="68" t="inlineStr">
        <is>
          <t>Dimanche</t>
        </is>
      </c>
      <c r="F606" s="71" t="n">
        <v>0.7083333333333334</v>
      </c>
      <c r="G606" s="71" t="n">
        <v>0.7708333333333334</v>
      </c>
      <c r="H606" s="72">
        <f>IF(OR($F606="",$G606=""),"",($G606-$F606)*24)</f>
        <v/>
      </c>
      <c r="I606" s="68" t="inlineStr">
        <is>
          <t>Collège</t>
        </is>
      </c>
      <c r="J606" s="69" t="inlineStr">
        <is>
          <t>9éme (C)</t>
        </is>
      </c>
      <c r="K606" s="67" t="inlineStr">
        <is>
          <t>Français</t>
        </is>
      </c>
      <c r="L606" s="67" t="inlineStr">
        <is>
          <t>Français</t>
        </is>
      </c>
      <c r="M606" s="69" t="inlineStr">
        <is>
          <t>Nassima</t>
        </is>
      </c>
      <c r="N606" s="68" t="n"/>
      <c r="O606" s="68" t="n"/>
      <c r="P606" s="68" t="inlineStr">
        <is>
          <t>Hebdomadaire</t>
        </is>
      </c>
      <c r="Q606" s="69" t="inlineStr">
        <is>
          <t>9éme (B) + 9éme (C)</t>
        </is>
      </c>
      <c r="R606" s="68" t="n">
        <v>2</v>
      </c>
      <c r="S606" s="68" t="inlineStr"/>
      <c r="T606" s="68" t="inlineStr">
        <is>
          <t>S5-079</t>
        </is>
      </c>
      <c r="U606" s="69" t="inlineStr">
        <is>
          <t>Généré (octobre)</t>
        </is>
      </c>
      <c r="V606" s="69" t="inlineStr"/>
      <c r="W606" s="10" t="n"/>
      <c r="X606" s="10" t="inlineStr"/>
      <c r="Y606" s="64">
        <f>IF($M606="","",IF(SUMPRODUCT(($D$4:$D$863=$D606)*($M$4:$M$863=$M606)*($T$4:$T$863&lt;&gt;$T606)*($F$4:$F$863&lt;$G606)*($G$4:$G$863&gt;$F606))&gt;0,"⚠ CONFLIT",""))</f>
        <v/>
      </c>
      <c r="Z606" s="64">
        <f>IF($J606="","",IF(SUMPRODUCT(($D$4:$D$863=$D606)*($J$4:$J$863=$J606)*($T$4:$T$863&lt;&gt;$T606)*($F$4:$F$863&lt;$G606)*($G$4:$G$863&gt;$F606)*(1-($X$4:$X$863="Oui")*($X606="Oui")))&gt;0,"⚠ CONFLIT",""))</f>
        <v/>
      </c>
      <c r="AA606" s="64">
        <f>IF(COUNTIFS($D$4:$D$863,$D606,$J$4:$J$863,$J606,$F$4:$F$863,$F606,$K$4:$K$863,$K606)&gt;1,"⚠ DOUBLON","")</f>
        <v/>
      </c>
      <c r="AB606" s="64">
        <f>IF(COUNTIF($T$4:$T$863,$T606)&lt;&gt;COUNTIFS($T$4:$T$863,$T606,$D$4:$D$863,$D606,$F$4:$F$863,$F606,$G$4:$G$863,$G606,$K$4:$K$863,$K606,$M$4:$M$863,$M606),"⚠ INCOHÉRENT","")</f>
        <v/>
      </c>
      <c r="AC606" s="64">
        <f>COUNTIFS($A$4:$A606,$A606,$J$4:$J606,$J606,$E$4:$E606,$E606)</f>
        <v/>
      </c>
      <c r="AD606" s="65">
        <f>$A606&amp;"|"&amp;$J606&amp;"|"&amp;$E606&amp;"|"&amp;$AC606</f>
        <v/>
      </c>
      <c r="AE606" s="66">
        <f>IF($W606&lt;&gt;"","⚑ "&amp;$W606&amp;CHAR(10),"")&amp;TEXT($F606,"hh:mm")&amp;"-"&amp;TEXT($G606,"hh:mm")&amp;IF(OR($P606="Quinzaine A",AND($P606="Hebdo · groupes alternés",$C606="A"))," Q-A",IF(OR($P606="Quinzaine B",AND($P606="Hebdo · groupes alternés",$C606="B"))," Q-B",IF($P606="Exception"," PONCT.","")))&amp;IF($X606="Oui"," OPT","")&amp;CHAR(10)&amp;$K606&amp;CHAR(10)&amp;$M606&amp;IF($N606&lt;&gt;"",CHAR(10)&amp;"Salle "&amp;$N606,"")&amp;IF($O606="En ligne",CHAR(10)&amp;"EN LIGNE","")&amp;IF($V606&lt;&gt;"",CHAR(10)&amp;$V606,"")</f>
        <v/>
      </c>
      <c r="AF606" s="65" t="inlineStr"/>
      <c r="AG606" s="65" t="inlineStr">
        <is>
          <t>— généré —</t>
        </is>
      </c>
    </row>
    <row r="607" ht="15" customHeight="1">
      <c r="A607" s="74" t="inlineStr">
        <is>
          <t>S5</t>
        </is>
      </c>
      <c r="B607" s="75" t="inlineStr">
        <is>
          <t>du 12 au 18 octobre 2026</t>
        </is>
      </c>
      <c r="C607" s="74" t="inlineStr">
        <is>
          <t>A</t>
        </is>
      </c>
      <c r="D607" s="76" t="n">
        <v>46313</v>
      </c>
      <c r="E607" s="74" t="inlineStr">
        <is>
          <t>Dimanche</t>
        </is>
      </c>
      <c r="F607" s="77" t="n">
        <v>0.375</v>
      </c>
      <c r="G607" s="77" t="n">
        <v>0.4375</v>
      </c>
      <c r="H607" s="78">
        <f>IF(OR($F607="",$G607=""),"",($G607-$F607)*24)</f>
        <v/>
      </c>
      <c r="I607" s="74" t="inlineStr">
        <is>
          <t>Secondaire</t>
        </is>
      </c>
      <c r="J607" s="75" t="inlineStr">
        <is>
          <t>1ére (A)</t>
        </is>
      </c>
      <c r="K607" s="73" t="inlineStr">
        <is>
          <t>Physique</t>
        </is>
      </c>
      <c r="L607" s="73" t="inlineStr">
        <is>
          <t>Physique</t>
        </is>
      </c>
      <c r="M607" s="75" t="inlineStr">
        <is>
          <t>Refka</t>
        </is>
      </c>
      <c r="N607" s="74" t="n"/>
      <c r="O607" s="74" t="n"/>
      <c r="P607" s="74" t="inlineStr">
        <is>
          <t>Hebdomadaire</t>
        </is>
      </c>
      <c r="Q607" s="75" t="inlineStr"/>
      <c r="R607" s="74" t="n">
        <v>1</v>
      </c>
      <c r="S607" s="74" t="inlineStr">
        <is>
          <t>Oui</t>
        </is>
      </c>
      <c r="T607" s="74" t="inlineStr">
        <is>
          <t>S5-080</t>
        </is>
      </c>
      <c r="U607" s="75" t="inlineStr">
        <is>
          <t>Généré (octobre)</t>
        </is>
      </c>
      <c r="V607" s="75" t="inlineStr"/>
      <c r="W607" s="10" t="n"/>
      <c r="X607" s="10" t="inlineStr"/>
      <c r="Y607" s="64">
        <f>IF($M607="","",IF(SUMPRODUCT(($D$4:$D$863=$D607)*($M$4:$M$863=$M607)*($T$4:$T$863&lt;&gt;$T607)*($F$4:$F$863&lt;$G607)*($G$4:$G$863&gt;$F607))&gt;0,"⚠ CONFLIT",""))</f>
        <v/>
      </c>
      <c r="Z607" s="64">
        <f>IF($J607="","",IF(SUMPRODUCT(($D$4:$D$863=$D607)*($J$4:$J$863=$J607)*($T$4:$T$863&lt;&gt;$T607)*($F$4:$F$863&lt;$G607)*($G$4:$G$863&gt;$F607)*(1-($X$4:$X$863="Oui")*($X607="Oui")))&gt;0,"⚠ CONFLIT",""))</f>
        <v/>
      </c>
      <c r="AA607" s="64">
        <f>IF(COUNTIFS($D$4:$D$863,$D607,$J$4:$J$863,$J607,$F$4:$F$863,$F607,$K$4:$K$863,$K607)&gt;1,"⚠ DOUBLON","")</f>
        <v/>
      </c>
      <c r="AB607" s="64">
        <f>IF(COUNTIF($T$4:$T$863,$T607)&lt;&gt;COUNTIFS($T$4:$T$863,$T607,$D$4:$D$863,$D607,$F$4:$F$863,$F607,$G$4:$G$863,$G607,$K$4:$K$863,$K607,$M$4:$M$863,$M607),"⚠ INCOHÉRENT","")</f>
        <v/>
      </c>
      <c r="AC607" s="64">
        <f>COUNTIFS($A$4:$A607,$A607,$J$4:$J607,$J607,$E$4:$E607,$E607)</f>
        <v/>
      </c>
      <c r="AD607" s="65">
        <f>$A607&amp;"|"&amp;$J607&amp;"|"&amp;$E607&amp;"|"&amp;$AC607</f>
        <v/>
      </c>
      <c r="AE607" s="66">
        <f>IF($W607&lt;&gt;"","⚑ "&amp;$W607&amp;CHAR(10),"")&amp;TEXT($F607,"hh:mm")&amp;"-"&amp;TEXT($G607,"hh:mm")&amp;IF(OR($P607="Quinzaine A",AND($P607="Hebdo · groupes alternés",$C607="A"))," Q-A",IF(OR($P607="Quinzaine B",AND($P607="Hebdo · groupes alternés",$C607="B"))," Q-B",IF($P607="Exception"," PONCT.","")))&amp;IF($X607="Oui"," OPT","")&amp;CHAR(10)&amp;$K607&amp;CHAR(10)&amp;$M607&amp;IF($N607&lt;&gt;"",CHAR(10)&amp;"Salle "&amp;$N607,"")&amp;IF($O607="En ligne",CHAR(10)&amp;"EN LIGNE","")&amp;IF($V607&lt;&gt;"",CHAR(10)&amp;$V607,"")</f>
        <v/>
      </c>
      <c r="AF607" s="65" t="inlineStr"/>
      <c r="AG607" s="65" t="inlineStr">
        <is>
          <t>— généré —</t>
        </is>
      </c>
    </row>
    <row r="608" ht="15" customHeight="1">
      <c r="A608" s="74" t="inlineStr">
        <is>
          <t>S5</t>
        </is>
      </c>
      <c r="B608" s="75" t="inlineStr">
        <is>
          <t>du 12 au 18 octobre 2026</t>
        </is>
      </c>
      <c r="C608" s="74" t="inlineStr">
        <is>
          <t>A</t>
        </is>
      </c>
      <c r="D608" s="76" t="n">
        <v>46313</v>
      </c>
      <c r="E608" s="74" t="inlineStr">
        <is>
          <t>Dimanche</t>
        </is>
      </c>
      <c r="F608" s="77" t="n">
        <v>0.5416666666666666</v>
      </c>
      <c r="G608" s="77" t="n">
        <v>0.6041666666666666</v>
      </c>
      <c r="H608" s="78">
        <f>IF(OR($F608="",$G608=""),"",($G608-$F608)*24)</f>
        <v/>
      </c>
      <c r="I608" s="74" t="inlineStr">
        <is>
          <t>Secondaire</t>
        </is>
      </c>
      <c r="J608" s="75" t="inlineStr">
        <is>
          <t>1ére (A)</t>
        </is>
      </c>
      <c r="K608" s="88" t="inlineStr">
        <is>
          <t>SVT</t>
        </is>
      </c>
      <c r="L608" s="88" t="inlineStr">
        <is>
          <t>SVT</t>
        </is>
      </c>
      <c r="M608" s="75" t="inlineStr">
        <is>
          <t>Imen Ghoumeme</t>
        </is>
      </c>
      <c r="N608" s="74" t="n"/>
      <c r="O608" s="74" t="n"/>
      <c r="P608" s="74" t="inlineStr">
        <is>
          <t>Quinzaine A</t>
        </is>
      </c>
      <c r="Q608" s="75" t="inlineStr"/>
      <c r="R608" s="74" t="n">
        <v>1</v>
      </c>
      <c r="S608" s="74" t="inlineStr">
        <is>
          <t>Oui</t>
        </is>
      </c>
      <c r="T608" s="74" t="inlineStr">
        <is>
          <t>S5-101</t>
        </is>
      </c>
      <c r="U608" s="75" t="inlineStr">
        <is>
          <t>Généré (octobre)</t>
        </is>
      </c>
      <c r="V608" s="75" t="inlineStr"/>
      <c r="W608" s="10" t="n"/>
      <c r="X608" s="10" t="inlineStr"/>
      <c r="Y608" s="64">
        <f>IF($M608="","",IF(SUMPRODUCT(($D$4:$D$863=$D608)*($M$4:$M$863=$M608)*($T$4:$T$863&lt;&gt;$T608)*($F$4:$F$863&lt;$G608)*($G$4:$G$863&gt;$F608))&gt;0,"⚠ CONFLIT",""))</f>
        <v/>
      </c>
      <c r="Z608" s="64">
        <f>IF($J608="","",IF(SUMPRODUCT(($D$4:$D$863=$D608)*($J$4:$J$863=$J608)*($T$4:$T$863&lt;&gt;$T608)*($F$4:$F$863&lt;$G608)*($G$4:$G$863&gt;$F608)*(1-($X$4:$X$863="Oui")*($X608="Oui")))&gt;0,"⚠ CONFLIT",""))</f>
        <v/>
      </c>
      <c r="AA608" s="64">
        <f>IF(COUNTIFS($D$4:$D$863,$D608,$J$4:$J$863,$J608,$F$4:$F$863,$F608,$K$4:$K$863,$K608)&gt;1,"⚠ DOUBLON","")</f>
        <v/>
      </c>
      <c r="AB608" s="64">
        <f>IF(COUNTIF($T$4:$T$863,$T608)&lt;&gt;COUNTIFS($T$4:$T$863,$T608,$D$4:$D$863,$D608,$F$4:$F$863,$F608,$G$4:$G$863,$G608,$K$4:$K$863,$K608,$M$4:$M$863,$M608),"⚠ INCOHÉRENT","")</f>
        <v/>
      </c>
      <c r="AC608" s="64">
        <f>COUNTIFS($A$4:$A608,$A608,$J$4:$J608,$J608,$E$4:$E608,$E608)</f>
        <v/>
      </c>
      <c r="AD608" s="65">
        <f>$A608&amp;"|"&amp;$J608&amp;"|"&amp;$E608&amp;"|"&amp;$AC608</f>
        <v/>
      </c>
      <c r="AE608" s="66">
        <f>IF($W608&lt;&gt;"","⚑ "&amp;$W608&amp;CHAR(10),"")&amp;TEXT($F608,"hh:mm")&amp;"-"&amp;TEXT($G608,"hh:mm")&amp;IF(OR($P608="Quinzaine A",AND($P608="Hebdo · groupes alternés",$C608="A"))," Q-A",IF(OR($P608="Quinzaine B",AND($P608="Hebdo · groupes alternés",$C608="B"))," Q-B",IF($P608="Exception"," PONCT.","")))&amp;IF($X608="Oui"," OPT","")&amp;CHAR(10)&amp;$K608&amp;CHAR(10)&amp;$M608&amp;IF($N608&lt;&gt;"",CHAR(10)&amp;"Salle "&amp;$N608,"")&amp;IF($O608="En ligne",CHAR(10)&amp;"EN LIGNE","")&amp;IF($V608&lt;&gt;"",CHAR(10)&amp;$V608,"")</f>
        <v/>
      </c>
      <c r="AF608" s="65" t="inlineStr"/>
      <c r="AG608" s="65" t="inlineStr">
        <is>
          <t>— généré —</t>
        </is>
      </c>
    </row>
    <row r="609" ht="15" customHeight="1">
      <c r="A609" s="74" t="inlineStr">
        <is>
          <t>S5</t>
        </is>
      </c>
      <c r="B609" s="75" t="inlineStr">
        <is>
          <t>du 12 au 18 octobre 2026</t>
        </is>
      </c>
      <c r="C609" s="74" t="inlineStr">
        <is>
          <t>A</t>
        </is>
      </c>
      <c r="D609" s="76" t="n">
        <v>46313</v>
      </c>
      <c r="E609" s="74" t="inlineStr">
        <is>
          <t>Dimanche</t>
        </is>
      </c>
      <c r="F609" s="77" t="n">
        <v>0.4375</v>
      </c>
      <c r="G609" s="77" t="n">
        <v>0.5</v>
      </c>
      <c r="H609" s="78">
        <f>IF(OR($F609="",$G609=""),"",($G609-$F609)*24)</f>
        <v/>
      </c>
      <c r="I609" s="74" t="inlineStr">
        <is>
          <t>Secondaire</t>
        </is>
      </c>
      <c r="J609" s="75" t="inlineStr">
        <is>
          <t>1ére (B)</t>
        </is>
      </c>
      <c r="K609" s="73" t="inlineStr">
        <is>
          <t>Physique</t>
        </is>
      </c>
      <c r="L609" s="73" t="inlineStr">
        <is>
          <t>Physique</t>
        </is>
      </c>
      <c r="M609" s="75" t="inlineStr">
        <is>
          <t>Refka</t>
        </is>
      </c>
      <c r="N609" s="74" t="n"/>
      <c r="O609" s="74" t="n"/>
      <c r="P609" s="74" t="inlineStr">
        <is>
          <t>Hebdomadaire</t>
        </is>
      </c>
      <c r="Q609" s="75" t="inlineStr"/>
      <c r="R609" s="74" t="n">
        <v>1</v>
      </c>
      <c r="S609" s="74" t="inlineStr">
        <is>
          <t>Oui</t>
        </is>
      </c>
      <c r="T609" s="74" t="inlineStr">
        <is>
          <t>S5-081</t>
        </is>
      </c>
      <c r="U609" s="75" t="inlineStr">
        <is>
          <t>Généré (octobre)</t>
        </is>
      </c>
      <c r="V609" s="75" t="inlineStr"/>
      <c r="W609" s="10" t="n"/>
      <c r="X609" s="10" t="inlineStr"/>
      <c r="Y609" s="64">
        <f>IF($M609="","",IF(SUMPRODUCT(($D$4:$D$863=$D609)*($M$4:$M$863=$M609)*($T$4:$T$863&lt;&gt;$T609)*($F$4:$F$863&lt;$G609)*($G$4:$G$863&gt;$F609))&gt;0,"⚠ CONFLIT",""))</f>
        <v/>
      </c>
      <c r="Z609" s="64">
        <f>IF($J609="","",IF(SUMPRODUCT(($D$4:$D$863=$D609)*($J$4:$J$863=$J609)*($T$4:$T$863&lt;&gt;$T609)*($F$4:$F$863&lt;$G609)*($G$4:$G$863&gt;$F609)*(1-($X$4:$X$863="Oui")*($X609="Oui")))&gt;0,"⚠ CONFLIT",""))</f>
        <v/>
      </c>
      <c r="AA609" s="64">
        <f>IF(COUNTIFS($D$4:$D$863,$D609,$J$4:$J$863,$J609,$F$4:$F$863,$F609,$K$4:$K$863,$K609)&gt;1,"⚠ DOUBLON","")</f>
        <v/>
      </c>
      <c r="AB609" s="64">
        <f>IF(COUNTIF($T$4:$T$863,$T609)&lt;&gt;COUNTIFS($T$4:$T$863,$T609,$D$4:$D$863,$D609,$F$4:$F$863,$F609,$G$4:$G$863,$G609,$K$4:$K$863,$K609,$M$4:$M$863,$M609),"⚠ INCOHÉRENT","")</f>
        <v/>
      </c>
      <c r="AC609" s="64">
        <f>COUNTIFS($A$4:$A609,$A609,$J$4:$J609,$J609,$E$4:$E609,$E609)</f>
        <v/>
      </c>
      <c r="AD609" s="65">
        <f>$A609&amp;"|"&amp;$J609&amp;"|"&amp;$E609&amp;"|"&amp;$AC609</f>
        <v/>
      </c>
      <c r="AE609" s="66">
        <f>IF($W609&lt;&gt;"","⚑ "&amp;$W609&amp;CHAR(10),"")&amp;TEXT($F609,"hh:mm")&amp;"-"&amp;TEXT($G609,"hh:mm")&amp;IF(OR($P609="Quinzaine A",AND($P609="Hebdo · groupes alternés",$C609="A"))," Q-A",IF(OR($P609="Quinzaine B",AND($P609="Hebdo · groupes alternés",$C609="B"))," Q-B",IF($P609="Exception"," PONCT.","")))&amp;IF($X609="Oui"," OPT","")&amp;CHAR(10)&amp;$K609&amp;CHAR(10)&amp;$M609&amp;IF($N609&lt;&gt;"",CHAR(10)&amp;"Salle "&amp;$N609,"")&amp;IF($O609="En ligne",CHAR(10)&amp;"EN LIGNE","")&amp;IF($V609&lt;&gt;"",CHAR(10)&amp;$V609,"")</f>
        <v/>
      </c>
      <c r="AF609" s="65" t="inlineStr"/>
      <c r="AG609" s="65" t="inlineStr">
        <is>
          <t>— généré —</t>
        </is>
      </c>
    </row>
    <row r="610" ht="15" customHeight="1">
      <c r="A610" s="74" t="inlineStr">
        <is>
          <t>S5</t>
        </is>
      </c>
      <c r="B610" s="75" t="inlineStr">
        <is>
          <t>du 12 au 18 octobre 2026</t>
        </is>
      </c>
      <c r="C610" s="74" t="inlineStr">
        <is>
          <t>A</t>
        </is>
      </c>
      <c r="D610" s="76" t="n">
        <v>46313</v>
      </c>
      <c r="E610" s="74" t="inlineStr">
        <is>
          <t>Dimanche</t>
        </is>
      </c>
      <c r="F610" s="77" t="n">
        <v>0.375</v>
      </c>
      <c r="G610" s="77" t="n">
        <v>0.4375</v>
      </c>
      <c r="H610" s="78">
        <f>IF(OR($F610="",$G610=""),"",($G610-$F610)*24)</f>
        <v/>
      </c>
      <c r="I610" s="74" t="inlineStr">
        <is>
          <t>Secondaire</t>
        </is>
      </c>
      <c r="J610" s="75" t="inlineStr">
        <is>
          <t>2éme Eco</t>
        </is>
      </c>
      <c r="K610" s="95" t="inlineStr">
        <is>
          <t>Eco</t>
        </is>
      </c>
      <c r="L610" s="95" t="inlineStr">
        <is>
          <t>Eco</t>
        </is>
      </c>
      <c r="M610" s="75" t="inlineStr">
        <is>
          <t>Rym</t>
        </is>
      </c>
      <c r="N610" s="74" t="n"/>
      <c r="O610" s="74" t="n"/>
      <c r="P610" s="74" t="inlineStr">
        <is>
          <t>Hebdomadaire</t>
        </is>
      </c>
      <c r="Q610" s="75" t="inlineStr"/>
      <c r="R610" s="74" t="n">
        <v>1</v>
      </c>
      <c r="S610" s="74" t="inlineStr">
        <is>
          <t>Oui</t>
        </is>
      </c>
      <c r="T610" s="74" t="inlineStr">
        <is>
          <t>S5-082</t>
        </is>
      </c>
      <c r="U610" s="75" t="inlineStr">
        <is>
          <t>Généré (octobre)</t>
        </is>
      </c>
      <c r="V610" s="75" t="inlineStr"/>
      <c r="W610" s="10" t="n"/>
      <c r="X610" s="10" t="inlineStr"/>
      <c r="Y610" s="64">
        <f>IF($M610="","",IF(SUMPRODUCT(($D$4:$D$863=$D610)*($M$4:$M$863=$M610)*($T$4:$T$863&lt;&gt;$T610)*($F$4:$F$863&lt;$G610)*($G$4:$G$863&gt;$F610))&gt;0,"⚠ CONFLIT",""))</f>
        <v/>
      </c>
      <c r="Z610" s="64">
        <f>IF($J610="","",IF(SUMPRODUCT(($D$4:$D$863=$D610)*($J$4:$J$863=$J610)*($T$4:$T$863&lt;&gt;$T610)*($F$4:$F$863&lt;$G610)*($G$4:$G$863&gt;$F610)*(1-($X$4:$X$863="Oui")*($X610="Oui")))&gt;0,"⚠ CONFLIT",""))</f>
        <v/>
      </c>
      <c r="AA610" s="64">
        <f>IF(COUNTIFS($D$4:$D$863,$D610,$J$4:$J$863,$J610,$F$4:$F$863,$F610,$K$4:$K$863,$K610)&gt;1,"⚠ DOUBLON","")</f>
        <v/>
      </c>
      <c r="AB610" s="64">
        <f>IF(COUNTIF($T$4:$T$863,$T610)&lt;&gt;COUNTIFS($T$4:$T$863,$T610,$D$4:$D$863,$D610,$F$4:$F$863,$F610,$G$4:$G$863,$G610,$K$4:$K$863,$K610,$M$4:$M$863,$M610),"⚠ INCOHÉRENT","")</f>
        <v/>
      </c>
      <c r="AC610" s="64">
        <f>COUNTIFS($A$4:$A610,$A610,$J$4:$J610,$J610,$E$4:$E610,$E610)</f>
        <v/>
      </c>
      <c r="AD610" s="65">
        <f>$A610&amp;"|"&amp;$J610&amp;"|"&amp;$E610&amp;"|"&amp;$AC610</f>
        <v/>
      </c>
      <c r="AE610" s="66">
        <f>IF($W610&lt;&gt;"","⚑ "&amp;$W610&amp;CHAR(10),"")&amp;TEXT($F610,"hh:mm")&amp;"-"&amp;TEXT($G610,"hh:mm")&amp;IF(OR($P610="Quinzaine A",AND($P610="Hebdo · groupes alternés",$C610="A"))," Q-A",IF(OR($P610="Quinzaine B",AND($P610="Hebdo · groupes alternés",$C610="B"))," Q-B",IF($P610="Exception"," PONCT.","")))&amp;IF($X610="Oui"," OPT","")&amp;CHAR(10)&amp;$K610&amp;CHAR(10)&amp;$M610&amp;IF($N610&lt;&gt;"",CHAR(10)&amp;"Salle "&amp;$N610,"")&amp;IF($O610="En ligne",CHAR(10)&amp;"EN LIGNE","")&amp;IF($V610&lt;&gt;"",CHAR(10)&amp;$V610,"")</f>
        <v/>
      </c>
      <c r="AF610" s="65" t="inlineStr"/>
      <c r="AG610" s="65" t="inlineStr">
        <is>
          <t>— généré —</t>
        </is>
      </c>
    </row>
    <row r="611" ht="15" customHeight="1">
      <c r="A611" s="74" t="inlineStr">
        <is>
          <t>S5</t>
        </is>
      </c>
      <c r="B611" s="75" t="inlineStr">
        <is>
          <t>du 12 au 18 octobre 2026</t>
        </is>
      </c>
      <c r="C611" s="74" t="inlineStr">
        <is>
          <t>A</t>
        </is>
      </c>
      <c r="D611" s="76" t="n">
        <v>46313</v>
      </c>
      <c r="E611" s="74" t="inlineStr">
        <is>
          <t>Dimanche</t>
        </is>
      </c>
      <c r="F611" s="77" t="n">
        <v>0.5</v>
      </c>
      <c r="G611" s="77" t="n">
        <v>0.5625</v>
      </c>
      <c r="H611" s="78">
        <f>IF(OR($F611="",$G611=""),"",($G611-$F611)*24)</f>
        <v/>
      </c>
      <c r="I611" s="74" t="inlineStr">
        <is>
          <t>Secondaire</t>
        </is>
      </c>
      <c r="J611" s="75" t="inlineStr">
        <is>
          <t>2éme SCE</t>
        </is>
      </c>
      <c r="K611" s="73" t="inlineStr">
        <is>
          <t>Physique</t>
        </is>
      </c>
      <c r="L611" s="73" t="inlineStr">
        <is>
          <t>Physique</t>
        </is>
      </c>
      <c r="M611" s="75" t="inlineStr">
        <is>
          <t>Refka</t>
        </is>
      </c>
      <c r="N611" s="74" t="n"/>
      <c r="O611" s="74" t="n"/>
      <c r="P611" s="74" t="inlineStr">
        <is>
          <t>Hebdomadaire</t>
        </is>
      </c>
      <c r="Q611" s="75" t="inlineStr"/>
      <c r="R611" s="74" t="n">
        <v>1</v>
      </c>
      <c r="S611" s="74" t="inlineStr">
        <is>
          <t>Oui</t>
        </is>
      </c>
      <c r="T611" s="74" t="inlineStr">
        <is>
          <t>S5-083</t>
        </is>
      </c>
      <c r="U611" s="75" t="inlineStr">
        <is>
          <t>Généré (octobre)</t>
        </is>
      </c>
      <c r="V611" s="75" t="inlineStr"/>
      <c r="W611" s="10" t="n"/>
      <c r="X611" s="10" t="inlineStr"/>
      <c r="Y611" s="64">
        <f>IF($M611="","",IF(SUMPRODUCT(($D$4:$D$863=$D611)*($M$4:$M$863=$M611)*($T$4:$T$863&lt;&gt;$T611)*($F$4:$F$863&lt;$G611)*($G$4:$G$863&gt;$F611))&gt;0,"⚠ CONFLIT",""))</f>
        <v/>
      </c>
      <c r="Z611" s="64">
        <f>IF($J611="","",IF(SUMPRODUCT(($D$4:$D$863=$D611)*($J$4:$J$863=$J611)*($T$4:$T$863&lt;&gt;$T611)*($F$4:$F$863&lt;$G611)*($G$4:$G$863&gt;$F611)*(1-($X$4:$X$863="Oui")*($X611="Oui")))&gt;0,"⚠ CONFLIT",""))</f>
        <v/>
      </c>
      <c r="AA611" s="64">
        <f>IF(COUNTIFS($D$4:$D$863,$D611,$J$4:$J$863,$J611,$F$4:$F$863,$F611,$K$4:$K$863,$K611)&gt;1,"⚠ DOUBLON","")</f>
        <v/>
      </c>
      <c r="AB611" s="64">
        <f>IF(COUNTIF($T$4:$T$863,$T611)&lt;&gt;COUNTIFS($T$4:$T$863,$T611,$D$4:$D$863,$D611,$F$4:$F$863,$F611,$G$4:$G$863,$G611,$K$4:$K$863,$K611,$M$4:$M$863,$M611),"⚠ INCOHÉRENT","")</f>
        <v/>
      </c>
      <c r="AC611" s="64">
        <f>COUNTIFS($A$4:$A611,$A611,$J$4:$J611,$J611,$E$4:$E611,$E611)</f>
        <v/>
      </c>
      <c r="AD611" s="65">
        <f>$A611&amp;"|"&amp;$J611&amp;"|"&amp;$E611&amp;"|"&amp;$AC611</f>
        <v/>
      </c>
      <c r="AE611" s="66">
        <f>IF($W611&lt;&gt;"","⚑ "&amp;$W611&amp;CHAR(10),"")&amp;TEXT($F611,"hh:mm")&amp;"-"&amp;TEXT($G611,"hh:mm")&amp;IF(OR($P611="Quinzaine A",AND($P611="Hebdo · groupes alternés",$C611="A"))," Q-A",IF(OR($P611="Quinzaine B",AND($P611="Hebdo · groupes alternés",$C611="B"))," Q-B",IF($P611="Exception"," PONCT.","")))&amp;IF($X611="Oui"," OPT","")&amp;CHAR(10)&amp;$K611&amp;CHAR(10)&amp;$M611&amp;IF($N611&lt;&gt;"",CHAR(10)&amp;"Salle "&amp;$N611,"")&amp;IF($O611="En ligne",CHAR(10)&amp;"EN LIGNE","")&amp;IF($V611&lt;&gt;"",CHAR(10)&amp;$V611,"")</f>
        <v/>
      </c>
      <c r="AF611" s="65" t="inlineStr"/>
      <c r="AG611" s="65" t="inlineStr">
        <is>
          <t>— généré —</t>
        </is>
      </c>
    </row>
    <row r="612" ht="15" customHeight="1">
      <c r="A612" s="74" t="inlineStr">
        <is>
          <t>S5</t>
        </is>
      </c>
      <c r="B612" s="75" t="inlineStr">
        <is>
          <t>du 12 au 18 octobre 2026</t>
        </is>
      </c>
      <c r="C612" s="74" t="inlineStr">
        <is>
          <t>A</t>
        </is>
      </c>
      <c r="D612" s="76" t="n">
        <v>46313</v>
      </c>
      <c r="E612" s="74" t="inlineStr">
        <is>
          <t>Dimanche</t>
        </is>
      </c>
      <c r="F612" s="77" t="n">
        <v>0.4375</v>
      </c>
      <c r="G612" s="77" t="n">
        <v>0.5</v>
      </c>
      <c r="H612" s="78">
        <f>IF(OR($F612="",$G612=""),"",($G612-$F612)*24)</f>
        <v/>
      </c>
      <c r="I612" s="74" t="inlineStr">
        <is>
          <t>Secondaire</t>
        </is>
      </c>
      <c r="J612" s="75" t="inlineStr">
        <is>
          <t>3éme Eco</t>
        </is>
      </c>
      <c r="K612" s="95" t="inlineStr">
        <is>
          <t>Eco</t>
        </is>
      </c>
      <c r="L612" s="95" t="inlineStr">
        <is>
          <t>Eco</t>
        </is>
      </c>
      <c r="M612" s="75" t="inlineStr">
        <is>
          <t>Rym</t>
        </is>
      </c>
      <c r="N612" s="74" t="n"/>
      <c r="O612" s="74" t="n"/>
      <c r="P612" s="74" t="inlineStr">
        <is>
          <t>Hebdomadaire</t>
        </is>
      </c>
      <c r="Q612" s="75" t="inlineStr"/>
      <c r="R612" s="74" t="n">
        <v>1</v>
      </c>
      <c r="S612" s="74" t="inlineStr">
        <is>
          <t>Oui</t>
        </is>
      </c>
      <c r="T612" s="74" t="inlineStr">
        <is>
          <t>S5-084</t>
        </is>
      </c>
      <c r="U612" s="75" t="inlineStr">
        <is>
          <t>Généré (octobre)</t>
        </is>
      </c>
      <c r="V612" s="75" t="inlineStr"/>
      <c r="W612" s="10" t="n"/>
      <c r="X612" s="10" t="inlineStr"/>
      <c r="Y612" s="64">
        <f>IF($M612="","",IF(SUMPRODUCT(($D$4:$D$863=$D612)*($M$4:$M$863=$M612)*($T$4:$T$863&lt;&gt;$T612)*($F$4:$F$863&lt;$G612)*($G$4:$G$863&gt;$F612))&gt;0,"⚠ CONFLIT",""))</f>
        <v/>
      </c>
      <c r="Z612" s="64">
        <f>IF($J612="","",IF(SUMPRODUCT(($D$4:$D$863=$D612)*($J$4:$J$863=$J612)*($T$4:$T$863&lt;&gt;$T612)*($F$4:$F$863&lt;$G612)*($G$4:$G$863&gt;$F612)*(1-($X$4:$X$863="Oui")*($X612="Oui")))&gt;0,"⚠ CONFLIT",""))</f>
        <v/>
      </c>
      <c r="AA612" s="64">
        <f>IF(COUNTIFS($D$4:$D$863,$D612,$J$4:$J$863,$J612,$F$4:$F$863,$F612,$K$4:$K$863,$K612)&gt;1,"⚠ DOUBLON","")</f>
        <v/>
      </c>
      <c r="AB612" s="64">
        <f>IF(COUNTIF($T$4:$T$863,$T612)&lt;&gt;COUNTIFS($T$4:$T$863,$T612,$D$4:$D$863,$D612,$F$4:$F$863,$F612,$G$4:$G$863,$G612,$K$4:$K$863,$K612,$M$4:$M$863,$M612),"⚠ INCOHÉRENT","")</f>
        <v/>
      </c>
      <c r="AC612" s="64">
        <f>COUNTIFS($A$4:$A612,$A612,$J$4:$J612,$J612,$E$4:$E612,$E612)</f>
        <v/>
      </c>
      <c r="AD612" s="65">
        <f>$A612&amp;"|"&amp;$J612&amp;"|"&amp;$E612&amp;"|"&amp;$AC612</f>
        <v/>
      </c>
      <c r="AE612" s="66">
        <f>IF($W612&lt;&gt;"","⚑ "&amp;$W612&amp;CHAR(10),"")&amp;TEXT($F612,"hh:mm")&amp;"-"&amp;TEXT($G612,"hh:mm")&amp;IF(OR($P612="Quinzaine A",AND($P612="Hebdo · groupes alternés",$C612="A"))," Q-A",IF(OR($P612="Quinzaine B",AND($P612="Hebdo · groupes alternés",$C612="B"))," Q-B",IF($P612="Exception"," PONCT.","")))&amp;IF($X612="Oui"," OPT","")&amp;CHAR(10)&amp;$K612&amp;CHAR(10)&amp;$M612&amp;IF($N612&lt;&gt;"",CHAR(10)&amp;"Salle "&amp;$N612,"")&amp;IF($O612="En ligne",CHAR(10)&amp;"EN LIGNE","")&amp;IF($V612&lt;&gt;"",CHAR(10)&amp;$V612,"")</f>
        <v/>
      </c>
      <c r="AF612" s="65" t="inlineStr"/>
      <c r="AG612" s="65" t="inlineStr">
        <is>
          <t>— généré —</t>
        </is>
      </c>
    </row>
    <row r="613" ht="15" customHeight="1">
      <c r="A613" s="74" t="inlineStr">
        <is>
          <t>S5</t>
        </is>
      </c>
      <c r="B613" s="75" t="inlineStr">
        <is>
          <t>du 12 au 18 octobre 2026</t>
        </is>
      </c>
      <c r="C613" s="74" t="inlineStr">
        <is>
          <t>A</t>
        </is>
      </c>
      <c r="D613" s="76" t="n">
        <v>46313</v>
      </c>
      <c r="E613" s="74" t="inlineStr">
        <is>
          <t>Dimanche</t>
        </is>
      </c>
      <c r="F613" s="77" t="n">
        <v>0.5833333333333334</v>
      </c>
      <c r="G613" s="77" t="n">
        <v>0.6458333333333334</v>
      </c>
      <c r="H613" s="78">
        <f>IF(OR($F613="",$G613=""),"",($G613-$F613)*24)</f>
        <v/>
      </c>
      <c r="I613" s="74" t="inlineStr">
        <is>
          <t>Secondaire</t>
        </is>
      </c>
      <c r="J613" s="75" t="inlineStr">
        <is>
          <t>3éme Eco</t>
        </is>
      </c>
      <c r="K613" s="79" t="inlineStr">
        <is>
          <t>Math</t>
        </is>
      </c>
      <c r="L613" s="79" t="inlineStr">
        <is>
          <t>Math</t>
        </is>
      </c>
      <c r="M613" s="75" t="inlineStr">
        <is>
          <t>Lotfi</t>
        </is>
      </c>
      <c r="N613" s="74" t="n"/>
      <c r="O613" s="74" t="n"/>
      <c r="P613" s="74" t="inlineStr">
        <is>
          <t>Hebdomadaire</t>
        </is>
      </c>
      <c r="Q613" s="75" t="inlineStr"/>
      <c r="R613" s="74" t="n">
        <v>1</v>
      </c>
      <c r="S613" s="74" t="inlineStr">
        <is>
          <t>Oui</t>
        </is>
      </c>
      <c r="T613" s="74" t="inlineStr">
        <is>
          <t>S5-085</t>
        </is>
      </c>
      <c r="U613" s="75" t="inlineStr">
        <is>
          <t>Généré (octobre)</t>
        </is>
      </c>
      <c r="V613" s="75" t="inlineStr"/>
      <c r="W613" s="10" t="n"/>
      <c r="X613" s="10" t="inlineStr"/>
      <c r="Y613" s="64">
        <f>IF($M613="","",IF(SUMPRODUCT(($D$4:$D$863=$D613)*($M$4:$M$863=$M613)*($T$4:$T$863&lt;&gt;$T613)*($F$4:$F$863&lt;$G613)*($G$4:$G$863&gt;$F613))&gt;0,"⚠ CONFLIT",""))</f>
        <v/>
      </c>
      <c r="Z613" s="64">
        <f>IF($J613="","",IF(SUMPRODUCT(($D$4:$D$863=$D613)*($J$4:$J$863=$J613)*($T$4:$T$863&lt;&gt;$T613)*($F$4:$F$863&lt;$G613)*($G$4:$G$863&gt;$F613)*(1-($X$4:$X$863="Oui")*($X613="Oui")))&gt;0,"⚠ CONFLIT",""))</f>
        <v/>
      </c>
      <c r="AA613" s="64">
        <f>IF(COUNTIFS($D$4:$D$863,$D613,$J$4:$J$863,$J613,$F$4:$F$863,$F613,$K$4:$K$863,$K613)&gt;1,"⚠ DOUBLON","")</f>
        <v/>
      </c>
      <c r="AB613" s="64">
        <f>IF(COUNTIF($T$4:$T$863,$T613)&lt;&gt;COUNTIFS($T$4:$T$863,$T613,$D$4:$D$863,$D613,$F$4:$F$863,$F613,$G$4:$G$863,$G613,$K$4:$K$863,$K613,$M$4:$M$863,$M613),"⚠ INCOHÉRENT","")</f>
        <v/>
      </c>
      <c r="AC613" s="64">
        <f>COUNTIFS($A$4:$A613,$A613,$J$4:$J613,$J613,$E$4:$E613,$E613)</f>
        <v/>
      </c>
      <c r="AD613" s="65">
        <f>$A613&amp;"|"&amp;$J613&amp;"|"&amp;$E613&amp;"|"&amp;$AC613</f>
        <v/>
      </c>
      <c r="AE613" s="66">
        <f>IF($W613&lt;&gt;"","⚑ "&amp;$W613&amp;CHAR(10),"")&amp;TEXT($F613,"hh:mm")&amp;"-"&amp;TEXT($G613,"hh:mm")&amp;IF(OR($P613="Quinzaine A",AND($P613="Hebdo · groupes alternés",$C613="A"))," Q-A",IF(OR($P613="Quinzaine B",AND($P613="Hebdo · groupes alternés",$C613="B"))," Q-B",IF($P613="Exception"," PONCT.","")))&amp;IF($X613="Oui"," OPT","")&amp;CHAR(10)&amp;$K613&amp;CHAR(10)&amp;$M613&amp;IF($N613&lt;&gt;"",CHAR(10)&amp;"Salle "&amp;$N613,"")&amp;IF($O613="En ligne",CHAR(10)&amp;"EN LIGNE","")&amp;IF($V613&lt;&gt;"",CHAR(10)&amp;$V613,"")</f>
        <v/>
      </c>
      <c r="AF613" s="65" t="inlineStr"/>
      <c r="AG613" s="65" t="inlineStr">
        <is>
          <t>— généré —</t>
        </is>
      </c>
    </row>
    <row r="614" ht="15" customHeight="1">
      <c r="A614" s="74" t="inlineStr">
        <is>
          <t>S5</t>
        </is>
      </c>
      <c r="B614" s="75" t="inlineStr">
        <is>
          <t>du 12 au 18 octobre 2026</t>
        </is>
      </c>
      <c r="C614" s="74" t="inlineStr">
        <is>
          <t>A</t>
        </is>
      </c>
      <c r="D614" s="76" t="n">
        <v>46313</v>
      </c>
      <c r="E614" s="74" t="inlineStr">
        <is>
          <t>Dimanche</t>
        </is>
      </c>
      <c r="F614" s="77" t="n">
        <v>0.5</v>
      </c>
      <c r="G614" s="77" t="n">
        <v>0.5625</v>
      </c>
      <c r="H614" s="78">
        <f>IF(OR($F614="",$G614=""),"",($G614-$F614)*24)</f>
        <v/>
      </c>
      <c r="I614" s="74" t="inlineStr">
        <is>
          <t>Secondaire</t>
        </is>
      </c>
      <c r="J614" s="75" t="inlineStr">
        <is>
          <t>3éme INFO</t>
        </is>
      </c>
      <c r="K614" s="79" t="inlineStr">
        <is>
          <t>Math</t>
        </is>
      </c>
      <c r="L614" s="79" t="inlineStr">
        <is>
          <t>Math</t>
        </is>
      </c>
      <c r="M614" s="75" t="inlineStr">
        <is>
          <t>Lotfi</t>
        </is>
      </c>
      <c r="N614" s="74" t="n"/>
      <c r="O614" s="74" t="n"/>
      <c r="P614" s="74" t="inlineStr">
        <is>
          <t>Hebdomadaire</t>
        </is>
      </c>
      <c r="Q614" s="75" t="inlineStr"/>
      <c r="R614" s="74" t="n">
        <v>1</v>
      </c>
      <c r="S614" s="74" t="inlineStr">
        <is>
          <t>Oui</t>
        </is>
      </c>
      <c r="T614" s="74" t="inlineStr">
        <is>
          <t>S5-086</t>
        </is>
      </c>
      <c r="U614" s="75" t="inlineStr">
        <is>
          <t>Généré (octobre)</t>
        </is>
      </c>
      <c r="V614" s="75" t="inlineStr"/>
      <c r="W614" s="10" t="n"/>
      <c r="X614" s="10" t="inlineStr"/>
      <c r="Y614" s="64">
        <f>IF($M614="","",IF(SUMPRODUCT(($D$4:$D$863=$D614)*($M$4:$M$863=$M614)*($T$4:$T$863&lt;&gt;$T614)*($F$4:$F$863&lt;$G614)*($G$4:$G$863&gt;$F614))&gt;0,"⚠ CONFLIT",""))</f>
        <v/>
      </c>
      <c r="Z614" s="64">
        <f>IF($J614="","",IF(SUMPRODUCT(($D$4:$D$863=$D614)*($J$4:$J$863=$J614)*($T$4:$T$863&lt;&gt;$T614)*($F$4:$F$863&lt;$G614)*($G$4:$G$863&gt;$F614)*(1-($X$4:$X$863="Oui")*($X614="Oui")))&gt;0,"⚠ CONFLIT",""))</f>
        <v/>
      </c>
      <c r="AA614" s="64">
        <f>IF(COUNTIFS($D$4:$D$863,$D614,$J$4:$J$863,$J614,$F$4:$F$863,$F614,$K$4:$K$863,$K614)&gt;1,"⚠ DOUBLON","")</f>
        <v/>
      </c>
      <c r="AB614" s="64">
        <f>IF(COUNTIF($T$4:$T$863,$T614)&lt;&gt;COUNTIFS($T$4:$T$863,$T614,$D$4:$D$863,$D614,$F$4:$F$863,$F614,$G$4:$G$863,$G614,$K$4:$K$863,$K614,$M$4:$M$863,$M614),"⚠ INCOHÉRENT","")</f>
        <v/>
      </c>
      <c r="AC614" s="64">
        <f>COUNTIFS($A$4:$A614,$A614,$J$4:$J614,$J614,$E$4:$E614,$E614)</f>
        <v/>
      </c>
      <c r="AD614" s="65">
        <f>$A614&amp;"|"&amp;$J614&amp;"|"&amp;$E614&amp;"|"&amp;$AC614</f>
        <v/>
      </c>
      <c r="AE614" s="66">
        <f>IF($W614&lt;&gt;"","⚑ "&amp;$W614&amp;CHAR(10),"")&amp;TEXT($F614,"hh:mm")&amp;"-"&amp;TEXT($G614,"hh:mm")&amp;IF(OR($P614="Quinzaine A",AND($P614="Hebdo · groupes alternés",$C614="A"))," Q-A",IF(OR($P614="Quinzaine B",AND($P614="Hebdo · groupes alternés",$C614="B"))," Q-B",IF($P614="Exception"," PONCT.","")))&amp;IF($X614="Oui"," OPT","")&amp;CHAR(10)&amp;$K614&amp;CHAR(10)&amp;$M614&amp;IF($N614&lt;&gt;"",CHAR(10)&amp;"Salle "&amp;$N614,"")&amp;IF($O614="En ligne",CHAR(10)&amp;"EN LIGNE","")&amp;IF($V614&lt;&gt;"",CHAR(10)&amp;$V614,"")</f>
        <v/>
      </c>
      <c r="AF614" s="65" t="inlineStr"/>
      <c r="AG614" s="65" t="inlineStr">
        <is>
          <t>— généré —</t>
        </is>
      </c>
    </row>
    <row r="615" ht="15" customHeight="1">
      <c r="A615" s="74" t="inlineStr">
        <is>
          <t>S5</t>
        </is>
      </c>
      <c r="B615" s="75" t="inlineStr">
        <is>
          <t>du 12 au 18 octobre 2026</t>
        </is>
      </c>
      <c r="C615" s="74" t="inlineStr">
        <is>
          <t>A</t>
        </is>
      </c>
      <c r="D615" s="76" t="n">
        <v>46313</v>
      </c>
      <c r="E615" s="74" t="inlineStr">
        <is>
          <t>Dimanche</t>
        </is>
      </c>
      <c r="F615" s="77" t="n">
        <v>0.4375</v>
      </c>
      <c r="G615" s="77" t="n">
        <v>0.5</v>
      </c>
      <c r="H615" s="78">
        <f>IF(OR($F615="",$G615=""),"",($G615-$F615)*24)</f>
        <v/>
      </c>
      <c r="I615" s="74" t="inlineStr">
        <is>
          <t>Secondaire</t>
        </is>
      </c>
      <c r="J615" s="75" t="inlineStr">
        <is>
          <t>3éme SCE</t>
        </is>
      </c>
      <c r="K615" s="73" t="inlineStr">
        <is>
          <t>Physique</t>
        </is>
      </c>
      <c r="L615" s="73" t="inlineStr">
        <is>
          <t>Physique</t>
        </is>
      </c>
      <c r="M615" s="75" t="inlineStr">
        <is>
          <t>Sondes</t>
        </is>
      </c>
      <c r="N615" s="74" t="n"/>
      <c r="O615" s="74" t="n"/>
      <c r="P615" s="74" t="inlineStr">
        <is>
          <t>Hebdomadaire</t>
        </is>
      </c>
      <c r="Q615" s="75" t="inlineStr"/>
      <c r="R615" s="74" t="n">
        <v>1</v>
      </c>
      <c r="S615" s="74" t="inlineStr">
        <is>
          <t>Oui</t>
        </is>
      </c>
      <c r="T615" s="74" t="inlineStr">
        <is>
          <t>S5-087</t>
        </is>
      </c>
      <c r="U615" s="75" t="inlineStr">
        <is>
          <t>Généré (octobre)</t>
        </is>
      </c>
      <c r="V615" s="75" t="inlineStr"/>
      <c r="W615" s="10" t="n"/>
      <c r="X615" s="10" t="inlineStr"/>
      <c r="Y615" s="64">
        <f>IF($M615="","",IF(SUMPRODUCT(($D$4:$D$863=$D615)*($M$4:$M$863=$M615)*($T$4:$T$863&lt;&gt;$T615)*($F$4:$F$863&lt;$G615)*($G$4:$G$863&gt;$F615))&gt;0,"⚠ CONFLIT",""))</f>
        <v/>
      </c>
      <c r="Z615" s="64">
        <f>IF($J615="","",IF(SUMPRODUCT(($D$4:$D$863=$D615)*($J$4:$J$863=$J615)*($T$4:$T$863&lt;&gt;$T615)*($F$4:$F$863&lt;$G615)*($G$4:$G$863&gt;$F615)*(1-($X$4:$X$863="Oui")*($X615="Oui")))&gt;0,"⚠ CONFLIT",""))</f>
        <v/>
      </c>
      <c r="AA615" s="64">
        <f>IF(COUNTIFS($D$4:$D$863,$D615,$J$4:$J$863,$J615,$F$4:$F$863,$F615,$K$4:$K$863,$K615)&gt;1,"⚠ DOUBLON","")</f>
        <v/>
      </c>
      <c r="AB615" s="64">
        <f>IF(COUNTIF($T$4:$T$863,$T615)&lt;&gt;COUNTIFS($T$4:$T$863,$T615,$D$4:$D$863,$D615,$F$4:$F$863,$F615,$G$4:$G$863,$G615,$K$4:$K$863,$K615,$M$4:$M$863,$M615),"⚠ INCOHÉRENT","")</f>
        <v/>
      </c>
      <c r="AC615" s="64">
        <f>COUNTIFS($A$4:$A615,$A615,$J$4:$J615,$J615,$E$4:$E615,$E615)</f>
        <v/>
      </c>
      <c r="AD615" s="65">
        <f>$A615&amp;"|"&amp;$J615&amp;"|"&amp;$E615&amp;"|"&amp;$AC615</f>
        <v/>
      </c>
      <c r="AE615" s="66">
        <f>IF($W615&lt;&gt;"","⚑ "&amp;$W615&amp;CHAR(10),"")&amp;TEXT($F615,"hh:mm")&amp;"-"&amp;TEXT($G615,"hh:mm")&amp;IF(OR($P615="Quinzaine A",AND($P615="Hebdo · groupes alternés",$C615="A"))," Q-A",IF(OR($P615="Quinzaine B",AND($P615="Hebdo · groupes alternés",$C615="B"))," Q-B",IF($P615="Exception"," PONCT.","")))&amp;IF($X615="Oui"," OPT","")&amp;CHAR(10)&amp;$K615&amp;CHAR(10)&amp;$M615&amp;IF($N615&lt;&gt;"",CHAR(10)&amp;"Salle "&amp;$N615,"")&amp;IF($O615="En ligne",CHAR(10)&amp;"EN LIGNE","")&amp;IF($V615&lt;&gt;"",CHAR(10)&amp;$V615,"")</f>
        <v/>
      </c>
      <c r="AF615" s="65" t="inlineStr"/>
      <c r="AG615" s="65" t="inlineStr">
        <is>
          <t>— généré —</t>
        </is>
      </c>
    </row>
    <row r="616" ht="15" customHeight="1">
      <c r="A616" s="81" t="inlineStr">
        <is>
          <t>S5</t>
        </is>
      </c>
      <c r="B616" s="82" t="inlineStr">
        <is>
          <t>du 12 au 18 octobre 2026</t>
        </is>
      </c>
      <c r="C616" s="81" t="inlineStr">
        <is>
          <t>A</t>
        </is>
      </c>
      <c r="D616" s="83" t="n">
        <v>46313</v>
      </c>
      <c r="E616" s="81" t="inlineStr">
        <is>
          <t>Dimanche</t>
        </is>
      </c>
      <c r="F616" s="84" t="n">
        <v>0.4375</v>
      </c>
      <c r="G616" s="84" t="n">
        <v>0.5</v>
      </c>
      <c r="H616" s="85">
        <f>IF(OR($F616="",$G616=""),"",($G616-$F616)*24)</f>
        <v/>
      </c>
      <c r="I616" s="81" t="inlineStr">
        <is>
          <t>Bac</t>
        </is>
      </c>
      <c r="J616" s="82" t="inlineStr">
        <is>
          <t>Bac Eco</t>
        </is>
      </c>
      <c r="K616" s="79" t="inlineStr">
        <is>
          <t>Math</t>
        </is>
      </c>
      <c r="L616" s="79" t="inlineStr">
        <is>
          <t>Math</t>
        </is>
      </c>
      <c r="M616" s="82" t="inlineStr">
        <is>
          <t>Lotfi</t>
        </is>
      </c>
      <c r="N616" s="81" t="n"/>
      <c r="O616" s="81" t="n"/>
      <c r="P616" s="81" t="inlineStr">
        <is>
          <t>Hebdomadaire</t>
        </is>
      </c>
      <c r="Q616" s="82" t="inlineStr"/>
      <c r="R616" s="81" t="n">
        <v>1</v>
      </c>
      <c r="S616" s="81" t="inlineStr">
        <is>
          <t>Oui</t>
        </is>
      </c>
      <c r="T616" s="81" t="inlineStr">
        <is>
          <t>S5-089</t>
        </is>
      </c>
      <c r="U616" s="82" t="inlineStr">
        <is>
          <t>Généré (octobre)</t>
        </is>
      </c>
      <c r="V616" s="82" t="inlineStr"/>
      <c r="W616" s="10" t="n"/>
      <c r="X616" s="10" t="inlineStr"/>
      <c r="Y616" s="64">
        <f>IF($M616="","",IF(SUMPRODUCT(($D$4:$D$863=$D616)*($M$4:$M$863=$M616)*($T$4:$T$863&lt;&gt;$T616)*($F$4:$F$863&lt;$G616)*($G$4:$G$863&gt;$F616))&gt;0,"⚠ CONFLIT",""))</f>
        <v/>
      </c>
      <c r="Z616" s="64">
        <f>IF($J616="","",IF(SUMPRODUCT(($D$4:$D$863=$D616)*($J$4:$J$863=$J616)*($T$4:$T$863&lt;&gt;$T616)*($F$4:$F$863&lt;$G616)*($G$4:$G$863&gt;$F616)*(1-($X$4:$X$863="Oui")*($X616="Oui")))&gt;0,"⚠ CONFLIT",""))</f>
        <v/>
      </c>
      <c r="AA616" s="64">
        <f>IF(COUNTIFS($D$4:$D$863,$D616,$J$4:$J$863,$J616,$F$4:$F$863,$F616,$K$4:$K$863,$K616)&gt;1,"⚠ DOUBLON","")</f>
        <v/>
      </c>
      <c r="AB616" s="64">
        <f>IF(COUNTIF($T$4:$T$863,$T616)&lt;&gt;COUNTIFS($T$4:$T$863,$T616,$D$4:$D$863,$D616,$F$4:$F$863,$F616,$G$4:$G$863,$G616,$K$4:$K$863,$K616,$M$4:$M$863,$M616),"⚠ INCOHÉRENT","")</f>
        <v/>
      </c>
      <c r="AC616" s="64">
        <f>COUNTIFS($A$4:$A616,$A616,$J$4:$J616,$J616,$E$4:$E616,$E616)</f>
        <v/>
      </c>
      <c r="AD616" s="65">
        <f>$A616&amp;"|"&amp;$J616&amp;"|"&amp;$E616&amp;"|"&amp;$AC616</f>
        <v/>
      </c>
      <c r="AE616" s="66">
        <f>IF($W616&lt;&gt;"","⚑ "&amp;$W616&amp;CHAR(10),"")&amp;TEXT($F616,"hh:mm")&amp;"-"&amp;TEXT($G616,"hh:mm")&amp;IF(OR($P616="Quinzaine A",AND($P616="Hebdo · groupes alternés",$C616="A"))," Q-A",IF(OR($P616="Quinzaine B",AND($P616="Hebdo · groupes alternés",$C616="B"))," Q-B",IF($P616="Exception"," PONCT.","")))&amp;IF($X616="Oui"," OPT","")&amp;CHAR(10)&amp;$K616&amp;CHAR(10)&amp;$M616&amp;IF($N616&lt;&gt;"",CHAR(10)&amp;"Salle "&amp;$N616,"")&amp;IF($O616="En ligne",CHAR(10)&amp;"EN LIGNE","")&amp;IF($V616&lt;&gt;"",CHAR(10)&amp;$V616,"")</f>
        <v/>
      </c>
      <c r="AF616" s="65" t="inlineStr"/>
      <c r="AG616" s="65" t="inlineStr">
        <is>
          <t>— généré —</t>
        </is>
      </c>
    </row>
    <row r="617" ht="15" customHeight="1">
      <c r="A617" s="81" t="inlineStr">
        <is>
          <t>S5</t>
        </is>
      </c>
      <c r="B617" s="82" t="inlineStr">
        <is>
          <t>du 12 au 18 octobre 2026</t>
        </is>
      </c>
      <c r="C617" s="81" t="inlineStr">
        <is>
          <t>A</t>
        </is>
      </c>
      <c r="D617" s="83" t="n">
        <v>46313</v>
      </c>
      <c r="E617" s="81" t="inlineStr">
        <is>
          <t>Dimanche</t>
        </is>
      </c>
      <c r="F617" s="84" t="n">
        <v>0.5208333333333334</v>
      </c>
      <c r="G617" s="84" t="n">
        <v>0.6041666666666666</v>
      </c>
      <c r="H617" s="85">
        <f>IF(OR($F617="",$G617=""),"",($G617-$F617)*24)</f>
        <v/>
      </c>
      <c r="I617" s="81" t="inlineStr">
        <is>
          <t>Bac</t>
        </is>
      </c>
      <c r="J617" s="82" t="inlineStr">
        <is>
          <t>Bac Eco</t>
        </is>
      </c>
      <c r="K617" s="95" t="inlineStr">
        <is>
          <t>Eco</t>
        </is>
      </c>
      <c r="L617" s="95" t="inlineStr">
        <is>
          <t>Eco</t>
        </is>
      </c>
      <c r="M617" s="82" t="inlineStr">
        <is>
          <t>Rym</t>
        </is>
      </c>
      <c r="N617" s="81" t="n"/>
      <c r="O617" s="81" t="n"/>
      <c r="P617" s="81" t="inlineStr">
        <is>
          <t>Hebdomadaire</t>
        </is>
      </c>
      <c r="Q617" s="82" t="inlineStr"/>
      <c r="R617" s="81" t="n">
        <v>1</v>
      </c>
      <c r="S617" s="81" t="inlineStr">
        <is>
          <t>Oui</t>
        </is>
      </c>
      <c r="T617" s="81" t="inlineStr">
        <is>
          <t>S5-088</t>
        </is>
      </c>
      <c r="U617" s="82" t="inlineStr">
        <is>
          <t>Généré (octobre)</t>
        </is>
      </c>
      <c r="V617" s="82" t="inlineStr"/>
      <c r="W617" s="10" t="n"/>
      <c r="X617" s="10" t="inlineStr"/>
      <c r="Y617" s="64">
        <f>IF($M617="","",IF(SUMPRODUCT(($D$4:$D$863=$D617)*($M$4:$M$863=$M617)*($T$4:$T$863&lt;&gt;$T617)*($F$4:$F$863&lt;$G617)*($G$4:$G$863&gt;$F617))&gt;0,"⚠ CONFLIT",""))</f>
        <v/>
      </c>
      <c r="Z617" s="64">
        <f>IF($J617="","",IF(SUMPRODUCT(($D$4:$D$863=$D617)*($J$4:$J$863=$J617)*($T$4:$T$863&lt;&gt;$T617)*($F$4:$F$863&lt;$G617)*($G$4:$G$863&gt;$F617)*(1-($X$4:$X$863="Oui")*($X617="Oui")))&gt;0,"⚠ CONFLIT",""))</f>
        <v/>
      </c>
      <c r="AA617" s="64">
        <f>IF(COUNTIFS($D$4:$D$863,$D617,$J$4:$J$863,$J617,$F$4:$F$863,$F617,$K$4:$K$863,$K617)&gt;1,"⚠ DOUBLON","")</f>
        <v/>
      </c>
      <c r="AB617" s="64">
        <f>IF(COUNTIF($T$4:$T$863,$T617)&lt;&gt;COUNTIFS($T$4:$T$863,$T617,$D$4:$D$863,$D617,$F$4:$F$863,$F617,$G$4:$G$863,$G617,$K$4:$K$863,$K617,$M$4:$M$863,$M617),"⚠ INCOHÉRENT","")</f>
        <v/>
      </c>
      <c r="AC617" s="64">
        <f>COUNTIFS($A$4:$A617,$A617,$J$4:$J617,$J617,$E$4:$E617,$E617)</f>
        <v/>
      </c>
      <c r="AD617" s="65">
        <f>$A617&amp;"|"&amp;$J617&amp;"|"&amp;$E617&amp;"|"&amp;$AC617</f>
        <v/>
      </c>
      <c r="AE617" s="66">
        <f>IF($W617&lt;&gt;"","⚑ "&amp;$W617&amp;CHAR(10),"")&amp;TEXT($F617,"hh:mm")&amp;"-"&amp;TEXT($G617,"hh:mm")&amp;IF(OR($P617="Quinzaine A",AND($P617="Hebdo · groupes alternés",$C617="A"))," Q-A",IF(OR($P617="Quinzaine B",AND($P617="Hebdo · groupes alternés",$C617="B"))," Q-B",IF($P617="Exception"," PONCT.","")))&amp;IF($X617="Oui"," OPT","")&amp;CHAR(10)&amp;$K617&amp;CHAR(10)&amp;$M617&amp;IF($N617&lt;&gt;"",CHAR(10)&amp;"Salle "&amp;$N617,"")&amp;IF($O617="En ligne",CHAR(10)&amp;"EN LIGNE","")&amp;IF($V617&lt;&gt;"",CHAR(10)&amp;$V617,"")</f>
        <v/>
      </c>
      <c r="AF617" s="65" t="inlineStr"/>
      <c r="AG617" s="65" t="inlineStr">
        <is>
          <t>— généré —</t>
        </is>
      </c>
    </row>
    <row r="618" ht="15" customHeight="1">
      <c r="A618" s="81" t="inlineStr">
        <is>
          <t>S5</t>
        </is>
      </c>
      <c r="B618" s="82" t="inlineStr">
        <is>
          <t>du 12 au 18 octobre 2026</t>
        </is>
      </c>
      <c r="C618" s="81" t="inlineStr">
        <is>
          <t>A</t>
        </is>
      </c>
      <c r="D618" s="83" t="n">
        <v>46313</v>
      </c>
      <c r="E618" s="81" t="inlineStr">
        <is>
          <t>Dimanche</t>
        </is>
      </c>
      <c r="F618" s="84" t="n">
        <v>0.6458333333333334</v>
      </c>
      <c r="G618" s="84" t="n">
        <v>0.7083333333333334</v>
      </c>
      <c r="H618" s="85">
        <f>IF(OR($F618="",$G618=""),"",($G618-$F618)*24)</f>
        <v/>
      </c>
      <c r="I618" s="81" t="inlineStr">
        <is>
          <t>Bac</t>
        </is>
      </c>
      <c r="J618" s="82" t="inlineStr">
        <is>
          <t>Bac INFO</t>
        </is>
      </c>
      <c r="K618" s="79" t="inlineStr">
        <is>
          <t>Math</t>
        </is>
      </c>
      <c r="L618" s="79" t="inlineStr">
        <is>
          <t>Math</t>
        </is>
      </c>
      <c r="M618" s="82" t="inlineStr">
        <is>
          <t>Lotfi</t>
        </is>
      </c>
      <c r="N618" s="81" t="n"/>
      <c r="O618" s="81" t="n"/>
      <c r="P618" s="81" t="inlineStr">
        <is>
          <t>Hebdomadaire</t>
        </is>
      </c>
      <c r="Q618" s="82" t="inlineStr"/>
      <c r="R618" s="81" t="n">
        <v>1</v>
      </c>
      <c r="S618" s="81" t="inlineStr">
        <is>
          <t>Oui</t>
        </is>
      </c>
      <c r="T618" s="81" t="inlineStr">
        <is>
          <t>S5-090</t>
        </is>
      </c>
      <c r="U618" s="82" t="inlineStr">
        <is>
          <t>Généré (octobre)</t>
        </is>
      </c>
      <c r="V618" s="82" t="inlineStr"/>
      <c r="W618" s="10" t="n"/>
      <c r="X618" s="10" t="inlineStr"/>
      <c r="Y618" s="64">
        <f>IF($M618="","",IF(SUMPRODUCT(($D$4:$D$863=$D618)*($M$4:$M$863=$M618)*($T$4:$T$863&lt;&gt;$T618)*($F$4:$F$863&lt;$G618)*($G$4:$G$863&gt;$F618))&gt;0,"⚠ CONFLIT",""))</f>
        <v/>
      </c>
      <c r="Z618" s="64">
        <f>IF($J618="","",IF(SUMPRODUCT(($D$4:$D$863=$D618)*($J$4:$J$863=$J618)*($T$4:$T$863&lt;&gt;$T618)*($F$4:$F$863&lt;$G618)*($G$4:$G$863&gt;$F618)*(1-($X$4:$X$863="Oui")*($X618="Oui")))&gt;0,"⚠ CONFLIT",""))</f>
        <v/>
      </c>
      <c r="AA618" s="64">
        <f>IF(COUNTIFS($D$4:$D$863,$D618,$J$4:$J$863,$J618,$F$4:$F$863,$F618,$K$4:$K$863,$K618)&gt;1,"⚠ DOUBLON","")</f>
        <v/>
      </c>
      <c r="AB618" s="64">
        <f>IF(COUNTIF($T$4:$T$863,$T618)&lt;&gt;COUNTIFS($T$4:$T$863,$T618,$D$4:$D$863,$D618,$F$4:$F$863,$F618,$G$4:$G$863,$G618,$K$4:$K$863,$K618,$M$4:$M$863,$M618),"⚠ INCOHÉRENT","")</f>
        <v/>
      </c>
      <c r="AC618" s="64">
        <f>COUNTIFS($A$4:$A618,$A618,$J$4:$J618,$J618,$E$4:$E618,$E618)</f>
        <v/>
      </c>
      <c r="AD618" s="65">
        <f>$A618&amp;"|"&amp;$J618&amp;"|"&amp;$E618&amp;"|"&amp;$AC618</f>
        <v/>
      </c>
      <c r="AE618" s="66">
        <f>IF($W618&lt;&gt;"","⚑ "&amp;$W618&amp;CHAR(10),"")&amp;TEXT($F618,"hh:mm")&amp;"-"&amp;TEXT($G618,"hh:mm")&amp;IF(OR($P618="Quinzaine A",AND($P618="Hebdo · groupes alternés",$C618="A"))," Q-A",IF(OR($P618="Quinzaine B",AND($P618="Hebdo · groupes alternés",$C618="B"))," Q-B",IF($P618="Exception"," PONCT.","")))&amp;IF($X618="Oui"," OPT","")&amp;CHAR(10)&amp;$K618&amp;CHAR(10)&amp;$M618&amp;IF($N618&lt;&gt;"",CHAR(10)&amp;"Salle "&amp;$N618,"")&amp;IF($O618="En ligne",CHAR(10)&amp;"EN LIGNE","")&amp;IF($V618&lt;&gt;"",CHAR(10)&amp;$V618,"")</f>
        <v/>
      </c>
      <c r="AF618" s="65" t="inlineStr"/>
      <c r="AG618" s="65" t="inlineStr">
        <is>
          <t>— généré —</t>
        </is>
      </c>
    </row>
    <row r="619" ht="15" customHeight="1">
      <c r="A619" s="58" t="inlineStr">
        <is>
          <t>S6</t>
        </is>
      </c>
      <c r="B619" s="59" t="inlineStr">
        <is>
          <t>du 19 au 25 octobre 2026</t>
        </is>
      </c>
      <c r="C619" s="58" t="inlineStr">
        <is>
          <t>B</t>
        </is>
      </c>
      <c r="D619" s="60" t="n">
        <v>46314</v>
      </c>
      <c r="E619" s="58" t="inlineStr">
        <is>
          <t>Lundi</t>
        </is>
      </c>
      <c r="F619" s="61" t="n">
        <v>0.7916666666666666</v>
      </c>
      <c r="G619" s="61" t="n">
        <v>0.875</v>
      </c>
      <c r="H619" s="62">
        <f>IF(OR($F619="",$G619=""),"",($G619-$F619)*24)</f>
        <v/>
      </c>
      <c r="I619" s="58" t="inlineStr">
        <is>
          <t>Primaire</t>
        </is>
      </c>
      <c r="J619" s="59" t="inlineStr">
        <is>
          <t>4éme</t>
        </is>
      </c>
      <c r="K619" s="63" t="inlineStr">
        <is>
          <t>عربية</t>
        </is>
      </c>
      <c r="L619" s="63" t="inlineStr">
        <is>
          <t>Arabe</t>
        </is>
      </c>
      <c r="M619" s="59" t="inlineStr">
        <is>
          <t>Lobna</t>
        </is>
      </c>
      <c r="N619" s="58" t="n"/>
      <c r="O619" s="58" t="n"/>
      <c r="P619" s="58" t="inlineStr">
        <is>
          <t>Hebdomadaire</t>
        </is>
      </c>
      <c r="Q619" s="59" t="inlineStr"/>
      <c r="R619" s="58" t="n">
        <v>1</v>
      </c>
      <c r="S619" s="58" t="inlineStr">
        <is>
          <t>Oui</t>
        </is>
      </c>
      <c r="T619" s="58" t="inlineStr">
        <is>
          <t>S6-001</t>
        </is>
      </c>
      <c r="U619" s="59" t="inlineStr">
        <is>
          <t>Généré (octobre)</t>
        </is>
      </c>
      <c r="V619" s="59" t="inlineStr"/>
      <c r="W619" s="10" t="n"/>
      <c r="X619" s="10" t="inlineStr"/>
      <c r="Y619" s="64">
        <f>IF($M619="","",IF(SUMPRODUCT(($D$4:$D$863=$D619)*($M$4:$M$863=$M619)*($T$4:$T$863&lt;&gt;$T619)*($F$4:$F$863&lt;$G619)*($G$4:$G$863&gt;$F619))&gt;0,"⚠ CONFLIT",""))</f>
        <v/>
      </c>
      <c r="Z619" s="64">
        <f>IF($J619="","",IF(SUMPRODUCT(($D$4:$D$863=$D619)*($J$4:$J$863=$J619)*($T$4:$T$863&lt;&gt;$T619)*($F$4:$F$863&lt;$G619)*($G$4:$G$863&gt;$F619)*(1-($X$4:$X$863="Oui")*($X619="Oui")))&gt;0,"⚠ CONFLIT",""))</f>
        <v/>
      </c>
      <c r="AA619" s="64">
        <f>IF(COUNTIFS($D$4:$D$863,$D619,$J$4:$J$863,$J619,$F$4:$F$863,$F619,$K$4:$K$863,$K619)&gt;1,"⚠ DOUBLON","")</f>
        <v/>
      </c>
      <c r="AB619" s="64">
        <f>IF(COUNTIF($T$4:$T$863,$T619)&lt;&gt;COUNTIFS($T$4:$T$863,$T619,$D$4:$D$863,$D619,$F$4:$F$863,$F619,$G$4:$G$863,$G619,$K$4:$K$863,$K619,$M$4:$M$863,$M619),"⚠ INCOHÉRENT","")</f>
        <v/>
      </c>
      <c r="AC619" s="64">
        <f>COUNTIFS($A$4:$A619,$A619,$J$4:$J619,$J619,$E$4:$E619,$E619)</f>
        <v/>
      </c>
      <c r="AD619" s="65">
        <f>$A619&amp;"|"&amp;$J619&amp;"|"&amp;$E619&amp;"|"&amp;$AC619</f>
        <v/>
      </c>
      <c r="AE619" s="66">
        <f>IF($W619&lt;&gt;"","⚑ "&amp;$W619&amp;CHAR(10),"")&amp;TEXT($F619,"hh:mm")&amp;"-"&amp;TEXT($G619,"hh:mm")&amp;IF(OR($P619="Quinzaine A",AND($P619="Hebdo · groupes alternés",$C619="A"))," Q-A",IF(OR($P619="Quinzaine B",AND($P619="Hebdo · groupes alternés",$C619="B"))," Q-B",IF($P619="Exception"," PONCT.","")))&amp;IF($X619="Oui"," OPT","")&amp;CHAR(10)&amp;$K619&amp;CHAR(10)&amp;$M619&amp;IF($N619&lt;&gt;"",CHAR(10)&amp;"Salle "&amp;$N619,"")&amp;IF($O619="En ligne",CHAR(10)&amp;"EN LIGNE","")&amp;IF($V619&lt;&gt;"",CHAR(10)&amp;$V619,"")</f>
        <v/>
      </c>
      <c r="AF619" s="65" t="inlineStr"/>
      <c r="AG619" s="65" t="inlineStr">
        <is>
          <t>— généré —</t>
        </is>
      </c>
    </row>
    <row r="620" ht="15" customHeight="1">
      <c r="A620" s="58" t="inlineStr">
        <is>
          <t>S6</t>
        </is>
      </c>
      <c r="B620" s="59" t="inlineStr">
        <is>
          <t>du 19 au 25 octobre 2026</t>
        </is>
      </c>
      <c r="C620" s="58" t="inlineStr">
        <is>
          <t>B</t>
        </is>
      </c>
      <c r="D620" s="60" t="n">
        <v>46314</v>
      </c>
      <c r="E620" s="58" t="inlineStr">
        <is>
          <t>Lundi</t>
        </is>
      </c>
      <c r="F620" s="61" t="n">
        <v>0.7916666666666666</v>
      </c>
      <c r="G620" s="61" t="n">
        <v>0.8541666666666666</v>
      </c>
      <c r="H620" s="62">
        <f>IF(OR($F620="",$G620=""),"",($G620-$F620)*24)</f>
        <v/>
      </c>
      <c r="I620" s="58" t="inlineStr">
        <is>
          <t>Primaire</t>
        </is>
      </c>
      <c r="J620" s="59" t="inlineStr">
        <is>
          <t>6éme Pilote (A)</t>
        </is>
      </c>
      <c r="K620" s="67" t="inlineStr">
        <is>
          <t>Français</t>
        </is>
      </c>
      <c r="L620" s="67" t="inlineStr">
        <is>
          <t>Français</t>
        </is>
      </c>
      <c r="M620" s="59" t="inlineStr">
        <is>
          <t>Hend</t>
        </is>
      </c>
      <c r="N620" s="58" t="n"/>
      <c r="O620" s="58" t="n"/>
      <c r="P620" s="58" t="inlineStr">
        <is>
          <t>Hebdomadaire</t>
        </is>
      </c>
      <c r="Q620" s="59" t="inlineStr"/>
      <c r="R620" s="58" t="n">
        <v>1</v>
      </c>
      <c r="S620" s="58" t="inlineStr">
        <is>
          <t>Oui</t>
        </is>
      </c>
      <c r="T620" s="58" t="inlineStr">
        <is>
          <t>S6-002</t>
        </is>
      </c>
      <c r="U620" s="59" t="inlineStr">
        <is>
          <t>Généré (octobre)</t>
        </is>
      </c>
      <c r="V620" s="59" t="inlineStr"/>
      <c r="W620" s="10" t="n"/>
      <c r="X620" s="10" t="inlineStr"/>
      <c r="Y620" s="64">
        <f>IF($M620="","",IF(SUMPRODUCT(($D$4:$D$863=$D620)*($M$4:$M$863=$M620)*($T$4:$T$863&lt;&gt;$T620)*($F$4:$F$863&lt;$G620)*($G$4:$G$863&gt;$F620))&gt;0,"⚠ CONFLIT",""))</f>
        <v/>
      </c>
      <c r="Z620" s="64">
        <f>IF($J620="","",IF(SUMPRODUCT(($D$4:$D$863=$D620)*($J$4:$J$863=$J620)*($T$4:$T$863&lt;&gt;$T620)*($F$4:$F$863&lt;$G620)*($G$4:$G$863&gt;$F620)*(1-($X$4:$X$863="Oui")*($X620="Oui")))&gt;0,"⚠ CONFLIT",""))</f>
        <v/>
      </c>
      <c r="AA620" s="64">
        <f>IF(COUNTIFS($D$4:$D$863,$D620,$J$4:$J$863,$J620,$F$4:$F$863,$F620,$K$4:$K$863,$K620)&gt;1,"⚠ DOUBLON","")</f>
        <v/>
      </c>
      <c r="AB620" s="64">
        <f>IF(COUNTIF($T$4:$T$863,$T620)&lt;&gt;COUNTIFS($T$4:$T$863,$T620,$D$4:$D$863,$D620,$F$4:$F$863,$F620,$G$4:$G$863,$G620,$K$4:$K$863,$K620,$M$4:$M$863,$M620),"⚠ INCOHÉRENT","")</f>
        <v/>
      </c>
      <c r="AC620" s="64">
        <f>COUNTIFS($A$4:$A620,$A620,$J$4:$J620,$J620,$E$4:$E620,$E620)</f>
        <v/>
      </c>
      <c r="AD620" s="65">
        <f>$A620&amp;"|"&amp;$J620&amp;"|"&amp;$E620&amp;"|"&amp;$AC620</f>
        <v/>
      </c>
      <c r="AE620" s="66">
        <f>IF($W620&lt;&gt;"","⚑ "&amp;$W620&amp;CHAR(10),"")&amp;TEXT($F620,"hh:mm")&amp;"-"&amp;TEXT($G620,"hh:mm")&amp;IF(OR($P620="Quinzaine A",AND($P620="Hebdo · groupes alternés",$C620="A"))," Q-A",IF(OR($P620="Quinzaine B",AND($P620="Hebdo · groupes alternés",$C620="B"))," Q-B",IF($P620="Exception"," PONCT.","")))&amp;IF($X620="Oui"," OPT","")&amp;CHAR(10)&amp;$K620&amp;CHAR(10)&amp;$M620&amp;IF($N620&lt;&gt;"",CHAR(10)&amp;"Salle "&amp;$N620,"")&amp;IF($O620="En ligne",CHAR(10)&amp;"EN LIGNE","")&amp;IF($V620&lt;&gt;"",CHAR(10)&amp;$V620,"")</f>
        <v/>
      </c>
      <c r="AF620" s="65" t="inlineStr"/>
      <c r="AG620" s="65" t="inlineStr">
        <is>
          <t>— généré —</t>
        </is>
      </c>
    </row>
    <row r="621" ht="15" customHeight="1">
      <c r="A621" s="68" t="inlineStr">
        <is>
          <t>S6</t>
        </is>
      </c>
      <c r="B621" s="69" t="inlineStr">
        <is>
          <t>du 19 au 25 octobre 2026</t>
        </is>
      </c>
      <c r="C621" s="68" t="inlineStr">
        <is>
          <t>B</t>
        </is>
      </c>
      <c r="D621" s="70" t="n">
        <v>46314</v>
      </c>
      <c r="E621" s="68" t="inlineStr">
        <is>
          <t>Lundi</t>
        </is>
      </c>
      <c r="F621" s="71" t="n">
        <v>0.8125</v>
      </c>
      <c r="G621" s="71" t="n">
        <v>0.875</v>
      </c>
      <c r="H621" s="72">
        <f>IF(OR($F621="",$G621=""),"",($G621-$F621)*24)</f>
        <v/>
      </c>
      <c r="I621" s="68" t="inlineStr">
        <is>
          <t>Collège</t>
        </is>
      </c>
      <c r="J621" s="69" t="inlineStr">
        <is>
          <t>7éme (B)</t>
        </is>
      </c>
      <c r="K621" s="63" t="inlineStr">
        <is>
          <t>Arabe</t>
        </is>
      </c>
      <c r="L621" s="63" t="inlineStr">
        <is>
          <t>Arabe</t>
        </is>
      </c>
      <c r="M621" s="69" t="inlineStr">
        <is>
          <t>Yahya</t>
        </is>
      </c>
      <c r="N621" s="68" t="n"/>
      <c r="O621" s="68" t="n"/>
      <c r="P621" s="68" t="inlineStr">
        <is>
          <t>Hebdomadaire</t>
        </is>
      </c>
      <c r="Q621" s="69" t="inlineStr"/>
      <c r="R621" s="68" t="n">
        <v>1</v>
      </c>
      <c r="S621" s="68" t="inlineStr">
        <is>
          <t>Oui</t>
        </is>
      </c>
      <c r="T621" s="68" t="inlineStr">
        <is>
          <t>S6-003</t>
        </is>
      </c>
      <c r="U621" s="69" t="inlineStr">
        <is>
          <t>Généré (octobre)</t>
        </is>
      </c>
      <c r="V621" s="69" t="inlineStr"/>
      <c r="W621" s="10" t="n"/>
      <c r="X621" s="10" t="inlineStr"/>
      <c r="Y621" s="64">
        <f>IF($M621="","",IF(SUMPRODUCT(($D$4:$D$863=$D621)*($M$4:$M$863=$M621)*($T$4:$T$863&lt;&gt;$T621)*($F$4:$F$863&lt;$G621)*($G$4:$G$863&gt;$F621))&gt;0,"⚠ CONFLIT",""))</f>
        <v/>
      </c>
      <c r="Z621" s="64">
        <f>IF($J621="","",IF(SUMPRODUCT(($D$4:$D$863=$D621)*($J$4:$J$863=$J621)*($T$4:$T$863&lt;&gt;$T621)*($F$4:$F$863&lt;$G621)*($G$4:$G$863&gt;$F621)*(1-($X$4:$X$863="Oui")*($X621="Oui")))&gt;0,"⚠ CONFLIT",""))</f>
        <v/>
      </c>
      <c r="AA621" s="64">
        <f>IF(COUNTIFS($D$4:$D$863,$D621,$J$4:$J$863,$J621,$F$4:$F$863,$F621,$K$4:$K$863,$K621)&gt;1,"⚠ DOUBLON","")</f>
        <v/>
      </c>
      <c r="AB621" s="64">
        <f>IF(COUNTIF($T$4:$T$863,$T621)&lt;&gt;COUNTIFS($T$4:$T$863,$T621,$D$4:$D$863,$D621,$F$4:$F$863,$F621,$G$4:$G$863,$G621,$K$4:$K$863,$K621,$M$4:$M$863,$M621),"⚠ INCOHÉRENT","")</f>
        <v/>
      </c>
      <c r="AC621" s="64">
        <f>COUNTIFS($A$4:$A621,$A621,$J$4:$J621,$J621,$E$4:$E621,$E621)</f>
        <v/>
      </c>
      <c r="AD621" s="65">
        <f>$A621&amp;"|"&amp;$J621&amp;"|"&amp;$E621&amp;"|"&amp;$AC621</f>
        <v/>
      </c>
      <c r="AE621" s="66">
        <f>IF($W621&lt;&gt;"","⚑ "&amp;$W621&amp;CHAR(10),"")&amp;TEXT($F621,"hh:mm")&amp;"-"&amp;TEXT($G621,"hh:mm")&amp;IF(OR($P621="Quinzaine A",AND($P621="Hebdo · groupes alternés",$C621="A"))," Q-A",IF(OR($P621="Quinzaine B",AND($P621="Hebdo · groupes alternés",$C621="B"))," Q-B",IF($P621="Exception"," PONCT.","")))&amp;IF($X621="Oui"," OPT","")&amp;CHAR(10)&amp;$K621&amp;CHAR(10)&amp;$M621&amp;IF($N621&lt;&gt;"",CHAR(10)&amp;"Salle "&amp;$N621,"")&amp;IF($O621="En ligne",CHAR(10)&amp;"EN LIGNE","")&amp;IF($V621&lt;&gt;"",CHAR(10)&amp;$V621,"")</f>
        <v/>
      </c>
      <c r="AF621" s="65" t="inlineStr"/>
      <c r="AG621" s="65" t="inlineStr">
        <is>
          <t>— généré —</t>
        </is>
      </c>
    </row>
    <row r="622" ht="15" customHeight="1">
      <c r="A622" s="68" t="inlineStr">
        <is>
          <t>S6</t>
        </is>
      </c>
      <c r="B622" s="69" t="inlineStr">
        <is>
          <t>du 19 au 25 octobre 2026</t>
        </is>
      </c>
      <c r="C622" s="68" t="inlineStr">
        <is>
          <t>B</t>
        </is>
      </c>
      <c r="D622" s="70" t="n">
        <v>46314</v>
      </c>
      <c r="E622" s="68" t="inlineStr">
        <is>
          <t>Lundi</t>
        </is>
      </c>
      <c r="F622" s="71" t="n">
        <v>0.8125</v>
      </c>
      <c r="G622" s="71" t="n">
        <v>0.875</v>
      </c>
      <c r="H622" s="72">
        <f>IF(OR($F622="",$G622=""),"",($G622-$F622)*24)</f>
        <v/>
      </c>
      <c r="I622" s="68" t="inlineStr">
        <is>
          <t>Collège</t>
        </is>
      </c>
      <c r="J622" s="69" t="inlineStr">
        <is>
          <t>9éme (A)</t>
        </is>
      </c>
      <c r="K622" s="73" t="inlineStr">
        <is>
          <t>فيزياء</t>
        </is>
      </c>
      <c r="L622" s="73" t="inlineStr">
        <is>
          <t>Physique</t>
        </is>
      </c>
      <c r="M622" s="69" t="inlineStr">
        <is>
          <t>Melek</t>
        </is>
      </c>
      <c r="N622" s="68" t="n"/>
      <c r="O622" s="68" t="n"/>
      <c r="P622" s="68" t="inlineStr">
        <is>
          <t>Hebdomadaire</t>
        </is>
      </c>
      <c r="Q622" s="69" t="inlineStr">
        <is>
          <t>9éme (A) + 9éme (B) + 9éme (C)</t>
        </is>
      </c>
      <c r="R622" s="68" t="n">
        <v>3</v>
      </c>
      <c r="S622" s="68" t="inlineStr">
        <is>
          <t>Oui</t>
        </is>
      </c>
      <c r="T622" s="68" t="inlineStr">
        <is>
          <t>S6-004</t>
        </is>
      </c>
      <c r="U622" s="69" t="inlineStr">
        <is>
          <t>Généré (octobre)</t>
        </is>
      </c>
      <c r="V622" s="69" t="inlineStr"/>
      <c r="W622" s="10" t="n"/>
      <c r="X622" s="10" t="inlineStr"/>
      <c r="Y622" s="64">
        <f>IF($M622="","",IF(SUMPRODUCT(($D$4:$D$863=$D622)*($M$4:$M$863=$M622)*($T$4:$T$863&lt;&gt;$T622)*($F$4:$F$863&lt;$G622)*($G$4:$G$863&gt;$F622))&gt;0,"⚠ CONFLIT",""))</f>
        <v/>
      </c>
      <c r="Z622" s="64">
        <f>IF($J622="","",IF(SUMPRODUCT(($D$4:$D$863=$D622)*($J$4:$J$863=$J622)*($T$4:$T$863&lt;&gt;$T622)*($F$4:$F$863&lt;$G622)*($G$4:$G$863&gt;$F622)*(1-($X$4:$X$863="Oui")*($X622="Oui")))&gt;0,"⚠ CONFLIT",""))</f>
        <v/>
      </c>
      <c r="AA622" s="64">
        <f>IF(COUNTIFS($D$4:$D$863,$D622,$J$4:$J$863,$J622,$F$4:$F$863,$F622,$K$4:$K$863,$K622)&gt;1,"⚠ DOUBLON","")</f>
        <v/>
      </c>
      <c r="AB622" s="64">
        <f>IF(COUNTIF($T$4:$T$863,$T622)&lt;&gt;COUNTIFS($T$4:$T$863,$T622,$D$4:$D$863,$D622,$F$4:$F$863,$F622,$G$4:$G$863,$G622,$K$4:$K$863,$K622,$M$4:$M$863,$M622),"⚠ INCOHÉRENT","")</f>
        <v/>
      </c>
      <c r="AC622" s="64">
        <f>COUNTIFS($A$4:$A622,$A622,$J$4:$J622,$J622,$E$4:$E622,$E622)</f>
        <v/>
      </c>
      <c r="AD622" s="65">
        <f>$A622&amp;"|"&amp;$J622&amp;"|"&amp;$E622&amp;"|"&amp;$AC622</f>
        <v/>
      </c>
      <c r="AE622" s="66">
        <f>IF($W622&lt;&gt;"","⚑ "&amp;$W622&amp;CHAR(10),"")&amp;TEXT($F622,"hh:mm")&amp;"-"&amp;TEXT($G622,"hh:mm")&amp;IF(OR($P622="Quinzaine A",AND($P622="Hebdo · groupes alternés",$C622="A"))," Q-A",IF(OR($P622="Quinzaine B",AND($P622="Hebdo · groupes alternés",$C622="B"))," Q-B",IF($P622="Exception"," PONCT.","")))&amp;IF($X622="Oui"," OPT","")&amp;CHAR(10)&amp;$K622&amp;CHAR(10)&amp;$M622&amp;IF($N622&lt;&gt;"",CHAR(10)&amp;"Salle "&amp;$N622,"")&amp;IF($O622="En ligne",CHAR(10)&amp;"EN LIGNE","")&amp;IF($V622&lt;&gt;"",CHAR(10)&amp;$V622,"")</f>
        <v/>
      </c>
      <c r="AF622" s="65" t="inlineStr"/>
      <c r="AG622" s="65" t="inlineStr">
        <is>
          <t>— généré —</t>
        </is>
      </c>
    </row>
    <row r="623" ht="15" customHeight="1">
      <c r="A623" s="68" t="inlineStr">
        <is>
          <t>S6</t>
        </is>
      </c>
      <c r="B623" s="69" t="inlineStr">
        <is>
          <t>du 19 au 25 octobre 2026</t>
        </is>
      </c>
      <c r="C623" s="68" t="inlineStr">
        <is>
          <t>B</t>
        </is>
      </c>
      <c r="D623" s="70" t="n">
        <v>46314</v>
      </c>
      <c r="E623" s="68" t="inlineStr">
        <is>
          <t>Lundi</t>
        </is>
      </c>
      <c r="F623" s="71" t="n">
        <v>0.8125</v>
      </c>
      <c r="G623" s="71" t="n">
        <v>0.875</v>
      </c>
      <c r="H623" s="72">
        <f>IF(OR($F623="",$G623=""),"",($G623-$F623)*24)</f>
        <v/>
      </c>
      <c r="I623" s="68" t="inlineStr">
        <is>
          <t>Collège</t>
        </is>
      </c>
      <c r="J623" s="69" t="inlineStr">
        <is>
          <t>9éme (B)</t>
        </is>
      </c>
      <c r="K623" s="73" t="inlineStr">
        <is>
          <t>فيزياء</t>
        </is>
      </c>
      <c r="L623" s="73" t="inlineStr">
        <is>
          <t>Physique</t>
        </is>
      </c>
      <c r="M623" s="69" t="inlineStr">
        <is>
          <t>Melek</t>
        </is>
      </c>
      <c r="N623" s="68" t="n"/>
      <c r="O623" s="68" t="n"/>
      <c r="P623" s="68" t="inlineStr">
        <is>
          <t>Hebdomadaire</t>
        </is>
      </c>
      <c r="Q623" s="69" t="inlineStr">
        <is>
          <t>9éme (A) + 9éme (B) + 9éme (C)</t>
        </is>
      </c>
      <c r="R623" s="68" t="n">
        <v>3</v>
      </c>
      <c r="S623" s="68" t="inlineStr"/>
      <c r="T623" s="68" t="inlineStr">
        <is>
          <t>S6-004</t>
        </is>
      </c>
      <c r="U623" s="69" t="inlineStr">
        <is>
          <t>Généré (octobre)</t>
        </is>
      </c>
      <c r="V623" s="69" t="inlineStr"/>
      <c r="W623" s="10" t="n"/>
      <c r="X623" s="10" t="inlineStr"/>
      <c r="Y623" s="64">
        <f>IF($M623="","",IF(SUMPRODUCT(($D$4:$D$863=$D623)*($M$4:$M$863=$M623)*($T$4:$T$863&lt;&gt;$T623)*($F$4:$F$863&lt;$G623)*($G$4:$G$863&gt;$F623))&gt;0,"⚠ CONFLIT",""))</f>
        <v/>
      </c>
      <c r="Z623" s="64">
        <f>IF($J623="","",IF(SUMPRODUCT(($D$4:$D$863=$D623)*($J$4:$J$863=$J623)*($T$4:$T$863&lt;&gt;$T623)*($F$4:$F$863&lt;$G623)*($G$4:$G$863&gt;$F623)*(1-($X$4:$X$863="Oui")*($X623="Oui")))&gt;0,"⚠ CONFLIT",""))</f>
        <v/>
      </c>
      <c r="AA623" s="64">
        <f>IF(COUNTIFS($D$4:$D$863,$D623,$J$4:$J$863,$J623,$F$4:$F$863,$F623,$K$4:$K$863,$K623)&gt;1,"⚠ DOUBLON","")</f>
        <v/>
      </c>
      <c r="AB623" s="64">
        <f>IF(COUNTIF($T$4:$T$863,$T623)&lt;&gt;COUNTIFS($T$4:$T$863,$T623,$D$4:$D$863,$D623,$F$4:$F$863,$F623,$G$4:$G$863,$G623,$K$4:$K$863,$K623,$M$4:$M$863,$M623),"⚠ INCOHÉRENT","")</f>
        <v/>
      </c>
      <c r="AC623" s="64">
        <f>COUNTIFS($A$4:$A623,$A623,$J$4:$J623,$J623,$E$4:$E623,$E623)</f>
        <v/>
      </c>
      <c r="AD623" s="65">
        <f>$A623&amp;"|"&amp;$J623&amp;"|"&amp;$E623&amp;"|"&amp;$AC623</f>
        <v/>
      </c>
      <c r="AE623" s="66">
        <f>IF($W623&lt;&gt;"","⚑ "&amp;$W623&amp;CHAR(10),"")&amp;TEXT($F623,"hh:mm")&amp;"-"&amp;TEXT($G623,"hh:mm")&amp;IF(OR($P623="Quinzaine A",AND($P623="Hebdo · groupes alternés",$C623="A"))," Q-A",IF(OR($P623="Quinzaine B",AND($P623="Hebdo · groupes alternés",$C623="B"))," Q-B",IF($P623="Exception"," PONCT.","")))&amp;IF($X623="Oui"," OPT","")&amp;CHAR(10)&amp;$K623&amp;CHAR(10)&amp;$M623&amp;IF($N623&lt;&gt;"",CHAR(10)&amp;"Salle "&amp;$N623,"")&amp;IF($O623="En ligne",CHAR(10)&amp;"EN LIGNE","")&amp;IF($V623&lt;&gt;"",CHAR(10)&amp;$V623,"")</f>
        <v/>
      </c>
      <c r="AF623" s="65" t="inlineStr"/>
      <c r="AG623" s="65" t="inlineStr">
        <is>
          <t>— généré —</t>
        </is>
      </c>
    </row>
    <row r="624" ht="15" customHeight="1">
      <c r="A624" s="68" t="inlineStr">
        <is>
          <t>S6</t>
        </is>
      </c>
      <c r="B624" s="69" t="inlineStr">
        <is>
          <t>du 19 au 25 octobre 2026</t>
        </is>
      </c>
      <c r="C624" s="68" t="inlineStr">
        <is>
          <t>B</t>
        </is>
      </c>
      <c r="D624" s="70" t="n">
        <v>46314</v>
      </c>
      <c r="E624" s="68" t="inlineStr">
        <is>
          <t>Lundi</t>
        </is>
      </c>
      <c r="F624" s="71" t="n">
        <v>0.8125</v>
      </c>
      <c r="G624" s="71" t="n">
        <v>0.875</v>
      </c>
      <c r="H624" s="72">
        <f>IF(OR($F624="",$G624=""),"",($G624-$F624)*24)</f>
        <v/>
      </c>
      <c r="I624" s="68" t="inlineStr">
        <is>
          <t>Collège</t>
        </is>
      </c>
      <c r="J624" s="69" t="inlineStr">
        <is>
          <t>9éme (C)</t>
        </is>
      </c>
      <c r="K624" s="73" t="inlineStr">
        <is>
          <t>فيزياء</t>
        </is>
      </c>
      <c r="L624" s="73" t="inlineStr">
        <is>
          <t>Physique</t>
        </is>
      </c>
      <c r="M624" s="69" t="inlineStr">
        <is>
          <t>Melek</t>
        </is>
      </c>
      <c r="N624" s="68" t="n"/>
      <c r="O624" s="68" t="n"/>
      <c r="P624" s="68" t="inlineStr">
        <is>
          <t>Hebdomadaire</t>
        </is>
      </c>
      <c r="Q624" s="69" t="inlineStr">
        <is>
          <t>9éme (A) + 9éme (B) + 9éme (C)</t>
        </is>
      </c>
      <c r="R624" s="68" t="n">
        <v>3</v>
      </c>
      <c r="S624" s="68" t="inlineStr"/>
      <c r="T624" s="68" t="inlineStr">
        <is>
          <t>S6-004</t>
        </is>
      </c>
      <c r="U624" s="69" t="inlineStr">
        <is>
          <t>Généré (octobre)</t>
        </is>
      </c>
      <c r="V624" s="69" t="inlineStr"/>
      <c r="W624" s="10" t="n"/>
      <c r="X624" s="10" t="inlineStr"/>
      <c r="Y624" s="64">
        <f>IF($M624="","",IF(SUMPRODUCT(($D$4:$D$863=$D624)*($M$4:$M$863=$M624)*($T$4:$T$863&lt;&gt;$T624)*($F$4:$F$863&lt;$G624)*($G$4:$G$863&gt;$F624))&gt;0,"⚠ CONFLIT",""))</f>
        <v/>
      </c>
      <c r="Z624" s="64">
        <f>IF($J624="","",IF(SUMPRODUCT(($D$4:$D$863=$D624)*($J$4:$J$863=$J624)*($T$4:$T$863&lt;&gt;$T624)*($F$4:$F$863&lt;$G624)*($G$4:$G$863&gt;$F624)*(1-($X$4:$X$863="Oui")*($X624="Oui")))&gt;0,"⚠ CONFLIT",""))</f>
        <v/>
      </c>
      <c r="AA624" s="64">
        <f>IF(COUNTIFS($D$4:$D$863,$D624,$J$4:$J$863,$J624,$F$4:$F$863,$F624,$K$4:$K$863,$K624)&gt;1,"⚠ DOUBLON","")</f>
        <v/>
      </c>
      <c r="AB624" s="64">
        <f>IF(COUNTIF($T$4:$T$863,$T624)&lt;&gt;COUNTIFS($T$4:$T$863,$T624,$D$4:$D$863,$D624,$F$4:$F$863,$F624,$G$4:$G$863,$G624,$K$4:$K$863,$K624,$M$4:$M$863,$M624),"⚠ INCOHÉRENT","")</f>
        <v/>
      </c>
      <c r="AC624" s="64">
        <f>COUNTIFS($A$4:$A624,$A624,$J$4:$J624,$J624,$E$4:$E624,$E624)</f>
        <v/>
      </c>
      <c r="AD624" s="65">
        <f>$A624&amp;"|"&amp;$J624&amp;"|"&amp;$E624&amp;"|"&amp;$AC624</f>
        <v/>
      </c>
      <c r="AE624" s="66">
        <f>IF($W624&lt;&gt;"","⚑ "&amp;$W624&amp;CHAR(10),"")&amp;TEXT($F624,"hh:mm")&amp;"-"&amp;TEXT($G624,"hh:mm")&amp;IF(OR($P624="Quinzaine A",AND($P624="Hebdo · groupes alternés",$C624="A"))," Q-A",IF(OR($P624="Quinzaine B",AND($P624="Hebdo · groupes alternés",$C624="B"))," Q-B",IF($P624="Exception"," PONCT.","")))&amp;IF($X624="Oui"," OPT","")&amp;CHAR(10)&amp;$K624&amp;CHAR(10)&amp;$M624&amp;IF($N624&lt;&gt;"",CHAR(10)&amp;"Salle "&amp;$N624,"")&amp;IF($O624="En ligne",CHAR(10)&amp;"EN LIGNE","")&amp;IF($V624&lt;&gt;"",CHAR(10)&amp;$V624,"")</f>
        <v/>
      </c>
      <c r="AF624" s="65" t="inlineStr"/>
      <c r="AG624" s="65" t="inlineStr">
        <is>
          <t>— généré —</t>
        </is>
      </c>
    </row>
    <row r="625" ht="15" customHeight="1">
      <c r="A625" s="74" t="inlineStr">
        <is>
          <t>S6</t>
        </is>
      </c>
      <c r="B625" s="75" t="inlineStr">
        <is>
          <t>du 19 au 25 octobre 2026</t>
        </is>
      </c>
      <c r="C625" s="74" t="inlineStr">
        <is>
          <t>B</t>
        </is>
      </c>
      <c r="D625" s="76" t="n">
        <v>46314</v>
      </c>
      <c r="E625" s="74" t="inlineStr">
        <is>
          <t>Lundi</t>
        </is>
      </c>
      <c r="F625" s="77" t="n">
        <v>0.8125</v>
      </c>
      <c r="G625" s="77" t="n">
        <v>0.875</v>
      </c>
      <c r="H625" s="78">
        <f>IF(OR($F625="",$G625=""),"",($G625-$F625)*24)</f>
        <v/>
      </c>
      <c r="I625" s="74" t="inlineStr">
        <is>
          <t>Secondaire</t>
        </is>
      </c>
      <c r="J625" s="75" t="inlineStr">
        <is>
          <t>1ére (A)</t>
        </is>
      </c>
      <c r="K625" s="79" t="inlineStr">
        <is>
          <t>Math</t>
        </is>
      </c>
      <c r="L625" s="79" t="inlineStr">
        <is>
          <t>Math</t>
        </is>
      </c>
      <c r="M625" s="75" t="inlineStr">
        <is>
          <t>Haythem</t>
        </is>
      </c>
      <c r="N625" s="74" t="n"/>
      <c r="O625" s="74" t="n"/>
      <c r="P625" s="74" t="inlineStr">
        <is>
          <t>Hebdomadaire</t>
        </is>
      </c>
      <c r="Q625" s="75" t="inlineStr"/>
      <c r="R625" s="74" t="n">
        <v>1</v>
      </c>
      <c r="S625" s="74" t="inlineStr">
        <is>
          <t>Oui</t>
        </is>
      </c>
      <c r="T625" s="74" t="inlineStr">
        <is>
          <t>S6-005</t>
        </is>
      </c>
      <c r="U625" s="75" t="inlineStr">
        <is>
          <t>Généré (octobre)</t>
        </is>
      </c>
      <c r="V625" s="75" t="inlineStr"/>
      <c r="W625" s="10" t="n"/>
      <c r="X625" s="10" t="inlineStr"/>
      <c r="Y625" s="64">
        <f>IF($M625="","",IF(SUMPRODUCT(($D$4:$D$863=$D625)*($M$4:$M$863=$M625)*($T$4:$T$863&lt;&gt;$T625)*($F$4:$F$863&lt;$G625)*($G$4:$G$863&gt;$F625))&gt;0,"⚠ CONFLIT",""))</f>
        <v/>
      </c>
      <c r="Z625" s="64">
        <f>IF($J625="","",IF(SUMPRODUCT(($D$4:$D$863=$D625)*($J$4:$J$863=$J625)*($T$4:$T$863&lt;&gt;$T625)*($F$4:$F$863&lt;$G625)*($G$4:$G$863&gt;$F625)*(1-($X$4:$X$863="Oui")*($X625="Oui")))&gt;0,"⚠ CONFLIT",""))</f>
        <v/>
      </c>
      <c r="AA625" s="64">
        <f>IF(COUNTIFS($D$4:$D$863,$D625,$J$4:$J$863,$J625,$F$4:$F$863,$F625,$K$4:$K$863,$K625)&gt;1,"⚠ DOUBLON","")</f>
        <v/>
      </c>
      <c r="AB625" s="64">
        <f>IF(COUNTIF($T$4:$T$863,$T625)&lt;&gt;COUNTIFS($T$4:$T$863,$T625,$D$4:$D$863,$D625,$F$4:$F$863,$F625,$G$4:$G$863,$G625,$K$4:$K$863,$K625,$M$4:$M$863,$M625),"⚠ INCOHÉRENT","")</f>
        <v/>
      </c>
      <c r="AC625" s="64">
        <f>COUNTIFS($A$4:$A625,$A625,$J$4:$J625,$J625,$E$4:$E625,$E625)</f>
        <v/>
      </c>
      <c r="AD625" s="65">
        <f>$A625&amp;"|"&amp;$J625&amp;"|"&amp;$E625&amp;"|"&amp;$AC625</f>
        <v/>
      </c>
      <c r="AE625" s="66">
        <f>IF($W625&lt;&gt;"","⚑ "&amp;$W625&amp;CHAR(10),"")&amp;TEXT($F625,"hh:mm")&amp;"-"&amp;TEXT($G625,"hh:mm")&amp;IF(OR($P625="Quinzaine A",AND($P625="Hebdo · groupes alternés",$C625="A"))," Q-A",IF(OR($P625="Quinzaine B",AND($P625="Hebdo · groupes alternés",$C625="B"))," Q-B",IF($P625="Exception"," PONCT.","")))&amp;IF($X625="Oui"," OPT","")&amp;CHAR(10)&amp;$K625&amp;CHAR(10)&amp;$M625&amp;IF($N625&lt;&gt;"",CHAR(10)&amp;"Salle "&amp;$N625,"")&amp;IF($O625="En ligne",CHAR(10)&amp;"EN LIGNE","")&amp;IF($V625&lt;&gt;"",CHAR(10)&amp;$V625,"")</f>
        <v/>
      </c>
      <c r="AF625" s="65" t="inlineStr"/>
      <c r="AG625" s="65" t="inlineStr">
        <is>
          <t>— généré —</t>
        </is>
      </c>
    </row>
    <row r="626" ht="15" customHeight="1">
      <c r="A626" s="74" t="inlineStr">
        <is>
          <t>S6</t>
        </is>
      </c>
      <c r="B626" s="75" t="inlineStr">
        <is>
          <t>du 19 au 25 octobre 2026</t>
        </is>
      </c>
      <c r="C626" s="74" t="inlineStr">
        <is>
          <t>B</t>
        </is>
      </c>
      <c r="D626" s="76" t="n">
        <v>46314</v>
      </c>
      <c r="E626" s="74" t="inlineStr">
        <is>
          <t>Lundi</t>
        </is>
      </c>
      <c r="F626" s="77" t="n">
        <v>0.6458333333333334</v>
      </c>
      <c r="G626" s="77" t="n">
        <v>0.7291666666666666</v>
      </c>
      <c r="H626" s="78">
        <f>IF(OR($F626="",$G626=""),"",($G626-$F626)*24)</f>
        <v/>
      </c>
      <c r="I626" s="74" t="inlineStr">
        <is>
          <t>Secondaire</t>
        </is>
      </c>
      <c r="J626" s="75" t="inlineStr">
        <is>
          <t>3éme INFO</t>
        </is>
      </c>
      <c r="K626" s="96" t="inlineStr">
        <is>
          <t>STI</t>
        </is>
      </c>
      <c r="L626" s="96" t="inlineStr">
        <is>
          <t>STI</t>
        </is>
      </c>
      <c r="M626" s="75" t="inlineStr">
        <is>
          <t>Aymen</t>
        </is>
      </c>
      <c r="N626" s="74" t="n"/>
      <c r="O626" s="74" t="n"/>
      <c r="P626" s="74" t="inlineStr">
        <is>
          <t>Hebdomadaire</t>
        </is>
      </c>
      <c r="Q626" s="75" t="inlineStr"/>
      <c r="R626" s="74" t="n">
        <v>1</v>
      </c>
      <c r="S626" s="74" t="inlineStr">
        <is>
          <t>Oui</t>
        </is>
      </c>
      <c r="T626" s="74" t="inlineStr">
        <is>
          <t>S6-092</t>
        </is>
      </c>
      <c r="U626" s="75" t="inlineStr">
        <is>
          <t>Généré (octobre)</t>
        </is>
      </c>
      <c r="V626" s="75" t="inlineStr"/>
      <c r="W626" s="10" t="n"/>
      <c r="X626" s="10" t="inlineStr"/>
      <c r="Y626" s="64">
        <f>IF($M626="","",IF(SUMPRODUCT(($D$4:$D$863=$D626)*($M$4:$M$863=$M626)*($T$4:$T$863&lt;&gt;$T626)*($F$4:$F$863&lt;$G626)*($G$4:$G$863&gt;$F626))&gt;0,"⚠ CONFLIT",""))</f>
        <v/>
      </c>
      <c r="Z626" s="64">
        <f>IF($J626="","",IF(SUMPRODUCT(($D$4:$D$863=$D626)*($J$4:$J$863=$J626)*($T$4:$T$863&lt;&gt;$T626)*($F$4:$F$863&lt;$G626)*($G$4:$G$863&gt;$F626)*(1-($X$4:$X$863="Oui")*($X626="Oui")))&gt;0,"⚠ CONFLIT",""))</f>
        <v/>
      </c>
      <c r="AA626" s="64">
        <f>IF(COUNTIFS($D$4:$D$863,$D626,$J$4:$J$863,$J626,$F$4:$F$863,$F626,$K$4:$K$863,$K626)&gt;1,"⚠ DOUBLON","")</f>
        <v/>
      </c>
      <c r="AB626" s="64">
        <f>IF(COUNTIF($T$4:$T$863,$T626)&lt;&gt;COUNTIFS($T$4:$T$863,$T626,$D$4:$D$863,$D626,$F$4:$F$863,$F626,$G$4:$G$863,$G626,$K$4:$K$863,$K626,$M$4:$M$863,$M626),"⚠ INCOHÉRENT","")</f>
        <v/>
      </c>
      <c r="AC626" s="64">
        <f>COUNTIFS($A$4:$A626,$A626,$J$4:$J626,$J626,$E$4:$E626,$E626)</f>
        <v/>
      </c>
      <c r="AD626" s="65">
        <f>$A626&amp;"|"&amp;$J626&amp;"|"&amp;$E626&amp;"|"&amp;$AC626</f>
        <v/>
      </c>
      <c r="AE626" s="66">
        <f>IF($W626&lt;&gt;"","⚑ "&amp;$W626&amp;CHAR(10),"")&amp;TEXT($F626,"hh:mm")&amp;"-"&amp;TEXT($G626,"hh:mm")&amp;IF(OR($P626="Quinzaine A",AND($P626="Hebdo · groupes alternés",$C626="A"))," Q-A",IF(OR($P626="Quinzaine B",AND($P626="Hebdo · groupes alternés",$C626="B"))," Q-B",IF($P626="Exception"," PONCT.","")))&amp;IF($X626="Oui"," OPT","")&amp;CHAR(10)&amp;$K626&amp;CHAR(10)&amp;$M626&amp;IF($N626&lt;&gt;"",CHAR(10)&amp;"Salle "&amp;$N626,"")&amp;IF($O626="En ligne",CHAR(10)&amp;"EN LIGNE","")&amp;IF($V626&lt;&gt;"",CHAR(10)&amp;$V626,"")</f>
        <v/>
      </c>
      <c r="AF626" s="65" t="inlineStr"/>
      <c r="AG626" s="65" t="inlineStr">
        <is>
          <t>— généré —</t>
        </is>
      </c>
    </row>
    <row r="627" ht="15" customHeight="1">
      <c r="A627" s="74" t="inlineStr">
        <is>
          <t>S6</t>
        </is>
      </c>
      <c r="B627" s="75" t="inlineStr">
        <is>
          <t>du 19 au 25 octobre 2026</t>
        </is>
      </c>
      <c r="C627" s="74" t="inlineStr">
        <is>
          <t>B</t>
        </is>
      </c>
      <c r="D627" s="76" t="n">
        <v>46314</v>
      </c>
      <c r="E627" s="74" t="inlineStr">
        <is>
          <t>Lundi</t>
        </is>
      </c>
      <c r="F627" s="77" t="n">
        <v>0.7916666666666666</v>
      </c>
      <c r="G627" s="77" t="n">
        <v>0.8541666666666666</v>
      </c>
      <c r="H627" s="78">
        <f>IF(OR($F627="",$G627=""),"",($G627-$F627)*24)</f>
        <v/>
      </c>
      <c r="I627" s="74" t="inlineStr">
        <is>
          <t>Secondaire</t>
        </is>
      </c>
      <c r="J627" s="75" t="inlineStr">
        <is>
          <t>3éme SCE</t>
        </is>
      </c>
      <c r="K627" s="79" t="inlineStr">
        <is>
          <t>Math</t>
        </is>
      </c>
      <c r="L627" s="79" t="inlineStr">
        <is>
          <t>Math</t>
        </is>
      </c>
      <c r="M627" s="75" t="inlineStr">
        <is>
          <t>Lotfi</t>
        </is>
      </c>
      <c r="N627" s="74" t="n"/>
      <c r="O627" s="74" t="n"/>
      <c r="P627" s="74" t="inlineStr">
        <is>
          <t>Hebdomadaire</t>
        </is>
      </c>
      <c r="Q627" s="75" t="inlineStr"/>
      <c r="R627" s="74" t="n">
        <v>1</v>
      </c>
      <c r="S627" s="74" t="inlineStr">
        <is>
          <t>Oui</t>
        </is>
      </c>
      <c r="T627" s="74" t="inlineStr">
        <is>
          <t>S6-093</t>
        </is>
      </c>
      <c r="U627" s="75" t="inlineStr">
        <is>
          <t>Généré (octobre)</t>
        </is>
      </c>
      <c r="V627" s="75" t="inlineStr"/>
      <c r="W627" s="10" t="n"/>
      <c r="X627" s="10" t="inlineStr"/>
      <c r="Y627" s="64">
        <f>IF($M627="","",IF(SUMPRODUCT(($D$4:$D$863=$D627)*($M$4:$M$863=$M627)*($T$4:$T$863&lt;&gt;$T627)*($F$4:$F$863&lt;$G627)*($G$4:$G$863&gt;$F627))&gt;0,"⚠ CONFLIT",""))</f>
        <v/>
      </c>
      <c r="Z627" s="64">
        <f>IF($J627="","",IF(SUMPRODUCT(($D$4:$D$863=$D627)*($J$4:$J$863=$J627)*($T$4:$T$863&lt;&gt;$T627)*($F$4:$F$863&lt;$G627)*($G$4:$G$863&gt;$F627)*(1-($X$4:$X$863="Oui")*($X627="Oui")))&gt;0,"⚠ CONFLIT",""))</f>
        <v/>
      </c>
      <c r="AA627" s="64">
        <f>IF(COUNTIFS($D$4:$D$863,$D627,$J$4:$J$863,$J627,$F$4:$F$863,$F627,$K$4:$K$863,$K627)&gt;1,"⚠ DOUBLON","")</f>
        <v/>
      </c>
      <c r="AB627" s="64">
        <f>IF(COUNTIF($T$4:$T$863,$T627)&lt;&gt;COUNTIFS($T$4:$T$863,$T627,$D$4:$D$863,$D627,$F$4:$F$863,$F627,$G$4:$G$863,$G627,$K$4:$K$863,$K627,$M$4:$M$863,$M627),"⚠ INCOHÉRENT","")</f>
        <v/>
      </c>
      <c r="AC627" s="64">
        <f>COUNTIFS($A$4:$A627,$A627,$J$4:$J627,$J627,$E$4:$E627,$E627)</f>
        <v/>
      </c>
      <c r="AD627" s="65">
        <f>$A627&amp;"|"&amp;$J627&amp;"|"&amp;$E627&amp;"|"&amp;$AC627</f>
        <v/>
      </c>
      <c r="AE627" s="66">
        <f>IF($W627&lt;&gt;"","⚑ "&amp;$W627&amp;CHAR(10),"")&amp;TEXT($F627,"hh:mm")&amp;"-"&amp;TEXT($G627,"hh:mm")&amp;IF(OR($P627="Quinzaine A",AND($P627="Hebdo · groupes alternés",$C627="A"))," Q-A",IF(OR($P627="Quinzaine B",AND($P627="Hebdo · groupes alternés",$C627="B"))," Q-B",IF($P627="Exception"," PONCT.","")))&amp;IF($X627="Oui"," OPT","")&amp;CHAR(10)&amp;$K627&amp;CHAR(10)&amp;$M627&amp;IF($N627&lt;&gt;"",CHAR(10)&amp;"Salle "&amp;$N627,"")&amp;IF($O627="En ligne",CHAR(10)&amp;"EN LIGNE","")&amp;IF($V627&lt;&gt;"",CHAR(10)&amp;$V627,"")</f>
        <v/>
      </c>
      <c r="AF627" s="65" t="inlineStr"/>
      <c r="AG627" s="65" t="inlineStr">
        <is>
          <t>— généré —</t>
        </is>
      </c>
    </row>
    <row r="628" ht="15" customHeight="1">
      <c r="A628" s="81" t="inlineStr">
        <is>
          <t>S6</t>
        </is>
      </c>
      <c r="B628" s="82" t="inlineStr">
        <is>
          <t>du 19 au 25 octobre 2026</t>
        </is>
      </c>
      <c r="C628" s="81" t="inlineStr">
        <is>
          <t>B</t>
        </is>
      </c>
      <c r="D628" s="83" t="n">
        <v>46314</v>
      </c>
      <c r="E628" s="81" t="inlineStr">
        <is>
          <t>Lundi</t>
        </is>
      </c>
      <c r="F628" s="84" t="n">
        <v>0.7916666666666666</v>
      </c>
      <c r="G628" s="84" t="n">
        <v>0.875</v>
      </c>
      <c r="H628" s="85">
        <f>IF(OR($F628="",$G628=""),"",($G628-$F628)*24)</f>
        <v/>
      </c>
      <c r="I628" s="81" t="inlineStr">
        <is>
          <t>Bac</t>
        </is>
      </c>
      <c r="J628" s="82" t="inlineStr">
        <is>
          <t>Bac Eco</t>
        </is>
      </c>
      <c r="K628" s="86" t="inlineStr">
        <is>
          <t>Gestion</t>
        </is>
      </c>
      <c r="L628" s="86" t="inlineStr">
        <is>
          <t>Gestion</t>
        </is>
      </c>
      <c r="M628" s="82" t="inlineStr">
        <is>
          <t>Yassine</t>
        </is>
      </c>
      <c r="N628" s="81" t="n"/>
      <c r="O628" s="81" t="n"/>
      <c r="P628" s="81" t="inlineStr">
        <is>
          <t>Hebdomadaire</t>
        </is>
      </c>
      <c r="Q628" s="82" t="inlineStr"/>
      <c r="R628" s="81" t="n">
        <v>1</v>
      </c>
      <c r="S628" s="81" t="inlineStr">
        <is>
          <t>Oui</t>
        </is>
      </c>
      <c r="T628" s="81" t="inlineStr">
        <is>
          <t>S6-006</t>
        </is>
      </c>
      <c r="U628" s="82" t="inlineStr">
        <is>
          <t>Généré (octobre)</t>
        </is>
      </c>
      <c r="V628" s="82" t="inlineStr"/>
      <c r="W628" s="10" t="n"/>
      <c r="X628" s="10" t="inlineStr"/>
      <c r="Y628" s="64">
        <f>IF($M628="","",IF(SUMPRODUCT(($D$4:$D$863=$D628)*($M$4:$M$863=$M628)*($T$4:$T$863&lt;&gt;$T628)*($F$4:$F$863&lt;$G628)*($G$4:$G$863&gt;$F628))&gt;0,"⚠ CONFLIT",""))</f>
        <v/>
      </c>
      <c r="Z628" s="64">
        <f>IF($J628="","",IF(SUMPRODUCT(($D$4:$D$863=$D628)*($J$4:$J$863=$J628)*($T$4:$T$863&lt;&gt;$T628)*($F$4:$F$863&lt;$G628)*($G$4:$G$863&gt;$F628)*(1-($X$4:$X$863="Oui")*($X628="Oui")))&gt;0,"⚠ CONFLIT",""))</f>
        <v/>
      </c>
      <c r="AA628" s="64">
        <f>IF(COUNTIFS($D$4:$D$863,$D628,$J$4:$J$863,$J628,$F$4:$F$863,$F628,$K$4:$K$863,$K628)&gt;1,"⚠ DOUBLON","")</f>
        <v/>
      </c>
      <c r="AB628" s="64">
        <f>IF(COUNTIF($T$4:$T$863,$T628)&lt;&gt;COUNTIFS($T$4:$T$863,$T628,$D$4:$D$863,$D628,$F$4:$F$863,$F628,$G$4:$G$863,$G628,$K$4:$K$863,$K628,$M$4:$M$863,$M628),"⚠ INCOHÉRENT","")</f>
        <v/>
      </c>
      <c r="AC628" s="64">
        <f>COUNTIFS($A$4:$A628,$A628,$J$4:$J628,$J628,$E$4:$E628,$E628)</f>
        <v/>
      </c>
      <c r="AD628" s="65">
        <f>$A628&amp;"|"&amp;$J628&amp;"|"&amp;$E628&amp;"|"&amp;$AC628</f>
        <v/>
      </c>
      <c r="AE628" s="66">
        <f>IF($W628&lt;&gt;"","⚑ "&amp;$W628&amp;CHAR(10),"")&amp;TEXT($F628,"hh:mm")&amp;"-"&amp;TEXT($G628,"hh:mm")&amp;IF(OR($P628="Quinzaine A",AND($P628="Hebdo · groupes alternés",$C628="A"))," Q-A",IF(OR($P628="Quinzaine B",AND($P628="Hebdo · groupes alternés",$C628="B"))," Q-B",IF($P628="Exception"," PONCT.","")))&amp;IF($X628="Oui"," OPT","")&amp;CHAR(10)&amp;$K628&amp;CHAR(10)&amp;$M628&amp;IF($N628&lt;&gt;"",CHAR(10)&amp;"Salle "&amp;$N628,"")&amp;IF($O628="En ligne",CHAR(10)&amp;"EN LIGNE","")&amp;IF($V628&lt;&gt;"",CHAR(10)&amp;$V628,"")</f>
        <v/>
      </c>
      <c r="AF628" s="65" t="inlineStr"/>
      <c r="AG628" s="65" t="inlineStr">
        <is>
          <t>— généré —</t>
        </is>
      </c>
    </row>
    <row r="629" ht="15" customHeight="1">
      <c r="A629" s="81" t="inlineStr">
        <is>
          <t>S6</t>
        </is>
      </c>
      <c r="B629" s="82" t="inlineStr">
        <is>
          <t>du 19 au 25 octobre 2026</t>
        </is>
      </c>
      <c r="C629" s="81" t="inlineStr">
        <is>
          <t>B</t>
        </is>
      </c>
      <c r="D629" s="83" t="n">
        <v>46314</v>
      </c>
      <c r="E629" s="81" t="inlineStr">
        <is>
          <t>Lundi</t>
        </is>
      </c>
      <c r="F629" s="84" t="n">
        <v>0.7916666666666666</v>
      </c>
      <c r="G629" s="84" t="n">
        <v>0.875</v>
      </c>
      <c r="H629" s="85">
        <f>IF(OR($F629="",$G629=""),"",($G629-$F629)*24)</f>
        <v/>
      </c>
      <c r="I629" s="81" t="inlineStr">
        <is>
          <t>Bac</t>
        </is>
      </c>
      <c r="J629" s="82" t="inlineStr">
        <is>
          <t>Bac SCE</t>
        </is>
      </c>
      <c r="K629" s="73" t="inlineStr">
        <is>
          <t>Physique</t>
        </is>
      </c>
      <c r="L629" s="73" t="inlineStr">
        <is>
          <t>Physique</t>
        </is>
      </c>
      <c r="M629" s="82" t="inlineStr">
        <is>
          <t>Sondes</t>
        </is>
      </c>
      <c r="N629" s="81" t="n"/>
      <c r="O629" s="81" t="n"/>
      <c r="P629" s="81" t="inlineStr">
        <is>
          <t>Hebdomadaire</t>
        </is>
      </c>
      <c r="Q629" s="82" t="inlineStr"/>
      <c r="R629" s="81" t="n">
        <v>1</v>
      </c>
      <c r="S629" s="81" t="inlineStr">
        <is>
          <t>Oui</t>
        </is>
      </c>
      <c r="T629" s="81" t="inlineStr">
        <is>
          <t>S6-007</t>
        </is>
      </c>
      <c r="U629" s="82" t="inlineStr">
        <is>
          <t>Généré (octobre)</t>
        </is>
      </c>
      <c r="V629" s="82" t="inlineStr"/>
      <c r="W629" s="10" t="n"/>
      <c r="X629" s="10" t="inlineStr"/>
      <c r="Y629" s="64">
        <f>IF($M629="","",IF(SUMPRODUCT(($D$4:$D$863=$D629)*($M$4:$M$863=$M629)*($T$4:$T$863&lt;&gt;$T629)*($F$4:$F$863&lt;$G629)*($G$4:$G$863&gt;$F629))&gt;0,"⚠ CONFLIT",""))</f>
        <v/>
      </c>
      <c r="Z629" s="64">
        <f>IF($J629="","",IF(SUMPRODUCT(($D$4:$D$863=$D629)*($J$4:$J$863=$J629)*($T$4:$T$863&lt;&gt;$T629)*($F$4:$F$863&lt;$G629)*($G$4:$G$863&gt;$F629)*(1-($X$4:$X$863="Oui")*($X629="Oui")))&gt;0,"⚠ CONFLIT",""))</f>
        <v/>
      </c>
      <c r="AA629" s="64">
        <f>IF(COUNTIFS($D$4:$D$863,$D629,$J$4:$J$863,$J629,$F$4:$F$863,$F629,$K$4:$K$863,$K629)&gt;1,"⚠ DOUBLON","")</f>
        <v/>
      </c>
      <c r="AB629" s="64">
        <f>IF(COUNTIF($T$4:$T$863,$T629)&lt;&gt;COUNTIFS($T$4:$T$863,$T629,$D$4:$D$863,$D629,$F$4:$F$863,$F629,$G$4:$G$863,$G629,$K$4:$K$863,$K629,$M$4:$M$863,$M629),"⚠ INCOHÉRENT","")</f>
        <v/>
      </c>
      <c r="AC629" s="64">
        <f>COUNTIFS($A$4:$A629,$A629,$J$4:$J629,$J629,$E$4:$E629,$E629)</f>
        <v/>
      </c>
      <c r="AD629" s="65">
        <f>$A629&amp;"|"&amp;$J629&amp;"|"&amp;$E629&amp;"|"&amp;$AC629</f>
        <v/>
      </c>
      <c r="AE629" s="66">
        <f>IF($W629&lt;&gt;"","⚑ "&amp;$W629&amp;CHAR(10),"")&amp;TEXT($F629,"hh:mm")&amp;"-"&amp;TEXT($G629,"hh:mm")&amp;IF(OR($P629="Quinzaine A",AND($P629="Hebdo · groupes alternés",$C629="A"))," Q-A",IF(OR($P629="Quinzaine B",AND($P629="Hebdo · groupes alternés",$C629="B"))," Q-B",IF($P629="Exception"," PONCT.","")))&amp;IF($X629="Oui"," OPT","")&amp;CHAR(10)&amp;$K629&amp;CHAR(10)&amp;$M629&amp;IF($N629&lt;&gt;"",CHAR(10)&amp;"Salle "&amp;$N629,"")&amp;IF($O629="En ligne",CHAR(10)&amp;"EN LIGNE","")&amp;IF($V629&lt;&gt;"",CHAR(10)&amp;$V629,"")</f>
        <v/>
      </c>
      <c r="AF629" s="65" t="inlineStr"/>
      <c r="AG629" s="65" t="inlineStr">
        <is>
          <t>— généré —</t>
        </is>
      </c>
    </row>
    <row r="630" ht="15" customHeight="1">
      <c r="A630" s="81" t="inlineStr">
        <is>
          <t>S6</t>
        </is>
      </c>
      <c r="B630" s="82" t="inlineStr">
        <is>
          <t>du 19 au 25 octobre 2026</t>
        </is>
      </c>
      <c r="C630" s="81" t="inlineStr">
        <is>
          <t>B</t>
        </is>
      </c>
      <c r="D630" s="83" t="n">
        <v>46314</v>
      </c>
      <c r="E630" s="81" t="inlineStr">
        <is>
          <t>Lundi</t>
        </is>
      </c>
      <c r="F630" s="84" t="n">
        <v>0.8125</v>
      </c>
      <c r="G630" s="84" t="n">
        <v>0.875</v>
      </c>
      <c r="H630" s="85">
        <f>IF(OR($F630="",$G630=""),"",($G630-$F630)*24)</f>
        <v/>
      </c>
      <c r="I630" s="81" t="inlineStr">
        <is>
          <t>Bac</t>
        </is>
      </c>
      <c r="J630" s="82" t="inlineStr">
        <is>
          <t>Bac INFO</t>
        </is>
      </c>
      <c r="K630" s="73" t="inlineStr">
        <is>
          <t>Physique</t>
        </is>
      </c>
      <c r="L630" s="73" t="inlineStr">
        <is>
          <t>Physique</t>
        </is>
      </c>
      <c r="M630" s="82" t="inlineStr">
        <is>
          <t>Samia</t>
        </is>
      </c>
      <c r="N630" s="81" t="n"/>
      <c r="O630" s="81" t="n"/>
      <c r="P630" s="81" t="inlineStr">
        <is>
          <t>Hebdomadaire</t>
        </is>
      </c>
      <c r="Q630" s="82" t="inlineStr"/>
      <c r="R630" s="81" t="n">
        <v>1</v>
      </c>
      <c r="S630" s="81" t="inlineStr">
        <is>
          <t>Oui</t>
        </is>
      </c>
      <c r="T630" s="81" t="inlineStr">
        <is>
          <t>S6-008</t>
        </is>
      </c>
      <c r="U630" s="82" t="inlineStr">
        <is>
          <t>Généré (octobre)</t>
        </is>
      </c>
      <c r="V630" s="82" t="inlineStr"/>
      <c r="W630" s="10" t="n"/>
      <c r="X630" s="10" t="inlineStr"/>
      <c r="Y630" s="64">
        <f>IF($M630="","",IF(SUMPRODUCT(($D$4:$D$863=$D630)*($M$4:$M$863=$M630)*($T$4:$T$863&lt;&gt;$T630)*($F$4:$F$863&lt;$G630)*($G$4:$G$863&gt;$F630))&gt;0,"⚠ CONFLIT",""))</f>
        <v/>
      </c>
      <c r="Z630" s="64">
        <f>IF($J630="","",IF(SUMPRODUCT(($D$4:$D$863=$D630)*($J$4:$J$863=$J630)*($T$4:$T$863&lt;&gt;$T630)*($F$4:$F$863&lt;$G630)*($G$4:$G$863&gt;$F630)*(1-($X$4:$X$863="Oui")*($X630="Oui")))&gt;0,"⚠ CONFLIT",""))</f>
        <v/>
      </c>
      <c r="AA630" s="64">
        <f>IF(COUNTIFS($D$4:$D$863,$D630,$J$4:$J$863,$J630,$F$4:$F$863,$F630,$K$4:$K$863,$K630)&gt;1,"⚠ DOUBLON","")</f>
        <v/>
      </c>
      <c r="AB630" s="64">
        <f>IF(COUNTIF($T$4:$T$863,$T630)&lt;&gt;COUNTIFS($T$4:$T$863,$T630,$D$4:$D$863,$D630,$F$4:$F$863,$F630,$G$4:$G$863,$G630,$K$4:$K$863,$K630,$M$4:$M$863,$M630),"⚠ INCOHÉRENT","")</f>
        <v/>
      </c>
      <c r="AC630" s="64">
        <f>COUNTIFS($A$4:$A630,$A630,$J$4:$J630,$J630,$E$4:$E630,$E630)</f>
        <v/>
      </c>
      <c r="AD630" s="65">
        <f>$A630&amp;"|"&amp;$J630&amp;"|"&amp;$E630&amp;"|"&amp;$AC630</f>
        <v/>
      </c>
      <c r="AE630" s="66">
        <f>IF($W630&lt;&gt;"","⚑ "&amp;$W630&amp;CHAR(10),"")&amp;TEXT($F630,"hh:mm")&amp;"-"&amp;TEXT($G630,"hh:mm")&amp;IF(OR($P630="Quinzaine A",AND($P630="Hebdo · groupes alternés",$C630="A"))," Q-A",IF(OR($P630="Quinzaine B",AND($P630="Hebdo · groupes alternés",$C630="B"))," Q-B",IF($P630="Exception"," PONCT.","")))&amp;IF($X630="Oui"," OPT","")&amp;CHAR(10)&amp;$K630&amp;CHAR(10)&amp;$M630&amp;IF($N630&lt;&gt;"",CHAR(10)&amp;"Salle "&amp;$N630,"")&amp;IF($O630="En ligne",CHAR(10)&amp;"EN LIGNE","")&amp;IF($V630&lt;&gt;"",CHAR(10)&amp;$V630,"")</f>
        <v/>
      </c>
      <c r="AF630" s="65" t="inlineStr"/>
      <c r="AG630" s="65" t="inlineStr">
        <is>
          <t>— généré —</t>
        </is>
      </c>
    </row>
    <row r="631" ht="15" customHeight="1">
      <c r="A631" s="58" t="inlineStr">
        <is>
          <t>S6</t>
        </is>
      </c>
      <c r="B631" s="59" t="inlineStr">
        <is>
          <t>du 19 au 25 octobre 2026</t>
        </is>
      </c>
      <c r="C631" s="58" t="inlineStr">
        <is>
          <t>B</t>
        </is>
      </c>
      <c r="D631" s="60" t="n">
        <v>46315</v>
      </c>
      <c r="E631" s="58" t="inlineStr">
        <is>
          <t>Mardi</t>
        </is>
      </c>
      <c r="F631" s="61" t="n">
        <v>0.7916666666666666</v>
      </c>
      <c r="G631" s="61" t="n">
        <v>0.875</v>
      </c>
      <c r="H631" s="62">
        <f>IF(OR($F631="",$G631=""),"",($G631-$F631)*24)</f>
        <v/>
      </c>
      <c r="I631" s="58" t="inlineStr">
        <is>
          <t>Primaire</t>
        </is>
      </c>
      <c r="J631" s="59" t="inlineStr">
        <is>
          <t>5éme</t>
        </is>
      </c>
      <c r="K631" s="63" t="inlineStr">
        <is>
          <t>عربية</t>
        </is>
      </c>
      <c r="L631" s="63" t="inlineStr">
        <is>
          <t>Arabe</t>
        </is>
      </c>
      <c r="M631" s="59" t="inlineStr">
        <is>
          <t>Lobna</t>
        </is>
      </c>
      <c r="N631" s="58" t="n"/>
      <c r="O631" s="58" t="n"/>
      <c r="P631" s="58" t="inlineStr">
        <is>
          <t>Hebdomadaire</t>
        </is>
      </c>
      <c r="Q631" s="59" t="inlineStr"/>
      <c r="R631" s="58" t="n">
        <v>1</v>
      </c>
      <c r="S631" s="58" t="inlineStr">
        <is>
          <t>Oui</t>
        </is>
      </c>
      <c r="T631" s="58" t="inlineStr">
        <is>
          <t>S6-009</t>
        </is>
      </c>
      <c r="U631" s="59" t="inlineStr">
        <is>
          <t>Généré (octobre)</t>
        </is>
      </c>
      <c r="V631" s="59" t="inlineStr"/>
      <c r="W631" s="10" t="n"/>
      <c r="X631" s="10" t="inlineStr"/>
      <c r="Y631" s="64">
        <f>IF($M631="","",IF(SUMPRODUCT(($D$4:$D$863=$D631)*($M$4:$M$863=$M631)*($T$4:$T$863&lt;&gt;$T631)*($F$4:$F$863&lt;$G631)*($G$4:$G$863&gt;$F631))&gt;0,"⚠ CONFLIT",""))</f>
        <v/>
      </c>
      <c r="Z631" s="64">
        <f>IF($J631="","",IF(SUMPRODUCT(($D$4:$D$863=$D631)*($J$4:$J$863=$J631)*($T$4:$T$863&lt;&gt;$T631)*($F$4:$F$863&lt;$G631)*($G$4:$G$863&gt;$F631)*(1-($X$4:$X$863="Oui")*($X631="Oui")))&gt;0,"⚠ CONFLIT",""))</f>
        <v/>
      </c>
      <c r="AA631" s="64">
        <f>IF(COUNTIFS($D$4:$D$863,$D631,$J$4:$J$863,$J631,$F$4:$F$863,$F631,$K$4:$K$863,$K631)&gt;1,"⚠ DOUBLON","")</f>
        <v/>
      </c>
      <c r="AB631" s="64">
        <f>IF(COUNTIF($T$4:$T$863,$T631)&lt;&gt;COUNTIFS($T$4:$T$863,$T631,$D$4:$D$863,$D631,$F$4:$F$863,$F631,$G$4:$G$863,$G631,$K$4:$K$863,$K631,$M$4:$M$863,$M631),"⚠ INCOHÉRENT","")</f>
        <v/>
      </c>
      <c r="AC631" s="64">
        <f>COUNTIFS($A$4:$A631,$A631,$J$4:$J631,$J631,$E$4:$E631,$E631)</f>
        <v/>
      </c>
      <c r="AD631" s="65">
        <f>$A631&amp;"|"&amp;$J631&amp;"|"&amp;$E631&amp;"|"&amp;$AC631</f>
        <v/>
      </c>
      <c r="AE631" s="66">
        <f>IF($W631&lt;&gt;"","⚑ "&amp;$W631&amp;CHAR(10),"")&amp;TEXT($F631,"hh:mm")&amp;"-"&amp;TEXT($G631,"hh:mm")&amp;IF(OR($P631="Quinzaine A",AND($P631="Hebdo · groupes alternés",$C631="A"))," Q-A",IF(OR($P631="Quinzaine B",AND($P631="Hebdo · groupes alternés",$C631="B"))," Q-B",IF($P631="Exception"," PONCT.","")))&amp;IF($X631="Oui"," OPT","")&amp;CHAR(10)&amp;$K631&amp;CHAR(10)&amp;$M631&amp;IF($N631&lt;&gt;"",CHAR(10)&amp;"Salle "&amp;$N631,"")&amp;IF($O631="En ligne",CHAR(10)&amp;"EN LIGNE","")&amp;IF($V631&lt;&gt;"",CHAR(10)&amp;$V631,"")</f>
        <v/>
      </c>
      <c r="AF631" s="65" t="inlineStr"/>
      <c r="AG631" s="65" t="inlineStr">
        <is>
          <t>— généré —</t>
        </is>
      </c>
    </row>
    <row r="632" ht="15" customHeight="1">
      <c r="A632" s="58" t="inlineStr">
        <is>
          <t>S6</t>
        </is>
      </c>
      <c r="B632" s="59" t="inlineStr">
        <is>
          <t>du 19 au 25 octobre 2026</t>
        </is>
      </c>
      <c r="C632" s="58" t="inlineStr">
        <is>
          <t>B</t>
        </is>
      </c>
      <c r="D632" s="60" t="n">
        <v>46315</v>
      </c>
      <c r="E632" s="58" t="inlineStr">
        <is>
          <t>Mardi</t>
        </is>
      </c>
      <c r="F632" s="61" t="n">
        <v>0.7916666666666666</v>
      </c>
      <c r="G632" s="61" t="n">
        <v>0.8541666666666666</v>
      </c>
      <c r="H632" s="62">
        <f>IF(OR($F632="",$G632=""),"",($G632-$F632)*24)</f>
        <v/>
      </c>
      <c r="I632" s="58" t="inlineStr">
        <is>
          <t>Primaire</t>
        </is>
      </c>
      <c r="J632" s="59" t="inlineStr">
        <is>
          <t>6éme (B)</t>
        </is>
      </c>
      <c r="K632" s="67" t="inlineStr">
        <is>
          <t>Français</t>
        </is>
      </c>
      <c r="L632" s="67" t="inlineStr">
        <is>
          <t>Français</t>
        </is>
      </c>
      <c r="M632" s="59" t="inlineStr">
        <is>
          <t>Hend</t>
        </is>
      </c>
      <c r="N632" s="58" t="n"/>
      <c r="O632" s="58" t="n"/>
      <c r="P632" s="58" t="inlineStr">
        <is>
          <t>Hebdomadaire</t>
        </is>
      </c>
      <c r="Q632" s="59" t="inlineStr"/>
      <c r="R632" s="58" t="n">
        <v>1</v>
      </c>
      <c r="S632" s="58" t="inlineStr">
        <is>
          <t>Oui</t>
        </is>
      </c>
      <c r="T632" s="58" t="inlineStr">
        <is>
          <t>S6-010</t>
        </is>
      </c>
      <c r="U632" s="59" t="inlineStr">
        <is>
          <t>Généré (octobre)</t>
        </is>
      </c>
      <c r="V632" s="59" t="inlineStr"/>
      <c r="W632" s="10" t="n"/>
      <c r="X632" s="10" t="inlineStr"/>
      <c r="Y632" s="64">
        <f>IF($M632="","",IF(SUMPRODUCT(($D$4:$D$863=$D632)*($M$4:$M$863=$M632)*($T$4:$T$863&lt;&gt;$T632)*($F$4:$F$863&lt;$G632)*($G$4:$G$863&gt;$F632))&gt;0,"⚠ CONFLIT",""))</f>
        <v/>
      </c>
      <c r="Z632" s="64">
        <f>IF($J632="","",IF(SUMPRODUCT(($D$4:$D$863=$D632)*($J$4:$J$863=$J632)*($T$4:$T$863&lt;&gt;$T632)*($F$4:$F$863&lt;$G632)*($G$4:$G$863&gt;$F632)*(1-($X$4:$X$863="Oui")*($X632="Oui")))&gt;0,"⚠ CONFLIT",""))</f>
        <v/>
      </c>
      <c r="AA632" s="64">
        <f>IF(COUNTIFS($D$4:$D$863,$D632,$J$4:$J$863,$J632,$F$4:$F$863,$F632,$K$4:$K$863,$K632)&gt;1,"⚠ DOUBLON","")</f>
        <v/>
      </c>
      <c r="AB632" s="64">
        <f>IF(COUNTIF($T$4:$T$863,$T632)&lt;&gt;COUNTIFS($T$4:$T$863,$T632,$D$4:$D$863,$D632,$F$4:$F$863,$F632,$G$4:$G$863,$G632,$K$4:$K$863,$K632,$M$4:$M$863,$M632),"⚠ INCOHÉRENT","")</f>
        <v/>
      </c>
      <c r="AC632" s="64">
        <f>COUNTIFS($A$4:$A632,$A632,$J$4:$J632,$J632,$E$4:$E632,$E632)</f>
        <v/>
      </c>
      <c r="AD632" s="65">
        <f>$A632&amp;"|"&amp;$J632&amp;"|"&amp;$E632&amp;"|"&amp;$AC632</f>
        <v/>
      </c>
      <c r="AE632" s="66">
        <f>IF($W632&lt;&gt;"","⚑ "&amp;$W632&amp;CHAR(10),"")&amp;TEXT($F632,"hh:mm")&amp;"-"&amp;TEXT($G632,"hh:mm")&amp;IF(OR($P632="Quinzaine A",AND($P632="Hebdo · groupes alternés",$C632="A"))," Q-A",IF(OR($P632="Quinzaine B",AND($P632="Hebdo · groupes alternés",$C632="B"))," Q-B",IF($P632="Exception"," PONCT.","")))&amp;IF($X632="Oui"," OPT","")&amp;CHAR(10)&amp;$K632&amp;CHAR(10)&amp;$M632&amp;IF($N632&lt;&gt;"",CHAR(10)&amp;"Salle "&amp;$N632,"")&amp;IF($O632="En ligne",CHAR(10)&amp;"EN LIGNE","")&amp;IF($V632&lt;&gt;"",CHAR(10)&amp;$V632,"")</f>
        <v/>
      </c>
      <c r="AF632" s="65" t="inlineStr"/>
      <c r="AG632" s="65" t="inlineStr">
        <is>
          <t>— généré —</t>
        </is>
      </c>
    </row>
    <row r="633" ht="15" customHeight="1">
      <c r="A633" s="68" t="inlineStr">
        <is>
          <t>S6</t>
        </is>
      </c>
      <c r="B633" s="69" t="inlineStr">
        <is>
          <t>du 19 au 25 octobre 2026</t>
        </is>
      </c>
      <c r="C633" s="68" t="inlineStr">
        <is>
          <t>B</t>
        </is>
      </c>
      <c r="D633" s="70" t="n">
        <v>46315</v>
      </c>
      <c r="E633" s="68" t="inlineStr">
        <is>
          <t>Mardi</t>
        </is>
      </c>
      <c r="F633" s="71" t="n">
        <v>0.7916666666666666</v>
      </c>
      <c r="G633" s="71" t="n">
        <v>0.8541666666666666</v>
      </c>
      <c r="H633" s="72">
        <f>IF(OR($F633="",$G633=""),"",($G633-$F633)*24)</f>
        <v/>
      </c>
      <c r="I633" s="68" t="inlineStr">
        <is>
          <t>Collège</t>
        </is>
      </c>
      <c r="J633" s="69" t="inlineStr">
        <is>
          <t>7éme (B)</t>
        </is>
      </c>
      <c r="K633" s="87" t="inlineStr">
        <is>
          <t>Anglais</t>
        </is>
      </c>
      <c r="L633" s="87" t="inlineStr">
        <is>
          <t>Anglais</t>
        </is>
      </c>
      <c r="M633" s="69" t="inlineStr">
        <is>
          <t>Imen Ben Lazrak</t>
        </is>
      </c>
      <c r="N633" s="68" t="n"/>
      <c r="O633" s="68" t="n"/>
      <c r="P633" s="68" t="inlineStr">
        <is>
          <t>Hebdo · groupes alternés</t>
        </is>
      </c>
      <c r="Q633" s="69" t="inlineStr"/>
      <c r="R633" s="68" t="n">
        <v>1</v>
      </c>
      <c r="S633" s="68" t="inlineStr">
        <is>
          <t>Oui</t>
        </is>
      </c>
      <c r="T633" s="68" t="inlineStr">
        <is>
          <t>S6-011</t>
        </is>
      </c>
      <c r="U633" s="69" t="inlineStr">
        <is>
          <t>Généré (octobre)</t>
        </is>
      </c>
      <c r="V633" s="69" t="inlineStr"/>
      <c r="W633" s="10" t="n"/>
      <c r="X633" s="10" t="inlineStr"/>
      <c r="Y633" s="64">
        <f>IF($M633="","",IF(SUMPRODUCT(($D$4:$D$863=$D633)*($M$4:$M$863=$M633)*($T$4:$T$863&lt;&gt;$T633)*($F$4:$F$863&lt;$G633)*($G$4:$G$863&gt;$F633))&gt;0,"⚠ CONFLIT",""))</f>
        <v/>
      </c>
      <c r="Z633" s="64">
        <f>IF($J633="","",IF(SUMPRODUCT(($D$4:$D$863=$D633)*($J$4:$J$863=$J633)*($T$4:$T$863&lt;&gt;$T633)*($F$4:$F$863&lt;$G633)*($G$4:$G$863&gt;$F633)*(1-($X$4:$X$863="Oui")*($X633="Oui")))&gt;0,"⚠ CONFLIT",""))</f>
        <v/>
      </c>
      <c r="AA633" s="64">
        <f>IF(COUNTIFS($D$4:$D$863,$D633,$J$4:$J$863,$J633,$F$4:$F$863,$F633,$K$4:$K$863,$K633)&gt;1,"⚠ DOUBLON","")</f>
        <v/>
      </c>
      <c r="AB633" s="64">
        <f>IF(COUNTIF($T$4:$T$863,$T633)&lt;&gt;COUNTIFS($T$4:$T$863,$T633,$D$4:$D$863,$D633,$F$4:$F$863,$F633,$G$4:$G$863,$G633,$K$4:$K$863,$K633,$M$4:$M$863,$M633),"⚠ INCOHÉRENT","")</f>
        <v/>
      </c>
      <c r="AC633" s="64">
        <f>COUNTIFS($A$4:$A633,$A633,$J$4:$J633,$J633,$E$4:$E633,$E633)</f>
        <v/>
      </c>
      <c r="AD633" s="65">
        <f>$A633&amp;"|"&amp;$J633&amp;"|"&amp;$E633&amp;"|"&amp;$AC633</f>
        <v/>
      </c>
      <c r="AE633" s="66">
        <f>IF($W633&lt;&gt;"","⚑ "&amp;$W633&amp;CHAR(10),"")&amp;TEXT($F633,"hh:mm")&amp;"-"&amp;TEXT($G633,"hh:mm")&amp;IF(OR($P633="Quinzaine A",AND($P633="Hebdo · groupes alternés",$C633="A"))," Q-A",IF(OR($P633="Quinzaine B",AND($P633="Hebdo · groupes alternés",$C633="B"))," Q-B",IF($P633="Exception"," PONCT.","")))&amp;IF($X633="Oui"," OPT","")&amp;CHAR(10)&amp;$K633&amp;CHAR(10)&amp;$M633&amp;IF($N633&lt;&gt;"",CHAR(10)&amp;"Salle "&amp;$N633,"")&amp;IF($O633="En ligne",CHAR(10)&amp;"EN LIGNE","")&amp;IF($V633&lt;&gt;"",CHAR(10)&amp;$V633,"")</f>
        <v/>
      </c>
      <c r="AF633" s="65" t="inlineStr"/>
      <c r="AG633" s="65" t="inlineStr">
        <is>
          <t>— généré —</t>
        </is>
      </c>
    </row>
    <row r="634" ht="15" customHeight="1">
      <c r="A634" s="68" t="inlineStr">
        <is>
          <t>S6</t>
        </is>
      </c>
      <c r="B634" s="69" t="inlineStr">
        <is>
          <t>du 19 au 25 octobre 2026</t>
        </is>
      </c>
      <c r="C634" s="68" t="inlineStr">
        <is>
          <t>B</t>
        </is>
      </c>
      <c r="D634" s="70" t="n">
        <v>46315</v>
      </c>
      <c r="E634" s="68" t="inlineStr">
        <is>
          <t>Mardi</t>
        </is>
      </c>
      <c r="F634" s="71" t="n">
        <v>0.8125</v>
      </c>
      <c r="G634" s="71" t="n">
        <v>0.875</v>
      </c>
      <c r="H634" s="72">
        <f>IF(OR($F634="",$G634=""),"",($G634-$F634)*24)</f>
        <v/>
      </c>
      <c r="I634" s="68" t="inlineStr">
        <is>
          <t>Collège</t>
        </is>
      </c>
      <c r="J634" s="69" t="inlineStr">
        <is>
          <t>8éme (B)</t>
        </is>
      </c>
      <c r="K634" s="63" t="inlineStr">
        <is>
          <t>Arabe</t>
        </is>
      </c>
      <c r="L634" s="63" t="inlineStr">
        <is>
          <t>Arabe</t>
        </is>
      </c>
      <c r="M634" s="69" t="inlineStr">
        <is>
          <t>Yahya</t>
        </is>
      </c>
      <c r="N634" s="68" t="n"/>
      <c r="O634" s="68" t="n"/>
      <c r="P634" s="68" t="inlineStr">
        <is>
          <t>Hebdomadaire</t>
        </is>
      </c>
      <c r="Q634" s="69" t="inlineStr">
        <is>
          <t>8éme (B) + 8éme (C)</t>
        </is>
      </c>
      <c r="R634" s="68" t="n">
        <v>2</v>
      </c>
      <c r="S634" s="68" t="inlineStr">
        <is>
          <t>Oui</t>
        </is>
      </c>
      <c r="T634" s="68" t="inlineStr">
        <is>
          <t>S6-012</t>
        </is>
      </c>
      <c r="U634" s="69" t="inlineStr">
        <is>
          <t>Généré (octobre)</t>
        </is>
      </c>
      <c r="V634" s="69" t="inlineStr"/>
      <c r="W634" s="10" t="n"/>
      <c r="X634" s="10" t="inlineStr"/>
      <c r="Y634" s="64">
        <f>IF($M634="","",IF(SUMPRODUCT(($D$4:$D$863=$D634)*($M$4:$M$863=$M634)*($T$4:$T$863&lt;&gt;$T634)*($F$4:$F$863&lt;$G634)*($G$4:$G$863&gt;$F634))&gt;0,"⚠ CONFLIT",""))</f>
        <v/>
      </c>
      <c r="Z634" s="64">
        <f>IF($J634="","",IF(SUMPRODUCT(($D$4:$D$863=$D634)*($J$4:$J$863=$J634)*($T$4:$T$863&lt;&gt;$T634)*($F$4:$F$863&lt;$G634)*($G$4:$G$863&gt;$F634)*(1-($X$4:$X$863="Oui")*($X634="Oui")))&gt;0,"⚠ CONFLIT",""))</f>
        <v/>
      </c>
      <c r="AA634" s="64">
        <f>IF(COUNTIFS($D$4:$D$863,$D634,$J$4:$J$863,$J634,$F$4:$F$863,$F634,$K$4:$K$863,$K634)&gt;1,"⚠ DOUBLON","")</f>
        <v/>
      </c>
      <c r="AB634" s="64">
        <f>IF(COUNTIF($T$4:$T$863,$T634)&lt;&gt;COUNTIFS($T$4:$T$863,$T634,$D$4:$D$863,$D634,$F$4:$F$863,$F634,$G$4:$G$863,$G634,$K$4:$K$863,$K634,$M$4:$M$863,$M634),"⚠ INCOHÉRENT","")</f>
        <v/>
      </c>
      <c r="AC634" s="64">
        <f>COUNTIFS($A$4:$A634,$A634,$J$4:$J634,$J634,$E$4:$E634,$E634)</f>
        <v/>
      </c>
      <c r="AD634" s="65">
        <f>$A634&amp;"|"&amp;$J634&amp;"|"&amp;$E634&amp;"|"&amp;$AC634</f>
        <v/>
      </c>
      <c r="AE634" s="66">
        <f>IF($W634&lt;&gt;"","⚑ "&amp;$W634&amp;CHAR(10),"")&amp;TEXT($F634,"hh:mm")&amp;"-"&amp;TEXT($G634,"hh:mm")&amp;IF(OR($P634="Quinzaine A",AND($P634="Hebdo · groupes alternés",$C634="A"))," Q-A",IF(OR($P634="Quinzaine B",AND($P634="Hebdo · groupes alternés",$C634="B"))," Q-B",IF($P634="Exception"," PONCT.","")))&amp;IF($X634="Oui"," OPT","")&amp;CHAR(10)&amp;$K634&amp;CHAR(10)&amp;$M634&amp;IF($N634&lt;&gt;"",CHAR(10)&amp;"Salle "&amp;$N634,"")&amp;IF($O634="En ligne",CHAR(10)&amp;"EN LIGNE","")&amp;IF($V634&lt;&gt;"",CHAR(10)&amp;$V634,"")</f>
        <v/>
      </c>
      <c r="AF634" s="65" t="inlineStr"/>
      <c r="AG634" s="65" t="inlineStr">
        <is>
          <t>— généré —</t>
        </is>
      </c>
    </row>
    <row r="635" ht="15" customHeight="1">
      <c r="A635" s="68" t="inlineStr">
        <is>
          <t>S6</t>
        </is>
      </c>
      <c r="B635" s="69" t="inlineStr">
        <is>
          <t>du 19 au 25 octobre 2026</t>
        </is>
      </c>
      <c r="C635" s="68" t="inlineStr">
        <is>
          <t>B</t>
        </is>
      </c>
      <c r="D635" s="70" t="n">
        <v>46315</v>
      </c>
      <c r="E635" s="68" t="inlineStr">
        <is>
          <t>Mardi</t>
        </is>
      </c>
      <c r="F635" s="71" t="n">
        <v>0.8125</v>
      </c>
      <c r="G635" s="71" t="n">
        <v>0.875</v>
      </c>
      <c r="H635" s="72">
        <f>IF(OR($F635="",$G635=""),"",($G635-$F635)*24)</f>
        <v/>
      </c>
      <c r="I635" s="68" t="inlineStr">
        <is>
          <t>Collège</t>
        </is>
      </c>
      <c r="J635" s="69" t="inlineStr">
        <is>
          <t>8éme (C)</t>
        </is>
      </c>
      <c r="K635" s="63" t="inlineStr">
        <is>
          <t>Arabe</t>
        </is>
      </c>
      <c r="L635" s="63" t="inlineStr">
        <is>
          <t>Arabe</t>
        </is>
      </c>
      <c r="M635" s="69" t="inlineStr">
        <is>
          <t>Yahya</t>
        </is>
      </c>
      <c r="N635" s="68" t="n"/>
      <c r="O635" s="68" t="n"/>
      <c r="P635" s="68" t="inlineStr">
        <is>
          <t>Hebdomadaire</t>
        </is>
      </c>
      <c r="Q635" s="69" t="inlineStr">
        <is>
          <t>8éme (B) + 8éme (C)</t>
        </is>
      </c>
      <c r="R635" s="68" t="n">
        <v>2</v>
      </c>
      <c r="S635" s="68" t="inlineStr"/>
      <c r="T635" s="68" t="inlineStr">
        <is>
          <t>S6-012</t>
        </is>
      </c>
      <c r="U635" s="69" t="inlineStr">
        <is>
          <t>Généré (octobre)</t>
        </is>
      </c>
      <c r="V635" s="69" t="inlineStr"/>
      <c r="W635" s="10" t="n"/>
      <c r="X635" s="10" t="inlineStr"/>
      <c r="Y635" s="64">
        <f>IF($M635="","",IF(SUMPRODUCT(($D$4:$D$863=$D635)*($M$4:$M$863=$M635)*($T$4:$T$863&lt;&gt;$T635)*($F$4:$F$863&lt;$G635)*($G$4:$G$863&gt;$F635))&gt;0,"⚠ CONFLIT",""))</f>
        <v/>
      </c>
      <c r="Z635" s="64">
        <f>IF($J635="","",IF(SUMPRODUCT(($D$4:$D$863=$D635)*($J$4:$J$863=$J635)*($T$4:$T$863&lt;&gt;$T635)*($F$4:$F$863&lt;$G635)*($G$4:$G$863&gt;$F635)*(1-($X$4:$X$863="Oui")*($X635="Oui")))&gt;0,"⚠ CONFLIT",""))</f>
        <v/>
      </c>
      <c r="AA635" s="64">
        <f>IF(COUNTIFS($D$4:$D$863,$D635,$J$4:$J$863,$J635,$F$4:$F$863,$F635,$K$4:$K$863,$K635)&gt;1,"⚠ DOUBLON","")</f>
        <v/>
      </c>
      <c r="AB635" s="64">
        <f>IF(COUNTIF($T$4:$T$863,$T635)&lt;&gt;COUNTIFS($T$4:$T$863,$T635,$D$4:$D$863,$D635,$F$4:$F$863,$F635,$G$4:$G$863,$G635,$K$4:$K$863,$K635,$M$4:$M$863,$M635),"⚠ INCOHÉRENT","")</f>
        <v/>
      </c>
      <c r="AC635" s="64">
        <f>COUNTIFS($A$4:$A635,$A635,$J$4:$J635,$J635,$E$4:$E635,$E635)</f>
        <v/>
      </c>
      <c r="AD635" s="65">
        <f>$A635&amp;"|"&amp;$J635&amp;"|"&amp;$E635&amp;"|"&amp;$AC635</f>
        <v/>
      </c>
      <c r="AE635" s="66">
        <f>IF($W635&lt;&gt;"","⚑ "&amp;$W635&amp;CHAR(10),"")&amp;TEXT($F635,"hh:mm")&amp;"-"&amp;TEXT($G635,"hh:mm")&amp;IF(OR($P635="Quinzaine A",AND($P635="Hebdo · groupes alternés",$C635="A"))," Q-A",IF(OR($P635="Quinzaine B",AND($P635="Hebdo · groupes alternés",$C635="B"))," Q-B",IF($P635="Exception"," PONCT.","")))&amp;IF($X635="Oui"," OPT","")&amp;CHAR(10)&amp;$K635&amp;CHAR(10)&amp;$M635&amp;IF($N635&lt;&gt;"",CHAR(10)&amp;"Salle "&amp;$N635,"")&amp;IF($O635="En ligne",CHAR(10)&amp;"EN LIGNE","")&amp;IF($V635&lt;&gt;"",CHAR(10)&amp;$V635,"")</f>
        <v/>
      </c>
      <c r="AF635" s="65" t="inlineStr"/>
      <c r="AG635" s="65" t="inlineStr">
        <is>
          <t>— généré —</t>
        </is>
      </c>
    </row>
    <row r="636" ht="15" customHeight="1">
      <c r="A636" s="68" t="inlineStr">
        <is>
          <t>S6</t>
        </is>
      </c>
      <c r="B636" s="69" t="inlineStr">
        <is>
          <t>du 19 au 25 octobre 2026</t>
        </is>
      </c>
      <c r="C636" s="68" t="inlineStr">
        <is>
          <t>B</t>
        </is>
      </c>
      <c r="D636" s="70" t="n">
        <v>46315</v>
      </c>
      <c r="E636" s="68" t="inlineStr">
        <is>
          <t>Mardi</t>
        </is>
      </c>
      <c r="F636" s="71" t="n">
        <v>0.7916666666666666</v>
      </c>
      <c r="G636" s="71" t="n">
        <v>0.8541666666666666</v>
      </c>
      <c r="H636" s="72">
        <f>IF(OR($F636="",$G636=""),"",($G636-$F636)*24)</f>
        <v/>
      </c>
      <c r="I636" s="68" t="inlineStr">
        <is>
          <t>Collège</t>
        </is>
      </c>
      <c r="J636" s="69" t="inlineStr">
        <is>
          <t>9éme (A)</t>
        </is>
      </c>
      <c r="K636" s="79" t="inlineStr">
        <is>
          <t>Math</t>
        </is>
      </c>
      <c r="L636" s="79" t="inlineStr">
        <is>
          <t>Math</t>
        </is>
      </c>
      <c r="M636" s="69" t="inlineStr">
        <is>
          <t>Faouzi</t>
        </is>
      </c>
      <c r="N636" s="68" t="n"/>
      <c r="O636" s="68" t="n"/>
      <c r="P636" s="68" t="inlineStr">
        <is>
          <t>Hebdomadaire</t>
        </is>
      </c>
      <c r="Q636" s="69" t="inlineStr"/>
      <c r="R636" s="68" t="n">
        <v>1</v>
      </c>
      <c r="S636" s="68" t="inlineStr">
        <is>
          <t>Oui</t>
        </is>
      </c>
      <c r="T636" s="68" t="inlineStr">
        <is>
          <t>S6-013</t>
        </is>
      </c>
      <c r="U636" s="69" t="inlineStr">
        <is>
          <t>Généré (octobre)</t>
        </is>
      </c>
      <c r="V636" s="69" t="inlineStr"/>
      <c r="W636" s="10" t="n"/>
      <c r="X636" s="10" t="inlineStr"/>
      <c r="Y636" s="64">
        <f>IF($M636="","",IF(SUMPRODUCT(($D$4:$D$863=$D636)*($M$4:$M$863=$M636)*($T$4:$T$863&lt;&gt;$T636)*($F$4:$F$863&lt;$G636)*($G$4:$G$863&gt;$F636))&gt;0,"⚠ CONFLIT",""))</f>
        <v/>
      </c>
      <c r="Z636" s="64">
        <f>IF($J636="","",IF(SUMPRODUCT(($D$4:$D$863=$D636)*($J$4:$J$863=$J636)*($T$4:$T$863&lt;&gt;$T636)*($F$4:$F$863&lt;$G636)*($G$4:$G$863&gt;$F636)*(1-($X$4:$X$863="Oui")*($X636="Oui")))&gt;0,"⚠ CONFLIT",""))</f>
        <v/>
      </c>
      <c r="AA636" s="64">
        <f>IF(COUNTIFS($D$4:$D$863,$D636,$J$4:$J$863,$J636,$F$4:$F$863,$F636,$K$4:$K$863,$K636)&gt;1,"⚠ DOUBLON","")</f>
        <v/>
      </c>
      <c r="AB636" s="64">
        <f>IF(COUNTIF($T$4:$T$863,$T636)&lt;&gt;COUNTIFS($T$4:$T$863,$T636,$D$4:$D$863,$D636,$F$4:$F$863,$F636,$G$4:$G$863,$G636,$K$4:$K$863,$K636,$M$4:$M$863,$M636),"⚠ INCOHÉRENT","")</f>
        <v/>
      </c>
      <c r="AC636" s="64">
        <f>COUNTIFS($A$4:$A636,$A636,$J$4:$J636,$J636,$E$4:$E636,$E636)</f>
        <v/>
      </c>
      <c r="AD636" s="65">
        <f>$A636&amp;"|"&amp;$J636&amp;"|"&amp;$E636&amp;"|"&amp;$AC636</f>
        <v/>
      </c>
      <c r="AE636" s="66">
        <f>IF($W636&lt;&gt;"","⚑ "&amp;$W636&amp;CHAR(10),"")&amp;TEXT($F636,"hh:mm")&amp;"-"&amp;TEXT($G636,"hh:mm")&amp;IF(OR($P636="Quinzaine A",AND($P636="Hebdo · groupes alternés",$C636="A"))," Q-A",IF(OR($P636="Quinzaine B",AND($P636="Hebdo · groupes alternés",$C636="B"))," Q-B",IF($P636="Exception"," PONCT.","")))&amp;IF($X636="Oui"," OPT","")&amp;CHAR(10)&amp;$K636&amp;CHAR(10)&amp;$M636&amp;IF($N636&lt;&gt;"",CHAR(10)&amp;"Salle "&amp;$N636,"")&amp;IF($O636="En ligne",CHAR(10)&amp;"EN LIGNE","")&amp;IF($V636&lt;&gt;"",CHAR(10)&amp;$V636,"")</f>
        <v/>
      </c>
      <c r="AF636" s="65" t="inlineStr"/>
      <c r="AG636" s="65" t="inlineStr">
        <is>
          <t>— généré —</t>
        </is>
      </c>
    </row>
    <row r="637" ht="15" customHeight="1">
      <c r="A637" s="68" t="inlineStr">
        <is>
          <t>S6</t>
        </is>
      </c>
      <c r="B637" s="69" t="inlineStr">
        <is>
          <t>du 19 au 25 octobre 2026</t>
        </is>
      </c>
      <c r="C637" s="68" t="inlineStr">
        <is>
          <t>B</t>
        </is>
      </c>
      <c r="D637" s="70" t="n">
        <v>46315</v>
      </c>
      <c r="E637" s="68" t="inlineStr">
        <is>
          <t>Mardi</t>
        </is>
      </c>
      <c r="F637" s="71" t="n">
        <v>0.8020833333333334</v>
      </c>
      <c r="G637" s="71" t="n">
        <v>0.8645833333333334</v>
      </c>
      <c r="H637" s="72">
        <f>IF(OR($F637="",$G637=""),"",($G637-$F637)*24)</f>
        <v/>
      </c>
      <c r="I637" s="68" t="inlineStr">
        <is>
          <t>Collège</t>
        </is>
      </c>
      <c r="J637" s="69" t="inlineStr">
        <is>
          <t>9éme (B)</t>
        </is>
      </c>
      <c r="K637" s="88" t="inlineStr">
        <is>
          <t>SVT</t>
        </is>
      </c>
      <c r="L637" s="88" t="inlineStr">
        <is>
          <t>SVT</t>
        </is>
      </c>
      <c r="M637" s="69" t="inlineStr">
        <is>
          <t>Imen Jribi</t>
        </is>
      </c>
      <c r="N637" s="68" t="n"/>
      <c r="O637" s="68" t="n"/>
      <c r="P637" s="68" t="inlineStr">
        <is>
          <t>Hebdomadaire</t>
        </is>
      </c>
      <c r="Q637" s="69" t="inlineStr"/>
      <c r="R637" s="68" t="n">
        <v>1</v>
      </c>
      <c r="S637" s="68" t="inlineStr">
        <is>
          <t>Oui</t>
        </is>
      </c>
      <c r="T637" s="68" t="inlineStr">
        <is>
          <t>S6-014</t>
        </is>
      </c>
      <c r="U637" s="69" t="inlineStr">
        <is>
          <t>Généré (octobre)</t>
        </is>
      </c>
      <c r="V637" s="69" t="inlineStr"/>
      <c r="W637" s="10" t="n"/>
      <c r="X637" s="10" t="inlineStr"/>
      <c r="Y637" s="64">
        <f>IF($M637="","",IF(SUMPRODUCT(($D$4:$D$863=$D637)*($M$4:$M$863=$M637)*($T$4:$T$863&lt;&gt;$T637)*($F$4:$F$863&lt;$G637)*($G$4:$G$863&gt;$F637))&gt;0,"⚠ CONFLIT",""))</f>
        <v/>
      </c>
      <c r="Z637" s="64">
        <f>IF($J637="","",IF(SUMPRODUCT(($D$4:$D$863=$D637)*($J$4:$J$863=$J637)*($T$4:$T$863&lt;&gt;$T637)*($F$4:$F$863&lt;$G637)*($G$4:$G$863&gt;$F637)*(1-($X$4:$X$863="Oui")*($X637="Oui")))&gt;0,"⚠ CONFLIT",""))</f>
        <v/>
      </c>
      <c r="AA637" s="64">
        <f>IF(COUNTIFS($D$4:$D$863,$D637,$J$4:$J$863,$J637,$F$4:$F$863,$F637,$K$4:$K$863,$K637)&gt;1,"⚠ DOUBLON","")</f>
        <v/>
      </c>
      <c r="AB637" s="64">
        <f>IF(COUNTIF($T$4:$T$863,$T637)&lt;&gt;COUNTIFS($T$4:$T$863,$T637,$D$4:$D$863,$D637,$F$4:$F$863,$F637,$G$4:$G$863,$G637,$K$4:$K$863,$K637,$M$4:$M$863,$M637),"⚠ INCOHÉRENT","")</f>
        <v/>
      </c>
      <c r="AC637" s="64">
        <f>COUNTIFS($A$4:$A637,$A637,$J$4:$J637,$J637,$E$4:$E637,$E637)</f>
        <v/>
      </c>
      <c r="AD637" s="65">
        <f>$A637&amp;"|"&amp;$J637&amp;"|"&amp;$E637&amp;"|"&amp;$AC637</f>
        <v/>
      </c>
      <c r="AE637" s="66">
        <f>IF($W637&lt;&gt;"","⚑ "&amp;$W637&amp;CHAR(10),"")&amp;TEXT($F637,"hh:mm")&amp;"-"&amp;TEXT($G637,"hh:mm")&amp;IF(OR($P637="Quinzaine A",AND($P637="Hebdo · groupes alternés",$C637="A"))," Q-A",IF(OR($P637="Quinzaine B",AND($P637="Hebdo · groupes alternés",$C637="B"))," Q-B",IF($P637="Exception"," PONCT.","")))&amp;IF($X637="Oui"," OPT","")&amp;CHAR(10)&amp;$K637&amp;CHAR(10)&amp;$M637&amp;IF($N637&lt;&gt;"",CHAR(10)&amp;"Salle "&amp;$N637,"")&amp;IF($O637="En ligne",CHAR(10)&amp;"EN LIGNE","")&amp;IF($V637&lt;&gt;"",CHAR(10)&amp;$V637,"")</f>
        <v/>
      </c>
      <c r="AF637" s="65" t="inlineStr"/>
      <c r="AG637" s="65" t="inlineStr">
        <is>
          <t>— généré —</t>
        </is>
      </c>
    </row>
    <row r="638" ht="15" customHeight="1">
      <c r="A638" s="74" t="inlineStr">
        <is>
          <t>S6</t>
        </is>
      </c>
      <c r="B638" s="75" t="inlineStr">
        <is>
          <t>du 19 au 25 octobre 2026</t>
        </is>
      </c>
      <c r="C638" s="74" t="inlineStr">
        <is>
          <t>B</t>
        </is>
      </c>
      <c r="D638" s="76" t="n">
        <v>46315</v>
      </c>
      <c r="E638" s="74" t="inlineStr">
        <is>
          <t>Mardi</t>
        </is>
      </c>
      <c r="F638" s="77" t="n">
        <v>0.8020833333333334</v>
      </c>
      <c r="G638" s="77" t="n">
        <v>0.8645833333333334</v>
      </c>
      <c r="H638" s="78">
        <f>IF(OR($F638="",$G638=""),"",($G638-$F638)*24)</f>
        <v/>
      </c>
      <c r="I638" s="74" t="inlineStr">
        <is>
          <t>Secondaire</t>
        </is>
      </c>
      <c r="J638" s="75" t="inlineStr">
        <is>
          <t>1ére (A)</t>
        </is>
      </c>
      <c r="K638" s="67" t="inlineStr">
        <is>
          <t>Français</t>
        </is>
      </c>
      <c r="L638" s="67" t="inlineStr">
        <is>
          <t>Français</t>
        </is>
      </c>
      <c r="M638" s="75" t="inlineStr">
        <is>
          <t>Nassima</t>
        </is>
      </c>
      <c r="N638" s="74" t="n"/>
      <c r="O638" s="74" t="n"/>
      <c r="P638" s="74" t="inlineStr">
        <is>
          <t>Hebdomadaire</t>
        </is>
      </c>
      <c r="Q638" s="75" t="inlineStr"/>
      <c r="R638" s="74" t="n">
        <v>1</v>
      </c>
      <c r="S638" s="74" t="inlineStr">
        <is>
          <t>Oui</t>
        </is>
      </c>
      <c r="T638" s="74" t="inlineStr">
        <is>
          <t>S6-015</t>
        </is>
      </c>
      <c r="U638" s="75" t="inlineStr">
        <is>
          <t>Généré (octobre)</t>
        </is>
      </c>
      <c r="V638" s="75" t="inlineStr"/>
      <c r="W638" s="10" t="n"/>
      <c r="X638" s="10" t="inlineStr"/>
      <c r="Y638" s="64">
        <f>IF($M638="","",IF(SUMPRODUCT(($D$4:$D$863=$D638)*($M$4:$M$863=$M638)*($T$4:$T$863&lt;&gt;$T638)*($F$4:$F$863&lt;$G638)*($G$4:$G$863&gt;$F638))&gt;0,"⚠ CONFLIT",""))</f>
        <v/>
      </c>
      <c r="Z638" s="64">
        <f>IF($J638="","",IF(SUMPRODUCT(($D$4:$D$863=$D638)*($J$4:$J$863=$J638)*($T$4:$T$863&lt;&gt;$T638)*($F$4:$F$863&lt;$G638)*($G$4:$G$863&gt;$F638)*(1-($X$4:$X$863="Oui")*($X638="Oui")))&gt;0,"⚠ CONFLIT",""))</f>
        <v/>
      </c>
      <c r="AA638" s="64">
        <f>IF(COUNTIFS($D$4:$D$863,$D638,$J$4:$J$863,$J638,$F$4:$F$863,$F638,$K$4:$K$863,$K638)&gt;1,"⚠ DOUBLON","")</f>
        <v/>
      </c>
      <c r="AB638" s="64">
        <f>IF(COUNTIF($T$4:$T$863,$T638)&lt;&gt;COUNTIFS($T$4:$T$863,$T638,$D$4:$D$863,$D638,$F$4:$F$863,$F638,$G$4:$G$863,$G638,$K$4:$K$863,$K638,$M$4:$M$863,$M638),"⚠ INCOHÉRENT","")</f>
        <v/>
      </c>
      <c r="AC638" s="64">
        <f>COUNTIFS($A$4:$A638,$A638,$J$4:$J638,$J638,$E$4:$E638,$E638)</f>
        <v/>
      </c>
      <c r="AD638" s="65">
        <f>$A638&amp;"|"&amp;$J638&amp;"|"&amp;$E638&amp;"|"&amp;$AC638</f>
        <v/>
      </c>
      <c r="AE638" s="66">
        <f>IF($W638&lt;&gt;"","⚑ "&amp;$W638&amp;CHAR(10),"")&amp;TEXT($F638,"hh:mm")&amp;"-"&amp;TEXT($G638,"hh:mm")&amp;IF(OR($P638="Quinzaine A",AND($P638="Hebdo · groupes alternés",$C638="A"))," Q-A",IF(OR($P638="Quinzaine B",AND($P638="Hebdo · groupes alternés",$C638="B"))," Q-B",IF($P638="Exception"," PONCT.","")))&amp;IF($X638="Oui"," OPT","")&amp;CHAR(10)&amp;$K638&amp;CHAR(10)&amp;$M638&amp;IF($N638&lt;&gt;"",CHAR(10)&amp;"Salle "&amp;$N638,"")&amp;IF($O638="En ligne",CHAR(10)&amp;"EN LIGNE","")&amp;IF($V638&lt;&gt;"",CHAR(10)&amp;$V638,"")</f>
        <v/>
      </c>
      <c r="AF638" s="65" t="inlineStr"/>
      <c r="AG638" s="65" t="inlineStr">
        <is>
          <t>— généré —</t>
        </is>
      </c>
    </row>
    <row r="639" ht="15" customHeight="1">
      <c r="A639" s="74" t="inlineStr">
        <is>
          <t>S6</t>
        </is>
      </c>
      <c r="B639" s="75" t="inlineStr">
        <is>
          <t>du 19 au 25 octobre 2026</t>
        </is>
      </c>
      <c r="C639" s="74" t="inlineStr">
        <is>
          <t>B</t>
        </is>
      </c>
      <c r="D639" s="76" t="n">
        <v>46315</v>
      </c>
      <c r="E639" s="74" t="inlineStr">
        <is>
          <t>Mardi</t>
        </is>
      </c>
      <c r="F639" s="77" t="n">
        <v>0.8125</v>
      </c>
      <c r="G639" s="77" t="n">
        <v>0.875</v>
      </c>
      <c r="H639" s="78">
        <f>IF(OR($F639="",$G639=""),"",($G639-$F639)*24)</f>
        <v/>
      </c>
      <c r="I639" s="74" t="inlineStr">
        <is>
          <t>Secondaire</t>
        </is>
      </c>
      <c r="J639" s="75" t="inlineStr">
        <is>
          <t>1ére (B)</t>
        </is>
      </c>
      <c r="K639" s="79" t="inlineStr">
        <is>
          <t>Math</t>
        </is>
      </c>
      <c r="L639" s="79" t="inlineStr">
        <is>
          <t>Math</t>
        </is>
      </c>
      <c r="M639" s="75" t="inlineStr">
        <is>
          <t>Haythem</t>
        </is>
      </c>
      <c r="N639" s="74" t="n"/>
      <c r="O639" s="74" t="n"/>
      <c r="P639" s="74" t="inlineStr">
        <is>
          <t>Hebdomadaire</t>
        </is>
      </c>
      <c r="Q639" s="75" t="inlineStr"/>
      <c r="R639" s="74" t="n">
        <v>1</v>
      </c>
      <c r="S639" s="74" t="inlineStr">
        <is>
          <t>Oui</t>
        </is>
      </c>
      <c r="T639" s="74" t="inlineStr">
        <is>
          <t>S6-016</t>
        </is>
      </c>
      <c r="U639" s="75" t="inlineStr">
        <is>
          <t>Généré (octobre)</t>
        </is>
      </c>
      <c r="V639" s="75" t="inlineStr"/>
      <c r="W639" s="10" t="n"/>
      <c r="X639" s="10" t="inlineStr"/>
      <c r="Y639" s="64">
        <f>IF($M639="","",IF(SUMPRODUCT(($D$4:$D$863=$D639)*($M$4:$M$863=$M639)*($T$4:$T$863&lt;&gt;$T639)*($F$4:$F$863&lt;$G639)*($G$4:$G$863&gt;$F639))&gt;0,"⚠ CONFLIT",""))</f>
        <v/>
      </c>
      <c r="Z639" s="64">
        <f>IF($J639="","",IF(SUMPRODUCT(($D$4:$D$863=$D639)*($J$4:$J$863=$J639)*($T$4:$T$863&lt;&gt;$T639)*($F$4:$F$863&lt;$G639)*($G$4:$G$863&gt;$F639)*(1-($X$4:$X$863="Oui")*($X639="Oui")))&gt;0,"⚠ CONFLIT",""))</f>
        <v/>
      </c>
      <c r="AA639" s="64">
        <f>IF(COUNTIFS($D$4:$D$863,$D639,$J$4:$J$863,$J639,$F$4:$F$863,$F639,$K$4:$K$863,$K639)&gt;1,"⚠ DOUBLON","")</f>
        <v/>
      </c>
      <c r="AB639" s="64">
        <f>IF(COUNTIF($T$4:$T$863,$T639)&lt;&gt;COUNTIFS($T$4:$T$863,$T639,$D$4:$D$863,$D639,$F$4:$F$863,$F639,$G$4:$G$863,$G639,$K$4:$K$863,$K639,$M$4:$M$863,$M639),"⚠ INCOHÉRENT","")</f>
        <v/>
      </c>
      <c r="AC639" s="64">
        <f>COUNTIFS($A$4:$A639,$A639,$J$4:$J639,$J639,$E$4:$E639,$E639)</f>
        <v/>
      </c>
      <c r="AD639" s="65">
        <f>$A639&amp;"|"&amp;$J639&amp;"|"&amp;$E639&amp;"|"&amp;$AC639</f>
        <v/>
      </c>
      <c r="AE639" s="66">
        <f>IF($W639&lt;&gt;"","⚑ "&amp;$W639&amp;CHAR(10),"")&amp;TEXT($F639,"hh:mm")&amp;"-"&amp;TEXT($G639,"hh:mm")&amp;IF(OR($P639="Quinzaine A",AND($P639="Hebdo · groupes alternés",$C639="A"))," Q-A",IF(OR($P639="Quinzaine B",AND($P639="Hebdo · groupes alternés",$C639="B"))," Q-B",IF($P639="Exception"," PONCT.","")))&amp;IF($X639="Oui"," OPT","")&amp;CHAR(10)&amp;$K639&amp;CHAR(10)&amp;$M639&amp;IF($N639&lt;&gt;"",CHAR(10)&amp;"Salle "&amp;$N639,"")&amp;IF($O639="En ligne",CHAR(10)&amp;"EN LIGNE","")&amp;IF($V639&lt;&gt;"",CHAR(10)&amp;$V639,"")</f>
        <v/>
      </c>
      <c r="AF639" s="65" t="inlineStr"/>
      <c r="AG639" s="65" t="inlineStr">
        <is>
          <t>— généré —</t>
        </is>
      </c>
    </row>
    <row r="640" ht="15" customHeight="1">
      <c r="A640" s="74" t="inlineStr">
        <is>
          <t>S6</t>
        </is>
      </c>
      <c r="B640" s="75" t="inlineStr">
        <is>
          <t>du 19 au 25 octobre 2026</t>
        </is>
      </c>
      <c r="C640" s="74" t="inlineStr">
        <is>
          <t>B</t>
        </is>
      </c>
      <c r="D640" s="76" t="n">
        <v>46315</v>
      </c>
      <c r="E640" s="74" t="inlineStr">
        <is>
          <t>Mardi</t>
        </is>
      </c>
      <c r="F640" s="77" t="n">
        <v>0.8125</v>
      </c>
      <c r="G640" s="77" t="n">
        <v>0.875</v>
      </c>
      <c r="H640" s="78">
        <f>IF(OR($F640="",$G640=""),"",($G640-$F640)*24)</f>
        <v/>
      </c>
      <c r="I640" s="74" t="inlineStr">
        <is>
          <t>Secondaire</t>
        </is>
      </c>
      <c r="J640" s="75" t="inlineStr">
        <is>
          <t>2éme Eco</t>
        </is>
      </c>
      <c r="K640" s="63" t="inlineStr">
        <is>
          <t>Arabe</t>
        </is>
      </c>
      <c r="L640" s="63" t="inlineStr">
        <is>
          <t>Arabe</t>
        </is>
      </c>
      <c r="M640" s="75" t="inlineStr">
        <is>
          <t>Najet</t>
        </is>
      </c>
      <c r="N640" s="74" t="n"/>
      <c r="O640" s="74" t="n"/>
      <c r="P640" s="74" t="inlineStr">
        <is>
          <t>Quinzaine B</t>
        </is>
      </c>
      <c r="Q640" s="75" t="inlineStr">
        <is>
          <t>2éme Eco + 2éme SCE + 2éme INFO</t>
        </is>
      </c>
      <c r="R640" s="74" t="n">
        <v>3</v>
      </c>
      <c r="S640" s="74" t="inlineStr">
        <is>
          <t>Oui</t>
        </is>
      </c>
      <c r="T640" s="74" t="inlineStr">
        <is>
          <t>S6-095</t>
        </is>
      </c>
      <c r="U640" s="75" t="inlineStr">
        <is>
          <t>Généré (octobre)</t>
        </is>
      </c>
      <c r="V640" s="75" t="inlineStr"/>
      <c r="W640" s="10" t="n"/>
      <c r="X640" s="10" t="inlineStr"/>
      <c r="Y640" s="64">
        <f>IF($M640="","",IF(SUMPRODUCT(($D$4:$D$863=$D640)*($M$4:$M$863=$M640)*($T$4:$T$863&lt;&gt;$T640)*($F$4:$F$863&lt;$G640)*($G$4:$G$863&gt;$F640))&gt;0,"⚠ CONFLIT",""))</f>
        <v/>
      </c>
      <c r="Z640" s="64">
        <f>IF($J640="","",IF(SUMPRODUCT(($D$4:$D$863=$D640)*($J$4:$J$863=$J640)*($T$4:$T$863&lt;&gt;$T640)*($F$4:$F$863&lt;$G640)*($G$4:$G$863&gt;$F640)*(1-($X$4:$X$863="Oui")*($X640="Oui")))&gt;0,"⚠ CONFLIT",""))</f>
        <v/>
      </c>
      <c r="AA640" s="64">
        <f>IF(COUNTIFS($D$4:$D$863,$D640,$J$4:$J$863,$J640,$F$4:$F$863,$F640,$K$4:$K$863,$K640)&gt;1,"⚠ DOUBLON","")</f>
        <v/>
      </c>
      <c r="AB640" s="64">
        <f>IF(COUNTIF($T$4:$T$863,$T640)&lt;&gt;COUNTIFS($T$4:$T$863,$T640,$D$4:$D$863,$D640,$F$4:$F$863,$F640,$G$4:$G$863,$G640,$K$4:$K$863,$K640,$M$4:$M$863,$M640),"⚠ INCOHÉRENT","")</f>
        <v/>
      </c>
      <c r="AC640" s="64">
        <f>COUNTIFS($A$4:$A640,$A640,$J$4:$J640,$J640,$E$4:$E640,$E640)</f>
        <v/>
      </c>
      <c r="AD640" s="65">
        <f>$A640&amp;"|"&amp;$J640&amp;"|"&amp;$E640&amp;"|"&amp;$AC640</f>
        <v/>
      </c>
      <c r="AE640" s="66">
        <f>IF($W640&lt;&gt;"","⚑ "&amp;$W640&amp;CHAR(10),"")&amp;TEXT($F640,"hh:mm")&amp;"-"&amp;TEXT($G640,"hh:mm")&amp;IF(OR($P640="Quinzaine A",AND($P640="Hebdo · groupes alternés",$C640="A"))," Q-A",IF(OR($P640="Quinzaine B",AND($P640="Hebdo · groupes alternés",$C640="B"))," Q-B",IF($P640="Exception"," PONCT.","")))&amp;IF($X640="Oui"," OPT","")&amp;CHAR(10)&amp;$K640&amp;CHAR(10)&amp;$M640&amp;IF($N640&lt;&gt;"",CHAR(10)&amp;"Salle "&amp;$N640,"")&amp;IF($O640="En ligne",CHAR(10)&amp;"EN LIGNE","")&amp;IF($V640&lt;&gt;"",CHAR(10)&amp;$V640,"")</f>
        <v/>
      </c>
      <c r="AF640" s="65" t="inlineStr"/>
      <c r="AG640" s="65" t="inlineStr">
        <is>
          <t>— généré —</t>
        </is>
      </c>
    </row>
    <row r="641" ht="15" customHeight="1">
      <c r="A641" s="74" t="inlineStr">
        <is>
          <t>S6</t>
        </is>
      </c>
      <c r="B641" s="75" t="inlineStr">
        <is>
          <t>du 19 au 25 octobre 2026</t>
        </is>
      </c>
      <c r="C641" s="74" t="inlineStr">
        <is>
          <t>B</t>
        </is>
      </c>
      <c r="D641" s="76" t="n">
        <v>46315</v>
      </c>
      <c r="E641" s="74" t="inlineStr">
        <is>
          <t>Mardi</t>
        </is>
      </c>
      <c r="F641" s="77" t="n">
        <v>0.8125</v>
      </c>
      <c r="G641" s="77" t="n">
        <v>0.875</v>
      </c>
      <c r="H641" s="78">
        <f>IF(OR($F641="",$G641=""),"",($G641-$F641)*24)</f>
        <v/>
      </c>
      <c r="I641" s="74" t="inlineStr">
        <is>
          <t>Secondaire</t>
        </is>
      </c>
      <c r="J641" s="75" t="inlineStr">
        <is>
          <t>2éme SCE</t>
        </is>
      </c>
      <c r="K641" s="63" t="inlineStr">
        <is>
          <t>Arabe</t>
        </is>
      </c>
      <c r="L641" s="63" t="inlineStr">
        <is>
          <t>Arabe</t>
        </is>
      </c>
      <c r="M641" s="75" t="inlineStr">
        <is>
          <t>Najet</t>
        </is>
      </c>
      <c r="N641" s="74" t="n"/>
      <c r="O641" s="74" t="n"/>
      <c r="P641" s="74" t="inlineStr">
        <is>
          <t>Quinzaine B</t>
        </is>
      </c>
      <c r="Q641" s="75" t="inlineStr">
        <is>
          <t>2éme Eco + 2éme SCE + 2éme INFO</t>
        </is>
      </c>
      <c r="R641" s="74" t="n">
        <v>3</v>
      </c>
      <c r="S641" s="74" t="inlineStr"/>
      <c r="T641" s="74" t="inlineStr">
        <is>
          <t>S6-095</t>
        </is>
      </c>
      <c r="U641" s="75" t="inlineStr">
        <is>
          <t>Généré (octobre)</t>
        </is>
      </c>
      <c r="V641" s="75" t="inlineStr"/>
      <c r="W641" s="10" t="n"/>
      <c r="X641" s="10" t="inlineStr"/>
      <c r="Y641" s="64">
        <f>IF($M641="","",IF(SUMPRODUCT(($D$4:$D$863=$D641)*($M$4:$M$863=$M641)*($T$4:$T$863&lt;&gt;$T641)*($F$4:$F$863&lt;$G641)*($G$4:$G$863&gt;$F641))&gt;0,"⚠ CONFLIT",""))</f>
        <v/>
      </c>
      <c r="Z641" s="64">
        <f>IF($J641="","",IF(SUMPRODUCT(($D$4:$D$863=$D641)*($J$4:$J$863=$J641)*($T$4:$T$863&lt;&gt;$T641)*($F$4:$F$863&lt;$G641)*($G$4:$G$863&gt;$F641)*(1-($X$4:$X$863="Oui")*($X641="Oui")))&gt;0,"⚠ CONFLIT",""))</f>
        <v/>
      </c>
      <c r="AA641" s="64">
        <f>IF(COUNTIFS($D$4:$D$863,$D641,$J$4:$J$863,$J641,$F$4:$F$863,$F641,$K$4:$K$863,$K641)&gt;1,"⚠ DOUBLON","")</f>
        <v/>
      </c>
      <c r="AB641" s="64">
        <f>IF(COUNTIF($T$4:$T$863,$T641)&lt;&gt;COUNTIFS($T$4:$T$863,$T641,$D$4:$D$863,$D641,$F$4:$F$863,$F641,$G$4:$G$863,$G641,$K$4:$K$863,$K641,$M$4:$M$863,$M641),"⚠ INCOHÉRENT","")</f>
        <v/>
      </c>
      <c r="AC641" s="64">
        <f>COUNTIFS($A$4:$A641,$A641,$J$4:$J641,$J641,$E$4:$E641,$E641)</f>
        <v/>
      </c>
      <c r="AD641" s="65">
        <f>$A641&amp;"|"&amp;$J641&amp;"|"&amp;$E641&amp;"|"&amp;$AC641</f>
        <v/>
      </c>
      <c r="AE641" s="66">
        <f>IF($W641&lt;&gt;"","⚑ "&amp;$W641&amp;CHAR(10),"")&amp;TEXT($F641,"hh:mm")&amp;"-"&amp;TEXT($G641,"hh:mm")&amp;IF(OR($P641="Quinzaine A",AND($P641="Hebdo · groupes alternés",$C641="A"))," Q-A",IF(OR($P641="Quinzaine B",AND($P641="Hebdo · groupes alternés",$C641="B"))," Q-B",IF($P641="Exception"," PONCT.","")))&amp;IF($X641="Oui"," OPT","")&amp;CHAR(10)&amp;$K641&amp;CHAR(10)&amp;$M641&amp;IF($N641&lt;&gt;"",CHAR(10)&amp;"Salle "&amp;$N641,"")&amp;IF($O641="En ligne",CHAR(10)&amp;"EN LIGNE","")&amp;IF($V641&lt;&gt;"",CHAR(10)&amp;$V641,"")</f>
        <v/>
      </c>
      <c r="AF641" s="65" t="inlineStr"/>
      <c r="AG641" s="65" t="inlineStr">
        <is>
          <t>— généré —</t>
        </is>
      </c>
    </row>
    <row r="642" ht="15" customHeight="1">
      <c r="A642" s="74" t="inlineStr">
        <is>
          <t>S6</t>
        </is>
      </c>
      <c r="B642" s="75" t="inlineStr">
        <is>
          <t>du 19 au 25 octobre 2026</t>
        </is>
      </c>
      <c r="C642" s="74" t="inlineStr">
        <is>
          <t>B</t>
        </is>
      </c>
      <c r="D642" s="76" t="n">
        <v>46315</v>
      </c>
      <c r="E642" s="74" t="inlineStr">
        <is>
          <t>Mardi</t>
        </is>
      </c>
      <c r="F642" s="77" t="n">
        <v>0.8125</v>
      </c>
      <c r="G642" s="77" t="n">
        <v>0.875</v>
      </c>
      <c r="H642" s="78">
        <f>IF(OR($F642="",$G642=""),"",($G642-$F642)*24)</f>
        <v/>
      </c>
      <c r="I642" s="74" t="inlineStr">
        <is>
          <t>Secondaire</t>
        </is>
      </c>
      <c r="J642" s="75" t="inlineStr">
        <is>
          <t>2éme INFO</t>
        </is>
      </c>
      <c r="K642" s="63" t="inlineStr">
        <is>
          <t>Arabe</t>
        </is>
      </c>
      <c r="L642" s="63" t="inlineStr">
        <is>
          <t>Arabe</t>
        </is>
      </c>
      <c r="M642" s="75" t="inlineStr">
        <is>
          <t>Najet</t>
        </is>
      </c>
      <c r="N642" s="74" t="n"/>
      <c r="O642" s="74" t="n"/>
      <c r="P642" s="74" t="inlineStr">
        <is>
          <t>Quinzaine B</t>
        </is>
      </c>
      <c r="Q642" s="75" t="inlineStr">
        <is>
          <t>2éme Eco + 2éme SCE + 2éme INFO</t>
        </is>
      </c>
      <c r="R642" s="74" t="n">
        <v>3</v>
      </c>
      <c r="S642" s="74" t="inlineStr"/>
      <c r="T642" s="74" t="inlineStr">
        <is>
          <t>S6-095</t>
        </is>
      </c>
      <c r="U642" s="75" t="inlineStr">
        <is>
          <t>Généré (octobre)</t>
        </is>
      </c>
      <c r="V642" s="75" t="inlineStr"/>
      <c r="W642" s="10" t="n"/>
      <c r="X642" s="10" t="inlineStr"/>
      <c r="Y642" s="64">
        <f>IF($M642="","",IF(SUMPRODUCT(($D$4:$D$863=$D642)*($M$4:$M$863=$M642)*($T$4:$T$863&lt;&gt;$T642)*($F$4:$F$863&lt;$G642)*($G$4:$G$863&gt;$F642))&gt;0,"⚠ CONFLIT",""))</f>
        <v/>
      </c>
      <c r="Z642" s="64">
        <f>IF($J642="","",IF(SUMPRODUCT(($D$4:$D$863=$D642)*($J$4:$J$863=$J642)*($T$4:$T$863&lt;&gt;$T642)*($F$4:$F$863&lt;$G642)*($G$4:$G$863&gt;$F642)*(1-($X$4:$X$863="Oui")*($X642="Oui")))&gt;0,"⚠ CONFLIT",""))</f>
        <v/>
      </c>
      <c r="AA642" s="64">
        <f>IF(COUNTIFS($D$4:$D$863,$D642,$J$4:$J$863,$J642,$F$4:$F$863,$F642,$K$4:$K$863,$K642)&gt;1,"⚠ DOUBLON","")</f>
        <v/>
      </c>
      <c r="AB642" s="64">
        <f>IF(COUNTIF($T$4:$T$863,$T642)&lt;&gt;COUNTIFS($T$4:$T$863,$T642,$D$4:$D$863,$D642,$F$4:$F$863,$F642,$G$4:$G$863,$G642,$K$4:$K$863,$K642,$M$4:$M$863,$M642),"⚠ INCOHÉRENT","")</f>
        <v/>
      </c>
      <c r="AC642" s="64">
        <f>COUNTIFS($A$4:$A642,$A642,$J$4:$J642,$J642,$E$4:$E642,$E642)</f>
        <v/>
      </c>
      <c r="AD642" s="65">
        <f>$A642&amp;"|"&amp;$J642&amp;"|"&amp;$E642&amp;"|"&amp;$AC642</f>
        <v/>
      </c>
      <c r="AE642" s="66">
        <f>IF($W642&lt;&gt;"","⚑ "&amp;$W642&amp;CHAR(10),"")&amp;TEXT($F642,"hh:mm")&amp;"-"&amp;TEXT($G642,"hh:mm")&amp;IF(OR($P642="Quinzaine A",AND($P642="Hebdo · groupes alternés",$C642="A"))," Q-A",IF(OR($P642="Quinzaine B",AND($P642="Hebdo · groupes alternés",$C642="B"))," Q-B",IF($P642="Exception"," PONCT.","")))&amp;IF($X642="Oui"," OPT","")&amp;CHAR(10)&amp;$K642&amp;CHAR(10)&amp;$M642&amp;IF($N642&lt;&gt;"",CHAR(10)&amp;"Salle "&amp;$N642,"")&amp;IF($O642="En ligne",CHAR(10)&amp;"EN LIGNE","")&amp;IF($V642&lt;&gt;"",CHAR(10)&amp;$V642,"")</f>
        <v/>
      </c>
      <c r="AF642" s="65" t="inlineStr"/>
      <c r="AG642" s="65" t="inlineStr">
        <is>
          <t>— généré —</t>
        </is>
      </c>
    </row>
    <row r="643" ht="15" customHeight="1">
      <c r="A643" s="74" t="inlineStr">
        <is>
          <t>S6</t>
        </is>
      </c>
      <c r="B643" s="75" t="inlineStr">
        <is>
          <t>du 19 au 25 octobre 2026</t>
        </is>
      </c>
      <c r="C643" s="74" t="inlineStr">
        <is>
          <t>B</t>
        </is>
      </c>
      <c r="D643" s="76" t="n">
        <v>46315</v>
      </c>
      <c r="E643" s="74" t="inlineStr">
        <is>
          <t>Mardi</t>
        </is>
      </c>
      <c r="F643" s="77" t="n">
        <v>0.8020833333333334</v>
      </c>
      <c r="G643" s="77" t="n">
        <v>0.8645833333333334</v>
      </c>
      <c r="H643" s="78">
        <f>IF(OR($F643="",$G643=""),"",($G643-$F643)*24)</f>
        <v/>
      </c>
      <c r="I643" s="74" t="inlineStr">
        <is>
          <t>Secondaire</t>
        </is>
      </c>
      <c r="J643" s="75" t="inlineStr">
        <is>
          <t>3éme Eco</t>
        </is>
      </c>
      <c r="K643" s="89" t="inlineStr">
        <is>
          <t>Espagnol</t>
        </is>
      </c>
      <c r="L643" s="89" t="inlineStr">
        <is>
          <t>Espagnol</t>
        </is>
      </c>
      <c r="M643" s="75" t="inlineStr">
        <is>
          <t>Imen</t>
        </is>
      </c>
      <c r="N643" s="74" t="n"/>
      <c r="O643" s="74" t="n"/>
      <c r="P643" s="74" t="inlineStr">
        <is>
          <t>Hebdo · groupes alternés</t>
        </is>
      </c>
      <c r="Q643" s="75" t="inlineStr">
        <is>
          <t>3éme Eco + 3éme INFO</t>
        </is>
      </c>
      <c r="R643" s="74" t="n">
        <v>2</v>
      </c>
      <c r="S643" s="74" t="inlineStr">
        <is>
          <t>Oui</t>
        </is>
      </c>
      <c r="T643" s="74" t="inlineStr">
        <is>
          <t>S6-017</t>
        </is>
      </c>
      <c r="U643" s="75" t="inlineStr">
        <is>
          <t>Généré (octobre)</t>
        </is>
      </c>
      <c r="V643" s="75" t="inlineStr"/>
      <c r="W643" s="10" t="n"/>
      <c r="X643" s="10" t="inlineStr">
        <is>
          <t>Oui</t>
        </is>
      </c>
      <c r="Y643" s="64">
        <f>IF($M643="","",IF(SUMPRODUCT(($D$4:$D$863=$D643)*($M$4:$M$863=$M643)*($T$4:$T$863&lt;&gt;$T643)*($F$4:$F$863&lt;$G643)*($G$4:$G$863&gt;$F643))&gt;0,"⚠ CONFLIT",""))</f>
        <v/>
      </c>
      <c r="Z643" s="64">
        <f>IF($J643="","",IF(SUMPRODUCT(($D$4:$D$863=$D643)*($J$4:$J$863=$J643)*($T$4:$T$863&lt;&gt;$T643)*($F$4:$F$863&lt;$G643)*($G$4:$G$863&gt;$F643)*(1-($X$4:$X$863="Oui")*($X643="Oui")))&gt;0,"⚠ CONFLIT",""))</f>
        <v/>
      </c>
      <c r="AA643" s="64">
        <f>IF(COUNTIFS($D$4:$D$863,$D643,$J$4:$J$863,$J643,$F$4:$F$863,$F643,$K$4:$K$863,$K643)&gt;1,"⚠ DOUBLON","")</f>
        <v/>
      </c>
      <c r="AB643" s="64">
        <f>IF(COUNTIF($T$4:$T$863,$T643)&lt;&gt;COUNTIFS($T$4:$T$863,$T643,$D$4:$D$863,$D643,$F$4:$F$863,$F643,$G$4:$G$863,$G643,$K$4:$K$863,$K643,$M$4:$M$863,$M643),"⚠ INCOHÉRENT","")</f>
        <v/>
      </c>
      <c r="AC643" s="64">
        <f>COUNTIFS($A$4:$A643,$A643,$J$4:$J643,$J643,$E$4:$E643,$E643)</f>
        <v/>
      </c>
      <c r="AD643" s="65">
        <f>$A643&amp;"|"&amp;$J643&amp;"|"&amp;$E643&amp;"|"&amp;$AC643</f>
        <v/>
      </c>
      <c r="AE643" s="66">
        <f>IF($W643&lt;&gt;"","⚑ "&amp;$W643&amp;CHAR(10),"")&amp;TEXT($F643,"hh:mm")&amp;"-"&amp;TEXT($G643,"hh:mm")&amp;IF(OR($P643="Quinzaine A",AND($P643="Hebdo · groupes alternés",$C643="A"))," Q-A",IF(OR($P643="Quinzaine B",AND($P643="Hebdo · groupes alternés",$C643="B"))," Q-B",IF($P643="Exception"," PONCT.","")))&amp;IF($X643="Oui"," OPT","")&amp;CHAR(10)&amp;$K643&amp;CHAR(10)&amp;$M643&amp;IF($N643&lt;&gt;"",CHAR(10)&amp;"Salle "&amp;$N643,"")&amp;IF($O643="En ligne",CHAR(10)&amp;"EN LIGNE","")&amp;IF($V643&lt;&gt;"",CHAR(10)&amp;$V643,"")</f>
        <v/>
      </c>
      <c r="AF643" s="65" t="inlineStr"/>
      <c r="AG643" s="65" t="inlineStr">
        <is>
          <t>— généré —</t>
        </is>
      </c>
    </row>
    <row r="644" ht="15" customHeight="1">
      <c r="A644" s="74" t="inlineStr">
        <is>
          <t>S6</t>
        </is>
      </c>
      <c r="B644" s="75" t="inlineStr">
        <is>
          <t>du 19 au 25 octobre 2026</t>
        </is>
      </c>
      <c r="C644" s="74" t="inlineStr">
        <is>
          <t>B</t>
        </is>
      </c>
      <c r="D644" s="76" t="n">
        <v>46315</v>
      </c>
      <c r="E644" s="74" t="inlineStr">
        <is>
          <t>Mardi</t>
        </is>
      </c>
      <c r="F644" s="77" t="n">
        <v>0.8020833333333334</v>
      </c>
      <c r="G644" s="77" t="n">
        <v>0.8645833333333334</v>
      </c>
      <c r="H644" s="78">
        <f>IF(OR($F644="",$G644=""),"",($G644-$F644)*24)</f>
        <v/>
      </c>
      <c r="I644" s="74" t="inlineStr">
        <is>
          <t>Secondaire</t>
        </is>
      </c>
      <c r="J644" s="75" t="inlineStr">
        <is>
          <t>3éme INFO</t>
        </is>
      </c>
      <c r="K644" s="89" t="inlineStr">
        <is>
          <t>Espagnol</t>
        </is>
      </c>
      <c r="L644" s="89" t="inlineStr">
        <is>
          <t>Espagnol</t>
        </is>
      </c>
      <c r="M644" s="75" t="inlineStr">
        <is>
          <t>Imen</t>
        </is>
      </c>
      <c r="N644" s="74" t="n"/>
      <c r="O644" s="74" t="n"/>
      <c r="P644" s="74" t="inlineStr">
        <is>
          <t>Hebdo · groupes alternés</t>
        </is>
      </c>
      <c r="Q644" s="75" t="inlineStr">
        <is>
          <t>3éme Eco + 3éme INFO</t>
        </is>
      </c>
      <c r="R644" s="74" t="n">
        <v>2</v>
      </c>
      <c r="S644" s="74" t="inlineStr"/>
      <c r="T644" s="74" t="inlineStr">
        <is>
          <t>S6-017</t>
        </is>
      </c>
      <c r="U644" s="75" t="inlineStr">
        <is>
          <t>Généré (octobre)</t>
        </is>
      </c>
      <c r="V644" s="75" t="inlineStr"/>
      <c r="W644" s="10" t="n"/>
      <c r="X644" s="10" t="inlineStr">
        <is>
          <t>Oui</t>
        </is>
      </c>
      <c r="Y644" s="64">
        <f>IF($M644="","",IF(SUMPRODUCT(($D$4:$D$863=$D644)*($M$4:$M$863=$M644)*($T$4:$T$863&lt;&gt;$T644)*($F$4:$F$863&lt;$G644)*($G$4:$G$863&gt;$F644))&gt;0,"⚠ CONFLIT",""))</f>
        <v/>
      </c>
      <c r="Z644" s="64">
        <f>IF($J644="","",IF(SUMPRODUCT(($D$4:$D$863=$D644)*($J$4:$J$863=$J644)*($T$4:$T$863&lt;&gt;$T644)*($F$4:$F$863&lt;$G644)*($G$4:$G$863&gt;$F644)*(1-($X$4:$X$863="Oui")*($X644="Oui")))&gt;0,"⚠ CONFLIT",""))</f>
        <v/>
      </c>
      <c r="AA644" s="64">
        <f>IF(COUNTIFS($D$4:$D$863,$D644,$J$4:$J$863,$J644,$F$4:$F$863,$F644,$K$4:$K$863,$K644)&gt;1,"⚠ DOUBLON","")</f>
        <v/>
      </c>
      <c r="AB644" s="64">
        <f>IF(COUNTIF($T$4:$T$863,$T644)&lt;&gt;COUNTIFS($T$4:$T$863,$T644,$D$4:$D$863,$D644,$F$4:$F$863,$F644,$G$4:$G$863,$G644,$K$4:$K$863,$K644,$M$4:$M$863,$M644),"⚠ INCOHÉRENT","")</f>
        <v/>
      </c>
      <c r="AC644" s="64">
        <f>COUNTIFS($A$4:$A644,$A644,$J$4:$J644,$J644,$E$4:$E644,$E644)</f>
        <v/>
      </c>
      <c r="AD644" s="65">
        <f>$A644&amp;"|"&amp;$J644&amp;"|"&amp;$E644&amp;"|"&amp;$AC644</f>
        <v/>
      </c>
      <c r="AE644" s="66">
        <f>IF($W644&lt;&gt;"","⚑ "&amp;$W644&amp;CHAR(10),"")&amp;TEXT($F644,"hh:mm")&amp;"-"&amp;TEXT($G644,"hh:mm")&amp;IF(OR($P644="Quinzaine A",AND($P644="Hebdo · groupes alternés",$C644="A"))," Q-A",IF(OR($P644="Quinzaine B",AND($P644="Hebdo · groupes alternés",$C644="B"))," Q-B",IF($P644="Exception"," PONCT.","")))&amp;IF($X644="Oui"," OPT","")&amp;CHAR(10)&amp;$K644&amp;CHAR(10)&amp;$M644&amp;IF($N644&lt;&gt;"",CHAR(10)&amp;"Salle "&amp;$N644,"")&amp;IF($O644="En ligne",CHAR(10)&amp;"EN LIGNE","")&amp;IF($V644&lt;&gt;"",CHAR(10)&amp;$V644,"")</f>
        <v/>
      </c>
      <c r="AF644" s="65" t="inlineStr"/>
      <c r="AG644" s="65" t="inlineStr">
        <is>
          <t>— généré —</t>
        </is>
      </c>
    </row>
    <row r="645" ht="15" customHeight="1">
      <c r="A645" s="74" t="inlineStr">
        <is>
          <t>S6</t>
        </is>
      </c>
      <c r="B645" s="75" t="inlineStr">
        <is>
          <t>du 19 au 25 octobre 2026</t>
        </is>
      </c>
      <c r="C645" s="74" t="inlineStr">
        <is>
          <t>B</t>
        </is>
      </c>
      <c r="D645" s="76" t="n">
        <v>46315</v>
      </c>
      <c r="E645" s="74" t="inlineStr">
        <is>
          <t>Mardi</t>
        </is>
      </c>
      <c r="F645" s="77" t="n">
        <v>0.8020833333333334</v>
      </c>
      <c r="G645" s="77" t="n">
        <v>0.8645833333333334</v>
      </c>
      <c r="H645" s="78">
        <f>IF(OR($F645="",$G645=""),"",($G645-$F645)*24)</f>
        <v/>
      </c>
      <c r="I645" s="74" t="inlineStr">
        <is>
          <t>Secondaire</t>
        </is>
      </c>
      <c r="J645" s="75" t="inlineStr">
        <is>
          <t>3éme INFO</t>
        </is>
      </c>
      <c r="K645" s="90" t="inlineStr">
        <is>
          <t>Italien</t>
        </is>
      </c>
      <c r="L645" s="90" t="inlineStr">
        <is>
          <t>Italien</t>
        </is>
      </c>
      <c r="M645" s="75" t="inlineStr">
        <is>
          <t>Amel</t>
        </is>
      </c>
      <c r="N645" s="74" t="n"/>
      <c r="O645" s="74" t="n"/>
      <c r="P645" s="74" t="inlineStr">
        <is>
          <t>Hebdo · groupes alternés</t>
        </is>
      </c>
      <c r="Q645" s="75" t="inlineStr">
        <is>
          <t>3éme INFO + 3éme SCE</t>
        </is>
      </c>
      <c r="R645" s="74" t="n">
        <v>2</v>
      </c>
      <c r="S645" s="74" t="inlineStr">
        <is>
          <t>Oui</t>
        </is>
      </c>
      <c r="T645" s="74" t="inlineStr">
        <is>
          <t>S6-018</t>
        </is>
      </c>
      <c r="U645" s="75" t="inlineStr">
        <is>
          <t>Généré (octobre)</t>
        </is>
      </c>
      <c r="V645" s="75" t="inlineStr"/>
      <c r="W645" s="10" t="n"/>
      <c r="X645" s="10" t="inlineStr">
        <is>
          <t>Oui</t>
        </is>
      </c>
      <c r="Y645" s="64">
        <f>IF($M645="","",IF(SUMPRODUCT(($D$4:$D$863=$D645)*($M$4:$M$863=$M645)*($T$4:$T$863&lt;&gt;$T645)*($F$4:$F$863&lt;$G645)*($G$4:$G$863&gt;$F645))&gt;0,"⚠ CONFLIT",""))</f>
        <v/>
      </c>
      <c r="Z645" s="64">
        <f>IF($J645="","",IF(SUMPRODUCT(($D$4:$D$863=$D645)*($J$4:$J$863=$J645)*($T$4:$T$863&lt;&gt;$T645)*($F$4:$F$863&lt;$G645)*($G$4:$G$863&gt;$F645)*(1-($X$4:$X$863="Oui")*($X645="Oui")))&gt;0,"⚠ CONFLIT",""))</f>
        <v/>
      </c>
      <c r="AA645" s="64">
        <f>IF(COUNTIFS($D$4:$D$863,$D645,$J$4:$J$863,$J645,$F$4:$F$863,$F645,$K$4:$K$863,$K645)&gt;1,"⚠ DOUBLON","")</f>
        <v/>
      </c>
      <c r="AB645" s="64">
        <f>IF(COUNTIF($T$4:$T$863,$T645)&lt;&gt;COUNTIFS($T$4:$T$863,$T645,$D$4:$D$863,$D645,$F$4:$F$863,$F645,$G$4:$G$863,$G645,$K$4:$K$863,$K645,$M$4:$M$863,$M645),"⚠ INCOHÉRENT","")</f>
        <v/>
      </c>
      <c r="AC645" s="64">
        <f>COUNTIFS($A$4:$A645,$A645,$J$4:$J645,$J645,$E$4:$E645,$E645)</f>
        <v/>
      </c>
      <c r="AD645" s="65">
        <f>$A645&amp;"|"&amp;$J645&amp;"|"&amp;$E645&amp;"|"&amp;$AC645</f>
        <v/>
      </c>
      <c r="AE645" s="66">
        <f>IF($W645&lt;&gt;"","⚑ "&amp;$W645&amp;CHAR(10),"")&amp;TEXT($F645,"hh:mm")&amp;"-"&amp;TEXT($G645,"hh:mm")&amp;IF(OR($P645="Quinzaine A",AND($P645="Hebdo · groupes alternés",$C645="A"))," Q-A",IF(OR($P645="Quinzaine B",AND($P645="Hebdo · groupes alternés",$C645="B"))," Q-B",IF($P645="Exception"," PONCT.","")))&amp;IF($X645="Oui"," OPT","")&amp;CHAR(10)&amp;$K645&amp;CHAR(10)&amp;$M645&amp;IF($N645&lt;&gt;"",CHAR(10)&amp;"Salle "&amp;$N645,"")&amp;IF($O645="En ligne",CHAR(10)&amp;"EN LIGNE","")&amp;IF($V645&lt;&gt;"",CHAR(10)&amp;$V645,"")</f>
        <v/>
      </c>
      <c r="AF645" s="65" t="inlineStr"/>
      <c r="AG645" s="65" t="inlineStr">
        <is>
          <t>— généré —</t>
        </is>
      </c>
    </row>
    <row r="646" ht="15" customHeight="1">
      <c r="A646" s="74" t="inlineStr">
        <is>
          <t>S6</t>
        </is>
      </c>
      <c r="B646" s="75" t="inlineStr">
        <is>
          <t>du 19 au 25 octobre 2026</t>
        </is>
      </c>
      <c r="C646" s="74" t="inlineStr">
        <is>
          <t>B</t>
        </is>
      </c>
      <c r="D646" s="76" t="n">
        <v>46315</v>
      </c>
      <c r="E646" s="74" t="inlineStr">
        <is>
          <t>Mardi</t>
        </is>
      </c>
      <c r="F646" s="77" t="n">
        <v>0.8020833333333334</v>
      </c>
      <c r="G646" s="77" t="n">
        <v>0.8645833333333334</v>
      </c>
      <c r="H646" s="78">
        <f>IF(OR($F646="",$G646=""),"",($G646-$F646)*24)</f>
        <v/>
      </c>
      <c r="I646" s="74" t="inlineStr">
        <is>
          <t>Secondaire</t>
        </is>
      </c>
      <c r="J646" s="75" t="inlineStr">
        <is>
          <t>3éme SCE</t>
        </is>
      </c>
      <c r="K646" s="90" t="inlineStr">
        <is>
          <t>Italien</t>
        </is>
      </c>
      <c r="L646" s="90" t="inlineStr">
        <is>
          <t>Italien</t>
        </is>
      </c>
      <c r="M646" s="75" t="inlineStr">
        <is>
          <t>Amel</t>
        </is>
      </c>
      <c r="N646" s="74" t="n"/>
      <c r="O646" s="74" t="n"/>
      <c r="P646" s="74" t="inlineStr">
        <is>
          <t>Hebdo · groupes alternés</t>
        </is>
      </c>
      <c r="Q646" s="75" t="inlineStr">
        <is>
          <t>3éme INFO + 3éme SCE</t>
        </is>
      </c>
      <c r="R646" s="74" t="n">
        <v>2</v>
      </c>
      <c r="S646" s="74" t="inlineStr"/>
      <c r="T646" s="74" t="inlineStr">
        <is>
          <t>S6-018</t>
        </is>
      </c>
      <c r="U646" s="75" t="inlineStr">
        <is>
          <t>Généré (octobre)</t>
        </is>
      </c>
      <c r="V646" s="75" t="inlineStr"/>
      <c r="W646" s="10" t="n"/>
      <c r="X646" s="10" t="inlineStr">
        <is>
          <t>Oui</t>
        </is>
      </c>
      <c r="Y646" s="64">
        <f>IF($M646="","",IF(SUMPRODUCT(($D$4:$D$863=$D646)*($M$4:$M$863=$M646)*($T$4:$T$863&lt;&gt;$T646)*($F$4:$F$863&lt;$G646)*($G$4:$G$863&gt;$F646))&gt;0,"⚠ CONFLIT",""))</f>
        <v/>
      </c>
      <c r="Z646" s="64">
        <f>IF($J646="","",IF(SUMPRODUCT(($D$4:$D$863=$D646)*($J$4:$J$863=$J646)*($T$4:$T$863&lt;&gt;$T646)*($F$4:$F$863&lt;$G646)*($G$4:$G$863&gt;$F646)*(1-($X$4:$X$863="Oui")*($X646="Oui")))&gt;0,"⚠ CONFLIT",""))</f>
        <v/>
      </c>
      <c r="AA646" s="64">
        <f>IF(COUNTIFS($D$4:$D$863,$D646,$J$4:$J$863,$J646,$F$4:$F$863,$F646,$K$4:$K$863,$K646)&gt;1,"⚠ DOUBLON","")</f>
        <v/>
      </c>
      <c r="AB646" s="64">
        <f>IF(COUNTIF($T$4:$T$863,$T646)&lt;&gt;COUNTIFS($T$4:$T$863,$T646,$D$4:$D$863,$D646,$F$4:$F$863,$F646,$G$4:$G$863,$G646,$K$4:$K$863,$K646,$M$4:$M$863,$M646),"⚠ INCOHÉRENT","")</f>
        <v/>
      </c>
      <c r="AC646" s="64">
        <f>COUNTIFS($A$4:$A646,$A646,$J$4:$J646,$J646,$E$4:$E646,$E646)</f>
        <v/>
      </c>
      <c r="AD646" s="65">
        <f>$A646&amp;"|"&amp;$J646&amp;"|"&amp;$E646&amp;"|"&amp;$AC646</f>
        <v/>
      </c>
      <c r="AE646" s="66">
        <f>IF($W646&lt;&gt;"","⚑ "&amp;$W646&amp;CHAR(10),"")&amp;TEXT($F646,"hh:mm")&amp;"-"&amp;TEXT($G646,"hh:mm")&amp;IF(OR($P646="Quinzaine A",AND($P646="Hebdo · groupes alternés",$C646="A"))," Q-A",IF(OR($P646="Quinzaine B",AND($P646="Hebdo · groupes alternés",$C646="B"))," Q-B",IF($P646="Exception"," PONCT.","")))&amp;IF($X646="Oui"," OPT","")&amp;CHAR(10)&amp;$K646&amp;CHAR(10)&amp;$M646&amp;IF($N646&lt;&gt;"",CHAR(10)&amp;"Salle "&amp;$N646,"")&amp;IF($O646="En ligne",CHAR(10)&amp;"EN LIGNE","")&amp;IF($V646&lt;&gt;"",CHAR(10)&amp;$V646,"")</f>
        <v/>
      </c>
      <c r="AF646" s="65" t="inlineStr"/>
      <c r="AG646" s="65" t="inlineStr">
        <is>
          <t>— généré —</t>
        </is>
      </c>
    </row>
    <row r="647" ht="15" customHeight="1">
      <c r="A647" s="58" t="inlineStr">
        <is>
          <t>S6</t>
        </is>
      </c>
      <c r="B647" s="59" t="inlineStr">
        <is>
          <t>du 19 au 25 octobre 2026</t>
        </is>
      </c>
      <c r="C647" s="58" t="inlineStr">
        <is>
          <t>B</t>
        </is>
      </c>
      <c r="D647" s="60" t="n">
        <v>46316</v>
      </c>
      <c r="E647" s="58" t="inlineStr">
        <is>
          <t>Mercredi</t>
        </is>
      </c>
      <c r="F647" s="61" t="n">
        <v>0.7916666666666666</v>
      </c>
      <c r="G647" s="61" t="n">
        <v>0.875</v>
      </c>
      <c r="H647" s="62">
        <f>IF(OR($F647="",$G647=""),"",($G647-$F647)*24)</f>
        <v/>
      </c>
      <c r="I647" s="58" t="inlineStr">
        <is>
          <t>Primaire</t>
        </is>
      </c>
      <c r="J647" s="59" t="inlineStr">
        <is>
          <t>4éme</t>
        </is>
      </c>
      <c r="K647" s="79" t="inlineStr">
        <is>
          <t>رياضيات</t>
        </is>
      </c>
      <c r="L647" s="79" t="inlineStr">
        <is>
          <t>Math</t>
        </is>
      </c>
      <c r="M647" s="59" t="inlineStr">
        <is>
          <t>Bassma</t>
        </is>
      </c>
      <c r="N647" s="58" t="n"/>
      <c r="O647" s="58" t="n"/>
      <c r="P647" s="58" t="inlineStr">
        <is>
          <t>Hebdomadaire</t>
        </is>
      </c>
      <c r="Q647" s="59" t="inlineStr"/>
      <c r="R647" s="58" t="n">
        <v>1</v>
      </c>
      <c r="S647" s="58" t="inlineStr">
        <is>
          <t>Oui</t>
        </is>
      </c>
      <c r="T647" s="58" t="inlineStr">
        <is>
          <t>S6-019</t>
        </is>
      </c>
      <c r="U647" s="59" t="inlineStr">
        <is>
          <t>Généré (octobre)</t>
        </is>
      </c>
      <c r="V647" s="59" t="inlineStr"/>
      <c r="W647" s="10" t="n"/>
      <c r="X647" s="10" t="inlineStr"/>
      <c r="Y647" s="64">
        <f>IF($M647="","",IF(SUMPRODUCT(($D$4:$D$863=$D647)*($M$4:$M$863=$M647)*($T$4:$T$863&lt;&gt;$T647)*($F$4:$F$863&lt;$G647)*($G$4:$G$863&gt;$F647))&gt;0,"⚠ CONFLIT",""))</f>
        <v/>
      </c>
      <c r="Z647" s="64">
        <f>IF($J647="","",IF(SUMPRODUCT(($D$4:$D$863=$D647)*($J$4:$J$863=$J647)*($T$4:$T$863&lt;&gt;$T647)*($F$4:$F$863&lt;$G647)*($G$4:$G$863&gt;$F647)*(1-($X$4:$X$863="Oui")*($X647="Oui")))&gt;0,"⚠ CONFLIT",""))</f>
        <v/>
      </c>
      <c r="AA647" s="64">
        <f>IF(COUNTIFS($D$4:$D$863,$D647,$J$4:$J$863,$J647,$F$4:$F$863,$F647,$K$4:$K$863,$K647)&gt;1,"⚠ DOUBLON","")</f>
        <v/>
      </c>
      <c r="AB647" s="64">
        <f>IF(COUNTIF($T$4:$T$863,$T647)&lt;&gt;COUNTIFS($T$4:$T$863,$T647,$D$4:$D$863,$D647,$F$4:$F$863,$F647,$G$4:$G$863,$G647,$K$4:$K$863,$K647,$M$4:$M$863,$M647),"⚠ INCOHÉRENT","")</f>
        <v/>
      </c>
      <c r="AC647" s="64">
        <f>COUNTIFS($A$4:$A647,$A647,$J$4:$J647,$J647,$E$4:$E647,$E647)</f>
        <v/>
      </c>
      <c r="AD647" s="65">
        <f>$A647&amp;"|"&amp;$J647&amp;"|"&amp;$E647&amp;"|"&amp;$AC647</f>
        <v/>
      </c>
      <c r="AE647" s="66">
        <f>IF($W647&lt;&gt;"","⚑ "&amp;$W647&amp;CHAR(10),"")&amp;TEXT($F647,"hh:mm")&amp;"-"&amp;TEXT($G647,"hh:mm")&amp;IF(OR($P647="Quinzaine A",AND($P647="Hebdo · groupes alternés",$C647="A"))," Q-A",IF(OR($P647="Quinzaine B",AND($P647="Hebdo · groupes alternés",$C647="B"))," Q-B",IF($P647="Exception"," PONCT.","")))&amp;IF($X647="Oui"," OPT","")&amp;CHAR(10)&amp;$K647&amp;CHAR(10)&amp;$M647&amp;IF($N647&lt;&gt;"",CHAR(10)&amp;"Salle "&amp;$N647,"")&amp;IF($O647="En ligne",CHAR(10)&amp;"EN LIGNE","")&amp;IF($V647&lt;&gt;"",CHAR(10)&amp;$V647,"")</f>
        <v/>
      </c>
      <c r="AF647" s="65" t="inlineStr"/>
      <c r="AG647" s="65" t="inlineStr">
        <is>
          <t>— généré —</t>
        </is>
      </c>
    </row>
    <row r="648" ht="15" customHeight="1">
      <c r="A648" s="58" t="inlineStr">
        <is>
          <t>S6</t>
        </is>
      </c>
      <c r="B648" s="59" t="inlineStr">
        <is>
          <t>du 19 au 25 octobre 2026</t>
        </is>
      </c>
      <c r="C648" s="58" t="inlineStr">
        <is>
          <t>B</t>
        </is>
      </c>
      <c r="D648" s="60" t="n">
        <v>46316</v>
      </c>
      <c r="E648" s="58" t="inlineStr">
        <is>
          <t>Mercredi</t>
        </is>
      </c>
      <c r="F648" s="61" t="n">
        <v>0.7916666666666666</v>
      </c>
      <c r="G648" s="61" t="n">
        <v>0.875</v>
      </c>
      <c r="H648" s="62">
        <f>IF(OR($F648="",$G648=""),"",($G648-$F648)*24)</f>
        <v/>
      </c>
      <c r="I648" s="58" t="inlineStr">
        <is>
          <t>Primaire</t>
        </is>
      </c>
      <c r="J648" s="59" t="inlineStr">
        <is>
          <t>6éme Pilote (A)</t>
        </is>
      </c>
      <c r="K648" s="79" t="inlineStr">
        <is>
          <t>رياضيات</t>
        </is>
      </c>
      <c r="L648" s="79" t="inlineStr">
        <is>
          <t>Math</t>
        </is>
      </c>
      <c r="M648" s="59" t="inlineStr">
        <is>
          <t>Noura</t>
        </is>
      </c>
      <c r="N648" s="58" t="n"/>
      <c r="O648" s="58" t="n"/>
      <c r="P648" s="58" t="inlineStr">
        <is>
          <t>Hebdomadaire</t>
        </is>
      </c>
      <c r="Q648" s="59" t="inlineStr"/>
      <c r="R648" s="58" t="n">
        <v>1</v>
      </c>
      <c r="S648" s="58" t="inlineStr">
        <is>
          <t>Oui</t>
        </is>
      </c>
      <c r="T648" s="58" t="inlineStr">
        <is>
          <t>S6-020</t>
        </is>
      </c>
      <c r="U648" s="59" t="inlineStr">
        <is>
          <t>Généré (octobre)</t>
        </is>
      </c>
      <c r="V648" s="59" t="inlineStr"/>
      <c r="W648" s="10" t="n"/>
      <c r="X648" s="10" t="inlineStr"/>
      <c r="Y648" s="64">
        <f>IF($M648="","",IF(SUMPRODUCT(($D$4:$D$863=$D648)*($M$4:$M$863=$M648)*($T$4:$T$863&lt;&gt;$T648)*($F$4:$F$863&lt;$G648)*($G$4:$G$863&gt;$F648))&gt;0,"⚠ CONFLIT",""))</f>
        <v/>
      </c>
      <c r="Z648" s="64">
        <f>IF($J648="","",IF(SUMPRODUCT(($D$4:$D$863=$D648)*($J$4:$J$863=$J648)*($T$4:$T$863&lt;&gt;$T648)*($F$4:$F$863&lt;$G648)*($G$4:$G$863&gt;$F648)*(1-($X$4:$X$863="Oui")*($X648="Oui")))&gt;0,"⚠ CONFLIT",""))</f>
        <v/>
      </c>
      <c r="AA648" s="64">
        <f>IF(COUNTIFS($D$4:$D$863,$D648,$J$4:$J$863,$J648,$F$4:$F$863,$F648,$K$4:$K$863,$K648)&gt;1,"⚠ DOUBLON","")</f>
        <v/>
      </c>
      <c r="AB648" s="64">
        <f>IF(COUNTIF($T$4:$T$863,$T648)&lt;&gt;COUNTIFS($T$4:$T$863,$T648,$D$4:$D$863,$D648,$F$4:$F$863,$F648,$G$4:$G$863,$G648,$K$4:$K$863,$K648,$M$4:$M$863,$M648),"⚠ INCOHÉRENT","")</f>
        <v/>
      </c>
      <c r="AC648" s="64">
        <f>COUNTIFS($A$4:$A648,$A648,$J$4:$J648,$J648,$E$4:$E648,$E648)</f>
        <v/>
      </c>
      <c r="AD648" s="65">
        <f>$A648&amp;"|"&amp;$J648&amp;"|"&amp;$E648&amp;"|"&amp;$AC648</f>
        <v/>
      </c>
      <c r="AE648" s="66">
        <f>IF($W648&lt;&gt;"","⚑ "&amp;$W648&amp;CHAR(10),"")&amp;TEXT($F648,"hh:mm")&amp;"-"&amp;TEXT($G648,"hh:mm")&amp;IF(OR($P648="Quinzaine A",AND($P648="Hebdo · groupes alternés",$C648="A"))," Q-A",IF(OR($P648="Quinzaine B",AND($P648="Hebdo · groupes alternés",$C648="B"))," Q-B",IF($P648="Exception"," PONCT.","")))&amp;IF($X648="Oui"," OPT","")&amp;CHAR(10)&amp;$K648&amp;CHAR(10)&amp;$M648&amp;IF($N648&lt;&gt;"",CHAR(10)&amp;"Salle "&amp;$N648,"")&amp;IF($O648="En ligne",CHAR(10)&amp;"EN LIGNE","")&amp;IF($V648&lt;&gt;"",CHAR(10)&amp;$V648,"")</f>
        <v/>
      </c>
      <c r="AF648" s="65" t="inlineStr"/>
      <c r="AG648" s="65" t="inlineStr">
        <is>
          <t>— généré —</t>
        </is>
      </c>
    </row>
    <row r="649" ht="15" customHeight="1">
      <c r="A649" s="68" t="inlineStr">
        <is>
          <t>S6</t>
        </is>
      </c>
      <c r="B649" s="69" t="inlineStr">
        <is>
          <t>du 19 au 25 octobre 2026</t>
        </is>
      </c>
      <c r="C649" s="68" t="inlineStr">
        <is>
          <t>B</t>
        </is>
      </c>
      <c r="D649" s="70" t="n">
        <v>46316</v>
      </c>
      <c r="E649" s="68" t="inlineStr">
        <is>
          <t>Mercredi</t>
        </is>
      </c>
      <c r="F649" s="71" t="n">
        <v>0.8125</v>
      </c>
      <c r="G649" s="71" t="n">
        <v>0.875</v>
      </c>
      <c r="H649" s="72">
        <f>IF(OR($F649="",$G649=""),"",($G649-$F649)*24)</f>
        <v/>
      </c>
      <c r="I649" s="68" t="inlineStr">
        <is>
          <t>Collège</t>
        </is>
      </c>
      <c r="J649" s="69" t="inlineStr">
        <is>
          <t>7éme (A)</t>
        </is>
      </c>
      <c r="K649" s="73" t="inlineStr">
        <is>
          <t>فيزياء</t>
        </is>
      </c>
      <c r="L649" s="73" t="inlineStr">
        <is>
          <t>Physique</t>
        </is>
      </c>
      <c r="M649" s="69" t="inlineStr">
        <is>
          <t>Melek</t>
        </is>
      </c>
      <c r="N649" s="68" t="n"/>
      <c r="O649" s="68" t="n"/>
      <c r="P649" s="68" t="inlineStr">
        <is>
          <t>Hebdomadaire</t>
        </is>
      </c>
      <c r="Q649" s="69" t="inlineStr">
        <is>
          <t>7éme (A) + 7éme (B)</t>
        </is>
      </c>
      <c r="R649" s="68" t="n">
        <v>2</v>
      </c>
      <c r="S649" s="68" t="inlineStr">
        <is>
          <t>Oui</t>
        </is>
      </c>
      <c r="T649" s="68" t="inlineStr">
        <is>
          <t>S6-021</t>
        </is>
      </c>
      <c r="U649" s="69" t="inlineStr">
        <is>
          <t>Généré (octobre)</t>
        </is>
      </c>
      <c r="V649" s="69" t="inlineStr"/>
      <c r="W649" s="10" t="n"/>
      <c r="X649" s="10" t="inlineStr"/>
      <c r="Y649" s="64">
        <f>IF($M649="","",IF(SUMPRODUCT(($D$4:$D$863=$D649)*($M$4:$M$863=$M649)*($T$4:$T$863&lt;&gt;$T649)*($F$4:$F$863&lt;$G649)*($G$4:$G$863&gt;$F649))&gt;0,"⚠ CONFLIT",""))</f>
        <v/>
      </c>
      <c r="Z649" s="64">
        <f>IF($J649="","",IF(SUMPRODUCT(($D$4:$D$863=$D649)*($J$4:$J$863=$J649)*($T$4:$T$863&lt;&gt;$T649)*($F$4:$F$863&lt;$G649)*($G$4:$G$863&gt;$F649)*(1-($X$4:$X$863="Oui")*($X649="Oui")))&gt;0,"⚠ CONFLIT",""))</f>
        <v/>
      </c>
      <c r="AA649" s="64">
        <f>IF(COUNTIFS($D$4:$D$863,$D649,$J$4:$J$863,$J649,$F$4:$F$863,$F649,$K$4:$K$863,$K649)&gt;1,"⚠ DOUBLON","")</f>
        <v/>
      </c>
      <c r="AB649" s="64">
        <f>IF(COUNTIF($T$4:$T$863,$T649)&lt;&gt;COUNTIFS($T$4:$T$863,$T649,$D$4:$D$863,$D649,$F$4:$F$863,$F649,$G$4:$G$863,$G649,$K$4:$K$863,$K649,$M$4:$M$863,$M649),"⚠ INCOHÉRENT","")</f>
        <v/>
      </c>
      <c r="AC649" s="64">
        <f>COUNTIFS($A$4:$A649,$A649,$J$4:$J649,$J649,$E$4:$E649,$E649)</f>
        <v/>
      </c>
      <c r="AD649" s="65">
        <f>$A649&amp;"|"&amp;$J649&amp;"|"&amp;$E649&amp;"|"&amp;$AC649</f>
        <v/>
      </c>
      <c r="AE649" s="66">
        <f>IF($W649&lt;&gt;"","⚑ "&amp;$W649&amp;CHAR(10),"")&amp;TEXT($F649,"hh:mm")&amp;"-"&amp;TEXT($G649,"hh:mm")&amp;IF(OR($P649="Quinzaine A",AND($P649="Hebdo · groupes alternés",$C649="A"))," Q-A",IF(OR($P649="Quinzaine B",AND($P649="Hebdo · groupes alternés",$C649="B"))," Q-B",IF($P649="Exception"," PONCT.","")))&amp;IF($X649="Oui"," OPT","")&amp;CHAR(10)&amp;$K649&amp;CHAR(10)&amp;$M649&amp;IF($N649&lt;&gt;"",CHAR(10)&amp;"Salle "&amp;$N649,"")&amp;IF($O649="En ligne",CHAR(10)&amp;"EN LIGNE","")&amp;IF($V649&lt;&gt;"",CHAR(10)&amp;$V649,"")</f>
        <v/>
      </c>
      <c r="AF649" s="65" t="inlineStr"/>
      <c r="AG649" s="65" t="inlineStr">
        <is>
          <t>— généré —</t>
        </is>
      </c>
    </row>
    <row r="650" ht="15" customHeight="1">
      <c r="A650" s="68" t="inlineStr">
        <is>
          <t>S6</t>
        </is>
      </c>
      <c r="B650" s="69" t="inlineStr">
        <is>
          <t>du 19 au 25 octobre 2026</t>
        </is>
      </c>
      <c r="C650" s="68" t="inlineStr">
        <is>
          <t>B</t>
        </is>
      </c>
      <c r="D650" s="70" t="n">
        <v>46316</v>
      </c>
      <c r="E650" s="68" t="inlineStr">
        <is>
          <t>Mercredi</t>
        </is>
      </c>
      <c r="F650" s="71" t="n">
        <v>0.8125</v>
      </c>
      <c r="G650" s="71" t="n">
        <v>0.875</v>
      </c>
      <c r="H650" s="72">
        <f>IF(OR($F650="",$G650=""),"",($G650-$F650)*24)</f>
        <v/>
      </c>
      <c r="I650" s="68" t="inlineStr">
        <is>
          <t>Collège</t>
        </is>
      </c>
      <c r="J650" s="69" t="inlineStr">
        <is>
          <t>7éme (B)</t>
        </is>
      </c>
      <c r="K650" s="73" t="inlineStr">
        <is>
          <t>فيزياء</t>
        </is>
      </c>
      <c r="L650" s="73" t="inlineStr">
        <is>
          <t>Physique</t>
        </is>
      </c>
      <c r="M650" s="69" t="inlineStr">
        <is>
          <t>Melek</t>
        </is>
      </c>
      <c r="N650" s="68" t="n"/>
      <c r="O650" s="68" t="n"/>
      <c r="P650" s="68" t="inlineStr">
        <is>
          <t>Hebdomadaire</t>
        </is>
      </c>
      <c r="Q650" s="69" t="inlineStr">
        <is>
          <t>7éme (A) + 7éme (B)</t>
        </is>
      </c>
      <c r="R650" s="68" t="n">
        <v>2</v>
      </c>
      <c r="S650" s="68" t="inlineStr"/>
      <c r="T650" s="68" t="inlineStr">
        <is>
          <t>S6-021</t>
        </is>
      </c>
      <c r="U650" s="69" t="inlineStr">
        <is>
          <t>Généré (octobre)</t>
        </is>
      </c>
      <c r="V650" s="69" t="inlineStr"/>
      <c r="W650" s="10" t="n"/>
      <c r="X650" s="10" t="inlineStr"/>
      <c r="Y650" s="64">
        <f>IF($M650="","",IF(SUMPRODUCT(($D$4:$D$863=$D650)*($M$4:$M$863=$M650)*($T$4:$T$863&lt;&gt;$T650)*($F$4:$F$863&lt;$G650)*($G$4:$G$863&gt;$F650))&gt;0,"⚠ CONFLIT",""))</f>
        <v/>
      </c>
      <c r="Z650" s="64">
        <f>IF($J650="","",IF(SUMPRODUCT(($D$4:$D$863=$D650)*($J$4:$J$863=$J650)*($T$4:$T$863&lt;&gt;$T650)*($F$4:$F$863&lt;$G650)*($G$4:$G$863&gt;$F650)*(1-($X$4:$X$863="Oui")*($X650="Oui")))&gt;0,"⚠ CONFLIT",""))</f>
        <v/>
      </c>
      <c r="AA650" s="64">
        <f>IF(COUNTIFS($D$4:$D$863,$D650,$J$4:$J$863,$J650,$F$4:$F$863,$F650,$K$4:$K$863,$K650)&gt;1,"⚠ DOUBLON","")</f>
        <v/>
      </c>
      <c r="AB650" s="64">
        <f>IF(COUNTIF($T$4:$T$863,$T650)&lt;&gt;COUNTIFS($T$4:$T$863,$T650,$D$4:$D$863,$D650,$F$4:$F$863,$F650,$G$4:$G$863,$G650,$K$4:$K$863,$K650,$M$4:$M$863,$M650),"⚠ INCOHÉRENT","")</f>
        <v/>
      </c>
      <c r="AC650" s="64">
        <f>COUNTIFS($A$4:$A650,$A650,$J$4:$J650,$J650,$E$4:$E650,$E650)</f>
        <v/>
      </c>
      <c r="AD650" s="65">
        <f>$A650&amp;"|"&amp;$J650&amp;"|"&amp;$E650&amp;"|"&amp;$AC650</f>
        <v/>
      </c>
      <c r="AE650" s="66">
        <f>IF($W650&lt;&gt;"","⚑ "&amp;$W650&amp;CHAR(10),"")&amp;TEXT($F650,"hh:mm")&amp;"-"&amp;TEXT($G650,"hh:mm")&amp;IF(OR($P650="Quinzaine A",AND($P650="Hebdo · groupes alternés",$C650="A"))," Q-A",IF(OR($P650="Quinzaine B",AND($P650="Hebdo · groupes alternés",$C650="B"))," Q-B",IF($P650="Exception"," PONCT.","")))&amp;IF($X650="Oui"," OPT","")&amp;CHAR(10)&amp;$K650&amp;CHAR(10)&amp;$M650&amp;IF($N650&lt;&gt;"",CHAR(10)&amp;"Salle "&amp;$N650,"")&amp;IF($O650="En ligne",CHAR(10)&amp;"EN LIGNE","")&amp;IF($V650&lt;&gt;"",CHAR(10)&amp;$V650,"")</f>
        <v/>
      </c>
      <c r="AF650" s="65" t="inlineStr"/>
      <c r="AG650" s="65" t="inlineStr">
        <is>
          <t>— généré —</t>
        </is>
      </c>
    </row>
    <row r="651" ht="15" customHeight="1">
      <c r="A651" s="68" t="inlineStr">
        <is>
          <t>S6</t>
        </is>
      </c>
      <c r="B651" s="69" t="inlineStr">
        <is>
          <t>du 19 au 25 octobre 2026</t>
        </is>
      </c>
      <c r="C651" s="68" t="inlineStr">
        <is>
          <t>B</t>
        </is>
      </c>
      <c r="D651" s="70" t="n">
        <v>46316</v>
      </c>
      <c r="E651" s="68" t="inlineStr">
        <is>
          <t>Mercredi</t>
        </is>
      </c>
      <c r="F651" s="71" t="n">
        <v>0.7916666666666666</v>
      </c>
      <c r="G651" s="71" t="n">
        <v>0.8541666666666666</v>
      </c>
      <c r="H651" s="72">
        <f>IF(OR($F651="",$G651=""),"",($G651-$F651)*24)</f>
        <v/>
      </c>
      <c r="I651" s="68" t="inlineStr">
        <is>
          <t>Collège</t>
        </is>
      </c>
      <c r="J651" s="69" t="inlineStr">
        <is>
          <t>8éme (A)</t>
        </is>
      </c>
      <c r="K651" s="63" t="inlineStr">
        <is>
          <t>Arabe</t>
        </is>
      </c>
      <c r="L651" s="63" t="inlineStr">
        <is>
          <t>Arabe</t>
        </is>
      </c>
      <c r="M651" s="69" t="inlineStr">
        <is>
          <t>Awatef</t>
        </is>
      </c>
      <c r="N651" s="68" t="n"/>
      <c r="O651" s="68" t="n"/>
      <c r="P651" s="68" t="inlineStr">
        <is>
          <t>Hebdomadaire</t>
        </is>
      </c>
      <c r="Q651" s="69" t="inlineStr"/>
      <c r="R651" s="68" t="n">
        <v>1</v>
      </c>
      <c r="S651" s="68" t="inlineStr">
        <is>
          <t>Oui</t>
        </is>
      </c>
      <c r="T651" s="68" t="inlineStr">
        <is>
          <t>S6-022</t>
        </is>
      </c>
      <c r="U651" s="69" t="inlineStr">
        <is>
          <t>Généré (octobre)</t>
        </is>
      </c>
      <c r="V651" s="69" t="inlineStr"/>
      <c r="W651" s="10" t="n"/>
      <c r="X651" s="10" t="inlineStr"/>
      <c r="Y651" s="64">
        <f>IF($M651="","",IF(SUMPRODUCT(($D$4:$D$863=$D651)*($M$4:$M$863=$M651)*($T$4:$T$863&lt;&gt;$T651)*($F$4:$F$863&lt;$G651)*($G$4:$G$863&gt;$F651))&gt;0,"⚠ CONFLIT",""))</f>
        <v/>
      </c>
      <c r="Z651" s="64">
        <f>IF($J651="","",IF(SUMPRODUCT(($D$4:$D$863=$D651)*($J$4:$J$863=$J651)*($T$4:$T$863&lt;&gt;$T651)*($F$4:$F$863&lt;$G651)*($G$4:$G$863&gt;$F651)*(1-($X$4:$X$863="Oui")*($X651="Oui")))&gt;0,"⚠ CONFLIT",""))</f>
        <v/>
      </c>
      <c r="AA651" s="64">
        <f>IF(COUNTIFS($D$4:$D$863,$D651,$J$4:$J$863,$J651,$F$4:$F$863,$F651,$K$4:$K$863,$K651)&gt;1,"⚠ DOUBLON","")</f>
        <v/>
      </c>
      <c r="AB651" s="64">
        <f>IF(COUNTIF($T$4:$T$863,$T651)&lt;&gt;COUNTIFS($T$4:$T$863,$T651,$D$4:$D$863,$D651,$F$4:$F$863,$F651,$G$4:$G$863,$G651,$K$4:$K$863,$K651,$M$4:$M$863,$M651),"⚠ INCOHÉRENT","")</f>
        <v/>
      </c>
      <c r="AC651" s="64">
        <f>COUNTIFS($A$4:$A651,$A651,$J$4:$J651,$J651,$E$4:$E651,$E651)</f>
        <v/>
      </c>
      <c r="AD651" s="65">
        <f>$A651&amp;"|"&amp;$J651&amp;"|"&amp;$E651&amp;"|"&amp;$AC651</f>
        <v/>
      </c>
      <c r="AE651" s="66">
        <f>IF($W651&lt;&gt;"","⚑ "&amp;$W651&amp;CHAR(10),"")&amp;TEXT($F651,"hh:mm")&amp;"-"&amp;TEXT($G651,"hh:mm")&amp;IF(OR($P651="Quinzaine A",AND($P651="Hebdo · groupes alternés",$C651="A"))," Q-A",IF(OR($P651="Quinzaine B",AND($P651="Hebdo · groupes alternés",$C651="B"))," Q-B",IF($P651="Exception"," PONCT.","")))&amp;IF($X651="Oui"," OPT","")&amp;CHAR(10)&amp;$K651&amp;CHAR(10)&amp;$M651&amp;IF($N651&lt;&gt;"",CHAR(10)&amp;"Salle "&amp;$N651,"")&amp;IF($O651="En ligne",CHAR(10)&amp;"EN LIGNE","")&amp;IF($V651&lt;&gt;"",CHAR(10)&amp;$V651,"")</f>
        <v/>
      </c>
      <c r="AF651" s="65" t="inlineStr"/>
      <c r="AG651" s="65" t="inlineStr">
        <is>
          <t>— généré —</t>
        </is>
      </c>
    </row>
    <row r="652" ht="15" customHeight="1">
      <c r="A652" s="68" t="inlineStr">
        <is>
          <t>S6</t>
        </is>
      </c>
      <c r="B652" s="69" t="inlineStr">
        <is>
          <t>du 19 au 25 octobre 2026</t>
        </is>
      </c>
      <c r="C652" s="68" t="inlineStr">
        <is>
          <t>B</t>
        </is>
      </c>
      <c r="D652" s="70" t="n">
        <v>46316</v>
      </c>
      <c r="E652" s="68" t="inlineStr">
        <is>
          <t>Mercredi</t>
        </is>
      </c>
      <c r="F652" s="71" t="n">
        <v>0.8020833333333334</v>
      </c>
      <c r="G652" s="71" t="n">
        <v>0.8645833333333334</v>
      </c>
      <c r="H652" s="72">
        <f>IF(OR($F652="",$G652=""),"",($G652-$F652)*24)</f>
        <v/>
      </c>
      <c r="I652" s="68" t="inlineStr">
        <is>
          <t>Collège</t>
        </is>
      </c>
      <c r="J652" s="69" t="inlineStr">
        <is>
          <t>8éme (B)</t>
        </is>
      </c>
      <c r="K652" s="79" t="inlineStr">
        <is>
          <t>Math</t>
        </is>
      </c>
      <c r="L652" s="79" t="inlineStr">
        <is>
          <t>Math</t>
        </is>
      </c>
      <c r="M652" s="69" t="inlineStr">
        <is>
          <t>Khouloud</t>
        </is>
      </c>
      <c r="N652" s="68" t="n"/>
      <c r="O652" s="68" t="n"/>
      <c r="P652" s="68" t="inlineStr">
        <is>
          <t>Hebdomadaire</t>
        </is>
      </c>
      <c r="Q652" s="69" t="inlineStr"/>
      <c r="R652" s="68" t="n">
        <v>1</v>
      </c>
      <c r="S652" s="68" t="inlineStr">
        <is>
          <t>Oui</t>
        </is>
      </c>
      <c r="T652" s="68" t="inlineStr">
        <is>
          <t>S6-023</t>
        </is>
      </c>
      <c r="U652" s="69" t="inlineStr">
        <is>
          <t>Généré (octobre)</t>
        </is>
      </c>
      <c r="V652" s="69" t="inlineStr"/>
      <c r="W652" s="10" t="n"/>
      <c r="X652" s="10" t="inlineStr"/>
      <c r="Y652" s="64">
        <f>IF($M652="","",IF(SUMPRODUCT(($D$4:$D$863=$D652)*($M$4:$M$863=$M652)*($T$4:$T$863&lt;&gt;$T652)*($F$4:$F$863&lt;$G652)*($G$4:$G$863&gt;$F652))&gt;0,"⚠ CONFLIT",""))</f>
        <v/>
      </c>
      <c r="Z652" s="64">
        <f>IF($J652="","",IF(SUMPRODUCT(($D$4:$D$863=$D652)*($J$4:$J$863=$J652)*($T$4:$T$863&lt;&gt;$T652)*($F$4:$F$863&lt;$G652)*($G$4:$G$863&gt;$F652)*(1-($X$4:$X$863="Oui")*($X652="Oui")))&gt;0,"⚠ CONFLIT",""))</f>
        <v/>
      </c>
      <c r="AA652" s="64">
        <f>IF(COUNTIFS($D$4:$D$863,$D652,$J$4:$J$863,$J652,$F$4:$F$863,$F652,$K$4:$K$863,$K652)&gt;1,"⚠ DOUBLON","")</f>
        <v/>
      </c>
      <c r="AB652" s="64">
        <f>IF(COUNTIF($T$4:$T$863,$T652)&lt;&gt;COUNTIFS($T$4:$T$863,$T652,$D$4:$D$863,$D652,$F$4:$F$863,$F652,$G$4:$G$863,$G652,$K$4:$K$863,$K652,$M$4:$M$863,$M652),"⚠ INCOHÉRENT","")</f>
        <v/>
      </c>
      <c r="AC652" s="64">
        <f>COUNTIFS($A$4:$A652,$A652,$J$4:$J652,$J652,$E$4:$E652,$E652)</f>
        <v/>
      </c>
      <c r="AD652" s="65">
        <f>$A652&amp;"|"&amp;$J652&amp;"|"&amp;$E652&amp;"|"&amp;$AC652</f>
        <v/>
      </c>
      <c r="AE652" s="66">
        <f>IF($W652&lt;&gt;"","⚑ "&amp;$W652&amp;CHAR(10),"")&amp;TEXT($F652,"hh:mm")&amp;"-"&amp;TEXT($G652,"hh:mm")&amp;IF(OR($P652="Quinzaine A",AND($P652="Hebdo · groupes alternés",$C652="A"))," Q-A",IF(OR($P652="Quinzaine B",AND($P652="Hebdo · groupes alternés",$C652="B"))," Q-B",IF($P652="Exception"," PONCT.","")))&amp;IF($X652="Oui"," OPT","")&amp;CHAR(10)&amp;$K652&amp;CHAR(10)&amp;$M652&amp;IF($N652&lt;&gt;"",CHAR(10)&amp;"Salle "&amp;$N652,"")&amp;IF($O652="En ligne",CHAR(10)&amp;"EN LIGNE","")&amp;IF($V652&lt;&gt;"",CHAR(10)&amp;$V652,"")</f>
        <v/>
      </c>
      <c r="AF652" s="65" t="inlineStr"/>
      <c r="AG652" s="65" t="inlineStr">
        <is>
          <t>— généré —</t>
        </is>
      </c>
    </row>
    <row r="653" ht="15" customHeight="1">
      <c r="A653" s="68" t="inlineStr">
        <is>
          <t>S6</t>
        </is>
      </c>
      <c r="B653" s="69" t="inlineStr">
        <is>
          <t>du 19 au 25 octobre 2026</t>
        </is>
      </c>
      <c r="C653" s="68" t="inlineStr">
        <is>
          <t>B</t>
        </is>
      </c>
      <c r="D653" s="70" t="n">
        <v>46316</v>
      </c>
      <c r="E653" s="68" t="inlineStr">
        <is>
          <t>Mercredi</t>
        </is>
      </c>
      <c r="F653" s="71" t="n">
        <v>0.8125</v>
      </c>
      <c r="G653" s="71" t="n">
        <v>0.875</v>
      </c>
      <c r="H653" s="72">
        <f>IF(OR($F653="",$G653=""),"",($G653-$F653)*24)</f>
        <v/>
      </c>
      <c r="I653" s="68" t="inlineStr">
        <is>
          <t>Collège</t>
        </is>
      </c>
      <c r="J653" s="69" t="inlineStr">
        <is>
          <t>8éme (C)</t>
        </is>
      </c>
      <c r="K653" s="67" t="inlineStr">
        <is>
          <t>Français</t>
        </is>
      </c>
      <c r="L653" s="67" t="inlineStr">
        <is>
          <t>Français</t>
        </is>
      </c>
      <c r="M653" s="69" t="inlineStr">
        <is>
          <t>Nabil</t>
        </is>
      </c>
      <c r="N653" s="68" t="n"/>
      <c r="O653" s="68" t="n"/>
      <c r="P653" s="68" t="inlineStr">
        <is>
          <t>Hebdomadaire</t>
        </is>
      </c>
      <c r="Q653" s="69" t="inlineStr"/>
      <c r="R653" s="68" t="n">
        <v>1</v>
      </c>
      <c r="S653" s="68" t="inlineStr">
        <is>
          <t>Oui</t>
        </is>
      </c>
      <c r="T653" s="68" t="inlineStr">
        <is>
          <t>S6-024</t>
        </is>
      </c>
      <c r="U653" s="69" t="inlineStr">
        <is>
          <t>Généré (octobre)</t>
        </is>
      </c>
      <c r="V653" s="69" t="inlineStr"/>
      <c r="W653" s="10" t="n"/>
      <c r="X653" s="10" t="inlineStr"/>
      <c r="Y653" s="64">
        <f>IF($M653="","",IF(SUMPRODUCT(($D$4:$D$863=$D653)*($M$4:$M$863=$M653)*($T$4:$T$863&lt;&gt;$T653)*($F$4:$F$863&lt;$G653)*($G$4:$G$863&gt;$F653))&gt;0,"⚠ CONFLIT",""))</f>
        <v/>
      </c>
      <c r="Z653" s="64">
        <f>IF($J653="","",IF(SUMPRODUCT(($D$4:$D$863=$D653)*($J$4:$J$863=$J653)*($T$4:$T$863&lt;&gt;$T653)*($F$4:$F$863&lt;$G653)*($G$4:$G$863&gt;$F653)*(1-($X$4:$X$863="Oui")*($X653="Oui")))&gt;0,"⚠ CONFLIT",""))</f>
        <v/>
      </c>
      <c r="AA653" s="64">
        <f>IF(COUNTIFS($D$4:$D$863,$D653,$J$4:$J$863,$J653,$F$4:$F$863,$F653,$K$4:$K$863,$K653)&gt;1,"⚠ DOUBLON","")</f>
        <v/>
      </c>
      <c r="AB653" s="64">
        <f>IF(COUNTIF($T$4:$T$863,$T653)&lt;&gt;COUNTIFS($T$4:$T$863,$T653,$D$4:$D$863,$D653,$F$4:$F$863,$F653,$G$4:$G$863,$G653,$K$4:$K$863,$K653,$M$4:$M$863,$M653),"⚠ INCOHÉRENT","")</f>
        <v/>
      </c>
      <c r="AC653" s="64">
        <f>COUNTIFS($A$4:$A653,$A653,$J$4:$J653,$J653,$E$4:$E653,$E653)</f>
        <v/>
      </c>
      <c r="AD653" s="65">
        <f>$A653&amp;"|"&amp;$J653&amp;"|"&amp;$E653&amp;"|"&amp;$AC653</f>
        <v/>
      </c>
      <c r="AE653" s="66">
        <f>IF($W653&lt;&gt;"","⚑ "&amp;$W653&amp;CHAR(10),"")&amp;TEXT($F653,"hh:mm")&amp;"-"&amp;TEXT($G653,"hh:mm")&amp;IF(OR($P653="Quinzaine A",AND($P653="Hebdo · groupes alternés",$C653="A"))," Q-A",IF(OR($P653="Quinzaine B",AND($P653="Hebdo · groupes alternés",$C653="B"))," Q-B",IF($P653="Exception"," PONCT.","")))&amp;IF($X653="Oui"," OPT","")&amp;CHAR(10)&amp;$K653&amp;CHAR(10)&amp;$M653&amp;IF($N653&lt;&gt;"",CHAR(10)&amp;"Salle "&amp;$N653,"")&amp;IF($O653="En ligne",CHAR(10)&amp;"EN LIGNE","")&amp;IF($V653&lt;&gt;"",CHAR(10)&amp;$V653,"")</f>
        <v/>
      </c>
      <c r="AF653" s="65" t="inlineStr"/>
      <c r="AG653" s="65" t="inlineStr">
        <is>
          <t>— généré —</t>
        </is>
      </c>
    </row>
    <row r="654" ht="15" customHeight="1">
      <c r="A654" s="68" t="inlineStr">
        <is>
          <t>S6</t>
        </is>
      </c>
      <c r="B654" s="69" t="inlineStr">
        <is>
          <t>du 19 au 25 octobre 2026</t>
        </is>
      </c>
      <c r="C654" s="68" t="inlineStr">
        <is>
          <t>B</t>
        </is>
      </c>
      <c r="D654" s="70" t="n">
        <v>46316</v>
      </c>
      <c r="E654" s="68" t="inlineStr">
        <is>
          <t>Mercredi</t>
        </is>
      </c>
      <c r="F654" s="71" t="n">
        <v>0.8125</v>
      </c>
      <c r="G654" s="71" t="n">
        <v>0.875</v>
      </c>
      <c r="H654" s="72">
        <f>IF(OR($F654="",$G654=""),"",($G654-$F654)*24)</f>
        <v/>
      </c>
      <c r="I654" s="68" t="inlineStr">
        <is>
          <t>Collège</t>
        </is>
      </c>
      <c r="J654" s="69" t="inlineStr">
        <is>
          <t>9éme (B)</t>
        </is>
      </c>
      <c r="K654" s="63" t="inlineStr">
        <is>
          <t>Arabe</t>
        </is>
      </c>
      <c r="L654" s="63" t="inlineStr">
        <is>
          <t>Arabe</t>
        </is>
      </c>
      <c r="M654" s="69" t="inlineStr">
        <is>
          <t>Yahya</t>
        </is>
      </c>
      <c r="N654" s="68" t="n"/>
      <c r="O654" s="68" t="n"/>
      <c r="P654" s="68" t="inlineStr">
        <is>
          <t>Hebdomadaire</t>
        </is>
      </c>
      <c r="Q654" s="69" t="inlineStr"/>
      <c r="R654" s="68" t="n">
        <v>1</v>
      </c>
      <c r="S654" s="68" t="inlineStr">
        <is>
          <t>Oui</t>
        </is>
      </c>
      <c r="T654" s="68" t="inlineStr">
        <is>
          <t>S6-025</t>
        </is>
      </c>
      <c r="U654" s="69" t="inlineStr">
        <is>
          <t>Généré (octobre)</t>
        </is>
      </c>
      <c r="V654" s="69" t="inlineStr"/>
      <c r="W654" s="10" t="n"/>
      <c r="X654" s="10" t="inlineStr"/>
      <c r="Y654" s="64">
        <f>IF($M654="","",IF(SUMPRODUCT(($D$4:$D$863=$D654)*($M$4:$M$863=$M654)*($T$4:$T$863&lt;&gt;$T654)*($F$4:$F$863&lt;$G654)*($G$4:$G$863&gt;$F654))&gt;0,"⚠ CONFLIT",""))</f>
        <v/>
      </c>
      <c r="Z654" s="64">
        <f>IF($J654="","",IF(SUMPRODUCT(($D$4:$D$863=$D654)*($J$4:$J$863=$J654)*($T$4:$T$863&lt;&gt;$T654)*($F$4:$F$863&lt;$G654)*($G$4:$G$863&gt;$F654)*(1-($X$4:$X$863="Oui")*($X654="Oui")))&gt;0,"⚠ CONFLIT",""))</f>
        <v/>
      </c>
      <c r="AA654" s="64">
        <f>IF(COUNTIFS($D$4:$D$863,$D654,$J$4:$J$863,$J654,$F$4:$F$863,$F654,$K$4:$K$863,$K654)&gt;1,"⚠ DOUBLON","")</f>
        <v/>
      </c>
      <c r="AB654" s="64">
        <f>IF(COUNTIF($T$4:$T$863,$T654)&lt;&gt;COUNTIFS($T$4:$T$863,$T654,$D$4:$D$863,$D654,$F$4:$F$863,$F654,$G$4:$G$863,$G654,$K$4:$K$863,$K654,$M$4:$M$863,$M654),"⚠ INCOHÉRENT","")</f>
        <v/>
      </c>
      <c r="AC654" s="64">
        <f>COUNTIFS($A$4:$A654,$A654,$J$4:$J654,$J654,$E$4:$E654,$E654)</f>
        <v/>
      </c>
      <c r="AD654" s="65">
        <f>$A654&amp;"|"&amp;$J654&amp;"|"&amp;$E654&amp;"|"&amp;$AC654</f>
        <v/>
      </c>
      <c r="AE654" s="66">
        <f>IF($W654&lt;&gt;"","⚑ "&amp;$W654&amp;CHAR(10),"")&amp;TEXT($F654,"hh:mm")&amp;"-"&amp;TEXT($G654,"hh:mm")&amp;IF(OR($P654="Quinzaine A",AND($P654="Hebdo · groupes alternés",$C654="A"))," Q-A",IF(OR($P654="Quinzaine B",AND($P654="Hebdo · groupes alternés",$C654="B"))," Q-B",IF($P654="Exception"," PONCT.","")))&amp;IF($X654="Oui"," OPT","")&amp;CHAR(10)&amp;$K654&amp;CHAR(10)&amp;$M654&amp;IF($N654&lt;&gt;"",CHAR(10)&amp;"Salle "&amp;$N654,"")&amp;IF($O654="En ligne",CHAR(10)&amp;"EN LIGNE","")&amp;IF($V654&lt;&gt;"",CHAR(10)&amp;$V654,"")</f>
        <v/>
      </c>
      <c r="AF654" s="65" t="inlineStr"/>
      <c r="AG654" s="65" t="inlineStr">
        <is>
          <t>— généré —</t>
        </is>
      </c>
    </row>
    <row r="655" ht="15" customHeight="1">
      <c r="A655" s="68" t="inlineStr">
        <is>
          <t>S6</t>
        </is>
      </c>
      <c r="B655" s="69" t="inlineStr">
        <is>
          <t>du 19 au 25 octobre 2026</t>
        </is>
      </c>
      <c r="C655" s="68" t="inlineStr">
        <is>
          <t>B</t>
        </is>
      </c>
      <c r="D655" s="70" t="n">
        <v>46316</v>
      </c>
      <c r="E655" s="68" t="inlineStr">
        <is>
          <t>Mercredi</t>
        </is>
      </c>
      <c r="F655" s="71" t="n">
        <v>0.8020833333333334</v>
      </c>
      <c r="G655" s="71" t="n">
        <v>0.8645833333333334</v>
      </c>
      <c r="H655" s="72">
        <f>IF(OR($F655="",$G655=""),"",($G655-$F655)*24)</f>
        <v/>
      </c>
      <c r="I655" s="68" t="inlineStr">
        <is>
          <t>Collège</t>
        </is>
      </c>
      <c r="J655" s="69" t="inlineStr">
        <is>
          <t>9éme (C)</t>
        </is>
      </c>
      <c r="K655" s="88" t="inlineStr">
        <is>
          <t>SVT</t>
        </is>
      </c>
      <c r="L655" s="88" t="inlineStr">
        <is>
          <t>SVT</t>
        </is>
      </c>
      <c r="M655" s="69" t="inlineStr">
        <is>
          <t>Imen Jribi</t>
        </is>
      </c>
      <c r="N655" s="68" t="n"/>
      <c r="O655" s="68" t="n"/>
      <c r="P655" s="68" t="inlineStr">
        <is>
          <t>Hebdomadaire</t>
        </is>
      </c>
      <c r="Q655" s="69" t="inlineStr"/>
      <c r="R655" s="68" t="n">
        <v>1</v>
      </c>
      <c r="S655" s="68" t="inlineStr">
        <is>
          <t>Oui</t>
        </is>
      </c>
      <c r="T655" s="68" t="inlineStr">
        <is>
          <t>S6-026</t>
        </is>
      </c>
      <c r="U655" s="69" t="inlineStr">
        <is>
          <t>Généré (octobre)</t>
        </is>
      </c>
      <c r="V655" s="69" t="inlineStr"/>
      <c r="W655" s="10" t="n"/>
      <c r="X655" s="10" t="inlineStr"/>
      <c r="Y655" s="64">
        <f>IF($M655="","",IF(SUMPRODUCT(($D$4:$D$863=$D655)*($M$4:$M$863=$M655)*($T$4:$T$863&lt;&gt;$T655)*($F$4:$F$863&lt;$G655)*($G$4:$G$863&gt;$F655))&gt;0,"⚠ CONFLIT",""))</f>
        <v/>
      </c>
      <c r="Z655" s="64">
        <f>IF($J655="","",IF(SUMPRODUCT(($D$4:$D$863=$D655)*($J$4:$J$863=$J655)*($T$4:$T$863&lt;&gt;$T655)*($F$4:$F$863&lt;$G655)*($G$4:$G$863&gt;$F655)*(1-($X$4:$X$863="Oui")*($X655="Oui")))&gt;0,"⚠ CONFLIT",""))</f>
        <v/>
      </c>
      <c r="AA655" s="64">
        <f>IF(COUNTIFS($D$4:$D$863,$D655,$J$4:$J$863,$J655,$F$4:$F$863,$F655,$K$4:$K$863,$K655)&gt;1,"⚠ DOUBLON","")</f>
        <v/>
      </c>
      <c r="AB655" s="64">
        <f>IF(COUNTIF($T$4:$T$863,$T655)&lt;&gt;COUNTIFS($T$4:$T$863,$T655,$D$4:$D$863,$D655,$F$4:$F$863,$F655,$G$4:$G$863,$G655,$K$4:$K$863,$K655,$M$4:$M$863,$M655),"⚠ INCOHÉRENT","")</f>
        <v/>
      </c>
      <c r="AC655" s="64">
        <f>COUNTIFS($A$4:$A655,$A655,$J$4:$J655,$J655,$E$4:$E655,$E655)</f>
        <v/>
      </c>
      <c r="AD655" s="65">
        <f>$A655&amp;"|"&amp;$J655&amp;"|"&amp;$E655&amp;"|"&amp;$AC655</f>
        <v/>
      </c>
      <c r="AE655" s="66">
        <f>IF($W655&lt;&gt;"","⚑ "&amp;$W655&amp;CHAR(10),"")&amp;TEXT($F655,"hh:mm")&amp;"-"&amp;TEXT($G655,"hh:mm")&amp;IF(OR($P655="Quinzaine A",AND($P655="Hebdo · groupes alternés",$C655="A"))," Q-A",IF(OR($P655="Quinzaine B",AND($P655="Hebdo · groupes alternés",$C655="B"))," Q-B",IF($P655="Exception"," PONCT.","")))&amp;IF($X655="Oui"," OPT","")&amp;CHAR(10)&amp;$K655&amp;CHAR(10)&amp;$M655&amp;IF($N655&lt;&gt;"",CHAR(10)&amp;"Salle "&amp;$N655,"")&amp;IF($O655="En ligne",CHAR(10)&amp;"EN LIGNE","")&amp;IF($V655&lt;&gt;"",CHAR(10)&amp;$V655,"")</f>
        <v/>
      </c>
      <c r="AF655" s="65" t="inlineStr"/>
      <c r="AG655" s="65" t="inlineStr">
        <is>
          <t>— généré —</t>
        </is>
      </c>
    </row>
    <row r="656" ht="15" customHeight="1">
      <c r="A656" s="74" t="inlineStr">
        <is>
          <t>S6</t>
        </is>
      </c>
      <c r="B656" s="75" t="inlineStr">
        <is>
          <t>du 19 au 25 octobre 2026</t>
        </is>
      </c>
      <c r="C656" s="74" t="inlineStr">
        <is>
          <t>B</t>
        </is>
      </c>
      <c r="D656" s="76" t="n">
        <v>46316</v>
      </c>
      <c r="E656" s="74" t="inlineStr">
        <is>
          <t>Mercredi</t>
        </is>
      </c>
      <c r="F656" s="77" t="n">
        <v>0.8020833333333334</v>
      </c>
      <c r="G656" s="77" t="n">
        <v>0.8645833333333334</v>
      </c>
      <c r="H656" s="78">
        <f>IF(OR($F656="",$G656=""),"",($G656-$F656)*24)</f>
        <v/>
      </c>
      <c r="I656" s="74" t="inlineStr">
        <is>
          <t>Secondaire</t>
        </is>
      </c>
      <c r="J656" s="75" t="inlineStr">
        <is>
          <t>1ére (B)</t>
        </is>
      </c>
      <c r="K656" s="67" t="inlineStr">
        <is>
          <t>Français</t>
        </is>
      </c>
      <c r="L656" s="67" t="inlineStr">
        <is>
          <t>Français</t>
        </is>
      </c>
      <c r="M656" s="75" t="inlineStr">
        <is>
          <t>Nassima</t>
        </is>
      </c>
      <c r="N656" s="74" t="n"/>
      <c r="O656" s="74" t="n"/>
      <c r="P656" s="74" t="inlineStr">
        <is>
          <t>Hebdomadaire</t>
        </is>
      </c>
      <c r="Q656" s="75" t="inlineStr"/>
      <c r="R656" s="74" t="n">
        <v>1</v>
      </c>
      <c r="S656" s="74" t="inlineStr">
        <is>
          <t>Oui</t>
        </is>
      </c>
      <c r="T656" s="74" t="inlineStr">
        <is>
          <t>S6-027</t>
        </is>
      </c>
      <c r="U656" s="75" t="inlineStr">
        <is>
          <t>Généré (octobre)</t>
        </is>
      </c>
      <c r="V656" s="75" t="inlineStr"/>
      <c r="W656" s="10" t="n"/>
      <c r="X656" s="10" t="inlineStr"/>
      <c r="Y656" s="64">
        <f>IF($M656="","",IF(SUMPRODUCT(($D$4:$D$863=$D656)*($M$4:$M$863=$M656)*($T$4:$T$863&lt;&gt;$T656)*($F$4:$F$863&lt;$G656)*($G$4:$G$863&gt;$F656))&gt;0,"⚠ CONFLIT",""))</f>
        <v/>
      </c>
      <c r="Z656" s="64">
        <f>IF($J656="","",IF(SUMPRODUCT(($D$4:$D$863=$D656)*($J$4:$J$863=$J656)*($T$4:$T$863&lt;&gt;$T656)*($F$4:$F$863&lt;$G656)*($G$4:$G$863&gt;$F656)*(1-($X$4:$X$863="Oui")*($X656="Oui")))&gt;0,"⚠ CONFLIT",""))</f>
        <v/>
      </c>
      <c r="AA656" s="64">
        <f>IF(COUNTIFS($D$4:$D$863,$D656,$J$4:$J$863,$J656,$F$4:$F$863,$F656,$K$4:$K$863,$K656)&gt;1,"⚠ DOUBLON","")</f>
        <v/>
      </c>
      <c r="AB656" s="64">
        <f>IF(COUNTIF($T$4:$T$863,$T656)&lt;&gt;COUNTIFS($T$4:$T$863,$T656,$D$4:$D$863,$D656,$F$4:$F$863,$F656,$G$4:$G$863,$G656,$K$4:$K$863,$K656,$M$4:$M$863,$M656),"⚠ INCOHÉRENT","")</f>
        <v/>
      </c>
      <c r="AC656" s="64">
        <f>COUNTIFS($A$4:$A656,$A656,$J$4:$J656,$J656,$E$4:$E656,$E656)</f>
        <v/>
      </c>
      <c r="AD656" s="65">
        <f>$A656&amp;"|"&amp;$J656&amp;"|"&amp;$E656&amp;"|"&amp;$AC656</f>
        <v/>
      </c>
      <c r="AE656" s="66">
        <f>IF($W656&lt;&gt;"","⚑ "&amp;$W656&amp;CHAR(10),"")&amp;TEXT($F656,"hh:mm")&amp;"-"&amp;TEXT($G656,"hh:mm")&amp;IF(OR($P656="Quinzaine A",AND($P656="Hebdo · groupes alternés",$C656="A"))," Q-A",IF(OR($P656="Quinzaine B",AND($P656="Hebdo · groupes alternés",$C656="B"))," Q-B",IF($P656="Exception"," PONCT.","")))&amp;IF($X656="Oui"," OPT","")&amp;CHAR(10)&amp;$K656&amp;CHAR(10)&amp;$M656&amp;IF($N656&lt;&gt;"",CHAR(10)&amp;"Salle "&amp;$N656,"")&amp;IF($O656="En ligne",CHAR(10)&amp;"EN LIGNE","")&amp;IF($V656&lt;&gt;"",CHAR(10)&amp;$V656,"")</f>
        <v/>
      </c>
      <c r="AF656" s="65" t="inlineStr"/>
      <c r="AG656" s="65" t="inlineStr">
        <is>
          <t>— généré —</t>
        </is>
      </c>
    </row>
    <row r="657" ht="15" customHeight="1">
      <c r="A657" s="74" t="inlineStr">
        <is>
          <t>S6</t>
        </is>
      </c>
      <c r="B657" s="75" t="inlineStr">
        <is>
          <t>du 19 au 25 octobre 2026</t>
        </is>
      </c>
      <c r="C657" s="74" t="inlineStr">
        <is>
          <t>B</t>
        </is>
      </c>
      <c r="D657" s="76" t="n">
        <v>46316</v>
      </c>
      <c r="E657" s="74" t="inlineStr">
        <is>
          <t>Mercredi</t>
        </is>
      </c>
      <c r="F657" s="77" t="n">
        <v>0.8125</v>
      </c>
      <c r="G657" s="77" t="n">
        <v>0.875</v>
      </c>
      <c r="H657" s="78">
        <f>IF(OR($F657="",$G657=""),"",($G657-$F657)*24)</f>
        <v/>
      </c>
      <c r="I657" s="74" t="inlineStr">
        <is>
          <t>Secondaire</t>
        </is>
      </c>
      <c r="J657" s="75" t="inlineStr">
        <is>
          <t>2éme Eco</t>
        </is>
      </c>
      <c r="K657" s="79" t="inlineStr">
        <is>
          <t>Math</t>
        </is>
      </c>
      <c r="L657" s="79" t="inlineStr">
        <is>
          <t>Math</t>
        </is>
      </c>
      <c r="M657" s="75" t="inlineStr">
        <is>
          <t>Haythem</t>
        </is>
      </c>
      <c r="N657" s="74" t="n"/>
      <c r="O657" s="74" t="n"/>
      <c r="P657" s="74" t="inlineStr">
        <is>
          <t>Hebdomadaire</t>
        </is>
      </c>
      <c r="Q657" s="75" t="inlineStr"/>
      <c r="R657" s="74" t="n">
        <v>1</v>
      </c>
      <c r="S657" s="74" t="inlineStr">
        <is>
          <t>Oui</t>
        </is>
      </c>
      <c r="T657" s="74" t="inlineStr">
        <is>
          <t>S6-028</t>
        </is>
      </c>
      <c r="U657" s="75" t="inlineStr">
        <is>
          <t>Généré (octobre)</t>
        </is>
      </c>
      <c r="V657" s="75" t="inlineStr"/>
      <c r="W657" s="10" t="n"/>
      <c r="X657" s="10" t="inlineStr"/>
      <c r="Y657" s="64">
        <f>IF($M657="","",IF(SUMPRODUCT(($D$4:$D$863=$D657)*($M$4:$M$863=$M657)*($T$4:$T$863&lt;&gt;$T657)*($F$4:$F$863&lt;$G657)*($G$4:$G$863&gt;$F657))&gt;0,"⚠ CONFLIT",""))</f>
        <v/>
      </c>
      <c r="Z657" s="64">
        <f>IF($J657="","",IF(SUMPRODUCT(($D$4:$D$863=$D657)*($J$4:$J$863=$J657)*($T$4:$T$863&lt;&gt;$T657)*($F$4:$F$863&lt;$G657)*($G$4:$G$863&gt;$F657)*(1-($X$4:$X$863="Oui")*($X657="Oui")))&gt;0,"⚠ CONFLIT",""))</f>
        <v/>
      </c>
      <c r="AA657" s="64">
        <f>IF(COUNTIFS($D$4:$D$863,$D657,$J$4:$J$863,$J657,$F$4:$F$863,$F657,$K$4:$K$863,$K657)&gt;1,"⚠ DOUBLON","")</f>
        <v/>
      </c>
      <c r="AB657" s="64">
        <f>IF(COUNTIF($T$4:$T$863,$T657)&lt;&gt;COUNTIFS($T$4:$T$863,$T657,$D$4:$D$863,$D657,$F$4:$F$863,$F657,$G$4:$G$863,$G657,$K$4:$K$863,$K657,$M$4:$M$863,$M657),"⚠ INCOHÉRENT","")</f>
        <v/>
      </c>
      <c r="AC657" s="64">
        <f>COUNTIFS($A$4:$A657,$A657,$J$4:$J657,$J657,$E$4:$E657,$E657)</f>
        <v/>
      </c>
      <c r="AD657" s="65">
        <f>$A657&amp;"|"&amp;$J657&amp;"|"&amp;$E657&amp;"|"&amp;$AC657</f>
        <v/>
      </c>
      <c r="AE657" s="66">
        <f>IF($W657&lt;&gt;"","⚑ "&amp;$W657&amp;CHAR(10),"")&amp;TEXT($F657,"hh:mm")&amp;"-"&amp;TEXT($G657,"hh:mm")&amp;IF(OR($P657="Quinzaine A",AND($P657="Hebdo · groupes alternés",$C657="A"))," Q-A",IF(OR($P657="Quinzaine B",AND($P657="Hebdo · groupes alternés",$C657="B"))," Q-B",IF($P657="Exception"," PONCT.","")))&amp;IF($X657="Oui"," OPT","")&amp;CHAR(10)&amp;$K657&amp;CHAR(10)&amp;$M657&amp;IF($N657&lt;&gt;"",CHAR(10)&amp;"Salle "&amp;$N657,"")&amp;IF($O657="En ligne",CHAR(10)&amp;"EN LIGNE","")&amp;IF($V657&lt;&gt;"",CHAR(10)&amp;$V657,"")</f>
        <v/>
      </c>
      <c r="AF657" s="65" t="inlineStr"/>
      <c r="AG657" s="65" t="inlineStr">
        <is>
          <t>— généré —</t>
        </is>
      </c>
    </row>
    <row r="658" ht="15" customHeight="1">
      <c r="A658" s="74" t="inlineStr">
        <is>
          <t>S6</t>
        </is>
      </c>
      <c r="B658" s="75" t="inlineStr">
        <is>
          <t>du 19 au 25 octobre 2026</t>
        </is>
      </c>
      <c r="C658" s="74" t="inlineStr">
        <is>
          <t>B</t>
        </is>
      </c>
      <c r="D658" s="76" t="n">
        <v>46316</v>
      </c>
      <c r="E658" s="74" t="inlineStr">
        <is>
          <t>Mercredi</t>
        </is>
      </c>
      <c r="F658" s="77" t="n">
        <v>0.7916666666666666</v>
      </c>
      <c r="G658" s="77" t="n">
        <v>0.8541666666666666</v>
      </c>
      <c r="H658" s="78">
        <f>IF(OR($F658="",$G658=""),"",($G658-$F658)*24)</f>
        <v/>
      </c>
      <c r="I658" s="74" t="inlineStr">
        <is>
          <t>Secondaire</t>
        </is>
      </c>
      <c r="J658" s="75" t="inlineStr">
        <is>
          <t>3éme Eco</t>
        </is>
      </c>
      <c r="K658" s="86" t="inlineStr">
        <is>
          <t>Gestion</t>
        </is>
      </c>
      <c r="L658" s="86" t="inlineStr">
        <is>
          <t>Gestion</t>
        </is>
      </c>
      <c r="M658" s="75" t="inlineStr">
        <is>
          <t>Yassine</t>
        </is>
      </c>
      <c r="N658" s="74" t="n"/>
      <c r="O658" s="74" t="n"/>
      <c r="P658" s="74" t="inlineStr">
        <is>
          <t>Hebdomadaire</t>
        </is>
      </c>
      <c r="Q658" s="75" t="inlineStr"/>
      <c r="R658" s="74" t="n">
        <v>1</v>
      </c>
      <c r="S658" s="74" t="inlineStr">
        <is>
          <t>Oui</t>
        </is>
      </c>
      <c r="T658" s="74" t="inlineStr">
        <is>
          <t>S6-029</t>
        </is>
      </c>
      <c r="U658" s="75" t="inlineStr">
        <is>
          <t>Généré (octobre)</t>
        </is>
      </c>
      <c r="V658" s="75" t="inlineStr"/>
      <c r="W658" s="10" t="n"/>
      <c r="X658" s="10" t="inlineStr"/>
      <c r="Y658" s="64">
        <f>IF($M658="","",IF(SUMPRODUCT(($D$4:$D$863=$D658)*($M$4:$M$863=$M658)*($T$4:$T$863&lt;&gt;$T658)*($F$4:$F$863&lt;$G658)*($G$4:$G$863&gt;$F658))&gt;0,"⚠ CONFLIT",""))</f>
        <v/>
      </c>
      <c r="Z658" s="64">
        <f>IF($J658="","",IF(SUMPRODUCT(($D$4:$D$863=$D658)*($J$4:$J$863=$J658)*($T$4:$T$863&lt;&gt;$T658)*($F$4:$F$863&lt;$G658)*($G$4:$G$863&gt;$F658)*(1-($X$4:$X$863="Oui")*($X658="Oui")))&gt;0,"⚠ CONFLIT",""))</f>
        <v/>
      </c>
      <c r="AA658" s="64">
        <f>IF(COUNTIFS($D$4:$D$863,$D658,$J$4:$J$863,$J658,$F$4:$F$863,$F658,$K$4:$K$863,$K658)&gt;1,"⚠ DOUBLON","")</f>
        <v/>
      </c>
      <c r="AB658" s="64">
        <f>IF(COUNTIF($T$4:$T$863,$T658)&lt;&gt;COUNTIFS($T$4:$T$863,$T658,$D$4:$D$863,$D658,$F$4:$F$863,$F658,$G$4:$G$863,$G658,$K$4:$K$863,$K658,$M$4:$M$863,$M658),"⚠ INCOHÉRENT","")</f>
        <v/>
      </c>
      <c r="AC658" s="64">
        <f>COUNTIFS($A$4:$A658,$A658,$J$4:$J658,$J658,$E$4:$E658,$E658)</f>
        <v/>
      </c>
      <c r="AD658" s="65">
        <f>$A658&amp;"|"&amp;$J658&amp;"|"&amp;$E658&amp;"|"&amp;$AC658</f>
        <v/>
      </c>
      <c r="AE658" s="66">
        <f>IF($W658&lt;&gt;"","⚑ "&amp;$W658&amp;CHAR(10),"")&amp;TEXT($F658,"hh:mm")&amp;"-"&amp;TEXT($G658,"hh:mm")&amp;IF(OR($P658="Quinzaine A",AND($P658="Hebdo · groupes alternés",$C658="A"))," Q-A",IF(OR($P658="Quinzaine B",AND($P658="Hebdo · groupes alternés",$C658="B"))," Q-B",IF($P658="Exception"," PONCT.","")))&amp;IF($X658="Oui"," OPT","")&amp;CHAR(10)&amp;$K658&amp;CHAR(10)&amp;$M658&amp;IF($N658&lt;&gt;"",CHAR(10)&amp;"Salle "&amp;$N658,"")&amp;IF($O658="En ligne",CHAR(10)&amp;"EN LIGNE","")&amp;IF($V658&lt;&gt;"",CHAR(10)&amp;$V658,"")</f>
        <v/>
      </c>
      <c r="AF658" s="65" t="inlineStr"/>
      <c r="AG658" s="65" t="inlineStr">
        <is>
          <t>— généré —</t>
        </is>
      </c>
    </row>
    <row r="659" ht="15" customHeight="1">
      <c r="A659" s="74" t="inlineStr">
        <is>
          <t>S6</t>
        </is>
      </c>
      <c r="B659" s="75" t="inlineStr">
        <is>
          <t>du 19 au 25 octobre 2026</t>
        </is>
      </c>
      <c r="C659" s="74" t="inlineStr">
        <is>
          <t>B</t>
        </is>
      </c>
      <c r="D659" s="76" t="n">
        <v>46316</v>
      </c>
      <c r="E659" s="74" t="inlineStr">
        <is>
          <t>Mercredi</t>
        </is>
      </c>
      <c r="F659" s="77" t="n">
        <v>0.8125</v>
      </c>
      <c r="G659" s="77" t="n">
        <v>0.875</v>
      </c>
      <c r="H659" s="78">
        <f>IF(OR($F659="",$G659=""),"",($G659-$F659)*24)</f>
        <v/>
      </c>
      <c r="I659" s="74" t="inlineStr">
        <is>
          <t>Secondaire</t>
        </is>
      </c>
      <c r="J659" s="75" t="inlineStr">
        <is>
          <t>3éme INFO</t>
        </is>
      </c>
      <c r="K659" s="73" t="inlineStr">
        <is>
          <t>Physique</t>
        </is>
      </c>
      <c r="L659" s="73" t="inlineStr">
        <is>
          <t>Physique</t>
        </is>
      </c>
      <c r="M659" s="75" t="inlineStr">
        <is>
          <t>Samia</t>
        </is>
      </c>
      <c r="N659" s="74" t="n"/>
      <c r="O659" s="74" t="n"/>
      <c r="P659" s="74" t="inlineStr">
        <is>
          <t>Hebdomadaire</t>
        </is>
      </c>
      <c r="Q659" s="75" t="inlineStr"/>
      <c r="R659" s="74" t="n">
        <v>1</v>
      </c>
      <c r="S659" s="74" t="inlineStr">
        <is>
          <t>Oui</t>
        </is>
      </c>
      <c r="T659" s="74" t="inlineStr">
        <is>
          <t>S6-030</t>
        </is>
      </c>
      <c r="U659" s="75" t="inlineStr">
        <is>
          <t>Généré (octobre)</t>
        </is>
      </c>
      <c r="V659" s="75" t="inlineStr"/>
      <c r="W659" s="10" t="n"/>
      <c r="X659" s="10" t="inlineStr"/>
      <c r="Y659" s="64">
        <f>IF($M659="","",IF(SUMPRODUCT(($D$4:$D$863=$D659)*($M$4:$M$863=$M659)*($T$4:$T$863&lt;&gt;$T659)*($F$4:$F$863&lt;$G659)*($G$4:$G$863&gt;$F659))&gt;0,"⚠ CONFLIT",""))</f>
        <v/>
      </c>
      <c r="Z659" s="64">
        <f>IF($J659="","",IF(SUMPRODUCT(($D$4:$D$863=$D659)*($J$4:$J$863=$J659)*($T$4:$T$863&lt;&gt;$T659)*($F$4:$F$863&lt;$G659)*($G$4:$G$863&gt;$F659)*(1-($X$4:$X$863="Oui")*($X659="Oui")))&gt;0,"⚠ CONFLIT",""))</f>
        <v/>
      </c>
      <c r="AA659" s="64">
        <f>IF(COUNTIFS($D$4:$D$863,$D659,$J$4:$J$863,$J659,$F$4:$F$863,$F659,$K$4:$K$863,$K659)&gt;1,"⚠ DOUBLON","")</f>
        <v/>
      </c>
      <c r="AB659" s="64">
        <f>IF(COUNTIF($T$4:$T$863,$T659)&lt;&gt;COUNTIFS($T$4:$T$863,$T659,$D$4:$D$863,$D659,$F$4:$F$863,$F659,$G$4:$G$863,$G659,$K$4:$K$863,$K659,$M$4:$M$863,$M659),"⚠ INCOHÉRENT","")</f>
        <v/>
      </c>
      <c r="AC659" s="64">
        <f>COUNTIFS($A$4:$A659,$A659,$J$4:$J659,$J659,$E$4:$E659,$E659)</f>
        <v/>
      </c>
      <c r="AD659" s="65">
        <f>$A659&amp;"|"&amp;$J659&amp;"|"&amp;$E659&amp;"|"&amp;$AC659</f>
        <v/>
      </c>
      <c r="AE659" s="66">
        <f>IF($W659&lt;&gt;"","⚑ "&amp;$W659&amp;CHAR(10),"")&amp;TEXT($F659,"hh:mm")&amp;"-"&amp;TEXT($G659,"hh:mm")&amp;IF(OR($P659="Quinzaine A",AND($P659="Hebdo · groupes alternés",$C659="A"))," Q-A",IF(OR($P659="Quinzaine B",AND($P659="Hebdo · groupes alternés",$C659="B"))," Q-B",IF($P659="Exception"," PONCT.","")))&amp;IF($X659="Oui"," OPT","")&amp;CHAR(10)&amp;$K659&amp;CHAR(10)&amp;$M659&amp;IF($N659&lt;&gt;"",CHAR(10)&amp;"Salle "&amp;$N659,"")&amp;IF($O659="En ligne",CHAR(10)&amp;"EN LIGNE","")&amp;IF($V659&lt;&gt;"",CHAR(10)&amp;$V659,"")</f>
        <v/>
      </c>
      <c r="AF659" s="65" t="inlineStr"/>
      <c r="AG659" s="65" t="inlineStr">
        <is>
          <t>— généré —</t>
        </is>
      </c>
    </row>
    <row r="660" ht="15" customHeight="1">
      <c r="A660" s="81" t="inlineStr">
        <is>
          <t>S6</t>
        </is>
      </c>
      <c r="B660" s="82" t="inlineStr">
        <is>
          <t>du 19 au 25 octobre 2026</t>
        </is>
      </c>
      <c r="C660" s="81" t="inlineStr">
        <is>
          <t>B</t>
        </is>
      </c>
      <c r="D660" s="83" t="n">
        <v>46316</v>
      </c>
      <c r="E660" s="81" t="inlineStr">
        <is>
          <t>Mercredi</t>
        </is>
      </c>
      <c r="F660" s="84" t="n">
        <v>0.7916666666666666</v>
      </c>
      <c r="G660" s="84" t="n">
        <v>0.875</v>
      </c>
      <c r="H660" s="85">
        <f>IF(OR($F660="",$G660=""),"",($G660-$F660)*24)</f>
        <v/>
      </c>
      <c r="I660" s="81" t="inlineStr">
        <is>
          <t>Bac</t>
        </is>
      </c>
      <c r="J660" s="82" t="inlineStr">
        <is>
          <t>Bac SCE</t>
        </is>
      </c>
      <c r="K660" s="79" t="inlineStr">
        <is>
          <t>Math</t>
        </is>
      </c>
      <c r="L660" s="79" t="inlineStr">
        <is>
          <t>Math</t>
        </is>
      </c>
      <c r="M660" s="82" t="inlineStr">
        <is>
          <t>Ahmed</t>
        </is>
      </c>
      <c r="N660" s="81" t="n"/>
      <c r="O660" s="81" t="n"/>
      <c r="P660" s="81" t="inlineStr">
        <is>
          <t>Hebdomadaire</t>
        </is>
      </c>
      <c r="Q660" s="82" t="inlineStr"/>
      <c r="R660" s="81" t="n">
        <v>1</v>
      </c>
      <c r="S660" s="81" t="inlineStr">
        <is>
          <t>Oui</t>
        </is>
      </c>
      <c r="T660" s="81" t="inlineStr">
        <is>
          <t>S6-031</t>
        </is>
      </c>
      <c r="U660" s="82" t="inlineStr">
        <is>
          <t>Généré (octobre)</t>
        </is>
      </c>
      <c r="V660" s="82" t="inlineStr"/>
      <c r="W660" s="10" t="n"/>
      <c r="X660" s="10" t="inlineStr"/>
      <c r="Y660" s="64">
        <f>IF($M660="","",IF(SUMPRODUCT(($D$4:$D$863=$D660)*($M$4:$M$863=$M660)*($T$4:$T$863&lt;&gt;$T660)*($F$4:$F$863&lt;$G660)*($G$4:$G$863&gt;$F660))&gt;0,"⚠ CONFLIT",""))</f>
        <v/>
      </c>
      <c r="Z660" s="64">
        <f>IF($J660="","",IF(SUMPRODUCT(($D$4:$D$863=$D660)*($J$4:$J$863=$J660)*($T$4:$T$863&lt;&gt;$T660)*($F$4:$F$863&lt;$G660)*($G$4:$G$863&gt;$F660)*(1-($X$4:$X$863="Oui")*($X660="Oui")))&gt;0,"⚠ CONFLIT",""))</f>
        <v/>
      </c>
      <c r="AA660" s="64">
        <f>IF(COUNTIFS($D$4:$D$863,$D660,$J$4:$J$863,$J660,$F$4:$F$863,$F660,$K$4:$K$863,$K660)&gt;1,"⚠ DOUBLON","")</f>
        <v/>
      </c>
      <c r="AB660" s="64">
        <f>IF(COUNTIF($T$4:$T$863,$T660)&lt;&gt;COUNTIFS($T$4:$T$863,$T660,$D$4:$D$863,$D660,$F$4:$F$863,$F660,$G$4:$G$863,$G660,$K$4:$K$863,$K660,$M$4:$M$863,$M660),"⚠ INCOHÉRENT","")</f>
        <v/>
      </c>
      <c r="AC660" s="64">
        <f>COUNTIFS($A$4:$A660,$A660,$J$4:$J660,$J660,$E$4:$E660,$E660)</f>
        <v/>
      </c>
      <c r="AD660" s="65">
        <f>$A660&amp;"|"&amp;$J660&amp;"|"&amp;$E660&amp;"|"&amp;$AC660</f>
        <v/>
      </c>
      <c r="AE660" s="66">
        <f>IF($W660&lt;&gt;"","⚑ "&amp;$W660&amp;CHAR(10),"")&amp;TEXT($F660,"hh:mm")&amp;"-"&amp;TEXT($G660,"hh:mm")&amp;IF(OR($P660="Quinzaine A",AND($P660="Hebdo · groupes alternés",$C660="A"))," Q-A",IF(OR($P660="Quinzaine B",AND($P660="Hebdo · groupes alternés",$C660="B"))," Q-B",IF($P660="Exception"," PONCT.","")))&amp;IF($X660="Oui"," OPT","")&amp;CHAR(10)&amp;$K660&amp;CHAR(10)&amp;$M660&amp;IF($N660&lt;&gt;"",CHAR(10)&amp;"Salle "&amp;$N660,"")&amp;IF($O660="En ligne",CHAR(10)&amp;"EN LIGNE","")&amp;IF($V660&lt;&gt;"",CHAR(10)&amp;$V660,"")</f>
        <v/>
      </c>
      <c r="AF660" s="65" t="inlineStr"/>
      <c r="AG660" s="65" t="inlineStr">
        <is>
          <t>— généré —</t>
        </is>
      </c>
    </row>
    <row r="661" ht="15" customHeight="1">
      <c r="A661" s="81" t="inlineStr">
        <is>
          <t>S6</t>
        </is>
      </c>
      <c r="B661" s="82" t="inlineStr">
        <is>
          <t>du 19 au 25 octobre 2026</t>
        </is>
      </c>
      <c r="C661" s="81" t="inlineStr">
        <is>
          <t>B</t>
        </is>
      </c>
      <c r="D661" s="83" t="n">
        <v>46316</v>
      </c>
      <c r="E661" s="81" t="inlineStr">
        <is>
          <t>Mercredi</t>
        </is>
      </c>
      <c r="F661" s="84" t="n">
        <v>0.7916666666666666</v>
      </c>
      <c r="G661" s="84" t="n">
        <v>0.875</v>
      </c>
      <c r="H661" s="85">
        <f>IF(OR($F661="",$G661=""),"",($G661-$F661)*24)</f>
        <v/>
      </c>
      <c r="I661" s="81" t="inlineStr">
        <is>
          <t>Bac</t>
        </is>
      </c>
      <c r="J661" s="82" t="inlineStr">
        <is>
          <t>Bac INFO</t>
        </is>
      </c>
      <c r="K661" s="96" t="inlineStr">
        <is>
          <t>STI</t>
        </is>
      </c>
      <c r="L661" s="96" t="inlineStr">
        <is>
          <t>STI</t>
        </is>
      </c>
      <c r="M661" s="82" t="inlineStr">
        <is>
          <t>Aymen</t>
        </is>
      </c>
      <c r="N661" s="81" t="n"/>
      <c r="O661" s="81" t="n"/>
      <c r="P661" s="81" t="inlineStr">
        <is>
          <t>Hebdomadaire</t>
        </is>
      </c>
      <c r="Q661" s="82" t="inlineStr"/>
      <c r="R661" s="81" t="n">
        <v>1</v>
      </c>
      <c r="S661" s="81" t="inlineStr">
        <is>
          <t>Oui</t>
        </is>
      </c>
      <c r="T661" s="81" t="inlineStr">
        <is>
          <t>S6-091</t>
        </is>
      </c>
      <c r="U661" s="82" t="inlineStr">
        <is>
          <t>Généré (octobre)</t>
        </is>
      </c>
      <c r="V661" s="82" t="inlineStr"/>
      <c r="W661" s="10" t="n"/>
      <c r="X661" s="10" t="inlineStr"/>
      <c r="Y661" s="64">
        <f>IF($M661="","",IF(SUMPRODUCT(($D$4:$D$863=$D661)*($M$4:$M$863=$M661)*($T$4:$T$863&lt;&gt;$T661)*($F$4:$F$863&lt;$G661)*($G$4:$G$863&gt;$F661))&gt;0,"⚠ CONFLIT",""))</f>
        <v/>
      </c>
      <c r="Z661" s="64">
        <f>IF($J661="","",IF(SUMPRODUCT(($D$4:$D$863=$D661)*($J$4:$J$863=$J661)*($T$4:$T$863&lt;&gt;$T661)*($F$4:$F$863&lt;$G661)*($G$4:$G$863&gt;$F661)*(1-($X$4:$X$863="Oui")*($X661="Oui")))&gt;0,"⚠ CONFLIT",""))</f>
        <v/>
      </c>
      <c r="AA661" s="64">
        <f>IF(COUNTIFS($D$4:$D$863,$D661,$J$4:$J$863,$J661,$F$4:$F$863,$F661,$K$4:$K$863,$K661)&gt;1,"⚠ DOUBLON","")</f>
        <v/>
      </c>
      <c r="AB661" s="64">
        <f>IF(COUNTIF($T$4:$T$863,$T661)&lt;&gt;COUNTIFS($T$4:$T$863,$T661,$D$4:$D$863,$D661,$F$4:$F$863,$F661,$G$4:$G$863,$G661,$K$4:$K$863,$K661,$M$4:$M$863,$M661),"⚠ INCOHÉRENT","")</f>
        <v/>
      </c>
      <c r="AC661" s="64">
        <f>COUNTIFS($A$4:$A661,$A661,$J$4:$J661,$J661,$E$4:$E661,$E661)</f>
        <v/>
      </c>
      <c r="AD661" s="65">
        <f>$A661&amp;"|"&amp;$J661&amp;"|"&amp;$E661&amp;"|"&amp;$AC661</f>
        <v/>
      </c>
      <c r="AE661" s="66">
        <f>IF($W661&lt;&gt;"","⚑ "&amp;$W661&amp;CHAR(10),"")&amp;TEXT($F661,"hh:mm")&amp;"-"&amp;TEXT($G661,"hh:mm")&amp;IF(OR($P661="Quinzaine A",AND($P661="Hebdo · groupes alternés",$C661="A"))," Q-A",IF(OR($P661="Quinzaine B",AND($P661="Hebdo · groupes alternés",$C661="B"))," Q-B",IF($P661="Exception"," PONCT.","")))&amp;IF($X661="Oui"," OPT","")&amp;CHAR(10)&amp;$K661&amp;CHAR(10)&amp;$M661&amp;IF($N661&lt;&gt;"",CHAR(10)&amp;"Salle "&amp;$N661,"")&amp;IF($O661="En ligne",CHAR(10)&amp;"EN LIGNE","")&amp;IF($V661&lt;&gt;"",CHAR(10)&amp;$V661,"")</f>
        <v/>
      </c>
      <c r="AF661" s="65" t="inlineStr"/>
      <c r="AG661" s="65" t="inlineStr">
        <is>
          <t>— généré —</t>
        </is>
      </c>
    </row>
    <row r="662" ht="15" customHeight="1">
      <c r="A662" s="58" t="inlineStr">
        <is>
          <t>S6</t>
        </is>
      </c>
      <c r="B662" s="59" t="inlineStr">
        <is>
          <t>du 19 au 25 octobre 2026</t>
        </is>
      </c>
      <c r="C662" s="58" t="inlineStr">
        <is>
          <t>B</t>
        </is>
      </c>
      <c r="D662" s="60" t="n">
        <v>46317</v>
      </c>
      <c r="E662" s="58" t="inlineStr">
        <is>
          <t>Jeudi</t>
        </is>
      </c>
      <c r="F662" s="61" t="n">
        <v>0.7916666666666666</v>
      </c>
      <c r="G662" s="61" t="n">
        <v>0.875</v>
      </c>
      <c r="H662" s="62">
        <f>IF(OR($F662="",$G662=""),"",($G662-$F662)*24)</f>
        <v/>
      </c>
      <c r="I662" s="58" t="inlineStr">
        <is>
          <t>Primaire</t>
        </is>
      </c>
      <c r="J662" s="59" t="inlineStr">
        <is>
          <t>5éme</t>
        </is>
      </c>
      <c r="K662" s="79" t="inlineStr">
        <is>
          <t>رياضيات</t>
        </is>
      </c>
      <c r="L662" s="79" t="inlineStr">
        <is>
          <t>Math</t>
        </is>
      </c>
      <c r="M662" s="59" t="inlineStr">
        <is>
          <t>Bassma</t>
        </is>
      </c>
      <c r="N662" s="58" t="n"/>
      <c r="O662" s="58" t="n"/>
      <c r="P662" s="58" t="inlineStr">
        <is>
          <t>Hebdomadaire</t>
        </is>
      </c>
      <c r="Q662" s="59" t="inlineStr"/>
      <c r="R662" s="58" t="n">
        <v>1</v>
      </c>
      <c r="S662" s="58" t="inlineStr">
        <is>
          <t>Oui</t>
        </is>
      </c>
      <c r="T662" s="58" t="inlineStr">
        <is>
          <t>S6-032</t>
        </is>
      </c>
      <c r="U662" s="59" t="inlineStr">
        <is>
          <t>Généré (octobre)</t>
        </is>
      </c>
      <c r="V662" s="59" t="inlineStr"/>
      <c r="W662" s="10" t="n"/>
      <c r="X662" s="10" t="inlineStr"/>
      <c r="Y662" s="64">
        <f>IF($M662="","",IF(SUMPRODUCT(($D$4:$D$863=$D662)*($M$4:$M$863=$M662)*($T$4:$T$863&lt;&gt;$T662)*($F$4:$F$863&lt;$G662)*($G$4:$G$863&gt;$F662))&gt;0,"⚠ CONFLIT",""))</f>
        <v/>
      </c>
      <c r="Z662" s="64">
        <f>IF($J662="","",IF(SUMPRODUCT(($D$4:$D$863=$D662)*($J$4:$J$863=$J662)*($T$4:$T$863&lt;&gt;$T662)*($F$4:$F$863&lt;$G662)*($G$4:$G$863&gt;$F662)*(1-($X$4:$X$863="Oui")*($X662="Oui")))&gt;0,"⚠ CONFLIT",""))</f>
        <v/>
      </c>
      <c r="AA662" s="64">
        <f>IF(COUNTIFS($D$4:$D$863,$D662,$J$4:$J$863,$J662,$F$4:$F$863,$F662,$K$4:$K$863,$K662)&gt;1,"⚠ DOUBLON","")</f>
        <v/>
      </c>
      <c r="AB662" s="64">
        <f>IF(COUNTIF($T$4:$T$863,$T662)&lt;&gt;COUNTIFS($T$4:$T$863,$T662,$D$4:$D$863,$D662,$F$4:$F$863,$F662,$G$4:$G$863,$G662,$K$4:$K$863,$K662,$M$4:$M$863,$M662),"⚠ INCOHÉRENT","")</f>
        <v/>
      </c>
      <c r="AC662" s="64">
        <f>COUNTIFS($A$4:$A662,$A662,$J$4:$J662,$J662,$E$4:$E662,$E662)</f>
        <v/>
      </c>
      <c r="AD662" s="65">
        <f>$A662&amp;"|"&amp;$J662&amp;"|"&amp;$E662&amp;"|"&amp;$AC662</f>
        <v/>
      </c>
      <c r="AE662" s="66">
        <f>IF($W662&lt;&gt;"","⚑ "&amp;$W662&amp;CHAR(10),"")&amp;TEXT($F662,"hh:mm")&amp;"-"&amp;TEXT($G662,"hh:mm")&amp;IF(OR($P662="Quinzaine A",AND($P662="Hebdo · groupes alternés",$C662="A"))," Q-A",IF(OR($P662="Quinzaine B",AND($P662="Hebdo · groupes alternés",$C662="B"))," Q-B",IF($P662="Exception"," PONCT.","")))&amp;IF($X662="Oui"," OPT","")&amp;CHAR(10)&amp;$K662&amp;CHAR(10)&amp;$M662&amp;IF($N662&lt;&gt;"",CHAR(10)&amp;"Salle "&amp;$N662,"")&amp;IF($O662="En ligne",CHAR(10)&amp;"EN LIGNE","")&amp;IF($V662&lt;&gt;"",CHAR(10)&amp;$V662,"")</f>
        <v/>
      </c>
      <c r="AF662" s="65" t="inlineStr"/>
      <c r="AG662" s="65" t="inlineStr">
        <is>
          <t>— généré —</t>
        </is>
      </c>
    </row>
    <row r="663" ht="15" customHeight="1">
      <c r="A663" s="58" t="inlineStr">
        <is>
          <t>S6</t>
        </is>
      </c>
      <c r="B663" s="59" t="inlineStr">
        <is>
          <t>du 19 au 25 octobre 2026</t>
        </is>
      </c>
      <c r="C663" s="58" t="inlineStr">
        <is>
          <t>B</t>
        </is>
      </c>
      <c r="D663" s="60" t="n">
        <v>46317</v>
      </c>
      <c r="E663" s="58" t="inlineStr">
        <is>
          <t>Jeudi</t>
        </is>
      </c>
      <c r="F663" s="61" t="n">
        <v>0.7916666666666666</v>
      </c>
      <c r="G663" s="61" t="n">
        <v>0.875</v>
      </c>
      <c r="H663" s="62">
        <f>IF(OR($F663="",$G663=""),"",($G663-$F663)*24)</f>
        <v/>
      </c>
      <c r="I663" s="58" t="inlineStr">
        <is>
          <t>Primaire</t>
        </is>
      </c>
      <c r="J663" s="59" t="inlineStr">
        <is>
          <t>6éme (B)</t>
        </is>
      </c>
      <c r="K663" s="79" t="inlineStr">
        <is>
          <t>رياضيات</t>
        </is>
      </c>
      <c r="L663" s="79" t="inlineStr">
        <is>
          <t>Math</t>
        </is>
      </c>
      <c r="M663" s="59" t="inlineStr">
        <is>
          <t>Noura</t>
        </is>
      </c>
      <c r="N663" s="58" t="n"/>
      <c r="O663" s="58" t="n"/>
      <c r="P663" s="58" t="inlineStr">
        <is>
          <t>Hebdomadaire</t>
        </is>
      </c>
      <c r="Q663" s="59" t="inlineStr"/>
      <c r="R663" s="58" t="n">
        <v>1</v>
      </c>
      <c r="S663" s="58" t="inlineStr">
        <is>
          <t>Oui</t>
        </is>
      </c>
      <c r="T663" s="58" t="inlineStr">
        <is>
          <t>S6-033</t>
        </is>
      </c>
      <c r="U663" s="59" t="inlineStr">
        <is>
          <t>Généré (octobre)</t>
        </is>
      </c>
      <c r="V663" s="59" t="inlineStr"/>
      <c r="W663" s="10" t="n"/>
      <c r="X663" s="10" t="inlineStr"/>
      <c r="Y663" s="64">
        <f>IF($M663="","",IF(SUMPRODUCT(($D$4:$D$863=$D663)*($M$4:$M$863=$M663)*($T$4:$T$863&lt;&gt;$T663)*($F$4:$F$863&lt;$G663)*($G$4:$G$863&gt;$F663))&gt;0,"⚠ CONFLIT",""))</f>
        <v/>
      </c>
      <c r="Z663" s="64">
        <f>IF($J663="","",IF(SUMPRODUCT(($D$4:$D$863=$D663)*($J$4:$J$863=$J663)*($T$4:$T$863&lt;&gt;$T663)*($F$4:$F$863&lt;$G663)*($G$4:$G$863&gt;$F663)*(1-($X$4:$X$863="Oui")*($X663="Oui")))&gt;0,"⚠ CONFLIT",""))</f>
        <v/>
      </c>
      <c r="AA663" s="64">
        <f>IF(COUNTIFS($D$4:$D$863,$D663,$J$4:$J$863,$J663,$F$4:$F$863,$F663,$K$4:$K$863,$K663)&gt;1,"⚠ DOUBLON","")</f>
        <v/>
      </c>
      <c r="AB663" s="64">
        <f>IF(COUNTIF($T$4:$T$863,$T663)&lt;&gt;COUNTIFS($T$4:$T$863,$T663,$D$4:$D$863,$D663,$F$4:$F$863,$F663,$G$4:$G$863,$G663,$K$4:$K$863,$K663,$M$4:$M$863,$M663),"⚠ INCOHÉRENT","")</f>
        <v/>
      </c>
      <c r="AC663" s="64">
        <f>COUNTIFS($A$4:$A663,$A663,$J$4:$J663,$J663,$E$4:$E663,$E663)</f>
        <v/>
      </c>
      <c r="AD663" s="65">
        <f>$A663&amp;"|"&amp;$J663&amp;"|"&amp;$E663&amp;"|"&amp;$AC663</f>
        <v/>
      </c>
      <c r="AE663" s="66">
        <f>IF($W663&lt;&gt;"","⚑ "&amp;$W663&amp;CHAR(10),"")&amp;TEXT($F663,"hh:mm")&amp;"-"&amp;TEXT($G663,"hh:mm")&amp;IF(OR($P663="Quinzaine A",AND($P663="Hebdo · groupes alternés",$C663="A"))," Q-A",IF(OR($P663="Quinzaine B",AND($P663="Hebdo · groupes alternés",$C663="B"))," Q-B",IF($P663="Exception"," PONCT.","")))&amp;IF($X663="Oui"," OPT","")&amp;CHAR(10)&amp;$K663&amp;CHAR(10)&amp;$M663&amp;IF($N663&lt;&gt;"",CHAR(10)&amp;"Salle "&amp;$N663,"")&amp;IF($O663="En ligne",CHAR(10)&amp;"EN LIGNE","")&amp;IF($V663&lt;&gt;"",CHAR(10)&amp;$V663,"")</f>
        <v/>
      </c>
      <c r="AF663" s="65" t="inlineStr"/>
      <c r="AG663" s="65" t="inlineStr">
        <is>
          <t>— généré —</t>
        </is>
      </c>
    </row>
    <row r="664" ht="15" customHeight="1">
      <c r="A664" s="68" t="inlineStr">
        <is>
          <t>S6</t>
        </is>
      </c>
      <c r="B664" s="69" t="inlineStr">
        <is>
          <t>du 19 au 25 octobre 2026</t>
        </is>
      </c>
      <c r="C664" s="68" t="inlineStr">
        <is>
          <t>B</t>
        </is>
      </c>
      <c r="D664" s="70" t="n">
        <v>46317</v>
      </c>
      <c r="E664" s="68" t="inlineStr">
        <is>
          <t>Jeudi</t>
        </is>
      </c>
      <c r="F664" s="71" t="n">
        <v>0.8020833333333334</v>
      </c>
      <c r="G664" s="71" t="n">
        <v>0.8645833333333334</v>
      </c>
      <c r="H664" s="72">
        <f>IF(OR($F664="",$G664=""),"",($G664-$F664)*24)</f>
        <v/>
      </c>
      <c r="I664" s="68" t="inlineStr">
        <is>
          <t>Collège</t>
        </is>
      </c>
      <c r="J664" s="69" t="inlineStr">
        <is>
          <t>8éme (A)</t>
        </is>
      </c>
      <c r="K664" s="67" t="inlineStr">
        <is>
          <t>Français</t>
        </is>
      </c>
      <c r="L664" s="67" t="inlineStr">
        <is>
          <t>Français</t>
        </is>
      </c>
      <c r="M664" s="69" t="inlineStr">
        <is>
          <t>Nassima</t>
        </is>
      </c>
      <c r="N664" s="68" t="n"/>
      <c r="O664" s="68" t="n"/>
      <c r="P664" s="68" t="inlineStr">
        <is>
          <t>Hebdomadaire</t>
        </is>
      </c>
      <c r="Q664" s="69" t="inlineStr"/>
      <c r="R664" s="68" t="n">
        <v>1</v>
      </c>
      <c r="S664" s="68" t="inlineStr">
        <is>
          <t>Oui</t>
        </is>
      </c>
      <c r="T664" s="68" t="inlineStr">
        <is>
          <t>S6-034</t>
        </is>
      </c>
      <c r="U664" s="69" t="inlineStr">
        <is>
          <t>Généré (octobre)</t>
        </is>
      </c>
      <c r="V664" s="69" t="inlineStr"/>
      <c r="W664" s="10" t="n"/>
      <c r="X664" s="10" t="inlineStr"/>
      <c r="Y664" s="64">
        <f>IF($M664="","",IF(SUMPRODUCT(($D$4:$D$863=$D664)*($M$4:$M$863=$M664)*($T$4:$T$863&lt;&gt;$T664)*($F$4:$F$863&lt;$G664)*($G$4:$G$863&gt;$F664))&gt;0,"⚠ CONFLIT",""))</f>
        <v/>
      </c>
      <c r="Z664" s="64">
        <f>IF($J664="","",IF(SUMPRODUCT(($D$4:$D$863=$D664)*($J$4:$J$863=$J664)*($T$4:$T$863&lt;&gt;$T664)*($F$4:$F$863&lt;$G664)*($G$4:$G$863&gt;$F664)*(1-($X$4:$X$863="Oui")*($X664="Oui")))&gt;0,"⚠ CONFLIT",""))</f>
        <v/>
      </c>
      <c r="AA664" s="64">
        <f>IF(COUNTIFS($D$4:$D$863,$D664,$J$4:$J$863,$J664,$F$4:$F$863,$F664,$K$4:$K$863,$K664)&gt;1,"⚠ DOUBLON","")</f>
        <v/>
      </c>
      <c r="AB664" s="64">
        <f>IF(COUNTIF($T$4:$T$863,$T664)&lt;&gt;COUNTIFS($T$4:$T$863,$T664,$D$4:$D$863,$D664,$F$4:$F$863,$F664,$G$4:$G$863,$G664,$K$4:$K$863,$K664,$M$4:$M$863,$M664),"⚠ INCOHÉRENT","")</f>
        <v/>
      </c>
      <c r="AC664" s="64">
        <f>COUNTIFS($A$4:$A664,$A664,$J$4:$J664,$J664,$E$4:$E664,$E664)</f>
        <v/>
      </c>
      <c r="AD664" s="65">
        <f>$A664&amp;"|"&amp;$J664&amp;"|"&amp;$E664&amp;"|"&amp;$AC664</f>
        <v/>
      </c>
      <c r="AE664" s="66">
        <f>IF($W664&lt;&gt;"","⚑ "&amp;$W664&amp;CHAR(10),"")&amp;TEXT($F664,"hh:mm")&amp;"-"&amp;TEXT($G664,"hh:mm")&amp;IF(OR($P664="Quinzaine A",AND($P664="Hebdo · groupes alternés",$C664="A"))," Q-A",IF(OR($P664="Quinzaine B",AND($P664="Hebdo · groupes alternés",$C664="B"))," Q-B",IF($P664="Exception"," PONCT.","")))&amp;IF($X664="Oui"," OPT","")&amp;CHAR(10)&amp;$K664&amp;CHAR(10)&amp;$M664&amp;IF($N664&lt;&gt;"",CHAR(10)&amp;"Salle "&amp;$N664,"")&amp;IF($O664="En ligne",CHAR(10)&amp;"EN LIGNE","")&amp;IF($V664&lt;&gt;"",CHAR(10)&amp;$V664,"")</f>
        <v/>
      </c>
      <c r="AF664" s="65" t="inlineStr"/>
      <c r="AG664" s="65" t="inlineStr">
        <is>
          <t>— généré —</t>
        </is>
      </c>
    </row>
    <row r="665" ht="15" customHeight="1">
      <c r="A665" s="68" t="inlineStr">
        <is>
          <t>S6</t>
        </is>
      </c>
      <c r="B665" s="69" t="inlineStr">
        <is>
          <t>du 19 au 25 octobre 2026</t>
        </is>
      </c>
      <c r="C665" s="68" t="inlineStr">
        <is>
          <t>B</t>
        </is>
      </c>
      <c r="D665" s="70" t="n">
        <v>46317</v>
      </c>
      <c r="E665" s="68" t="inlineStr">
        <is>
          <t>Jeudi</t>
        </is>
      </c>
      <c r="F665" s="71" t="n">
        <v>0.8020833333333334</v>
      </c>
      <c r="G665" s="71" t="n">
        <v>0.8645833333333334</v>
      </c>
      <c r="H665" s="72">
        <f>IF(OR($F665="",$G665=""),"",($G665-$F665)*24)</f>
        <v/>
      </c>
      <c r="I665" s="68" t="inlineStr">
        <is>
          <t>Collège</t>
        </is>
      </c>
      <c r="J665" s="69" t="inlineStr">
        <is>
          <t>8éme (C)</t>
        </is>
      </c>
      <c r="K665" s="79" t="inlineStr">
        <is>
          <t>Math</t>
        </is>
      </c>
      <c r="L665" s="79" t="inlineStr">
        <is>
          <t>Math</t>
        </is>
      </c>
      <c r="M665" s="69" t="inlineStr">
        <is>
          <t>Khouloud</t>
        </is>
      </c>
      <c r="N665" s="68" t="n"/>
      <c r="O665" s="68" t="n"/>
      <c r="P665" s="68" t="inlineStr">
        <is>
          <t>Hebdomadaire</t>
        </is>
      </c>
      <c r="Q665" s="69" t="inlineStr"/>
      <c r="R665" s="68" t="n">
        <v>1</v>
      </c>
      <c r="S665" s="68" t="inlineStr">
        <is>
          <t>Oui</t>
        </is>
      </c>
      <c r="T665" s="68" t="inlineStr">
        <is>
          <t>S6-035</t>
        </is>
      </c>
      <c r="U665" s="69" t="inlineStr">
        <is>
          <t>Généré (octobre)</t>
        </is>
      </c>
      <c r="V665" s="69" t="inlineStr"/>
      <c r="W665" s="10" t="n"/>
      <c r="X665" s="10" t="inlineStr"/>
      <c r="Y665" s="64">
        <f>IF($M665="","",IF(SUMPRODUCT(($D$4:$D$863=$D665)*($M$4:$M$863=$M665)*($T$4:$T$863&lt;&gt;$T665)*($F$4:$F$863&lt;$G665)*($G$4:$G$863&gt;$F665))&gt;0,"⚠ CONFLIT",""))</f>
        <v/>
      </c>
      <c r="Z665" s="64">
        <f>IF($J665="","",IF(SUMPRODUCT(($D$4:$D$863=$D665)*($J$4:$J$863=$J665)*($T$4:$T$863&lt;&gt;$T665)*($F$4:$F$863&lt;$G665)*($G$4:$G$863&gt;$F665)*(1-($X$4:$X$863="Oui")*($X665="Oui")))&gt;0,"⚠ CONFLIT",""))</f>
        <v/>
      </c>
      <c r="AA665" s="64">
        <f>IF(COUNTIFS($D$4:$D$863,$D665,$J$4:$J$863,$J665,$F$4:$F$863,$F665,$K$4:$K$863,$K665)&gt;1,"⚠ DOUBLON","")</f>
        <v/>
      </c>
      <c r="AB665" s="64">
        <f>IF(COUNTIF($T$4:$T$863,$T665)&lt;&gt;COUNTIFS($T$4:$T$863,$T665,$D$4:$D$863,$D665,$F$4:$F$863,$F665,$G$4:$G$863,$G665,$K$4:$K$863,$K665,$M$4:$M$863,$M665),"⚠ INCOHÉRENT","")</f>
        <v/>
      </c>
      <c r="AC665" s="64">
        <f>COUNTIFS($A$4:$A665,$A665,$J$4:$J665,$J665,$E$4:$E665,$E665)</f>
        <v/>
      </c>
      <c r="AD665" s="65">
        <f>$A665&amp;"|"&amp;$J665&amp;"|"&amp;$E665&amp;"|"&amp;$AC665</f>
        <v/>
      </c>
      <c r="AE665" s="66">
        <f>IF($W665&lt;&gt;"","⚑ "&amp;$W665&amp;CHAR(10),"")&amp;TEXT($F665,"hh:mm")&amp;"-"&amp;TEXT($G665,"hh:mm")&amp;IF(OR($P665="Quinzaine A",AND($P665="Hebdo · groupes alternés",$C665="A"))," Q-A",IF(OR($P665="Quinzaine B",AND($P665="Hebdo · groupes alternés",$C665="B"))," Q-B",IF($P665="Exception"," PONCT.","")))&amp;IF($X665="Oui"," OPT","")&amp;CHAR(10)&amp;$K665&amp;CHAR(10)&amp;$M665&amp;IF($N665&lt;&gt;"",CHAR(10)&amp;"Salle "&amp;$N665,"")&amp;IF($O665="En ligne",CHAR(10)&amp;"EN LIGNE","")&amp;IF($V665&lt;&gt;"",CHAR(10)&amp;$V665,"")</f>
        <v/>
      </c>
      <c r="AF665" s="65" t="inlineStr"/>
      <c r="AG665" s="65" t="inlineStr">
        <is>
          <t>— généré —</t>
        </is>
      </c>
    </row>
    <row r="666" ht="15" customHeight="1">
      <c r="A666" s="68" t="inlineStr">
        <is>
          <t>S6</t>
        </is>
      </c>
      <c r="B666" s="69" t="inlineStr">
        <is>
          <t>du 19 au 25 octobre 2026</t>
        </is>
      </c>
      <c r="C666" s="68" t="inlineStr">
        <is>
          <t>B</t>
        </is>
      </c>
      <c r="D666" s="70" t="n">
        <v>46317</v>
      </c>
      <c r="E666" s="68" t="inlineStr">
        <is>
          <t>Jeudi</t>
        </is>
      </c>
      <c r="F666" s="71" t="n">
        <v>0.8020833333333334</v>
      </c>
      <c r="G666" s="71" t="n">
        <v>0.8645833333333334</v>
      </c>
      <c r="H666" s="72">
        <f>IF(OR($F666="",$G666=""),"",($G666-$F666)*24)</f>
        <v/>
      </c>
      <c r="I666" s="68" t="inlineStr">
        <is>
          <t>Collège</t>
        </is>
      </c>
      <c r="J666" s="69" t="inlineStr">
        <is>
          <t>9éme (A)</t>
        </is>
      </c>
      <c r="K666" s="88" t="inlineStr">
        <is>
          <t>SVT</t>
        </is>
      </c>
      <c r="L666" s="88" t="inlineStr">
        <is>
          <t>SVT</t>
        </is>
      </c>
      <c r="M666" s="69" t="inlineStr">
        <is>
          <t>Imen Jribi</t>
        </is>
      </c>
      <c r="N666" s="68" t="n"/>
      <c r="O666" s="68" t="n"/>
      <c r="P666" s="68" t="inlineStr">
        <is>
          <t>Hebdomadaire</t>
        </is>
      </c>
      <c r="Q666" s="69" t="inlineStr"/>
      <c r="R666" s="68" t="n">
        <v>1</v>
      </c>
      <c r="S666" s="68" t="inlineStr">
        <is>
          <t>Oui</t>
        </is>
      </c>
      <c r="T666" s="68" t="inlineStr">
        <is>
          <t>S6-036</t>
        </is>
      </c>
      <c r="U666" s="69" t="inlineStr">
        <is>
          <t>Généré (octobre)</t>
        </is>
      </c>
      <c r="V666" s="69" t="inlineStr"/>
      <c r="W666" s="10" t="n"/>
      <c r="X666" s="10" t="inlineStr"/>
      <c r="Y666" s="64">
        <f>IF($M666="","",IF(SUMPRODUCT(($D$4:$D$863=$D666)*($M$4:$M$863=$M666)*($T$4:$T$863&lt;&gt;$T666)*($F$4:$F$863&lt;$G666)*($G$4:$G$863&gt;$F666))&gt;0,"⚠ CONFLIT",""))</f>
        <v/>
      </c>
      <c r="Z666" s="64">
        <f>IF($J666="","",IF(SUMPRODUCT(($D$4:$D$863=$D666)*($J$4:$J$863=$J666)*($T$4:$T$863&lt;&gt;$T666)*($F$4:$F$863&lt;$G666)*($G$4:$G$863&gt;$F666)*(1-($X$4:$X$863="Oui")*($X666="Oui")))&gt;0,"⚠ CONFLIT",""))</f>
        <v/>
      </c>
      <c r="AA666" s="64">
        <f>IF(COUNTIFS($D$4:$D$863,$D666,$J$4:$J$863,$J666,$F$4:$F$863,$F666,$K$4:$K$863,$K666)&gt;1,"⚠ DOUBLON","")</f>
        <v/>
      </c>
      <c r="AB666" s="64">
        <f>IF(COUNTIF($T$4:$T$863,$T666)&lt;&gt;COUNTIFS($T$4:$T$863,$T666,$D$4:$D$863,$D666,$F$4:$F$863,$F666,$G$4:$G$863,$G666,$K$4:$K$863,$K666,$M$4:$M$863,$M666),"⚠ INCOHÉRENT","")</f>
        <v/>
      </c>
      <c r="AC666" s="64">
        <f>COUNTIFS($A$4:$A666,$A666,$J$4:$J666,$J666,$E$4:$E666,$E666)</f>
        <v/>
      </c>
      <c r="AD666" s="65">
        <f>$A666&amp;"|"&amp;$J666&amp;"|"&amp;$E666&amp;"|"&amp;$AC666</f>
        <v/>
      </c>
      <c r="AE666" s="66">
        <f>IF($W666&lt;&gt;"","⚑ "&amp;$W666&amp;CHAR(10),"")&amp;TEXT($F666,"hh:mm")&amp;"-"&amp;TEXT($G666,"hh:mm")&amp;IF(OR($P666="Quinzaine A",AND($P666="Hebdo · groupes alternés",$C666="A"))," Q-A",IF(OR($P666="Quinzaine B",AND($P666="Hebdo · groupes alternés",$C666="B"))," Q-B",IF($P666="Exception"," PONCT.","")))&amp;IF($X666="Oui"," OPT","")&amp;CHAR(10)&amp;$K666&amp;CHAR(10)&amp;$M666&amp;IF($N666&lt;&gt;"",CHAR(10)&amp;"Salle "&amp;$N666,"")&amp;IF($O666="En ligne",CHAR(10)&amp;"EN LIGNE","")&amp;IF($V666&lt;&gt;"",CHAR(10)&amp;$V666,"")</f>
        <v/>
      </c>
      <c r="AF666" s="65" t="inlineStr"/>
      <c r="AG666" s="65" t="inlineStr">
        <is>
          <t>— généré —</t>
        </is>
      </c>
    </row>
    <row r="667" ht="15" customHeight="1">
      <c r="A667" s="68" t="inlineStr">
        <is>
          <t>S6</t>
        </is>
      </c>
      <c r="B667" s="69" t="inlineStr">
        <is>
          <t>du 19 au 25 octobre 2026</t>
        </is>
      </c>
      <c r="C667" s="68" t="inlineStr">
        <is>
          <t>B</t>
        </is>
      </c>
      <c r="D667" s="70" t="n">
        <v>46317</v>
      </c>
      <c r="E667" s="68" t="inlineStr">
        <is>
          <t>Jeudi</t>
        </is>
      </c>
      <c r="F667" s="71" t="n">
        <v>0.8125</v>
      </c>
      <c r="G667" s="71" t="n">
        <v>0.875</v>
      </c>
      <c r="H667" s="72">
        <f>IF(OR($F667="",$G667=""),"",($G667-$F667)*24)</f>
        <v/>
      </c>
      <c r="I667" s="68" t="inlineStr">
        <is>
          <t>Collège</t>
        </is>
      </c>
      <c r="J667" s="69" t="inlineStr">
        <is>
          <t>9éme (C)</t>
        </is>
      </c>
      <c r="K667" s="87" t="inlineStr">
        <is>
          <t>Anglais</t>
        </is>
      </c>
      <c r="L667" s="87" t="inlineStr">
        <is>
          <t>Anglais</t>
        </is>
      </c>
      <c r="M667" s="69" t="inlineStr">
        <is>
          <t>Saber</t>
        </is>
      </c>
      <c r="N667" s="68" t="n"/>
      <c r="O667" s="68" t="n"/>
      <c r="P667" s="68" t="inlineStr">
        <is>
          <t>Hebdomadaire</t>
        </is>
      </c>
      <c r="Q667" s="69" t="inlineStr"/>
      <c r="R667" s="68" t="n">
        <v>1</v>
      </c>
      <c r="S667" s="68" t="inlineStr">
        <is>
          <t>Oui</t>
        </is>
      </c>
      <c r="T667" s="68" t="inlineStr">
        <is>
          <t>S6-037</t>
        </is>
      </c>
      <c r="U667" s="69" t="inlineStr">
        <is>
          <t>Généré (octobre)</t>
        </is>
      </c>
      <c r="V667" s="69" t="inlineStr"/>
      <c r="W667" s="10" t="n"/>
      <c r="X667" s="10" t="inlineStr"/>
      <c r="Y667" s="64">
        <f>IF($M667="","",IF(SUMPRODUCT(($D$4:$D$863=$D667)*($M$4:$M$863=$M667)*($T$4:$T$863&lt;&gt;$T667)*($F$4:$F$863&lt;$G667)*($G$4:$G$863&gt;$F667))&gt;0,"⚠ CONFLIT",""))</f>
        <v/>
      </c>
      <c r="Z667" s="64">
        <f>IF($J667="","",IF(SUMPRODUCT(($D$4:$D$863=$D667)*($J$4:$J$863=$J667)*($T$4:$T$863&lt;&gt;$T667)*($F$4:$F$863&lt;$G667)*($G$4:$G$863&gt;$F667)*(1-($X$4:$X$863="Oui")*($X667="Oui")))&gt;0,"⚠ CONFLIT",""))</f>
        <v/>
      </c>
      <c r="AA667" s="64">
        <f>IF(COUNTIFS($D$4:$D$863,$D667,$J$4:$J$863,$J667,$F$4:$F$863,$F667,$K$4:$K$863,$K667)&gt;1,"⚠ DOUBLON","")</f>
        <v/>
      </c>
      <c r="AB667" s="64">
        <f>IF(COUNTIF($T$4:$T$863,$T667)&lt;&gt;COUNTIFS($T$4:$T$863,$T667,$D$4:$D$863,$D667,$F$4:$F$863,$F667,$G$4:$G$863,$G667,$K$4:$K$863,$K667,$M$4:$M$863,$M667),"⚠ INCOHÉRENT","")</f>
        <v/>
      </c>
      <c r="AC667" s="64">
        <f>COUNTIFS($A$4:$A667,$A667,$J$4:$J667,$J667,$E$4:$E667,$E667)</f>
        <v/>
      </c>
      <c r="AD667" s="65">
        <f>$A667&amp;"|"&amp;$J667&amp;"|"&amp;$E667&amp;"|"&amp;$AC667</f>
        <v/>
      </c>
      <c r="AE667" s="66">
        <f>IF($W667&lt;&gt;"","⚑ "&amp;$W667&amp;CHAR(10),"")&amp;TEXT($F667,"hh:mm")&amp;"-"&amp;TEXT($G667,"hh:mm")&amp;IF(OR($P667="Quinzaine A",AND($P667="Hebdo · groupes alternés",$C667="A"))," Q-A",IF(OR($P667="Quinzaine B",AND($P667="Hebdo · groupes alternés",$C667="B"))," Q-B",IF($P667="Exception"," PONCT.","")))&amp;IF($X667="Oui"," OPT","")&amp;CHAR(10)&amp;$K667&amp;CHAR(10)&amp;$M667&amp;IF($N667&lt;&gt;"",CHAR(10)&amp;"Salle "&amp;$N667,"")&amp;IF($O667="En ligne",CHAR(10)&amp;"EN LIGNE","")&amp;IF($V667&lt;&gt;"",CHAR(10)&amp;$V667,"")</f>
        <v/>
      </c>
      <c r="AF667" s="65" t="inlineStr"/>
      <c r="AG667" s="65" t="inlineStr">
        <is>
          <t>— généré —</t>
        </is>
      </c>
    </row>
    <row r="668" ht="15" customHeight="1">
      <c r="A668" s="74" t="inlineStr">
        <is>
          <t>S6</t>
        </is>
      </c>
      <c r="B668" s="75" t="inlineStr">
        <is>
          <t>du 19 au 25 octobre 2026</t>
        </is>
      </c>
      <c r="C668" s="74" t="inlineStr">
        <is>
          <t>B</t>
        </is>
      </c>
      <c r="D668" s="76" t="n">
        <v>46317</v>
      </c>
      <c r="E668" s="74" t="inlineStr">
        <is>
          <t>Jeudi</t>
        </is>
      </c>
      <c r="F668" s="77" t="n">
        <v>0.8020833333333334</v>
      </c>
      <c r="G668" s="77" t="n">
        <v>0.8645833333333334</v>
      </c>
      <c r="H668" s="78">
        <f>IF(OR($F668="",$G668=""),"",($G668-$F668)*24)</f>
        <v/>
      </c>
      <c r="I668" s="74" t="inlineStr">
        <is>
          <t>Secondaire</t>
        </is>
      </c>
      <c r="J668" s="75" t="inlineStr">
        <is>
          <t>1ére (B)</t>
        </is>
      </c>
      <c r="K668" s="87" t="inlineStr">
        <is>
          <t>Anglais</t>
        </is>
      </c>
      <c r="L668" s="87" t="inlineStr">
        <is>
          <t>Anglais</t>
        </is>
      </c>
      <c r="M668" s="75" t="inlineStr">
        <is>
          <t>Imen Bennour</t>
        </is>
      </c>
      <c r="N668" s="74" t="n"/>
      <c r="O668" s="74" t="n"/>
      <c r="P668" s="74" t="inlineStr">
        <is>
          <t>Hebdo · groupes alternés</t>
        </is>
      </c>
      <c r="Q668" s="75" t="inlineStr"/>
      <c r="R668" s="74" t="n">
        <v>1</v>
      </c>
      <c r="S668" s="74" t="inlineStr">
        <is>
          <t>Oui</t>
        </is>
      </c>
      <c r="T668" s="74" t="inlineStr">
        <is>
          <t>S6-038</t>
        </is>
      </c>
      <c r="U668" s="75" t="inlineStr">
        <is>
          <t>Généré (octobre)</t>
        </is>
      </c>
      <c r="V668" s="75" t="inlineStr"/>
      <c r="W668" s="10" t="n"/>
      <c r="X668" s="10" t="inlineStr"/>
      <c r="Y668" s="64">
        <f>IF($M668="","",IF(SUMPRODUCT(($D$4:$D$863=$D668)*($M$4:$M$863=$M668)*($T$4:$T$863&lt;&gt;$T668)*($F$4:$F$863&lt;$G668)*($G$4:$G$863&gt;$F668))&gt;0,"⚠ CONFLIT",""))</f>
        <v/>
      </c>
      <c r="Z668" s="64">
        <f>IF($J668="","",IF(SUMPRODUCT(($D$4:$D$863=$D668)*($J$4:$J$863=$J668)*($T$4:$T$863&lt;&gt;$T668)*($F$4:$F$863&lt;$G668)*($G$4:$G$863&gt;$F668)*(1-($X$4:$X$863="Oui")*($X668="Oui")))&gt;0,"⚠ CONFLIT",""))</f>
        <v/>
      </c>
      <c r="AA668" s="64">
        <f>IF(COUNTIFS($D$4:$D$863,$D668,$J$4:$J$863,$J668,$F$4:$F$863,$F668,$K$4:$K$863,$K668)&gt;1,"⚠ DOUBLON","")</f>
        <v/>
      </c>
      <c r="AB668" s="64">
        <f>IF(COUNTIF($T$4:$T$863,$T668)&lt;&gt;COUNTIFS($T$4:$T$863,$T668,$D$4:$D$863,$D668,$F$4:$F$863,$F668,$G$4:$G$863,$G668,$K$4:$K$863,$K668,$M$4:$M$863,$M668),"⚠ INCOHÉRENT","")</f>
        <v/>
      </c>
      <c r="AC668" s="64">
        <f>COUNTIFS($A$4:$A668,$A668,$J$4:$J668,$J668,$E$4:$E668,$E668)</f>
        <v/>
      </c>
      <c r="AD668" s="65">
        <f>$A668&amp;"|"&amp;$J668&amp;"|"&amp;$E668&amp;"|"&amp;$AC668</f>
        <v/>
      </c>
      <c r="AE668" s="66">
        <f>IF($W668&lt;&gt;"","⚑ "&amp;$W668&amp;CHAR(10),"")&amp;TEXT($F668,"hh:mm")&amp;"-"&amp;TEXT($G668,"hh:mm")&amp;IF(OR($P668="Quinzaine A",AND($P668="Hebdo · groupes alternés",$C668="A"))," Q-A",IF(OR($P668="Quinzaine B",AND($P668="Hebdo · groupes alternés",$C668="B"))," Q-B",IF($P668="Exception"," PONCT.","")))&amp;IF($X668="Oui"," OPT","")&amp;CHAR(10)&amp;$K668&amp;CHAR(10)&amp;$M668&amp;IF($N668&lt;&gt;"",CHAR(10)&amp;"Salle "&amp;$N668,"")&amp;IF($O668="En ligne",CHAR(10)&amp;"EN LIGNE","")&amp;IF($V668&lt;&gt;"",CHAR(10)&amp;$V668,"")</f>
        <v/>
      </c>
      <c r="AF668" s="65" t="inlineStr"/>
      <c r="AG668" s="65" t="inlineStr">
        <is>
          <t>— généré —</t>
        </is>
      </c>
    </row>
    <row r="669" ht="15" customHeight="1">
      <c r="A669" s="74" t="inlineStr">
        <is>
          <t>S6</t>
        </is>
      </c>
      <c r="B669" s="75" t="inlineStr">
        <is>
          <t>du 19 au 25 octobre 2026</t>
        </is>
      </c>
      <c r="C669" s="74" t="inlineStr">
        <is>
          <t>B</t>
        </is>
      </c>
      <c r="D669" s="76" t="n">
        <v>46317</v>
      </c>
      <c r="E669" s="74" t="inlineStr">
        <is>
          <t>Jeudi</t>
        </is>
      </c>
      <c r="F669" s="77" t="n">
        <v>0.7916666666666666</v>
      </c>
      <c r="G669" s="77" t="n">
        <v>0.8541666666666666</v>
      </c>
      <c r="H669" s="78">
        <f>IF(OR($F669="",$G669=""),"",($G669-$F669)*24)</f>
        <v/>
      </c>
      <c r="I669" s="74" t="inlineStr">
        <is>
          <t>Secondaire</t>
        </is>
      </c>
      <c r="J669" s="75" t="inlineStr">
        <is>
          <t>2éme Eco</t>
        </is>
      </c>
      <c r="K669" s="86" t="inlineStr">
        <is>
          <t>Gestion</t>
        </is>
      </c>
      <c r="L669" s="86" t="inlineStr">
        <is>
          <t>Gestion</t>
        </is>
      </c>
      <c r="M669" s="75" t="inlineStr">
        <is>
          <t>Yassine</t>
        </is>
      </c>
      <c r="N669" s="74" t="n"/>
      <c r="O669" s="74" t="n"/>
      <c r="P669" s="74" t="inlineStr">
        <is>
          <t>Hebdomadaire</t>
        </is>
      </c>
      <c r="Q669" s="75" t="inlineStr"/>
      <c r="R669" s="74" t="n">
        <v>1</v>
      </c>
      <c r="S669" s="74" t="inlineStr">
        <is>
          <t>Oui</t>
        </is>
      </c>
      <c r="T669" s="74" t="inlineStr">
        <is>
          <t>S6-039</t>
        </is>
      </c>
      <c r="U669" s="75" t="inlineStr">
        <is>
          <t>Généré (octobre)</t>
        </is>
      </c>
      <c r="V669" s="75" t="inlineStr"/>
      <c r="W669" s="10" t="n"/>
      <c r="X669" s="10" t="inlineStr"/>
      <c r="Y669" s="64">
        <f>IF($M669="","",IF(SUMPRODUCT(($D$4:$D$863=$D669)*($M$4:$M$863=$M669)*($T$4:$T$863&lt;&gt;$T669)*($F$4:$F$863&lt;$G669)*($G$4:$G$863&gt;$F669))&gt;0,"⚠ CONFLIT",""))</f>
        <v/>
      </c>
      <c r="Z669" s="64">
        <f>IF($J669="","",IF(SUMPRODUCT(($D$4:$D$863=$D669)*($J$4:$J$863=$J669)*($T$4:$T$863&lt;&gt;$T669)*($F$4:$F$863&lt;$G669)*($G$4:$G$863&gt;$F669)*(1-($X$4:$X$863="Oui")*($X669="Oui")))&gt;0,"⚠ CONFLIT",""))</f>
        <v/>
      </c>
      <c r="AA669" s="64">
        <f>IF(COUNTIFS($D$4:$D$863,$D669,$J$4:$J$863,$J669,$F$4:$F$863,$F669,$K$4:$K$863,$K669)&gt;1,"⚠ DOUBLON","")</f>
        <v/>
      </c>
      <c r="AB669" s="64">
        <f>IF(COUNTIF($T$4:$T$863,$T669)&lt;&gt;COUNTIFS($T$4:$T$863,$T669,$D$4:$D$863,$D669,$F$4:$F$863,$F669,$G$4:$G$863,$G669,$K$4:$K$863,$K669,$M$4:$M$863,$M669),"⚠ INCOHÉRENT","")</f>
        <v/>
      </c>
      <c r="AC669" s="64">
        <f>COUNTIFS($A$4:$A669,$A669,$J$4:$J669,$J669,$E$4:$E669,$E669)</f>
        <v/>
      </c>
      <c r="AD669" s="65">
        <f>$A669&amp;"|"&amp;$J669&amp;"|"&amp;$E669&amp;"|"&amp;$AC669</f>
        <v/>
      </c>
      <c r="AE669" s="66">
        <f>IF($W669&lt;&gt;"","⚑ "&amp;$W669&amp;CHAR(10),"")&amp;TEXT($F669,"hh:mm")&amp;"-"&amp;TEXT($G669,"hh:mm")&amp;IF(OR($P669="Quinzaine A",AND($P669="Hebdo · groupes alternés",$C669="A"))," Q-A",IF(OR($P669="Quinzaine B",AND($P669="Hebdo · groupes alternés",$C669="B"))," Q-B",IF($P669="Exception"," PONCT.","")))&amp;IF($X669="Oui"," OPT","")&amp;CHAR(10)&amp;$K669&amp;CHAR(10)&amp;$M669&amp;IF($N669&lt;&gt;"",CHAR(10)&amp;"Salle "&amp;$N669,"")&amp;IF($O669="En ligne",CHAR(10)&amp;"EN LIGNE","")&amp;IF($V669&lt;&gt;"",CHAR(10)&amp;$V669,"")</f>
        <v/>
      </c>
      <c r="AF669" s="65" t="inlineStr"/>
      <c r="AG669" s="65" t="inlineStr">
        <is>
          <t>— généré —</t>
        </is>
      </c>
    </row>
    <row r="670" ht="15" customHeight="1">
      <c r="A670" s="74" t="inlineStr">
        <is>
          <t>S6</t>
        </is>
      </c>
      <c r="B670" s="75" t="inlineStr">
        <is>
          <t>du 19 au 25 octobre 2026</t>
        </is>
      </c>
      <c r="C670" s="74" t="inlineStr">
        <is>
          <t>B</t>
        </is>
      </c>
      <c r="D670" s="76" t="n">
        <v>46317</v>
      </c>
      <c r="E670" s="74" t="inlineStr">
        <is>
          <t>Jeudi</t>
        </is>
      </c>
      <c r="F670" s="77" t="n">
        <v>0.8125</v>
      </c>
      <c r="G670" s="77" t="n">
        <v>0.875</v>
      </c>
      <c r="H670" s="78">
        <f>IF(OR($F670="",$G670=""),"",($G670-$F670)*24)</f>
        <v/>
      </c>
      <c r="I670" s="74" t="inlineStr">
        <is>
          <t>Secondaire</t>
        </is>
      </c>
      <c r="J670" s="75" t="inlineStr">
        <is>
          <t>2éme SCE</t>
        </is>
      </c>
      <c r="K670" s="79" t="inlineStr">
        <is>
          <t>Math</t>
        </is>
      </c>
      <c r="L670" s="79" t="inlineStr">
        <is>
          <t>Math</t>
        </is>
      </c>
      <c r="M670" s="75" t="inlineStr">
        <is>
          <t>Haythem</t>
        </is>
      </c>
      <c r="N670" s="74" t="n"/>
      <c r="O670" s="74" t="n"/>
      <c r="P670" s="74" t="inlineStr">
        <is>
          <t>Hebdomadaire</t>
        </is>
      </c>
      <c r="Q670" s="75" t="inlineStr"/>
      <c r="R670" s="74" t="n">
        <v>1</v>
      </c>
      <c r="S670" s="74" t="inlineStr">
        <is>
          <t>Oui</t>
        </is>
      </c>
      <c r="T670" s="74" t="inlineStr">
        <is>
          <t>S6-040</t>
        </is>
      </c>
      <c r="U670" s="75" t="inlineStr">
        <is>
          <t>Généré (octobre)</t>
        </is>
      </c>
      <c r="V670" s="75" t="inlineStr"/>
      <c r="W670" s="10" t="n"/>
      <c r="X670" s="10" t="inlineStr"/>
      <c r="Y670" s="64">
        <f>IF($M670="","",IF(SUMPRODUCT(($D$4:$D$863=$D670)*($M$4:$M$863=$M670)*($T$4:$T$863&lt;&gt;$T670)*($F$4:$F$863&lt;$G670)*($G$4:$G$863&gt;$F670))&gt;0,"⚠ CONFLIT",""))</f>
        <v/>
      </c>
      <c r="Z670" s="64">
        <f>IF($J670="","",IF(SUMPRODUCT(($D$4:$D$863=$D670)*($J$4:$J$863=$J670)*($T$4:$T$863&lt;&gt;$T670)*($F$4:$F$863&lt;$G670)*($G$4:$G$863&gt;$F670)*(1-($X$4:$X$863="Oui")*($X670="Oui")))&gt;0,"⚠ CONFLIT",""))</f>
        <v/>
      </c>
      <c r="AA670" s="64">
        <f>IF(COUNTIFS($D$4:$D$863,$D670,$J$4:$J$863,$J670,$F$4:$F$863,$F670,$K$4:$K$863,$K670)&gt;1,"⚠ DOUBLON","")</f>
        <v/>
      </c>
      <c r="AB670" s="64">
        <f>IF(COUNTIF($T$4:$T$863,$T670)&lt;&gt;COUNTIFS($T$4:$T$863,$T670,$D$4:$D$863,$D670,$F$4:$F$863,$F670,$G$4:$G$863,$G670,$K$4:$K$863,$K670,$M$4:$M$863,$M670),"⚠ INCOHÉRENT","")</f>
        <v/>
      </c>
      <c r="AC670" s="64">
        <f>COUNTIFS($A$4:$A670,$A670,$J$4:$J670,$J670,$E$4:$E670,$E670)</f>
        <v/>
      </c>
      <c r="AD670" s="65">
        <f>$A670&amp;"|"&amp;$J670&amp;"|"&amp;$E670&amp;"|"&amp;$AC670</f>
        <v/>
      </c>
      <c r="AE670" s="66">
        <f>IF($W670&lt;&gt;"","⚑ "&amp;$W670&amp;CHAR(10),"")&amp;TEXT($F670,"hh:mm")&amp;"-"&amp;TEXT($G670,"hh:mm")&amp;IF(OR($P670="Quinzaine A",AND($P670="Hebdo · groupes alternés",$C670="A"))," Q-A",IF(OR($P670="Quinzaine B",AND($P670="Hebdo · groupes alternés",$C670="B"))," Q-B",IF($P670="Exception"," PONCT.","")))&amp;IF($X670="Oui"," OPT","")&amp;CHAR(10)&amp;$K670&amp;CHAR(10)&amp;$M670&amp;IF($N670&lt;&gt;"",CHAR(10)&amp;"Salle "&amp;$N670,"")&amp;IF($O670="En ligne",CHAR(10)&amp;"EN LIGNE","")&amp;IF($V670&lt;&gt;"",CHAR(10)&amp;$V670,"")</f>
        <v/>
      </c>
      <c r="AF670" s="65" t="inlineStr"/>
      <c r="AG670" s="65" t="inlineStr">
        <is>
          <t>— généré —</t>
        </is>
      </c>
    </row>
    <row r="671" ht="15" customHeight="1">
      <c r="A671" s="74" t="inlineStr">
        <is>
          <t>S6</t>
        </is>
      </c>
      <c r="B671" s="75" t="inlineStr">
        <is>
          <t>du 19 au 25 octobre 2026</t>
        </is>
      </c>
      <c r="C671" s="74" t="inlineStr">
        <is>
          <t>B</t>
        </is>
      </c>
      <c r="D671" s="76" t="n">
        <v>46317</v>
      </c>
      <c r="E671" s="74" t="inlineStr">
        <is>
          <t>Jeudi</t>
        </is>
      </c>
      <c r="F671" s="77" t="n">
        <v>0.8125</v>
      </c>
      <c r="G671" s="77" t="n">
        <v>0.875</v>
      </c>
      <c r="H671" s="78">
        <f>IF(OR($F671="",$G671=""),"",($G671-$F671)*24)</f>
        <v/>
      </c>
      <c r="I671" s="74" t="inlineStr">
        <is>
          <t>Secondaire</t>
        </is>
      </c>
      <c r="J671" s="75" t="inlineStr">
        <is>
          <t>2éme INFO</t>
        </is>
      </c>
      <c r="K671" s="73" t="inlineStr">
        <is>
          <t>Physique</t>
        </is>
      </c>
      <c r="L671" s="73" t="inlineStr">
        <is>
          <t>Physique</t>
        </is>
      </c>
      <c r="M671" s="75" t="inlineStr">
        <is>
          <t>Samia</t>
        </is>
      </c>
      <c r="N671" s="74" t="n"/>
      <c r="O671" s="74" t="n"/>
      <c r="P671" s="74" t="inlineStr">
        <is>
          <t>Hebdomadaire</t>
        </is>
      </c>
      <c r="Q671" s="75" t="inlineStr"/>
      <c r="R671" s="74" t="n">
        <v>1</v>
      </c>
      <c r="S671" s="74" t="inlineStr">
        <is>
          <t>Oui</t>
        </is>
      </c>
      <c r="T671" s="74" t="inlineStr">
        <is>
          <t>S6-041</t>
        </is>
      </c>
      <c r="U671" s="75" t="inlineStr">
        <is>
          <t>Généré (octobre)</t>
        </is>
      </c>
      <c r="V671" s="75" t="inlineStr"/>
      <c r="W671" s="10" t="n"/>
      <c r="X671" s="10" t="inlineStr"/>
      <c r="Y671" s="64">
        <f>IF($M671="","",IF(SUMPRODUCT(($D$4:$D$863=$D671)*($M$4:$M$863=$M671)*($T$4:$T$863&lt;&gt;$T671)*($F$4:$F$863&lt;$G671)*($G$4:$G$863&gt;$F671))&gt;0,"⚠ CONFLIT",""))</f>
        <v/>
      </c>
      <c r="Z671" s="64">
        <f>IF($J671="","",IF(SUMPRODUCT(($D$4:$D$863=$D671)*($J$4:$J$863=$J671)*($T$4:$T$863&lt;&gt;$T671)*($F$4:$F$863&lt;$G671)*($G$4:$G$863&gt;$F671)*(1-($X$4:$X$863="Oui")*($X671="Oui")))&gt;0,"⚠ CONFLIT",""))</f>
        <v/>
      </c>
      <c r="AA671" s="64">
        <f>IF(COUNTIFS($D$4:$D$863,$D671,$J$4:$J$863,$J671,$F$4:$F$863,$F671,$K$4:$K$863,$K671)&gt;1,"⚠ DOUBLON","")</f>
        <v/>
      </c>
      <c r="AB671" s="64">
        <f>IF(COUNTIF($T$4:$T$863,$T671)&lt;&gt;COUNTIFS($T$4:$T$863,$T671,$D$4:$D$863,$D671,$F$4:$F$863,$F671,$G$4:$G$863,$G671,$K$4:$K$863,$K671,$M$4:$M$863,$M671),"⚠ INCOHÉRENT","")</f>
        <v/>
      </c>
      <c r="AC671" s="64">
        <f>COUNTIFS($A$4:$A671,$A671,$J$4:$J671,$J671,$E$4:$E671,$E671)</f>
        <v/>
      </c>
      <c r="AD671" s="65">
        <f>$A671&amp;"|"&amp;$J671&amp;"|"&amp;$E671&amp;"|"&amp;$AC671</f>
        <v/>
      </c>
      <c r="AE671" s="66">
        <f>IF($W671&lt;&gt;"","⚑ "&amp;$W671&amp;CHAR(10),"")&amp;TEXT($F671,"hh:mm")&amp;"-"&amp;TEXT($G671,"hh:mm")&amp;IF(OR($P671="Quinzaine A",AND($P671="Hebdo · groupes alternés",$C671="A"))," Q-A",IF(OR($P671="Quinzaine B",AND($P671="Hebdo · groupes alternés",$C671="B"))," Q-B",IF($P671="Exception"," PONCT.","")))&amp;IF($X671="Oui"," OPT","")&amp;CHAR(10)&amp;$K671&amp;CHAR(10)&amp;$M671&amp;IF($N671&lt;&gt;"",CHAR(10)&amp;"Salle "&amp;$N671,"")&amp;IF($O671="En ligne",CHAR(10)&amp;"EN LIGNE","")&amp;IF($V671&lt;&gt;"",CHAR(10)&amp;$V671,"")</f>
        <v/>
      </c>
      <c r="AF671" s="65" t="inlineStr"/>
      <c r="AG671" s="65" t="inlineStr">
        <is>
          <t>— généré —</t>
        </is>
      </c>
    </row>
    <row r="672" ht="15" customHeight="1">
      <c r="A672" s="74" t="inlineStr">
        <is>
          <t>S6</t>
        </is>
      </c>
      <c r="B672" s="75" t="inlineStr">
        <is>
          <t>du 19 au 25 octobre 2026</t>
        </is>
      </c>
      <c r="C672" s="74" t="inlineStr">
        <is>
          <t>B</t>
        </is>
      </c>
      <c r="D672" s="76" t="n">
        <v>46317</v>
      </c>
      <c r="E672" s="74" t="inlineStr">
        <is>
          <t>Jeudi</t>
        </is>
      </c>
      <c r="F672" s="77" t="n">
        <v>0.7916666666666666</v>
      </c>
      <c r="G672" s="77" t="n">
        <v>0.8541666666666666</v>
      </c>
      <c r="H672" s="78">
        <f>IF(OR($F672="",$G672=""),"",($G672-$F672)*24)</f>
        <v/>
      </c>
      <c r="I672" s="74" t="inlineStr">
        <is>
          <t>Secondaire</t>
        </is>
      </c>
      <c r="J672" s="75" t="inlineStr">
        <is>
          <t>3éme Eco</t>
        </is>
      </c>
      <c r="K672" s="91" t="inlineStr">
        <is>
          <t>Philo</t>
        </is>
      </c>
      <c r="L672" s="91" t="inlineStr">
        <is>
          <t>Philo</t>
        </is>
      </c>
      <c r="M672" s="75" t="inlineStr">
        <is>
          <t>Fayssel</t>
        </is>
      </c>
      <c r="N672" s="74" t="n"/>
      <c r="O672" s="74" t="n"/>
      <c r="P672" s="74" t="inlineStr">
        <is>
          <t>Hebdo · groupes alternés</t>
        </is>
      </c>
      <c r="Q672" s="75" t="inlineStr">
        <is>
          <t>3éme Eco + 3éme INFO + 3éme SCE</t>
        </is>
      </c>
      <c r="R672" s="74" t="n">
        <v>3</v>
      </c>
      <c r="S672" s="74" t="inlineStr">
        <is>
          <t>Oui</t>
        </is>
      </c>
      <c r="T672" s="74" t="inlineStr">
        <is>
          <t>S6-043</t>
        </is>
      </c>
      <c r="U672" s="75" t="inlineStr">
        <is>
          <t>Généré (octobre)</t>
        </is>
      </c>
      <c r="V672" s="75" t="inlineStr"/>
      <c r="W672" s="10" t="n"/>
      <c r="X672" s="10" t="inlineStr"/>
      <c r="Y672" s="64">
        <f>IF($M672="","",IF(SUMPRODUCT(($D$4:$D$863=$D672)*($M$4:$M$863=$M672)*($T$4:$T$863&lt;&gt;$T672)*($F$4:$F$863&lt;$G672)*($G$4:$G$863&gt;$F672))&gt;0,"⚠ CONFLIT",""))</f>
        <v/>
      </c>
      <c r="Z672" s="64">
        <f>IF($J672="","",IF(SUMPRODUCT(($D$4:$D$863=$D672)*($J$4:$J$863=$J672)*($T$4:$T$863&lt;&gt;$T672)*($F$4:$F$863&lt;$G672)*($G$4:$G$863&gt;$F672)*(1-($X$4:$X$863="Oui")*($X672="Oui")))&gt;0,"⚠ CONFLIT",""))</f>
        <v/>
      </c>
      <c r="AA672" s="64">
        <f>IF(COUNTIFS($D$4:$D$863,$D672,$J$4:$J$863,$J672,$F$4:$F$863,$F672,$K$4:$K$863,$K672)&gt;1,"⚠ DOUBLON","")</f>
        <v/>
      </c>
      <c r="AB672" s="64">
        <f>IF(COUNTIF($T$4:$T$863,$T672)&lt;&gt;COUNTIFS($T$4:$T$863,$T672,$D$4:$D$863,$D672,$F$4:$F$863,$F672,$G$4:$G$863,$G672,$K$4:$K$863,$K672,$M$4:$M$863,$M672),"⚠ INCOHÉRENT","")</f>
        <v/>
      </c>
      <c r="AC672" s="64">
        <f>COUNTIFS($A$4:$A672,$A672,$J$4:$J672,$J672,$E$4:$E672,$E672)</f>
        <v/>
      </c>
      <c r="AD672" s="65">
        <f>$A672&amp;"|"&amp;$J672&amp;"|"&amp;$E672&amp;"|"&amp;$AC672</f>
        <v/>
      </c>
      <c r="AE672" s="66">
        <f>IF($W672&lt;&gt;"","⚑ "&amp;$W672&amp;CHAR(10),"")&amp;TEXT($F672,"hh:mm")&amp;"-"&amp;TEXT($G672,"hh:mm")&amp;IF(OR($P672="Quinzaine A",AND($P672="Hebdo · groupes alternés",$C672="A"))," Q-A",IF(OR($P672="Quinzaine B",AND($P672="Hebdo · groupes alternés",$C672="B"))," Q-B",IF($P672="Exception"," PONCT.","")))&amp;IF($X672="Oui"," OPT","")&amp;CHAR(10)&amp;$K672&amp;CHAR(10)&amp;$M672&amp;IF($N672&lt;&gt;"",CHAR(10)&amp;"Salle "&amp;$N672,"")&amp;IF($O672="En ligne",CHAR(10)&amp;"EN LIGNE","")&amp;IF($V672&lt;&gt;"",CHAR(10)&amp;$V672,"")</f>
        <v/>
      </c>
      <c r="AF672" s="65" t="inlineStr"/>
      <c r="AG672" s="65" t="inlineStr">
        <is>
          <t>— généré —</t>
        </is>
      </c>
    </row>
    <row r="673" ht="15" customHeight="1">
      <c r="A673" s="74" t="inlineStr">
        <is>
          <t>S6</t>
        </is>
      </c>
      <c r="B673" s="75" t="inlineStr">
        <is>
          <t>du 19 au 25 octobre 2026</t>
        </is>
      </c>
      <c r="C673" s="74" t="inlineStr">
        <is>
          <t>B</t>
        </is>
      </c>
      <c r="D673" s="76" t="n">
        <v>46317</v>
      </c>
      <c r="E673" s="74" t="inlineStr">
        <is>
          <t>Jeudi</t>
        </is>
      </c>
      <c r="F673" s="77" t="n">
        <v>0.7916666666666666</v>
      </c>
      <c r="G673" s="77" t="n">
        <v>0.8541666666666666</v>
      </c>
      <c r="H673" s="78">
        <f>IF(OR($F673="",$G673=""),"",($G673-$F673)*24)</f>
        <v/>
      </c>
      <c r="I673" s="74" t="inlineStr">
        <is>
          <t>Secondaire</t>
        </is>
      </c>
      <c r="J673" s="75" t="inlineStr">
        <is>
          <t>3éme INFO</t>
        </is>
      </c>
      <c r="K673" s="91" t="inlineStr">
        <is>
          <t>Philo</t>
        </is>
      </c>
      <c r="L673" s="91" t="inlineStr">
        <is>
          <t>Philo</t>
        </is>
      </c>
      <c r="M673" s="75" t="inlineStr">
        <is>
          <t>Fayssel</t>
        </is>
      </c>
      <c r="N673" s="74" t="n"/>
      <c r="O673" s="74" t="n"/>
      <c r="P673" s="74" t="inlineStr">
        <is>
          <t>Hebdo · groupes alternés</t>
        </is>
      </c>
      <c r="Q673" s="75" t="inlineStr">
        <is>
          <t>3éme Eco + 3éme INFO + 3éme SCE</t>
        </is>
      </c>
      <c r="R673" s="74" t="n">
        <v>3</v>
      </c>
      <c r="S673" s="74" t="inlineStr"/>
      <c r="T673" s="74" t="inlineStr">
        <is>
          <t>S6-043</t>
        </is>
      </c>
      <c r="U673" s="75" t="inlineStr">
        <is>
          <t>Généré (octobre)</t>
        </is>
      </c>
      <c r="V673" s="75" t="inlineStr"/>
      <c r="W673" s="10" t="n"/>
      <c r="X673" s="10" t="inlineStr"/>
      <c r="Y673" s="64">
        <f>IF($M673="","",IF(SUMPRODUCT(($D$4:$D$863=$D673)*($M$4:$M$863=$M673)*($T$4:$T$863&lt;&gt;$T673)*($F$4:$F$863&lt;$G673)*($G$4:$G$863&gt;$F673))&gt;0,"⚠ CONFLIT",""))</f>
        <v/>
      </c>
      <c r="Z673" s="64">
        <f>IF($J673="","",IF(SUMPRODUCT(($D$4:$D$863=$D673)*($J$4:$J$863=$J673)*($T$4:$T$863&lt;&gt;$T673)*($F$4:$F$863&lt;$G673)*($G$4:$G$863&gt;$F673)*(1-($X$4:$X$863="Oui")*($X673="Oui")))&gt;0,"⚠ CONFLIT",""))</f>
        <v/>
      </c>
      <c r="AA673" s="64">
        <f>IF(COUNTIFS($D$4:$D$863,$D673,$J$4:$J$863,$J673,$F$4:$F$863,$F673,$K$4:$K$863,$K673)&gt;1,"⚠ DOUBLON","")</f>
        <v/>
      </c>
      <c r="AB673" s="64">
        <f>IF(COUNTIF($T$4:$T$863,$T673)&lt;&gt;COUNTIFS($T$4:$T$863,$T673,$D$4:$D$863,$D673,$F$4:$F$863,$F673,$G$4:$G$863,$G673,$K$4:$K$863,$K673,$M$4:$M$863,$M673),"⚠ INCOHÉRENT","")</f>
        <v/>
      </c>
      <c r="AC673" s="64">
        <f>COUNTIFS($A$4:$A673,$A673,$J$4:$J673,$J673,$E$4:$E673,$E673)</f>
        <v/>
      </c>
      <c r="AD673" s="65">
        <f>$A673&amp;"|"&amp;$J673&amp;"|"&amp;$E673&amp;"|"&amp;$AC673</f>
        <v/>
      </c>
      <c r="AE673" s="66">
        <f>IF($W673&lt;&gt;"","⚑ "&amp;$W673&amp;CHAR(10),"")&amp;TEXT($F673,"hh:mm")&amp;"-"&amp;TEXT($G673,"hh:mm")&amp;IF(OR($P673="Quinzaine A",AND($P673="Hebdo · groupes alternés",$C673="A"))," Q-A",IF(OR($P673="Quinzaine B",AND($P673="Hebdo · groupes alternés",$C673="B"))," Q-B",IF($P673="Exception"," PONCT.","")))&amp;IF($X673="Oui"," OPT","")&amp;CHAR(10)&amp;$K673&amp;CHAR(10)&amp;$M673&amp;IF($N673&lt;&gt;"",CHAR(10)&amp;"Salle "&amp;$N673,"")&amp;IF($O673="En ligne",CHAR(10)&amp;"EN LIGNE","")&amp;IF($V673&lt;&gt;"",CHAR(10)&amp;$V673,"")</f>
        <v/>
      </c>
      <c r="AF673" s="65" t="inlineStr"/>
      <c r="AG673" s="65" t="inlineStr">
        <is>
          <t>— généré —</t>
        </is>
      </c>
    </row>
    <row r="674" ht="15" customHeight="1">
      <c r="A674" s="74" t="inlineStr">
        <is>
          <t>S6</t>
        </is>
      </c>
      <c r="B674" s="75" t="inlineStr">
        <is>
          <t>du 19 au 25 octobre 2026</t>
        </is>
      </c>
      <c r="C674" s="74" t="inlineStr">
        <is>
          <t>B</t>
        </is>
      </c>
      <c r="D674" s="76" t="n">
        <v>46317</v>
      </c>
      <c r="E674" s="74" t="inlineStr">
        <is>
          <t>Jeudi</t>
        </is>
      </c>
      <c r="F674" s="77" t="n">
        <v>0.7916666666666666</v>
      </c>
      <c r="G674" s="77" t="n">
        <v>0.8541666666666666</v>
      </c>
      <c r="H674" s="78">
        <f>IF(OR($F674="",$G674=""),"",($G674-$F674)*24)</f>
        <v/>
      </c>
      <c r="I674" s="74" t="inlineStr">
        <is>
          <t>Secondaire</t>
        </is>
      </c>
      <c r="J674" s="75" t="inlineStr">
        <is>
          <t>3éme SCE</t>
        </is>
      </c>
      <c r="K674" s="91" t="inlineStr">
        <is>
          <t>Philo</t>
        </is>
      </c>
      <c r="L674" s="91" t="inlineStr">
        <is>
          <t>Philo</t>
        </is>
      </c>
      <c r="M674" s="75" t="inlineStr">
        <is>
          <t>Fayssel</t>
        </is>
      </c>
      <c r="N674" s="74" t="n"/>
      <c r="O674" s="74" t="n"/>
      <c r="P674" s="74" t="inlineStr">
        <is>
          <t>Hebdo · groupes alternés</t>
        </is>
      </c>
      <c r="Q674" s="75" t="inlineStr">
        <is>
          <t>3éme Eco + 3éme INFO + 3éme SCE</t>
        </is>
      </c>
      <c r="R674" s="74" t="n">
        <v>3</v>
      </c>
      <c r="S674" s="74" t="inlineStr"/>
      <c r="T674" s="74" t="inlineStr">
        <is>
          <t>S6-043</t>
        </is>
      </c>
      <c r="U674" s="75" t="inlineStr">
        <is>
          <t>Généré (octobre)</t>
        </is>
      </c>
      <c r="V674" s="75" t="inlineStr"/>
      <c r="W674" s="10" t="n"/>
      <c r="X674" s="10" t="inlineStr"/>
      <c r="Y674" s="64">
        <f>IF($M674="","",IF(SUMPRODUCT(($D$4:$D$863=$D674)*($M$4:$M$863=$M674)*($T$4:$T$863&lt;&gt;$T674)*($F$4:$F$863&lt;$G674)*($G$4:$G$863&gt;$F674))&gt;0,"⚠ CONFLIT",""))</f>
        <v/>
      </c>
      <c r="Z674" s="64">
        <f>IF($J674="","",IF(SUMPRODUCT(($D$4:$D$863=$D674)*($J$4:$J$863=$J674)*($T$4:$T$863&lt;&gt;$T674)*($F$4:$F$863&lt;$G674)*($G$4:$G$863&gt;$F674)*(1-($X$4:$X$863="Oui")*($X674="Oui")))&gt;0,"⚠ CONFLIT",""))</f>
        <v/>
      </c>
      <c r="AA674" s="64">
        <f>IF(COUNTIFS($D$4:$D$863,$D674,$J$4:$J$863,$J674,$F$4:$F$863,$F674,$K$4:$K$863,$K674)&gt;1,"⚠ DOUBLON","")</f>
        <v/>
      </c>
      <c r="AB674" s="64">
        <f>IF(COUNTIF($T$4:$T$863,$T674)&lt;&gt;COUNTIFS($T$4:$T$863,$T674,$D$4:$D$863,$D674,$F$4:$F$863,$F674,$G$4:$G$863,$G674,$K$4:$K$863,$K674,$M$4:$M$863,$M674),"⚠ INCOHÉRENT","")</f>
        <v/>
      </c>
      <c r="AC674" s="64">
        <f>COUNTIFS($A$4:$A674,$A674,$J$4:$J674,$J674,$E$4:$E674,$E674)</f>
        <v/>
      </c>
      <c r="AD674" s="65">
        <f>$A674&amp;"|"&amp;$J674&amp;"|"&amp;$E674&amp;"|"&amp;$AC674</f>
        <v/>
      </c>
      <c r="AE674" s="66">
        <f>IF($W674&lt;&gt;"","⚑ "&amp;$W674&amp;CHAR(10),"")&amp;TEXT($F674,"hh:mm")&amp;"-"&amp;TEXT($G674,"hh:mm")&amp;IF(OR($P674="Quinzaine A",AND($P674="Hebdo · groupes alternés",$C674="A"))," Q-A",IF(OR($P674="Quinzaine B",AND($P674="Hebdo · groupes alternés",$C674="B"))," Q-B",IF($P674="Exception"," PONCT.","")))&amp;IF($X674="Oui"," OPT","")&amp;CHAR(10)&amp;$K674&amp;CHAR(10)&amp;$M674&amp;IF($N674&lt;&gt;"",CHAR(10)&amp;"Salle "&amp;$N674,"")&amp;IF($O674="En ligne",CHAR(10)&amp;"EN LIGNE","")&amp;IF($V674&lt;&gt;"",CHAR(10)&amp;$V674,"")</f>
        <v/>
      </c>
      <c r="AF674" s="65" t="inlineStr"/>
      <c r="AG674" s="65" t="inlineStr">
        <is>
          <t>— généré —</t>
        </is>
      </c>
    </row>
    <row r="675" ht="15" customHeight="1">
      <c r="A675" s="81" t="inlineStr">
        <is>
          <t>S6</t>
        </is>
      </c>
      <c r="B675" s="82" t="inlineStr">
        <is>
          <t>du 19 au 25 octobre 2026</t>
        </is>
      </c>
      <c r="C675" s="81" t="inlineStr">
        <is>
          <t>B</t>
        </is>
      </c>
      <c r="D675" s="83" t="n">
        <v>46317</v>
      </c>
      <c r="E675" s="81" t="inlineStr">
        <is>
          <t>Jeudi</t>
        </is>
      </c>
      <c r="F675" s="84" t="n">
        <v>0.8125</v>
      </c>
      <c r="G675" s="84" t="n">
        <v>0.875</v>
      </c>
      <c r="H675" s="85">
        <f>IF(OR($F675="",$G675=""),"",($G675-$F675)*24)</f>
        <v/>
      </c>
      <c r="I675" s="81" t="inlineStr">
        <is>
          <t>Bac</t>
        </is>
      </c>
      <c r="J675" s="82" t="inlineStr">
        <is>
          <t>Bac Eco</t>
        </is>
      </c>
      <c r="K675" s="63" t="inlineStr">
        <is>
          <t>Arabe</t>
        </is>
      </c>
      <c r="L675" s="63" t="inlineStr">
        <is>
          <t>Arabe</t>
        </is>
      </c>
      <c r="M675" s="82" t="inlineStr">
        <is>
          <t>Najet</t>
        </is>
      </c>
      <c r="N675" s="81" t="n"/>
      <c r="O675" s="81" t="n"/>
      <c r="P675" s="81" t="inlineStr">
        <is>
          <t>Hebdo · groupes alternés</t>
        </is>
      </c>
      <c r="Q675" s="82" t="inlineStr">
        <is>
          <t>Bac Eco + Bac SCE + Bac INFO</t>
        </is>
      </c>
      <c r="R675" s="81" t="n">
        <v>3</v>
      </c>
      <c r="S675" s="81" t="inlineStr">
        <is>
          <t>Oui</t>
        </is>
      </c>
      <c r="T675" s="81" t="inlineStr">
        <is>
          <t>S6-042</t>
        </is>
      </c>
      <c r="U675" s="82" t="inlineStr">
        <is>
          <t>Généré (octobre)</t>
        </is>
      </c>
      <c r="V675" s="82" t="inlineStr"/>
      <c r="W675" s="10" t="n"/>
      <c r="X675" s="10" t="inlineStr"/>
      <c r="Y675" s="64">
        <f>IF($M675="","",IF(SUMPRODUCT(($D$4:$D$863=$D675)*($M$4:$M$863=$M675)*($T$4:$T$863&lt;&gt;$T675)*($F$4:$F$863&lt;$G675)*($G$4:$G$863&gt;$F675))&gt;0,"⚠ CONFLIT",""))</f>
        <v/>
      </c>
      <c r="Z675" s="64">
        <f>IF($J675="","",IF(SUMPRODUCT(($D$4:$D$863=$D675)*($J$4:$J$863=$J675)*($T$4:$T$863&lt;&gt;$T675)*($F$4:$F$863&lt;$G675)*($G$4:$G$863&gt;$F675)*(1-($X$4:$X$863="Oui")*($X675="Oui")))&gt;0,"⚠ CONFLIT",""))</f>
        <v/>
      </c>
      <c r="AA675" s="64">
        <f>IF(COUNTIFS($D$4:$D$863,$D675,$J$4:$J$863,$J675,$F$4:$F$863,$F675,$K$4:$K$863,$K675)&gt;1,"⚠ DOUBLON","")</f>
        <v/>
      </c>
      <c r="AB675" s="64">
        <f>IF(COUNTIF($T$4:$T$863,$T675)&lt;&gt;COUNTIFS($T$4:$T$863,$T675,$D$4:$D$863,$D675,$F$4:$F$863,$F675,$G$4:$G$863,$G675,$K$4:$K$863,$K675,$M$4:$M$863,$M675),"⚠ INCOHÉRENT","")</f>
        <v/>
      </c>
      <c r="AC675" s="64">
        <f>COUNTIFS($A$4:$A675,$A675,$J$4:$J675,$J675,$E$4:$E675,$E675)</f>
        <v/>
      </c>
      <c r="AD675" s="65">
        <f>$A675&amp;"|"&amp;$J675&amp;"|"&amp;$E675&amp;"|"&amp;$AC675</f>
        <v/>
      </c>
      <c r="AE675" s="66">
        <f>IF($W675&lt;&gt;"","⚑ "&amp;$W675&amp;CHAR(10),"")&amp;TEXT($F675,"hh:mm")&amp;"-"&amp;TEXT($G675,"hh:mm")&amp;IF(OR($P675="Quinzaine A",AND($P675="Hebdo · groupes alternés",$C675="A"))," Q-A",IF(OR($P675="Quinzaine B",AND($P675="Hebdo · groupes alternés",$C675="B"))," Q-B",IF($P675="Exception"," PONCT.","")))&amp;IF($X675="Oui"," OPT","")&amp;CHAR(10)&amp;$K675&amp;CHAR(10)&amp;$M675&amp;IF($N675&lt;&gt;"",CHAR(10)&amp;"Salle "&amp;$N675,"")&amp;IF($O675="En ligne",CHAR(10)&amp;"EN LIGNE","")&amp;IF($V675&lt;&gt;"",CHAR(10)&amp;$V675,"")</f>
        <v/>
      </c>
      <c r="AF675" s="65" t="inlineStr"/>
      <c r="AG675" s="65" t="inlineStr">
        <is>
          <t>— généré —</t>
        </is>
      </c>
    </row>
    <row r="676" ht="15" customHeight="1">
      <c r="A676" s="81" t="inlineStr">
        <is>
          <t>S6</t>
        </is>
      </c>
      <c r="B676" s="82" t="inlineStr">
        <is>
          <t>du 19 au 25 octobre 2026</t>
        </is>
      </c>
      <c r="C676" s="81" t="inlineStr">
        <is>
          <t>B</t>
        </is>
      </c>
      <c r="D676" s="83" t="n">
        <v>46317</v>
      </c>
      <c r="E676" s="81" t="inlineStr">
        <is>
          <t>Jeudi</t>
        </is>
      </c>
      <c r="F676" s="84" t="n">
        <v>0.8125</v>
      </c>
      <c r="G676" s="84" t="n">
        <v>0.875</v>
      </c>
      <c r="H676" s="85">
        <f>IF(OR($F676="",$G676=""),"",($G676-$F676)*24)</f>
        <v/>
      </c>
      <c r="I676" s="81" t="inlineStr">
        <is>
          <t>Bac</t>
        </is>
      </c>
      <c r="J676" s="82" t="inlineStr">
        <is>
          <t>Bac SCE</t>
        </is>
      </c>
      <c r="K676" s="63" t="inlineStr">
        <is>
          <t>Arabe</t>
        </is>
      </c>
      <c r="L676" s="63" t="inlineStr">
        <is>
          <t>Arabe</t>
        </is>
      </c>
      <c r="M676" s="82" t="inlineStr">
        <is>
          <t>Najet</t>
        </is>
      </c>
      <c r="N676" s="81" t="n"/>
      <c r="O676" s="81" t="n"/>
      <c r="P676" s="81" t="inlineStr">
        <is>
          <t>Hebdo · groupes alternés</t>
        </is>
      </c>
      <c r="Q676" s="82" t="inlineStr">
        <is>
          <t>Bac Eco + Bac SCE + Bac INFO</t>
        </is>
      </c>
      <c r="R676" s="81" t="n">
        <v>3</v>
      </c>
      <c r="S676" s="81" t="inlineStr"/>
      <c r="T676" s="81" t="inlineStr">
        <is>
          <t>S6-042</t>
        </is>
      </c>
      <c r="U676" s="82" t="inlineStr">
        <is>
          <t>Généré (octobre)</t>
        </is>
      </c>
      <c r="V676" s="82" t="inlineStr"/>
      <c r="W676" s="10" t="n"/>
      <c r="X676" s="10" t="inlineStr"/>
      <c r="Y676" s="64">
        <f>IF($M676="","",IF(SUMPRODUCT(($D$4:$D$863=$D676)*($M$4:$M$863=$M676)*($T$4:$T$863&lt;&gt;$T676)*($F$4:$F$863&lt;$G676)*($G$4:$G$863&gt;$F676))&gt;0,"⚠ CONFLIT",""))</f>
        <v/>
      </c>
      <c r="Z676" s="64">
        <f>IF($J676="","",IF(SUMPRODUCT(($D$4:$D$863=$D676)*($J$4:$J$863=$J676)*($T$4:$T$863&lt;&gt;$T676)*($F$4:$F$863&lt;$G676)*($G$4:$G$863&gt;$F676)*(1-($X$4:$X$863="Oui")*($X676="Oui")))&gt;0,"⚠ CONFLIT",""))</f>
        <v/>
      </c>
      <c r="AA676" s="64">
        <f>IF(COUNTIFS($D$4:$D$863,$D676,$J$4:$J$863,$J676,$F$4:$F$863,$F676,$K$4:$K$863,$K676)&gt;1,"⚠ DOUBLON","")</f>
        <v/>
      </c>
      <c r="AB676" s="64">
        <f>IF(COUNTIF($T$4:$T$863,$T676)&lt;&gt;COUNTIFS($T$4:$T$863,$T676,$D$4:$D$863,$D676,$F$4:$F$863,$F676,$G$4:$G$863,$G676,$K$4:$K$863,$K676,$M$4:$M$863,$M676),"⚠ INCOHÉRENT","")</f>
        <v/>
      </c>
      <c r="AC676" s="64">
        <f>COUNTIFS($A$4:$A676,$A676,$J$4:$J676,$J676,$E$4:$E676,$E676)</f>
        <v/>
      </c>
      <c r="AD676" s="65">
        <f>$A676&amp;"|"&amp;$J676&amp;"|"&amp;$E676&amp;"|"&amp;$AC676</f>
        <v/>
      </c>
      <c r="AE676" s="66">
        <f>IF($W676&lt;&gt;"","⚑ "&amp;$W676&amp;CHAR(10),"")&amp;TEXT($F676,"hh:mm")&amp;"-"&amp;TEXT($G676,"hh:mm")&amp;IF(OR($P676="Quinzaine A",AND($P676="Hebdo · groupes alternés",$C676="A"))," Q-A",IF(OR($P676="Quinzaine B",AND($P676="Hebdo · groupes alternés",$C676="B"))," Q-B",IF($P676="Exception"," PONCT.","")))&amp;IF($X676="Oui"," OPT","")&amp;CHAR(10)&amp;$K676&amp;CHAR(10)&amp;$M676&amp;IF($N676&lt;&gt;"",CHAR(10)&amp;"Salle "&amp;$N676,"")&amp;IF($O676="En ligne",CHAR(10)&amp;"EN LIGNE","")&amp;IF($V676&lt;&gt;"",CHAR(10)&amp;$V676,"")</f>
        <v/>
      </c>
      <c r="AF676" s="65" t="inlineStr"/>
      <c r="AG676" s="65" t="inlineStr">
        <is>
          <t>— généré —</t>
        </is>
      </c>
    </row>
    <row r="677" ht="15" customHeight="1">
      <c r="A677" s="81" t="inlineStr">
        <is>
          <t>S6</t>
        </is>
      </c>
      <c r="B677" s="82" t="inlineStr">
        <is>
          <t>du 19 au 25 octobre 2026</t>
        </is>
      </c>
      <c r="C677" s="81" t="inlineStr">
        <is>
          <t>B</t>
        </is>
      </c>
      <c r="D677" s="83" t="n">
        <v>46317</v>
      </c>
      <c r="E677" s="81" t="inlineStr">
        <is>
          <t>Jeudi</t>
        </is>
      </c>
      <c r="F677" s="84" t="n">
        <v>0.8125</v>
      </c>
      <c r="G677" s="84" t="n">
        <v>0.875</v>
      </c>
      <c r="H677" s="85">
        <f>IF(OR($F677="",$G677=""),"",($G677-$F677)*24)</f>
        <v/>
      </c>
      <c r="I677" s="81" t="inlineStr">
        <is>
          <t>Bac</t>
        </is>
      </c>
      <c r="J677" s="82" t="inlineStr">
        <is>
          <t>Bac INFO</t>
        </is>
      </c>
      <c r="K677" s="63" t="inlineStr">
        <is>
          <t>Arabe</t>
        </is>
      </c>
      <c r="L677" s="63" t="inlineStr">
        <is>
          <t>Arabe</t>
        </is>
      </c>
      <c r="M677" s="82" t="inlineStr">
        <is>
          <t>Najet</t>
        </is>
      </c>
      <c r="N677" s="81" t="n"/>
      <c r="O677" s="81" t="n"/>
      <c r="P677" s="81" t="inlineStr">
        <is>
          <t>Hebdo · groupes alternés</t>
        </is>
      </c>
      <c r="Q677" s="82" t="inlineStr">
        <is>
          <t>Bac Eco + Bac SCE + Bac INFO</t>
        </is>
      </c>
      <c r="R677" s="81" t="n">
        <v>3</v>
      </c>
      <c r="S677" s="81" t="inlineStr"/>
      <c r="T677" s="81" t="inlineStr">
        <is>
          <t>S6-042</t>
        </is>
      </c>
      <c r="U677" s="82" t="inlineStr">
        <is>
          <t>Généré (octobre)</t>
        </is>
      </c>
      <c r="V677" s="82" t="inlineStr"/>
      <c r="W677" s="10" t="n"/>
      <c r="X677" s="10" t="inlineStr"/>
      <c r="Y677" s="64">
        <f>IF($M677="","",IF(SUMPRODUCT(($D$4:$D$863=$D677)*($M$4:$M$863=$M677)*($T$4:$T$863&lt;&gt;$T677)*($F$4:$F$863&lt;$G677)*($G$4:$G$863&gt;$F677))&gt;0,"⚠ CONFLIT",""))</f>
        <v/>
      </c>
      <c r="Z677" s="64">
        <f>IF($J677="","",IF(SUMPRODUCT(($D$4:$D$863=$D677)*($J$4:$J$863=$J677)*($T$4:$T$863&lt;&gt;$T677)*($F$4:$F$863&lt;$G677)*($G$4:$G$863&gt;$F677)*(1-($X$4:$X$863="Oui")*($X677="Oui")))&gt;0,"⚠ CONFLIT",""))</f>
        <v/>
      </c>
      <c r="AA677" s="64">
        <f>IF(COUNTIFS($D$4:$D$863,$D677,$J$4:$J$863,$J677,$F$4:$F$863,$F677,$K$4:$K$863,$K677)&gt;1,"⚠ DOUBLON","")</f>
        <v/>
      </c>
      <c r="AB677" s="64">
        <f>IF(COUNTIF($T$4:$T$863,$T677)&lt;&gt;COUNTIFS($T$4:$T$863,$T677,$D$4:$D$863,$D677,$F$4:$F$863,$F677,$G$4:$G$863,$G677,$K$4:$K$863,$K677,$M$4:$M$863,$M677),"⚠ INCOHÉRENT","")</f>
        <v/>
      </c>
      <c r="AC677" s="64">
        <f>COUNTIFS($A$4:$A677,$A677,$J$4:$J677,$J677,$E$4:$E677,$E677)</f>
        <v/>
      </c>
      <c r="AD677" s="65">
        <f>$A677&amp;"|"&amp;$J677&amp;"|"&amp;$E677&amp;"|"&amp;$AC677</f>
        <v/>
      </c>
      <c r="AE677" s="66">
        <f>IF($W677&lt;&gt;"","⚑ "&amp;$W677&amp;CHAR(10),"")&amp;TEXT($F677,"hh:mm")&amp;"-"&amp;TEXT($G677,"hh:mm")&amp;IF(OR($P677="Quinzaine A",AND($P677="Hebdo · groupes alternés",$C677="A"))," Q-A",IF(OR($P677="Quinzaine B",AND($P677="Hebdo · groupes alternés",$C677="B"))," Q-B",IF($P677="Exception"," PONCT.","")))&amp;IF($X677="Oui"," OPT","")&amp;CHAR(10)&amp;$K677&amp;CHAR(10)&amp;$M677&amp;IF($N677&lt;&gt;"",CHAR(10)&amp;"Salle "&amp;$N677,"")&amp;IF($O677="En ligne",CHAR(10)&amp;"EN LIGNE","")&amp;IF($V677&lt;&gt;"",CHAR(10)&amp;$V677,"")</f>
        <v/>
      </c>
      <c r="AF677" s="65" t="inlineStr"/>
      <c r="AG677" s="65" t="inlineStr">
        <is>
          <t>— généré —</t>
        </is>
      </c>
    </row>
    <row r="678" ht="15" customHeight="1">
      <c r="A678" s="58" t="inlineStr">
        <is>
          <t>S6</t>
        </is>
      </c>
      <c r="B678" s="59" t="inlineStr">
        <is>
          <t>du 19 au 25 octobre 2026</t>
        </is>
      </c>
      <c r="C678" s="58" t="inlineStr">
        <is>
          <t>B</t>
        </is>
      </c>
      <c r="D678" s="60" t="n">
        <v>46318</v>
      </c>
      <c r="E678" s="58" t="inlineStr">
        <is>
          <t>Vendredi</t>
        </is>
      </c>
      <c r="F678" s="61" t="n">
        <v>0.7916666666666666</v>
      </c>
      <c r="G678" s="61" t="n">
        <v>0.8541666666666666</v>
      </c>
      <c r="H678" s="62">
        <f>IF(OR($F678="",$G678=""),"",($G678-$F678)*24)</f>
        <v/>
      </c>
      <c r="I678" s="58" t="inlineStr">
        <is>
          <t>Primaire</t>
        </is>
      </c>
      <c r="J678" s="59" t="inlineStr">
        <is>
          <t>5éme</t>
        </is>
      </c>
      <c r="K678" s="92" t="inlineStr">
        <is>
          <t>إيقاظ علمي</t>
        </is>
      </c>
      <c r="L678" s="92" t="inlineStr">
        <is>
          <t>Éveil scientifique</t>
        </is>
      </c>
      <c r="M678" s="59" t="inlineStr">
        <is>
          <t>Bassma</t>
        </is>
      </c>
      <c r="N678" s="58" t="n"/>
      <c r="O678" s="58" t="n"/>
      <c r="P678" s="58" t="inlineStr">
        <is>
          <t>Hebdo · groupes alternés</t>
        </is>
      </c>
      <c r="Q678" s="59" t="inlineStr"/>
      <c r="R678" s="58" t="n">
        <v>1</v>
      </c>
      <c r="S678" s="58" t="inlineStr">
        <is>
          <t>Oui</t>
        </is>
      </c>
      <c r="T678" s="58" t="inlineStr">
        <is>
          <t>S6-044</t>
        </is>
      </c>
      <c r="U678" s="59" t="inlineStr">
        <is>
          <t>Généré (octobre)</t>
        </is>
      </c>
      <c r="V678" s="59" t="inlineStr"/>
      <c r="W678" s="10" t="n"/>
      <c r="X678" s="10" t="inlineStr"/>
      <c r="Y678" s="64">
        <f>IF($M678="","",IF(SUMPRODUCT(($D$4:$D$863=$D678)*($M$4:$M$863=$M678)*($T$4:$T$863&lt;&gt;$T678)*($F$4:$F$863&lt;$G678)*($G$4:$G$863&gt;$F678))&gt;0,"⚠ CONFLIT",""))</f>
        <v/>
      </c>
      <c r="Z678" s="64">
        <f>IF($J678="","",IF(SUMPRODUCT(($D$4:$D$863=$D678)*($J$4:$J$863=$J678)*($T$4:$T$863&lt;&gt;$T678)*($F$4:$F$863&lt;$G678)*($G$4:$G$863&gt;$F678)*(1-($X$4:$X$863="Oui")*($X678="Oui")))&gt;0,"⚠ CONFLIT",""))</f>
        <v/>
      </c>
      <c r="AA678" s="64">
        <f>IF(COUNTIFS($D$4:$D$863,$D678,$J$4:$J$863,$J678,$F$4:$F$863,$F678,$K$4:$K$863,$K678)&gt;1,"⚠ DOUBLON","")</f>
        <v/>
      </c>
      <c r="AB678" s="64">
        <f>IF(COUNTIF($T$4:$T$863,$T678)&lt;&gt;COUNTIFS($T$4:$T$863,$T678,$D$4:$D$863,$D678,$F$4:$F$863,$F678,$G$4:$G$863,$G678,$K$4:$K$863,$K678,$M$4:$M$863,$M678),"⚠ INCOHÉRENT","")</f>
        <v/>
      </c>
      <c r="AC678" s="64">
        <f>COUNTIFS($A$4:$A678,$A678,$J$4:$J678,$J678,$E$4:$E678,$E678)</f>
        <v/>
      </c>
      <c r="AD678" s="65">
        <f>$A678&amp;"|"&amp;$J678&amp;"|"&amp;$E678&amp;"|"&amp;$AC678</f>
        <v/>
      </c>
      <c r="AE678" s="66">
        <f>IF($W678&lt;&gt;"","⚑ "&amp;$W678&amp;CHAR(10),"")&amp;TEXT($F678,"hh:mm")&amp;"-"&amp;TEXT($G678,"hh:mm")&amp;IF(OR($P678="Quinzaine A",AND($P678="Hebdo · groupes alternés",$C678="A"))," Q-A",IF(OR($P678="Quinzaine B",AND($P678="Hebdo · groupes alternés",$C678="B"))," Q-B",IF($P678="Exception"," PONCT.","")))&amp;IF($X678="Oui"," OPT","")&amp;CHAR(10)&amp;$K678&amp;CHAR(10)&amp;$M678&amp;IF($N678&lt;&gt;"",CHAR(10)&amp;"Salle "&amp;$N678,"")&amp;IF($O678="En ligne",CHAR(10)&amp;"EN LIGNE","")&amp;IF($V678&lt;&gt;"",CHAR(10)&amp;$V678,"")</f>
        <v/>
      </c>
      <c r="AF678" s="65" t="inlineStr"/>
      <c r="AG678" s="65" t="inlineStr">
        <is>
          <t>— généré —</t>
        </is>
      </c>
    </row>
    <row r="679" ht="15" customHeight="1">
      <c r="A679" s="58" t="inlineStr">
        <is>
          <t>S6</t>
        </is>
      </c>
      <c r="B679" s="59" t="inlineStr">
        <is>
          <t>du 19 au 25 octobre 2026</t>
        </is>
      </c>
      <c r="C679" s="58" t="inlineStr">
        <is>
          <t>B</t>
        </is>
      </c>
      <c r="D679" s="60" t="n">
        <v>46318</v>
      </c>
      <c r="E679" s="58" t="inlineStr">
        <is>
          <t>Vendredi</t>
        </is>
      </c>
      <c r="F679" s="61" t="n">
        <v>0.8125</v>
      </c>
      <c r="G679" s="61" t="n">
        <v>0.875</v>
      </c>
      <c r="H679" s="62">
        <f>IF(OR($F679="",$G679=""),"",($G679-$F679)*24)</f>
        <v/>
      </c>
      <c r="I679" s="58" t="inlineStr">
        <is>
          <t>Primaire</t>
        </is>
      </c>
      <c r="J679" s="59" t="inlineStr">
        <is>
          <t>6éme Pilote (A)</t>
        </is>
      </c>
      <c r="K679" s="92" t="inlineStr">
        <is>
          <t>إيقاظ علمي</t>
        </is>
      </c>
      <c r="L679" s="92" t="inlineStr">
        <is>
          <t>Éveil scientifique</t>
        </is>
      </c>
      <c r="M679" s="59" t="inlineStr">
        <is>
          <t>Noura</t>
        </is>
      </c>
      <c r="N679" s="58" t="n"/>
      <c r="O679" s="58" t="n"/>
      <c r="P679" s="58" t="inlineStr">
        <is>
          <t>Hebdomadaire</t>
        </is>
      </c>
      <c r="Q679" s="59" t="inlineStr">
        <is>
          <t>6éme Pilote (A) + 6éme (B)</t>
        </is>
      </c>
      <c r="R679" s="58" t="n">
        <v>2</v>
      </c>
      <c r="S679" s="58" t="inlineStr">
        <is>
          <t>Oui</t>
        </is>
      </c>
      <c r="T679" s="58" t="inlineStr">
        <is>
          <t>S6-045</t>
        </is>
      </c>
      <c r="U679" s="59" t="inlineStr">
        <is>
          <t>Généré (octobre)</t>
        </is>
      </c>
      <c r="V679" s="59" t="inlineStr"/>
      <c r="W679" s="10" t="n"/>
      <c r="X679" s="10" t="inlineStr"/>
      <c r="Y679" s="64">
        <f>IF($M679="","",IF(SUMPRODUCT(($D$4:$D$863=$D679)*($M$4:$M$863=$M679)*($T$4:$T$863&lt;&gt;$T679)*($F$4:$F$863&lt;$G679)*($G$4:$G$863&gt;$F679))&gt;0,"⚠ CONFLIT",""))</f>
        <v/>
      </c>
      <c r="Z679" s="64">
        <f>IF($J679="","",IF(SUMPRODUCT(($D$4:$D$863=$D679)*($J$4:$J$863=$J679)*($T$4:$T$863&lt;&gt;$T679)*($F$4:$F$863&lt;$G679)*($G$4:$G$863&gt;$F679)*(1-($X$4:$X$863="Oui")*($X679="Oui")))&gt;0,"⚠ CONFLIT",""))</f>
        <v/>
      </c>
      <c r="AA679" s="64">
        <f>IF(COUNTIFS($D$4:$D$863,$D679,$J$4:$J$863,$J679,$F$4:$F$863,$F679,$K$4:$K$863,$K679)&gt;1,"⚠ DOUBLON","")</f>
        <v/>
      </c>
      <c r="AB679" s="64">
        <f>IF(COUNTIF($T$4:$T$863,$T679)&lt;&gt;COUNTIFS($T$4:$T$863,$T679,$D$4:$D$863,$D679,$F$4:$F$863,$F679,$G$4:$G$863,$G679,$K$4:$K$863,$K679,$M$4:$M$863,$M679),"⚠ INCOHÉRENT","")</f>
        <v/>
      </c>
      <c r="AC679" s="64">
        <f>COUNTIFS($A$4:$A679,$A679,$J$4:$J679,$J679,$E$4:$E679,$E679)</f>
        <v/>
      </c>
      <c r="AD679" s="65">
        <f>$A679&amp;"|"&amp;$J679&amp;"|"&amp;$E679&amp;"|"&amp;$AC679</f>
        <v/>
      </c>
      <c r="AE679" s="66">
        <f>IF($W679&lt;&gt;"","⚑ "&amp;$W679&amp;CHAR(10),"")&amp;TEXT($F679,"hh:mm")&amp;"-"&amp;TEXT($G679,"hh:mm")&amp;IF(OR($P679="Quinzaine A",AND($P679="Hebdo · groupes alternés",$C679="A"))," Q-A",IF(OR($P679="Quinzaine B",AND($P679="Hebdo · groupes alternés",$C679="B"))," Q-B",IF($P679="Exception"," PONCT.","")))&amp;IF($X679="Oui"," OPT","")&amp;CHAR(10)&amp;$K679&amp;CHAR(10)&amp;$M679&amp;IF($N679&lt;&gt;"",CHAR(10)&amp;"Salle "&amp;$N679,"")&amp;IF($O679="En ligne",CHAR(10)&amp;"EN LIGNE","")&amp;IF($V679&lt;&gt;"",CHAR(10)&amp;$V679,"")</f>
        <v/>
      </c>
      <c r="AF679" s="65" t="inlineStr"/>
      <c r="AG679" s="65" t="inlineStr">
        <is>
          <t>— généré —</t>
        </is>
      </c>
    </row>
    <row r="680" ht="15" customHeight="1">
      <c r="A680" s="58" t="inlineStr">
        <is>
          <t>S6</t>
        </is>
      </c>
      <c r="B680" s="59" t="inlineStr">
        <is>
          <t>du 19 au 25 octobre 2026</t>
        </is>
      </c>
      <c r="C680" s="58" t="inlineStr">
        <is>
          <t>B</t>
        </is>
      </c>
      <c r="D680" s="60" t="n">
        <v>46318</v>
      </c>
      <c r="E680" s="58" t="inlineStr">
        <is>
          <t>Vendredi</t>
        </is>
      </c>
      <c r="F680" s="61" t="n">
        <v>0.8125</v>
      </c>
      <c r="G680" s="61" t="n">
        <v>0.875</v>
      </c>
      <c r="H680" s="62">
        <f>IF(OR($F680="",$G680=""),"",($G680-$F680)*24)</f>
        <v/>
      </c>
      <c r="I680" s="58" t="inlineStr">
        <is>
          <t>Primaire</t>
        </is>
      </c>
      <c r="J680" s="59" t="inlineStr">
        <is>
          <t>6éme (B)</t>
        </is>
      </c>
      <c r="K680" s="92" t="inlineStr">
        <is>
          <t>إيقاظ علمي</t>
        </is>
      </c>
      <c r="L680" s="92" t="inlineStr">
        <is>
          <t>Éveil scientifique</t>
        </is>
      </c>
      <c r="M680" s="59" t="inlineStr">
        <is>
          <t>Noura</t>
        </is>
      </c>
      <c r="N680" s="58" t="n"/>
      <c r="O680" s="58" t="n"/>
      <c r="P680" s="58" t="inlineStr">
        <is>
          <t>Hebdomadaire</t>
        </is>
      </c>
      <c r="Q680" s="59" t="inlineStr">
        <is>
          <t>6éme Pilote (A) + 6éme (B)</t>
        </is>
      </c>
      <c r="R680" s="58" t="n">
        <v>2</v>
      </c>
      <c r="S680" s="58" t="inlineStr"/>
      <c r="T680" s="58" t="inlineStr">
        <is>
          <t>S6-045</t>
        </is>
      </c>
      <c r="U680" s="59" t="inlineStr">
        <is>
          <t>Généré (octobre)</t>
        </is>
      </c>
      <c r="V680" s="59" t="inlineStr"/>
      <c r="W680" s="10" t="n"/>
      <c r="X680" s="10" t="inlineStr"/>
      <c r="Y680" s="64">
        <f>IF($M680="","",IF(SUMPRODUCT(($D$4:$D$863=$D680)*($M$4:$M$863=$M680)*($T$4:$T$863&lt;&gt;$T680)*($F$4:$F$863&lt;$G680)*($G$4:$G$863&gt;$F680))&gt;0,"⚠ CONFLIT",""))</f>
        <v/>
      </c>
      <c r="Z680" s="64">
        <f>IF($J680="","",IF(SUMPRODUCT(($D$4:$D$863=$D680)*($J$4:$J$863=$J680)*($T$4:$T$863&lt;&gt;$T680)*($F$4:$F$863&lt;$G680)*($G$4:$G$863&gt;$F680)*(1-($X$4:$X$863="Oui")*($X680="Oui")))&gt;0,"⚠ CONFLIT",""))</f>
        <v/>
      </c>
      <c r="AA680" s="64">
        <f>IF(COUNTIFS($D$4:$D$863,$D680,$J$4:$J$863,$J680,$F$4:$F$863,$F680,$K$4:$K$863,$K680)&gt;1,"⚠ DOUBLON","")</f>
        <v/>
      </c>
      <c r="AB680" s="64">
        <f>IF(COUNTIF($T$4:$T$863,$T680)&lt;&gt;COUNTIFS($T$4:$T$863,$T680,$D$4:$D$863,$D680,$F$4:$F$863,$F680,$G$4:$G$863,$G680,$K$4:$K$863,$K680,$M$4:$M$863,$M680),"⚠ INCOHÉRENT","")</f>
        <v/>
      </c>
      <c r="AC680" s="64">
        <f>COUNTIFS($A$4:$A680,$A680,$J$4:$J680,$J680,$E$4:$E680,$E680)</f>
        <v/>
      </c>
      <c r="AD680" s="65">
        <f>$A680&amp;"|"&amp;$J680&amp;"|"&amp;$E680&amp;"|"&amp;$AC680</f>
        <v/>
      </c>
      <c r="AE680" s="66">
        <f>IF($W680&lt;&gt;"","⚑ "&amp;$W680&amp;CHAR(10),"")&amp;TEXT($F680,"hh:mm")&amp;"-"&amp;TEXT($G680,"hh:mm")&amp;IF(OR($P680="Quinzaine A",AND($P680="Hebdo · groupes alternés",$C680="A"))," Q-A",IF(OR($P680="Quinzaine B",AND($P680="Hebdo · groupes alternés",$C680="B"))," Q-B",IF($P680="Exception"," PONCT.","")))&amp;IF($X680="Oui"," OPT","")&amp;CHAR(10)&amp;$K680&amp;CHAR(10)&amp;$M680&amp;IF($N680&lt;&gt;"",CHAR(10)&amp;"Salle "&amp;$N680,"")&amp;IF($O680="En ligne",CHAR(10)&amp;"EN LIGNE","")&amp;IF($V680&lt;&gt;"",CHAR(10)&amp;$V680,"")</f>
        <v/>
      </c>
      <c r="AF680" s="65" t="inlineStr"/>
      <c r="AG680" s="65" t="inlineStr">
        <is>
          <t>— généré —</t>
        </is>
      </c>
    </row>
    <row r="681" ht="15" customHeight="1">
      <c r="A681" s="68" t="inlineStr">
        <is>
          <t>S6</t>
        </is>
      </c>
      <c r="B681" s="69" t="inlineStr">
        <is>
          <t>du 19 au 25 octobre 2026</t>
        </is>
      </c>
      <c r="C681" s="68" t="inlineStr">
        <is>
          <t>B</t>
        </is>
      </c>
      <c r="D681" s="70" t="n">
        <v>46318</v>
      </c>
      <c r="E681" s="68" t="inlineStr">
        <is>
          <t>Vendredi</t>
        </is>
      </c>
      <c r="F681" s="71" t="n">
        <v>0.75</v>
      </c>
      <c r="G681" s="71" t="n">
        <v>0.8125</v>
      </c>
      <c r="H681" s="72">
        <f>IF(OR($F681="",$G681=""),"",($G681-$F681)*24)</f>
        <v/>
      </c>
      <c r="I681" s="68" t="inlineStr">
        <is>
          <t>Collège</t>
        </is>
      </c>
      <c r="J681" s="69" t="inlineStr">
        <is>
          <t>7éme (A)</t>
        </is>
      </c>
      <c r="K681" s="79" t="inlineStr">
        <is>
          <t>Math</t>
        </is>
      </c>
      <c r="L681" s="79" t="inlineStr">
        <is>
          <t>Math</t>
        </is>
      </c>
      <c r="M681" s="69" t="inlineStr">
        <is>
          <t>Khouloud</t>
        </is>
      </c>
      <c r="N681" s="68" t="n"/>
      <c r="O681" s="68" t="n"/>
      <c r="P681" s="68" t="inlineStr">
        <is>
          <t>Hebdomadaire</t>
        </is>
      </c>
      <c r="Q681" s="69" t="inlineStr"/>
      <c r="R681" s="68" t="n">
        <v>1</v>
      </c>
      <c r="S681" s="68" t="inlineStr">
        <is>
          <t>Oui</t>
        </is>
      </c>
      <c r="T681" s="68" t="inlineStr">
        <is>
          <t>S6-046</t>
        </is>
      </c>
      <c r="U681" s="69" t="inlineStr">
        <is>
          <t>Généré (octobre)</t>
        </is>
      </c>
      <c r="V681" s="69" t="inlineStr"/>
      <c r="W681" s="10" t="n"/>
      <c r="X681" s="10" t="inlineStr"/>
      <c r="Y681" s="64">
        <f>IF($M681="","",IF(SUMPRODUCT(($D$4:$D$863=$D681)*($M$4:$M$863=$M681)*($T$4:$T$863&lt;&gt;$T681)*($F$4:$F$863&lt;$G681)*($G$4:$G$863&gt;$F681))&gt;0,"⚠ CONFLIT",""))</f>
        <v/>
      </c>
      <c r="Z681" s="64">
        <f>IF($J681="","",IF(SUMPRODUCT(($D$4:$D$863=$D681)*($J$4:$J$863=$J681)*($T$4:$T$863&lt;&gt;$T681)*($F$4:$F$863&lt;$G681)*($G$4:$G$863&gt;$F681)*(1-($X$4:$X$863="Oui")*($X681="Oui")))&gt;0,"⚠ CONFLIT",""))</f>
        <v/>
      </c>
      <c r="AA681" s="64">
        <f>IF(COUNTIFS($D$4:$D$863,$D681,$J$4:$J$863,$J681,$F$4:$F$863,$F681,$K$4:$K$863,$K681)&gt;1,"⚠ DOUBLON","")</f>
        <v/>
      </c>
      <c r="AB681" s="64">
        <f>IF(COUNTIF($T$4:$T$863,$T681)&lt;&gt;COUNTIFS($T$4:$T$863,$T681,$D$4:$D$863,$D681,$F$4:$F$863,$F681,$G$4:$G$863,$G681,$K$4:$K$863,$K681,$M$4:$M$863,$M681),"⚠ INCOHÉRENT","")</f>
        <v/>
      </c>
      <c r="AC681" s="64">
        <f>COUNTIFS($A$4:$A681,$A681,$J$4:$J681,$J681,$E$4:$E681,$E681)</f>
        <v/>
      </c>
      <c r="AD681" s="65">
        <f>$A681&amp;"|"&amp;$J681&amp;"|"&amp;$E681&amp;"|"&amp;$AC681</f>
        <v/>
      </c>
      <c r="AE681" s="66">
        <f>IF($W681&lt;&gt;"","⚑ "&amp;$W681&amp;CHAR(10),"")&amp;TEXT($F681,"hh:mm")&amp;"-"&amp;TEXT($G681,"hh:mm")&amp;IF(OR($P681="Quinzaine A",AND($P681="Hebdo · groupes alternés",$C681="A"))," Q-A",IF(OR($P681="Quinzaine B",AND($P681="Hebdo · groupes alternés",$C681="B"))," Q-B",IF($P681="Exception"," PONCT.","")))&amp;IF($X681="Oui"," OPT","")&amp;CHAR(10)&amp;$K681&amp;CHAR(10)&amp;$M681&amp;IF($N681&lt;&gt;"",CHAR(10)&amp;"Salle "&amp;$N681,"")&amp;IF($O681="En ligne",CHAR(10)&amp;"EN LIGNE","")&amp;IF($V681&lt;&gt;"",CHAR(10)&amp;$V681,"")</f>
        <v/>
      </c>
      <c r="AF681" s="65" t="inlineStr"/>
      <c r="AG681" s="65" t="inlineStr">
        <is>
          <t>— généré —</t>
        </is>
      </c>
    </row>
    <row r="682" ht="15" customHeight="1">
      <c r="A682" s="68" t="inlineStr">
        <is>
          <t>S6</t>
        </is>
      </c>
      <c r="B682" s="69" t="inlineStr">
        <is>
          <t>du 19 au 25 octobre 2026</t>
        </is>
      </c>
      <c r="C682" s="68" t="inlineStr">
        <is>
          <t>B</t>
        </is>
      </c>
      <c r="D682" s="70" t="n">
        <v>46318</v>
      </c>
      <c r="E682" s="68" t="inlineStr">
        <is>
          <t>Vendredi</t>
        </is>
      </c>
      <c r="F682" s="71" t="n">
        <v>0.8125</v>
      </c>
      <c r="G682" s="71" t="n">
        <v>0.875</v>
      </c>
      <c r="H682" s="72">
        <f>IF(OR($F682="",$G682=""),"",($G682-$F682)*24)</f>
        <v/>
      </c>
      <c r="I682" s="68" t="inlineStr">
        <is>
          <t>Collège</t>
        </is>
      </c>
      <c r="J682" s="69" t="inlineStr">
        <is>
          <t>7éme (B)</t>
        </is>
      </c>
      <c r="K682" s="79" t="inlineStr">
        <is>
          <t>Math</t>
        </is>
      </c>
      <c r="L682" s="79" t="inlineStr">
        <is>
          <t>Math</t>
        </is>
      </c>
      <c r="M682" s="69" t="inlineStr">
        <is>
          <t>Khouloud</t>
        </is>
      </c>
      <c r="N682" s="68" t="n"/>
      <c r="O682" s="68" t="n"/>
      <c r="P682" s="68" t="inlineStr">
        <is>
          <t>Hebdomadaire</t>
        </is>
      </c>
      <c r="Q682" s="69" t="inlineStr"/>
      <c r="R682" s="68" t="n">
        <v>1</v>
      </c>
      <c r="S682" s="68" t="inlineStr">
        <is>
          <t>Oui</t>
        </is>
      </c>
      <c r="T682" s="68" t="inlineStr">
        <is>
          <t>S6-047</t>
        </is>
      </c>
      <c r="U682" s="69" t="inlineStr">
        <is>
          <t>Généré (octobre)</t>
        </is>
      </c>
      <c r="V682" s="69" t="inlineStr"/>
      <c r="W682" s="10" t="n"/>
      <c r="X682" s="10" t="inlineStr"/>
      <c r="Y682" s="64">
        <f>IF($M682="","",IF(SUMPRODUCT(($D$4:$D$863=$D682)*($M$4:$M$863=$M682)*($T$4:$T$863&lt;&gt;$T682)*($F$4:$F$863&lt;$G682)*($G$4:$G$863&gt;$F682))&gt;0,"⚠ CONFLIT",""))</f>
        <v/>
      </c>
      <c r="Z682" s="64">
        <f>IF($J682="","",IF(SUMPRODUCT(($D$4:$D$863=$D682)*($J$4:$J$863=$J682)*($T$4:$T$863&lt;&gt;$T682)*($F$4:$F$863&lt;$G682)*($G$4:$G$863&gt;$F682)*(1-($X$4:$X$863="Oui")*($X682="Oui")))&gt;0,"⚠ CONFLIT",""))</f>
        <v/>
      </c>
      <c r="AA682" s="64">
        <f>IF(COUNTIFS($D$4:$D$863,$D682,$J$4:$J$863,$J682,$F$4:$F$863,$F682,$K$4:$K$863,$K682)&gt;1,"⚠ DOUBLON","")</f>
        <v/>
      </c>
      <c r="AB682" s="64">
        <f>IF(COUNTIF($T$4:$T$863,$T682)&lt;&gt;COUNTIFS($T$4:$T$863,$T682,$D$4:$D$863,$D682,$F$4:$F$863,$F682,$G$4:$G$863,$G682,$K$4:$K$863,$K682,$M$4:$M$863,$M682),"⚠ INCOHÉRENT","")</f>
        <v/>
      </c>
      <c r="AC682" s="64">
        <f>COUNTIFS($A$4:$A682,$A682,$J$4:$J682,$J682,$E$4:$E682,$E682)</f>
        <v/>
      </c>
      <c r="AD682" s="65">
        <f>$A682&amp;"|"&amp;$J682&amp;"|"&amp;$E682&amp;"|"&amp;$AC682</f>
        <v/>
      </c>
      <c r="AE682" s="66">
        <f>IF($W682&lt;&gt;"","⚑ "&amp;$W682&amp;CHAR(10),"")&amp;TEXT($F682,"hh:mm")&amp;"-"&amp;TEXT($G682,"hh:mm")&amp;IF(OR($P682="Quinzaine A",AND($P682="Hebdo · groupes alternés",$C682="A"))," Q-A",IF(OR($P682="Quinzaine B",AND($P682="Hebdo · groupes alternés",$C682="B"))," Q-B",IF($P682="Exception"," PONCT.","")))&amp;IF($X682="Oui"," OPT","")&amp;CHAR(10)&amp;$K682&amp;CHAR(10)&amp;$M682&amp;IF($N682&lt;&gt;"",CHAR(10)&amp;"Salle "&amp;$N682,"")&amp;IF($O682="En ligne",CHAR(10)&amp;"EN LIGNE","")&amp;IF($V682&lt;&gt;"",CHAR(10)&amp;$V682,"")</f>
        <v/>
      </c>
      <c r="AF682" s="65" t="inlineStr"/>
      <c r="AG682" s="65" t="inlineStr">
        <is>
          <t>— généré —</t>
        </is>
      </c>
    </row>
    <row r="683" ht="15" customHeight="1">
      <c r="A683" s="68" t="inlineStr">
        <is>
          <t>S6</t>
        </is>
      </c>
      <c r="B683" s="69" t="inlineStr">
        <is>
          <t>du 19 au 25 octobre 2026</t>
        </is>
      </c>
      <c r="C683" s="68" t="inlineStr">
        <is>
          <t>B</t>
        </is>
      </c>
      <c r="D683" s="70" t="n">
        <v>46318</v>
      </c>
      <c r="E683" s="68" t="inlineStr">
        <is>
          <t>Vendredi</t>
        </is>
      </c>
      <c r="F683" s="71" t="n">
        <v>0.8125</v>
      </c>
      <c r="G683" s="71" t="n">
        <v>0.875</v>
      </c>
      <c r="H683" s="72">
        <f>IF(OR($F683="",$G683=""),"",($G683-$F683)*24)</f>
        <v/>
      </c>
      <c r="I683" s="68" t="inlineStr">
        <is>
          <t>Collège</t>
        </is>
      </c>
      <c r="J683" s="69" t="inlineStr">
        <is>
          <t>8éme (A)</t>
        </is>
      </c>
      <c r="K683" s="73" t="inlineStr">
        <is>
          <t>فيزياء</t>
        </is>
      </c>
      <c r="L683" s="73" t="inlineStr">
        <is>
          <t>Physique</t>
        </is>
      </c>
      <c r="M683" s="69" t="inlineStr">
        <is>
          <t>Melek</t>
        </is>
      </c>
      <c r="N683" s="68" t="n"/>
      <c r="O683" s="68" t="n"/>
      <c r="P683" s="68" t="inlineStr">
        <is>
          <t>Hebdomadaire</t>
        </is>
      </c>
      <c r="Q683" s="69" t="inlineStr">
        <is>
          <t>8éme (A) + 8éme (B) + 8éme (C)</t>
        </is>
      </c>
      <c r="R683" s="68" t="n">
        <v>3</v>
      </c>
      <c r="S683" s="68" t="inlineStr">
        <is>
          <t>Oui</t>
        </is>
      </c>
      <c r="T683" s="68" t="inlineStr">
        <is>
          <t>S6-048</t>
        </is>
      </c>
      <c r="U683" s="69" t="inlineStr">
        <is>
          <t>Généré (octobre)</t>
        </is>
      </c>
      <c r="V683" s="69" t="inlineStr"/>
      <c r="W683" s="10" t="n"/>
      <c r="X683" s="10" t="inlineStr"/>
      <c r="Y683" s="64">
        <f>IF($M683="","",IF(SUMPRODUCT(($D$4:$D$863=$D683)*($M$4:$M$863=$M683)*($T$4:$T$863&lt;&gt;$T683)*($F$4:$F$863&lt;$G683)*($G$4:$G$863&gt;$F683))&gt;0,"⚠ CONFLIT",""))</f>
        <v/>
      </c>
      <c r="Z683" s="64">
        <f>IF($J683="","",IF(SUMPRODUCT(($D$4:$D$863=$D683)*($J$4:$J$863=$J683)*($T$4:$T$863&lt;&gt;$T683)*($F$4:$F$863&lt;$G683)*($G$4:$G$863&gt;$F683)*(1-($X$4:$X$863="Oui")*($X683="Oui")))&gt;0,"⚠ CONFLIT",""))</f>
        <v/>
      </c>
      <c r="AA683" s="64">
        <f>IF(COUNTIFS($D$4:$D$863,$D683,$J$4:$J$863,$J683,$F$4:$F$863,$F683,$K$4:$K$863,$K683)&gt;1,"⚠ DOUBLON","")</f>
        <v/>
      </c>
      <c r="AB683" s="64">
        <f>IF(COUNTIF($T$4:$T$863,$T683)&lt;&gt;COUNTIFS($T$4:$T$863,$T683,$D$4:$D$863,$D683,$F$4:$F$863,$F683,$G$4:$G$863,$G683,$K$4:$K$863,$K683,$M$4:$M$863,$M683),"⚠ INCOHÉRENT","")</f>
        <v/>
      </c>
      <c r="AC683" s="64">
        <f>COUNTIFS($A$4:$A683,$A683,$J$4:$J683,$J683,$E$4:$E683,$E683)</f>
        <v/>
      </c>
      <c r="AD683" s="65">
        <f>$A683&amp;"|"&amp;$J683&amp;"|"&amp;$E683&amp;"|"&amp;$AC683</f>
        <v/>
      </c>
      <c r="AE683" s="66">
        <f>IF($W683&lt;&gt;"","⚑ "&amp;$W683&amp;CHAR(10),"")&amp;TEXT($F683,"hh:mm")&amp;"-"&amp;TEXT($G683,"hh:mm")&amp;IF(OR($P683="Quinzaine A",AND($P683="Hebdo · groupes alternés",$C683="A"))," Q-A",IF(OR($P683="Quinzaine B",AND($P683="Hebdo · groupes alternés",$C683="B"))," Q-B",IF($P683="Exception"," PONCT.","")))&amp;IF($X683="Oui"," OPT","")&amp;CHAR(10)&amp;$K683&amp;CHAR(10)&amp;$M683&amp;IF($N683&lt;&gt;"",CHAR(10)&amp;"Salle "&amp;$N683,"")&amp;IF($O683="En ligne",CHAR(10)&amp;"EN LIGNE","")&amp;IF($V683&lt;&gt;"",CHAR(10)&amp;$V683,"")</f>
        <v/>
      </c>
      <c r="AF683" s="65" t="inlineStr"/>
      <c r="AG683" s="65" t="inlineStr">
        <is>
          <t>— généré —</t>
        </is>
      </c>
    </row>
    <row r="684" ht="15" customHeight="1">
      <c r="A684" s="68" t="inlineStr">
        <is>
          <t>S6</t>
        </is>
      </c>
      <c r="B684" s="69" t="inlineStr">
        <is>
          <t>du 19 au 25 octobre 2026</t>
        </is>
      </c>
      <c r="C684" s="68" t="inlineStr">
        <is>
          <t>B</t>
        </is>
      </c>
      <c r="D684" s="70" t="n">
        <v>46318</v>
      </c>
      <c r="E684" s="68" t="inlineStr">
        <is>
          <t>Vendredi</t>
        </is>
      </c>
      <c r="F684" s="71" t="n">
        <v>0.8125</v>
      </c>
      <c r="G684" s="71" t="n">
        <v>0.875</v>
      </c>
      <c r="H684" s="72">
        <f>IF(OR($F684="",$G684=""),"",($G684-$F684)*24)</f>
        <v/>
      </c>
      <c r="I684" s="68" t="inlineStr">
        <is>
          <t>Collège</t>
        </is>
      </c>
      <c r="J684" s="69" t="inlineStr">
        <is>
          <t>8éme (B)</t>
        </is>
      </c>
      <c r="K684" s="73" t="inlineStr">
        <is>
          <t>فيزياء</t>
        </is>
      </c>
      <c r="L684" s="73" t="inlineStr">
        <is>
          <t>Physique</t>
        </is>
      </c>
      <c r="M684" s="69" t="inlineStr">
        <is>
          <t>Melek</t>
        </is>
      </c>
      <c r="N684" s="68" t="n"/>
      <c r="O684" s="68" t="n"/>
      <c r="P684" s="68" t="inlineStr">
        <is>
          <t>Hebdomadaire</t>
        </is>
      </c>
      <c r="Q684" s="69" t="inlineStr">
        <is>
          <t>8éme (A) + 8éme (B) + 8éme (C)</t>
        </is>
      </c>
      <c r="R684" s="68" t="n">
        <v>3</v>
      </c>
      <c r="S684" s="68" t="inlineStr"/>
      <c r="T684" s="68" t="inlineStr">
        <is>
          <t>S6-048</t>
        </is>
      </c>
      <c r="U684" s="69" t="inlineStr">
        <is>
          <t>Généré (octobre)</t>
        </is>
      </c>
      <c r="V684" s="69" t="inlineStr"/>
      <c r="W684" s="10" t="n"/>
      <c r="X684" s="10" t="inlineStr"/>
      <c r="Y684" s="64">
        <f>IF($M684="","",IF(SUMPRODUCT(($D$4:$D$863=$D684)*($M$4:$M$863=$M684)*($T$4:$T$863&lt;&gt;$T684)*($F$4:$F$863&lt;$G684)*($G$4:$G$863&gt;$F684))&gt;0,"⚠ CONFLIT",""))</f>
        <v/>
      </c>
      <c r="Z684" s="64">
        <f>IF($J684="","",IF(SUMPRODUCT(($D$4:$D$863=$D684)*($J$4:$J$863=$J684)*($T$4:$T$863&lt;&gt;$T684)*($F$4:$F$863&lt;$G684)*($G$4:$G$863&gt;$F684)*(1-($X$4:$X$863="Oui")*($X684="Oui")))&gt;0,"⚠ CONFLIT",""))</f>
        <v/>
      </c>
      <c r="AA684" s="64">
        <f>IF(COUNTIFS($D$4:$D$863,$D684,$J$4:$J$863,$J684,$F$4:$F$863,$F684,$K$4:$K$863,$K684)&gt;1,"⚠ DOUBLON","")</f>
        <v/>
      </c>
      <c r="AB684" s="64">
        <f>IF(COUNTIF($T$4:$T$863,$T684)&lt;&gt;COUNTIFS($T$4:$T$863,$T684,$D$4:$D$863,$D684,$F$4:$F$863,$F684,$G$4:$G$863,$G684,$K$4:$K$863,$K684,$M$4:$M$863,$M684),"⚠ INCOHÉRENT","")</f>
        <v/>
      </c>
      <c r="AC684" s="64">
        <f>COUNTIFS($A$4:$A684,$A684,$J$4:$J684,$J684,$E$4:$E684,$E684)</f>
        <v/>
      </c>
      <c r="AD684" s="65">
        <f>$A684&amp;"|"&amp;$J684&amp;"|"&amp;$E684&amp;"|"&amp;$AC684</f>
        <v/>
      </c>
      <c r="AE684" s="66">
        <f>IF($W684&lt;&gt;"","⚑ "&amp;$W684&amp;CHAR(10),"")&amp;TEXT($F684,"hh:mm")&amp;"-"&amp;TEXT($G684,"hh:mm")&amp;IF(OR($P684="Quinzaine A",AND($P684="Hebdo · groupes alternés",$C684="A"))," Q-A",IF(OR($P684="Quinzaine B",AND($P684="Hebdo · groupes alternés",$C684="B"))," Q-B",IF($P684="Exception"," PONCT.","")))&amp;IF($X684="Oui"," OPT","")&amp;CHAR(10)&amp;$K684&amp;CHAR(10)&amp;$M684&amp;IF($N684&lt;&gt;"",CHAR(10)&amp;"Salle "&amp;$N684,"")&amp;IF($O684="En ligne",CHAR(10)&amp;"EN LIGNE","")&amp;IF($V684&lt;&gt;"",CHAR(10)&amp;$V684,"")</f>
        <v/>
      </c>
      <c r="AF684" s="65" t="inlineStr"/>
      <c r="AG684" s="65" t="inlineStr">
        <is>
          <t>— généré —</t>
        </is>
      </c>
    </row>
    <row r="685" ht="15" customHeight="1">
      <c r="A685" s="68" t="inlineStr">
        <is>
          <t>S6</t>
        </is>
      </c>
      <c r="B685" s="69" t="inlineStr">
        <is>
          <t>du 19 au 25 octobre 2026</t>
        </is>
      </c>
      <c r="C685" s="68" t="inlineStr">
        <is>
          <t>B</t>
        </is>
      </c>
      <c r="D685" s="70" t="n">
        <v>46318</v>
      </c>
      <c r="E685" s="68" t="inlineStr">
        <is>
          <t>Vendredi</t>
        </is>
      </c>
      <c r="F685" s="71" t="n">
        <v>0.8125</v>
      </c>
      <c r="G685" s="71" t="n">
        <v>0.875</v>
      </c>
      <c r="H685" s="72">
        <f>IF(OR($F685="",$G685=""),"",($G685-$F685)*24)</f>
        <v/>
      </c>
      <c r="I685" s="68" t="inlineStr">
        <is>
          <t>Collège</t>
        </is>
      </c>
      <c r="J685" s="69" t="inlineStr">
        <is>
          <t>8éme (C)</t>
        </is>
      </c>
      <c r="K685" s="73" t="inlineStr">
        <is>
          <t>فيزياء</t>
        </is>
      </c>
      <c r="L685" s="73" t="inlineStr">
        <is>
          <t>Physique</t>
        </is>
      </c>
      <c r="M685" s="69" t="inlineStr">
        <is>
          <t>Melek</t>
        </is>
      </c>
      <c r="N685" s="68" t="n"/>
      <c r="O685" s="68" t="n"/>
      <c r="P685" s="68" t="inlineStr">
        <is>
          <t>Hebdomadaire</t>
        </is>
      </c>
      <c r="Q685" s="69" t="inlineStr">
        <is>
          <t>8éme (A) + 8éme (B) + 8éme (C)</t>
        </is>
      </c>
      <c r="R685" s="68" t="n">
        <v>3</v>
      </c>
      <c r="S685" s="68" t="inlineStr"/>
      <c r="T685" s="68" t="inlineStr">
        <is>
          <t>S6-048</t>
        </is>
      </c>
      <c r="U685" s="69" t="inlineStr">
        <is>
          <t>Généré (octobre)</t>
        </is>
      </c>
      <c r="V685" s="69" t="inlineStr"/>
      <c r="W685" s="10" t="n"/>
      <c r="X685" s="10" t="inlineStr"/>
      <c r="Y685" s="64">
        <f>IF($M685="","",IF(SUMPRODUCT(($D$4:$D$863=$D685)*($M$4:$M$863=$M685)*($T$4:$T$863&lt;&gt;$T685)*($F$4:$F$863&lt;$G685)*($G$4:$G$863&gt;$F685))&gt;0,"⚠ CONFLIT",""))</f>
        <v/>
      </c>
      <c r="Z685" s="64">
        <f>IF($J685="","",IF(SUMPRODUCT(($D$4:$D$863=$D685)*($J$4:$J$863=$J685)*($T$4:$T$863&lt;&gt;$T685)*($F$4:$F$863&lt;$G685)*($G$4:$G$863&gt;$F685)*(1-($X$4:$X$863="Oui")*($X685="Oui")))&gt;0,"⚠ CONFLIT",""))</f>
        <v/>
      </c>
      <c r="AA685" s="64">
        <f>IF(COUNTIFS($D$4:$D$863,$D685,$J$4:$J$863,$J685,$F$4:$F$863,$F685,$K$4:$K$863,$K685)&gt;1,"⚠ DOUBLON","")</f>
        <v/>
      </c>
      <c r="AB685" s="64">
        <f>IF(COUNTIF($T$4:$T$863,$T685)&lt;&gt;COUNTIFS($T$4:$T$863,$T685,$D$4:$D$863,$D685,$F$4:$F$863,$F685,$G$4:$G$863,$G685,$K$4:$K$863,$K685,$M$4:$M$863,$M685),"⚠ INCOHÉRENT","")</f>
        <v/>
      </c>
      <c r="AC685" s="64">
        <f>COUNTIFS($A$4:$A685,$A685,$J$4:$J685,$J685,$E$4:$E685,$E685)</f>
        <v/>
      </c>
      <c r="AD685" s="65">
        <f>$A685&amp;"|"&amp;$J685&amp;"|"&amp;$E685&amp;"|"&amp;$AC685</f>
        <v/>
      </c>
      <c r="AE685" s="66">
        <f>IF($W685&lt;&gt;"","⚑ "&amp;$W685&amp;CHAR(10),"")&amp;TEXT($F685,"hh:mm")&amp;"-"&amp;TEXT($G685,"hh:mm")&amp;IF(OR($P685="Quinzaine A",AND($P685="Hebdo · groupes alternés",$C685="A"))," Q-A",IF(OR($P685="Quinzaine B",AND($P685="Hebdo · groupes alternés",$C685="B"))," Q-B",IF($P685="Exception"," PONCT.","")))&amp;IF($X685="Oui"," OPT","")&amp;CHAR(10)&amp;$K685&amp;CHAR(10)&amp;$M685&amp;IF($N685&lt;&gt;"",CHAR(10)&amp;"Salle "&amp;$N685,"")&amp;IF($O685="En ligne",CHAR(10)&amp;"EN LIGNE","")&amp;IF($V685&lt;&gt;"",CHAR(10)&amp;$V685,"")</f>
        <v/>
      </c>
      <c r="AF685" s="65" t="inlineStr"/>
      <c r="AG685" s="65" t="inlineStr">
        <is>
          <t>— généré —</t>
        </is>
      </c>
    </row>
    <row r="686" ht="15" customHeight="1">
      <c r="A686" s="68" t="inlineStr">
        <is>
          <t>S6</t>
        </is>
      </c>
      <c r="B686" s="69" t="inlineStr">
        <is>
          <t>du 19 au 25 octobre 2026</t>
        </is>
      </c>
      <c r="C686" s="68" t="inlineStr">
        <is>
          <t>B</t>
        </is>
      </c>
      <c r="D686" s="70" t="n">
        <v>46318</v>
      </c>
      <c r="E686" s="68" t="inlineStr">
        <is>
          <t>Vendredi</t>
        </is>
      </c>
      <c r="F686" s="71" t="n">
        <v>0.8125</v>
      </c>
      <c r="G686" s="71" t="n">
        <v>0.875</v>
      </c>
      <c r="H686" s="72">
        <f>IF(OR($F686="",$G686=""),"",($G686-$F686)*24)</f>
        <v/>
      </c>
      <c r="I686" s="68" t="inlineStr">
        <is>
          <t>Collège</t>
        </is>
      </c>
      <c r="J686" s="69" t="inlineStr">
        <is>
          <t>9éme (C)</t>
        </is>
      </c>
      <c r="K686" s="63" t="inlineStr">
        <is>
          <t>Arabe</t>
        </is>
      </c>
      <c r="L686" s="63" t="inlineStr">
        <is>
          <t>Arabe</t>
        </is>
      </c>
      <c r="M686" s="69" t="inlineStr">
        <is>
          <t>Yahya</t>
        </is>
      </c>
      <c r="N686" s="68" t="n"/>
      <c r="O686" s="68" t="n"/>
      <c r="P686" s="68" t="inlineStr">
        <is>
          <t>Hebdomadaire</t>
        </is>
      </c>
      <c r="Q686" s="69" t="inlineStr"/>
      <c r="R686" s="68" t="n">
        <v>1</v>
      </c>
      <c r="S686" s="68" t="inlineStr">
        <is>
          <t>Oui</t>
        </is>
      </c>
      <c r="T686" s="68" t="inlineStr">
        <is>
          <t>S6-049</t>
        </is>
      </c>
      <c r="U686" s="69" t="inlineStr">
        <is>
          <t>Généré (octobre)</t>
        </is>
      </c>
      <c r="V686" s="69" t="inlineStr"/>
      <c r="W686" s="10" t="n"/>
      <c r="X686" s="10" t="inlineStr"/>
      <c r="Y686" s="64">
        <f>IF($M686="","",IF(SUMPRODUCT(($D$4:$D$863=$D686)*($M$4:$M$863=$M686)*($T$4:$T$863&lt;&gt;$T686)*($F$4:$F$863&lt;$G686)*($G$4:$G$863&gt;$F686))&gt;0,"⚠ CONFLIT",""))</f>
        <v/>
      </c>
      <c r="Z686" s="64">
        <f>IF($J686="","",IF(SUMPRODUCT(($D$4:$D$863=$D686)*($J$4:$J$863=$J686)*($T$4:$T$863&lt;&gt;$T686)*($F$4:$F$863&lt;$G686)*($G$4:$G$863&gt;$F686)*(1-($X$4:$X$863="Oui")*($X686="Oui")))&gt;0,"⚠ CONFLIT",""))</f>
        <v/>
      </c>
      <c r="AA686" s="64">
        <f>IF(COUNTIFS($D$4:$D$863,$D686,$J$4:$J$863,$J686,$F$4:$F$863,$F686,$K$4:$K$863,$K686)&gt;1,"⚠ DOUBLON","")</f>
        <v/>
      </c>
      <c r="AB686" s="64">
        <f>IF(COUNTIF($T$4:$T$863,$T686)&lt;&gt;COUNTIFS($T$4:$T$863,$T686,$D$4:$D$863,$D686,$F$4:$F$863,$F686,$G$4:$G$863,$G686,$K$4:$K$863,$K686,$M$4:$M$863,$M686),"⚠ INCOHÉRENT","")</f>
        <v/>
      </c>
      <c r="AC686" s="64">
        <f>COUNTIFS($A$4:$A686,$A686,$J$4:$J686,$J686,$E$4:$E686,$E686)</f>
        <v/>
      </c>
      <c r="AD686" s="65">
        <f>$A686&amp;"|"&amp;$J686&amp;"|"&amp;$E686&amp;"|"&amp;$AC686</f>
        <v/>
      </c>
      <c r="AE686" s="66">
        <f>IF($W686&lt;&gt;"","⚑ "&amp;$W686&amp;CHAR(10),"")&amp;TEXT($F686,"hh:mm")&amp;"-"&amp;TEXT($G686,"hh:mm")&amp;IF(OR($P686="Quinzaine A",AND($P686="Hebdo · groupes alternés",$C686="A"))," Q-A",IF(OR($P686="Quinzaine B",AND($P686="Hebdo · groupes alternés",$C686="B"))," Q-B",IF($P686="Exception"," PONCT.","")))&amp;IF($X686="Oui"," OPT","")&amp;CHAR(10)&amp;$K686&amp;CHAR(10)&amp;$M686&amp;IF($N686&lt;&gt;"",CHAR(10)&amp;"Salle "&amp;$N686,"")&amp;IF($O686="En ligne",CHAR(10)&amp;"EN LIGNE","")&amp;IF($V686&lt;&gt;"",CHAR(10)&amp;$V686,"")</f>
        <v/>
      </c>
      <c r="AF686" s="65" t="inlineStr"/>
      <c r="AG686" s="65" t="inlineStr">
        <is>
          <t>— généré —</t>
        </is>
      </c>
    </row>
    <row r="687" ht="15" customHeight="1">
      <c r="A687" s="74" t="inlineStr">
        <is>
          <t>S6</t>
        </is>
      </c>
      <c r="B687" s="75" t="inlineStr">
        <is>
          <t>du 19 au 25 octobre 2026</t>
        </is>
      </c>
      <c r="C687" s="74" t="inlineStr">
        <is>
          <t>B</t>
        </is>
      </c>
      <c r="D687" s="76" t="n">
        <v>46318</v>
      </c>
      <c r="E687" s="74" t="inlineStr">
        <is>
          <t>Vendredi</t>
        </is>
      </c>
      <c r="F687" s="77" t="n">
        <v>0.7291666666666666</v>
      </c>
      <c r="G687" s="77" t="n">
        <v>0.7916666666666666</v>
      </c>
      <c r="H687" s="78">
        <f>IF(OR($F687="",$G687=""),"",($G687-$F687)*24)</f>
        <v/>
      </c>
      <c r="I687" s="74" t="inlineStr">
        <is>
          <t>Secondaire</t>
        </is>
      </c>
      <c r="J687" s="75" t="inlineStr">
        <is>
          <t>1ére (A)</t>
        </is>
      </c>
      <c r="K687" s="63" t="inlineStr">
        <is>
          <t>Arabe</t>
        </is>
      </c>
      <c r="L687" s="63" t="inlineStr">
        <is>
          <t>Arabe</t>
        </is>
      </c>
      <c r="M687" s="75" t="inlineStr">
        <is>
          <t>Najet</t>
        </is>
      </c>
      <c r="N687" s="74" t="n"/>
      <c r="O687" s="74" t="n"/>
      <c r="P687" s="74" t="inlineStr">
        <is>
          <t>Hebdomadaire</t>
        </is>
      </c>
      <c r="Q687" s="75" t="inlineStr"/>
      <c r="R687" s="74" t="n">
        <v>1</v>
      </c>
      <c r="S687" s="74" t="inlineStr">
        <is>
          <t>Oui</t>
        </is>
      </c>
      <c r="T687" s="74" t="inlineStr">
        <is>
          <t>S6-050</t>
        </is>
      </c>
      <c r="U687" s="75" t="inlineStr">
        <is>
          <t>Généré (octobre)</t>
        </is>
      </c>
      <c r="V687" s="75" t="inlineStr"/>
      <c r="W687" s="10" t="n"/>
      <c r="X687" s="10" t="inlineStr"/>
      <c r="Y687" s="64">
        <f>IF($M687="","",IF(SUMPRODUCT(($D$4:$D$863=$D687)*($M$4:$M$863=$M687)*($T$4:$T$863&lt;&gt;$T687)*($F$4:$F$863&lt;$G687)*($G$4:$G$863&gt;$F687))&gt;0,"⚠ CONFLIT",""))</f>
        <v/>
      </c>
      <c r="Z687" s="64">
        <f>IF($J687="","",IF(SUMPRODUCT(($D$4:$D$863=$D687)*($J$4:$J$863=$J687)*($T$4:$T$863&lt;&gt;$T687)*($F$4:$F$863&lt;$G687)*($G$4:$G$863&gt;$F687)*(1-($X$4:$X$863="Oui")*($X687="Oui")))&gt;0,"⚠ CONFLIT",""))</f>
        <v/>
      </c>
      <c r="AA687" s="64">
        <f>IF(COUNTIFS($D$4:$D$863,$D687,$J$4:$J$863,$J687,$F$4:$F$863,$F687,$K$4:$K$863,$K687)&gt;1,"⚠ DOUBLON","")</f>
        <v/>
      </c>
      <c r="AB687" s="64">
        <f>IF(COUNTIF($T$4:$T$863,$T687)&lt;&gt;COUNTIFS($T$4:$T$863,$T687,$D$4:$D$863,$D687,$F$4:$F$863,$F687,$G$4:$G$863,$G687,$K$4:$K$863,$K687,$M$4:$M$863,$M687),"⚠ INCOHÉRENT","")</f>
        <v/>
      </c>
      <c r="AC687" s="64">
        <f>COUNTIFS($A$4:$A687,$A687,$J$4:$J687,$J687,$E$4:$E687,$E687)</f>
        <v/>
      </c>
      <c r="AD687" s="65">
        <f>$A687&amp;"|"&amp;$J687&amp;"|"&amp;$E687&amp;"|"&amp;$AC687</f>
        <v/>
      </c>
      <c r="AE687" s="66">
        <f>IF($W687&lt;&gt;"","⚑ "&amp;$W687&amp;CHAR(10),"")&amp;TEXT($F687,"hh:mm")&amp;"-"&amp;TEXT($G687,"hh:mm")&amp;IF(OR($P687="Quinzaine A",AND($P687="Hebdo · groupes alternés",$C687="A"))," Q-A",IF(OR($P687="Quinzaine B",AND($P687="Hebdo · groupes alternés",$C687="B"))," Q-B",IF($P687="Exception"," PONCT.","")))&amp;IF($X687="Oui"," OPT","")&amp;CHAR(10)&amp;$K687&amp;CHAR(10)&amp;$M687&amp;IF($N687&lt;&gt;"",CHAR(10)&amp;"Salle "&amp;$N687,"")&amp;IF($O687="En ligne",CHAR(10)&amp;"EN LIGNE","")&amp;IF($V687&lt;&gt;"",CHAR(10)&amp;$V687,"")</f>
        <v/>
      </c>
      <c r="AF687" s="65" t="inlineStr"/>
      <c r="AG687" s="65" t="inlineStr">
        <is>
          <t>— généré —</t>
        </is>
      </c>
    </row>
    <row r="688" ht="15" customHeight="1">
      <c r="A688" s="74" t="inlineStr">
        <is>
          <t>S6</t>
        </is>
      </c>
      <c r="B688" s="75" t="inlineStr">
        <is>
          <t>du 19 au 25 octobre 2026</t>
        </is>
      </c>
      <c r="C688" s="74" t="inlineStr">
        <is>
          <t>B</t>
        </is>
      </c>
      <c r="D688" s="76" t="n">
        <v>46318</v>
      </c>
      <c r="E688" s="74" t="inlineStr">
        <is>
          <t>Vendredi</t>
        </is>
      </c>
      <c r="F688" s="77" t="n">
        <v>0.7916666666666666</v>
      </c>
      <c r="G688" s="77" t="n">
        <v>0.8541666666666666</v>
      </c>
      <c r="H688" s="78">
        <f>IF(OR($F688="",$G688=""),"",($G688-$F688)*24)</f>
        <v/>
      </c>
      <c r="I688" s="74" t="inlineStr">
        <is>
          <t>Secondaire</t>
        </is>
      </c>
      <c r="J688" s="75" t="inlineStr">
        <is>
          <t>1ére (B)</t>
        </is>
      </c>
      <c r="K688" s="63" t="inlineStr">
        <is>
          <t>Arabe</t>
        </is>
      </c>
      <c r="L688" s="63" t="inlineStr">
        <is>
          <t>Arabe</t>
        </is>
      </c>
      <c r="M688" s="75" t="inlineStr">
        <is>
          <t>Najet</t>
        </is>
      </c>
      <c r="N688" s="74" t="n"/>
      <c r="O688" s="74" t="n"/>
      <c r="P688" s="74" t="inlineStr">
        <is>
          <t>Hebdomadaire</t>
        </is>
      </c>
      <c r="Q688" s="75" t="inlineStr"/>
      <c r="R688" s="74" t="n">
        <v>1</v>
      </c>
      <c r="S688" s="74" t="inlineStr">
        <is>
          <t>Oui</t>
        </is>
      </c>
      <c r="T688" s="74" t="inlineStr">
        <is>
          <t>S6-051</t>
        </is>
      </c>
      <c r="U688" s="75" t="inlineStr">
        <is>
          <t>Généré (octobre)</t>
        </is>
      </c>
      <c r="V688" s="75" t="inlineStr"/>
      <c r="W688" s="10" t="n"/>
      <c r="X688" s="10" t="inlineStr"/>
      <c r="Y688" s="64">
        <f>IF($M688="","",IF(SUMPRODUCT(($D$4:$D$863=$D688)*($M$4:$M$863=$M688)*($T$4:$T$863&lt;&gt;$T688)*($F$4:$F$863&lt;$G688)*($G$4:$G$863&gt;$F688))&gt;0,"⚠ CONFLIT",""))</f>
        <v/>
      </c>
      <c r="Z688" s="64">
        <f>IF($J688="","",IF(SUMPRODUCT(($D$4:$D$863=$D688)*($J$4:$J$863=$J688)*($T$4:$T$863&lt;&gt;$T688)*($F$4:$F$863&lt;$G688)*($G$4:$G$863&gt;$F688)*(1-($X$4:$X$863="Oui")*($X688="Oui")))&gt;0,"⚠ CONFLIT",""))</f>
        <v/>
      </c>
      <c r="AA688" s="64">
        <f>IF(COUNTIFS($D$4:$D$863,$D688,$J$4:$J$863,$J688,$F$4:$F$863,$F688,$K$4:$K$863,$K688)&gt;1,"⚠ DOUBLON","")</f>
        <v/>
      </c>
      <c r="AB688" s="64">
        <f>IF(COUNTIF($T$4:$T$863,$T688)&lt;&gt;COUNTIFS($T$4:$T$863,$T688,$D$4:$D$863,$D688,$F$4:$F$863,$F688,$G$4:$G$863,$G688,$K$4:$K$863,$K688,$M$4:$M$863,$M688),"⚠ INCOHÉRENT","")</f>
        <v/>
      </c>
      <c r="AC688" s="64">
        <f>COUNTIFS($A$4:$A688,$A688,$J$4:$J688,$J688,$E$4:$E688,$E688)</f>
        <v/>
      </c>
      <c r="AD688" s="65">
        <f>$A688&amp;"|"&amp;$J688&amp;"|"&amp;$E688&amp;"|"&amp;$AC688</f>
        <v/>
      </c>
      <c r="AE688" s="66">
        <f>IF($W688&lt;&gt;"","⚑ "&amp;$W688&amp;CHAR(10),"")&amp;TEXT($F688,"hh:mm")&amp;"-"&amp;TEXT($G688,"hh:mm")&amp;IF(OR($P688="Quinzaine A",AND($P688="Hebdo · groupes alternés",$C688="A"))," Q-A",IF(OR($P688="Quinzaine B",AND($P688="Hebdo · groupes alternés",$C688="B"))," Q-B",IF($P688="Exception"," PONCT.","")))&amp;IF($X688="Oui"," OPT","")&amp;CHAR(10)&amp;$K688&amp;CHAR(10)&amp;$M688&amp;IF($N688&lt;&gt;"",CHAR(10)&amp;"Salle "&amp;$N688,"")&amp;IF($O688="En ligne",CHAR(10)&amp;"EN LIGNE","")&amp;IF($V688&lt;&gt;"",CHAR(10)&amp;$V688,"")</f>
        <v/>
      </c>
      <c r="AF688" s="65" t="inlineStr"/>
      <c r="AG688" s="65" t="inlineStr">
        <is>
          <t>— généré —</t>
        </is>
      </c>
    </row>
    <row r="689" ht="15" customHeight="1">
      <c r="A689" s="74" t="inlineStr">
        <is>
          <t>S6</t>
        </is>
      </c>
      <c r="B689" s="75" t="inlineStr">
        <is>
          <t>du 19 au 25 octobre 2026</t>
        </is>
      </c>
      <c r="C689" s="74" t="inlineStr">
        <is>
          <t>B</t>
        </is>
      </c>
      <c r="D689" s="76" t="n">
        <v>46318</v>
      </c>
      <c r="E689" s="74" t="inlineStr">
        <is>
          <t>Vendredi</t>
        </is>
      </c>
      <c r="F689" s="77" t="n">
        <v>0.8125</v>
      </c>
      <c r="G689" s="77" t="n">
        <v>0.875</v>
      </c>
      <c r="H689" s="78">
        <f>IF(OR($F689="",$G689=""),"",($G689-$F689)*24)</f>
        <v/>
      </c>
      <c r="I689" s="74" t="inlineStr">
        <is>
          <t>Secondaire</t>
        </is>
      </c>
      <c r="J689" s="75" t="inlineStr">
        <is>
          <t>2éme INFO</t>
        </is>
      </c>
      <c r="K689" s="79" t="inlineStr">
        <is>
          <t>Math</t>
        </is>
      </c>
      <c r="L689" s="79" t="inlineStr">
        <is>
          <t>Math</t>
        </is>
      </c>
      <c r="M689" s="75" t="inlineStr">
        <is>
          <t>Haythem</t>
        </is>
      </c>
      <c r="N689" s="74" t="n"/>
      <c r="O689" s="74" t="n"/>
      <c r="P689" s="74" t="inlineStr">
        <is>
          <t>Hebdomadaire</t>
        </is>
      </c>
      <c r="Q689" s="75" t="inlineStr"/>
      <c r="R689" s="74" t="n">
        <v>1</v>
      </c>
      <c r="S689" s="74" t="inlineStr">
        <is>
          <t>Oui</t>
        </is>
      </c>
      <c r="T689" s="74" t="inlineStr">
        <is>
          <t>S6-053</t>
        </is>
      </c>
      <c r="U689" s="75" t="inlineStr">
        <is>
          <t>Généré (octobre)</t>
        </is>
      </c>
      <c r="V689" s="75" t="inlineStr"/>
      <c r="W689" s="10" t="n"/>
      <c r="X689" s="10" t="inlineStr"/>
      <c r="Y689" s="64">
        <f>IF($M689="","",IF(SUMPRODUCT(($D$4:$D$863=$D689)*($M$4:$M$863=$M689)*($T$4:$T$863&lt;&gt;$T689)*($F$4:$F$863&lt;$G689)*($G$4:$G$863&gt;$F689))&gt;0,"⚠ CONFLIT",""))</f>
        <v/>
      </c>
      <c r="Z689" s="64">
        <f>IF($J689="","",IF(SUMPRODUCT(($D$4:$D$863=$D689)*($J$4:$J$863=$J689)*($T$4:$T$863&lt;&gt;$T689)*($F$4:$F$863&lt;$G689)*($G$4:$G$863&gt;$F689)*(1-($X$4:$X$863="Oui")*($X689="Oui")))&gt;0,"⚠ CONFLIT",""))</f>
        <v/>
      </c>
      <c r="AA689" s="64">
        <f>IF(COUNTIFS($D$4:$D$863,$D689,$J$4:$J$863,$J689,$F$4:$F$863,$F689,$K$4:$K$863,$K689)&gt;1,"⚠ DOUBLON","")</f>
        <v/>
      </c>
      <c r="AB689" s="64">
        <f>IF(COUNTIF($T$4:$T$863,$T689)&lt;&gt;COUNTIFS($T$4:$T$863,$T689,$D$4:$D$863,$D689,$F$4:$F$863,$F689,$G$4:$G$863,$G689,$K$4:$K$863,$K689,$M$4:$M$863,$M689),"⚠ INCOHÉRENT","")</f>
        <v/>
      </c>
      <c r="AC689" s="64">
        <f>COUNTIFS($A$4:$A689,$A689,$J$4:$J689,$J689,$E$4:$E689,$E689)</f>
        <v/>
      </c>
      <c r="AD689" s="65">
        <f>$A689&amp;"|"&amp;$J689&amp;"|"&amp;$E689&amp;"|"&amp;$AC689</f>
        <v/>
      </c>
      <c r="AE689" s="66">
        <f>IF($W689&lt;&gt;"","⚑ "&amp;$W689&amp;CHAR(10),"")&amp;TEXT($F689,"hh:mm")&amp;"-"&amp;TEXT($G689,"hh:mm")&amp;IF(OR($P689="Quinzaine A",AND($P689="Hebdo · groupes alternés",$C689="A"))," Q-A",IF(OR($P689="Quinzaine B",AND($P689="Hebdo · groupes alternés",$C689="B"))," Q-B",IF($P689="Exception"," PONCT.","")))&amp;IF($X689="Oui"," OPT","")&amp;CHAR(10)&amp;$K689&amp;CHAR(10)&amp;$M689&amp;IF($N689&lt;&gt;"",CHAR(10)&amp;"Salle "&amp;$N689,"")&amp;IF($O689="En ligne",CHAR(10)&amp;"EN LIGNE","")&amp;IF($V689&lt;&gt;"",CHAR(10)&amp;$V689,"")</f>
        <v/>
      </c>
      <c r="AF689" s="65" t="inlineStr"/>
      <c r="AG689" s="65" t="inlineStr">
        <is>
          <t>— généré —</t>
        </is>
      </c>
    </row>
    <row r="690" ht="15" customHeight="1">
      <c r="A690" s="74" t="inlineStr">
        <is>
          <t>S6</t>
        </is>
      </c>
      <c r="B690" s="75" t="inlineStr">
        <is>
          <t>du 19 au 25 octobre 2026</t>
        </is>
      </c>
      <c r="C690" s="74" t="inlineStr">
        <is>
          <t>B</t>
        </is>
      </c>
      <c r="D690" s="76" t="n">
        <v>46318</v>
      </c>
      <c r="E690" s="74" t="inlineStr">
        <is>
          <t>Vendredi</t>
        </is>
      </c>
      <c r="F690" s="77" t="n">
        <v>0.7291666666666666</v>
      </c>
      <c r="G690" s="77" t="n">
        <v>0.7916666666666666</v>
      </c>
      <c r="H690" s="78">
        <f>IF(OR($F690="",$G690=""),"",($G690-$F690)*24)</f>
        <v/>
      </c>
      <c r="I690" s="74" t="inlineStr">
        <is>
          <t>Secondaire</t>
        </is>
      </c>
      <c r="J690" s="75" t="inlineStr">
        <is>
          <t>3éme Eco</t>
        </is>
      </c>
      <c r="K690" s="87" t="inlineStr">
        <is>
          <t>Anglais</t>
        </is>
      </c>
      <c r="L690" s="87" t="inlineStr">
        <is>
          <t>Anglais</t>
        </is>
      </c>
      <c r="M690" s="75" t="inlineStr">
        <is>
          <t>Khaled</t>
        </is>
      </c>
      <c r="N690" s="74" t="n"/>
      <c r="O690" s="74" t="n"/>
      <c r="P690" s="74" t="inlineStr">
        <is>
          <t>Hebdo · groupes alternés</t>
        </is>
      </c>
      <c r="Q690" s="75" t="inlineStr">
        <is>
          <t>3éme Eco + 3éme INFO + 3éme SCE</t>
        </is>
      </c>
      <c r="R690" s="74" t="n">
        <v>3</v>
      </c>
      <c r="S690" s="74" t="inlineStr">
        <is>
          <t>Oui</t>
        </is>
      </c>
      <c r="T690" s="74" t="inlineStr">
        <is>
          <t>S6-054</t>
        </is>
      </c>
      <c r="U690" s="75" t="inlineStr">
        <is>
          <t>Généré (octobre)</t>
        </is>
      </c>
      <c r="V690" s="75" t="inlineStr"/>
      <c r="W690" s="10" t="n"/>
      <c r="X690" s="10" t="inlineStr"/>
      <c r="Y690" s="64">
        <f>IF($M690="","",IF(SUMPRODUCT(($D$4:$D$863=$D690)*($M$4:$M$863=$M690)*($T$4:$T$863&lt;&gt;$T690)*($F$4:$F$863&lt;$G690)*($G$4:$G$863&gt;$F690))&gt;0,"⚠ CONFLIT",""))</f>
        <v/>
      </c>
      <c r="Z690" s="64">
        <f>IF($J690="","",IF(SUMPRODUCT(($D$4:$D$863=$D690)*($J$4:$J$863=$J690)*($T$4:$T$863&lt;&gt;$T690)*($F$4:$F$863&lt;$G690)*($G$4:$G$863&gt;$F690)*(1-($X$4:$X$863="Oui")*($X690="Oui")))&gt;0,"⚠ CONFLIT",""))</f>
        <v/>
      </c>
      <c r="AA690" s="64">
        <f>IF(COUNTIFS($D$4:$D$863,$D690,$J$4:$J$863,$J690,$F$4:$F$863,$F690,$K$4:$K$863,$K690)&gt;1,"⚠ DOUBLON","")</f>
        <v/>
      </c>
      <c r="AB690" s="64">
        <f>IF(COUNTIF($T$4:$T$863,$T690)&lt;&gt;COUNTIFS($T$4:$T$863,$T690,$D$4:$D$863,$D690,$F$4:$F$863,$F690,$G$4:$G$863,$G690,$K$4:$K$863,$K690,$M$4:$M$863,$M690),"⚠ INCOHÉRENT","")</f>
        <v/>
      </c>
      <c r="AC690" s="64">
        <f>COUNTIFS($A$4:$A690,$A690,$J$4:$J690,$J690,$E$4:$E690,$E690)</f>
        <v/>
      </c>
      <c r="AD690" s="65">
        <f>$A690&amp;"|"&amp;$J690&amp;"|"&amp;$E690&amp;"|"&amp;$AC690</f>
        <v/>
      </c>
      <c r="AE690" s="66">
        <f>IF($W690&lt;&gt;"","⚑ "&amp;$W690&amp;CHAR(10),"")&amp;TEXT($F690,"hh:mm")&amp;"-"&amp;TEXT($G690,"hh:mm")&amp;IF(OR($P690="Quinzaine A",AND($P690="Hebdo · groupes alternés",$C690="A"))," Q-A",IF(OR($P690="Quinzaine B",AND($P690="Hebdo · groupes alternés",$C690="B"))," Q-B",IF($P690="Exception"," PONCT.","")))&amp;IF($X690="Oui"," OPT","")&amp;CHAR(10)&amp;$K690&amp;CHAR(10)&amp;$M690&amp;IF($N690&lt;&gt;"",CHAR(10)&amp;"Salle "&amp;$N690,"")&amp;IF($O690="En ligne",CHAR(10)&amp;"EN LIGNE","")&amp;IF($V690&lt;&gt;"",CHAR(10)&amp;$V690,"")</f>
        <v/>
      </c>
      <c r="AF690" s="65" t="inlineStr"/>
      <c r="AG690" s="65" t="inlineStr">
        <is>
          <t>— généré —</t>
        </is>
      </c>
    </row>
    <row r="691" ht="15" customHeight="1">
      <c r="A691" s="74" t="inlineStr">
        <is>
          <t>S6</t>
        </is>
      </c>
      <c r="B691" s="75" t="inlineStr">
        <is>
          <t>du 19 au 25 octobre 2026</t>
        </is>
      </c>
      <c r="C691" s="74" t="inlineStr">
        <is>
          <t>B</t>
        </is>
      </c>
      <c r="D691" s="76" t="n">
        <v>46318</v>
      </c>
      <c r="E691" s="74" t="inlineStr">
        <is>
          <t>Vendredi</t>
        </is>
      </c>
      <c r="F691" s="77" t="n">
        <v>0.7291666666666666</v>
      </c>
      <c r="G691" s="77" t="n">
        <v>0.7916666666666666</v>
      </c>
      <c r="H691" s="78">
        <f>IF(OR($F691="",$G691=""),"",($G691-$F691)*24)</f>
        <v/>
      </c>
      <c r="I691" s="74" t="inlineStr">
        <is>
          <t>Secondaire</t>
        </is>
      </c>
      <c r="J691" s="75" t="inlineStr">
        <is>
          <t>3éme INFO</t>
        </is>
      </c>
      <c r="K691" s="87" t="inlineStr">
        <is>
          <t>Anglais</t>
        </is>
      </c>
      <c r="L691" s="87" t="inlineStr">
        <is>
          <t>Anglais</t>
        </is>
      </c>
      <c r="M691" s="75" t="inlineStr">
        <is>
          <t>Khaled</t>
        </is>
      </c>
      <c r="N691" s="74" t="n"/>
      <c r="O691" s="74" t="n"/>
      <c r="P691" s="74" t="inlineStr">
        <is>
          <t>Hebdo · groupes alternés</t>
        </is>
      </c>
      <c r="Q691" s="75" t="inlineStr">
        <is>
          <t>3éme Eco + 3éme INFO + 3éme SCE</t>
        </is>
      </c>
      <c r="R691" s="74" t="n">
        <v>3</v>
      </c>
      <c r="S691" s="74" t="inlineStr"/>
      <c r="T691" s="74" t="inlineStr">
        <is>
          <t>S6-054</t>
        </is>
      </c>
      <c r="U691" s="75" t="inlineStr">
        <is>
          <t>Généré (octobre)</t>
        </is>
      </c>
      <c r="V691" s="75" t="inlineStr"/>
      <c r="W691" s="10" t="n"/>
      <c r="X691" s="10" t="inlineStr"/>
      <c r="Y691" s="64">
        <f>IF($M691="","",IF(SUMPRODUCT(($D$4:$D$863=$D691)*($M$4:$M$863=$M691)*($T$4:$T$863&lt;&gt;$T691)*($F$4:$F$863&lt;$G691)*($G$4:$G$863&gt;$F691))&gt;0,"⚠ CONFLIT",""))</f>
        <v/>
      </c>
      <c r="Z691" s="64">
        <f>IF($J691="","",IF(SUMPRODUCT(($D$4:$D$863=$D691)*($J$4:$J$863=$J691)*($T$4:$T$863&lt;&gt;$T691)*($F$4:$F$863&lt;$G691)*($G$4:$G$863&gt;$F691)*(1-($X$4:$X$863="Oui")*($X691="Oui")))&gt;0,"⚠ CONFLIT",""))</f>
        <v/>
      </c>
      <c r="AA691" s="64">
        <f>IF(COUNTIFS($D$4:$D$863,$D691,$J$4:$J$863,$J691,$F$4:$F$863,$F691,$K$4:$K$863,$K691)&gt;1,"⚠ DOUBLON","")</f>
        <v/>
      </c>
      <c r="AB691" s="64">
        <f>IF(COUNTIF($T$4:$T$863,$T691)&lt;&gt;COUNTIFS($T$4:$T$863,$T691,$D$4:$D$863,$D691,$F$4:$F$863,$F691,$G$4:$G$863,$G691,$K$4:$K$863,$K691,$M$4:$M$863,$M691),"⚠ INCOHÉRENT","")</f>
        <v/>
      </c>
      <c r="AC691" s="64">
        <f>COUNTIFS($A$4:$A691,$A691,$J$4:$J691,$J691,$E$4:$E691,$E691)</f>
        <v/>
      </c>
      <c r="AD691" s="65">
        <f>$A691&amp;"|"&amp;$J691&amp;"|"&amp;$E691&amp;"|"&amp;$AC691</f>
        <v/>
      </c>
      <c r="AE691" s="66">
        <f>IF($W691&lt;&gt;"","⚑ "&amp;$W691&amp;CHAR(10),"")&amp;TEXT($F691,"hh:mm")&amp;"-"&amp;TEXT($G691,"hh:mm")&amp;IF(OR($P691="Quinzaine A",AND($P691="Hebdo · groupes alternés",$C691="A"))," Q-A",IF(OR($P691="Quinzaine B",AND($P691="Hebdo · groupes alternés",$C691="B"))," Q-B",IF($P691="Exception"," PONCT.","")))&amp;IF($X691="Oui"," OPT","")&amp;CHAR(10)&amp;$K691&amp;CHAR(10)&amp;$M691&amp;IF($N691&lt;&gt;"",CHAR(10)&amp;"Salle "&amp;$N691,"")&amp;IF($O691="En ligne",CHAR(10)&amp;"EN LIGNE","")&amp;IF($V691&lt;&gt;"",CHAR(10)&amp;$V691,"")</f>
        <v/>
      </c>
      <c r="AF691" s="65" t="inlineStr"/>
      <c r="AG691" s="65" t="inlineStr">
        <is>
          <t>— généré —</t>
        </is>
      </c>
    </row>
    <row r="692" ht="15" customHeight="1">
      <c r="A692" s="74" t="inlineStr">
        <is>
          <t>S6</t>
        </is>
      </c>
      <c r="B692" s="75" t="inlineStr">
        <is>
          <t>du 19 au 25 octobre 2026</t>
        </is>
      </c>
      <c r="C692" s="74" t="inlineStr">
        <is>
          <t>B</t>
        </is>
      </c>
      <c r="D692" s="76" t="n">
        <v>46318</v>
      </c>
      <c r="E692" s="74" t="inlineStr">
        <is>
          <t>Vendredi</t>
        </is>
      </c>
      <c r="F692" s="77" t="n">
        <v>0.7291666666666666</v>
      </c>
      <c r="G692" s="77" t="n">
        <v>0.7916666666666666</v>
      </c>
      <c r="H692" s="78">
        <f>IF(OR($F692="",$G692=""),"",($G692-$F692)*24)</f>
        <v/>
      </c>
      <c r="I692" s="74" t="inlineStr">
        <is>
          <t>Secondaire</t>
        </is>
      </c>
      <c r="J692" s="75" t="inlineStr">
        <is>
          <t>3éme SCE</t>
        </is>
      </c>
      <c r="K692" s="87" t="inlineStr">
        <is>
          <t>Anglais</t>
        </is>
      </c>
      <c r="L692" s="87" t="inlineStr">
        <is>
          <t>Anglais</t>
        </is>
      </c>
      <c r="M692" s="75" t="inlineStr">
        <is>
          <t>Khaled</t>
        </is>
      </c>
      <c r="N692" s="74" t="n"/>
      <c r="O692" s="74" t="n"/>
      <c r="P692" s="74" t="inlineStr">
        <is>
          <t>Hebdo · groupes alternés</t>
        </is>
      </c>
      <c r="Q692" s="75" t="inlineStr">
        <is>
          <t>3éme Eco + 3éme INFO + 3éme SCE</t>
        </is>
      </c>
      <c r="R692" s="74" t="n">
        <v>3</v>
      </c>
      <c r="S692" s="74" t="inlineStr"/>
      <c r="T692" s="74" t="inlineStr">
        <is>
          <t>S6-054</t>
        </is>
      </c>
      <c r="U692" s="75" t="inlineStr">
        <is>
          <t>Généré (octobre)</t>
        </is>
      </c>
      <c r="V692" s="75" t="inlineStr"/>
      <c r="W692" s="10" t="n"/>
      <c r="X692" s="10" t="inlineStr"/>
      <c r="Y692" s="64">
        <f>IF($M692="","",IF(SUMPRODUCT(($D$4:$D$863=$D692)*($M$4:$M$863=$M692)*($T$4:$T$863&lt;&gt;$T692)*($F$4:$F$863&lt;$G692)*($G$4:$G$863&gt;$F692))&gt;0,"⚠ CONFLIT",""))</f>
        <v/>
      </c>
      <c r="Z692" s="64">
        <f>IF($J692="","",IF(SUMPRODUCT(($D$4:$D$863=$D692)*($J$4:$J$863=$J692)*($T$4:$T$863&lt;&gt;$T692)*($F$4:$F$863&lt;$G692)*($G$4:$G$863&gt;$F692)*(1-($X$4:$X$863="Oui")*($X692="Oui")))&gt;0,"⚠ CONFLIT",""))</f>
        <v/>
      </c>
      <c r="AA692" s="64">
        <f>IF(COUNTIFS($D$4:$D$863,$D692,$J$4:$J$863,$J692,$F$4:$F$863,$F692,$K$4:$K$863,$K692)&gt;1,"⚠ DOUBLON","")</f>
        <v/>
      </c>
      <c r="AB692" s="64">
        <f>IF(COUNTIF($T$4:$T$863,$T692)&lt;&gt;COUNTIFS($T$4:$T$863,$T692,$D$4:$D$863,$D692,$F$4:$F$863,$F692,$G$4:$G$863,$G692,$K$4:$K$863,$K692,$M$4:$M$863,$M692),"⚠ INCOHÉRENT","")</f>
        <v/>
      </c>
      <c r="AC692" s="64">
        <f>COUNTIFS($A$4:$A692,$A692,$J$4:$J692,$J692,$E$4:$E692,$E692)</f>
        <v/>
      </c>
      <c r="AD692" s="65">
        <f>$A692&amp;"|"&amp;$J692&amp;"|"&amp;$E692&amp;"|"&amp;$AC692</f>
        <v/>
      </c>
      <c r="AE692" s="66">
        <f>IF($W692&lt;&gt;"","⚑ "&amp;$W692&amp;CHAR(10),"")&amp;TEXT($F692,"hh:mm")&amp;"-"&amp;TEXT($G692,"hh:mm")&amp;IF(OR($P692="Quinzaine A",AND($P692="Hebdo · groupes alternés",$C692="A"))," Q-A",IF(OR($P692="Quinzaine B",AND($P692="Hebdo · groupes alternés",$C692="B"))," Q-B",IF($P692="Exception"," PONCT.","")))&amp;IF($X692="Oui"," OPT","")&amp;CHAR(10)&amp;$K692&amp;CHAR(10)&amp;$M692&amp;IF($N692&lt;&gt;"",CHAR(10)&amp;"Salle "&amp;$N692,"")&amp;IF($O692="En ligne",CHAR(10)&amp;"EN LIGNE","")&amp;IF($V692&lt;&gt;"",CHAR(10)&amp;$V692,"")</f>
        <v/>
      </c>
      <c r="AF692" s="65" t="inlineStr"/>
      <c r="AG692" s="65" t="inlineStr">
        <is>
          <t>— généré —</t>
        </is>
      </c>
    </row>
    <row r="693" ht="15" customHeight="1">
      <c r="A693" s="81" t="inlineStr">
        <is>
          <t>S6</t>
        </is>
      </c>
      <c r="B693" s="82" t="inlineStr">
        <is>
          <t>du 19 au 25 octobre 2026</t>
        </is>
      </c>
      <c r="C693" s="81" t="inlineStr">
        <is>
          <t>B</t>
        </is>
      </c>
      <c r="D693" s="83" t="n">
        <v>46318</v>
      </c>
      <c r="E693" s="81" t="inlineStr">
        <is>
          <t>Vendredi</t>
        </is>
      </c>
      <c r="F693" s="84" t="n">
        <v>0.7291666666666666</v>
      </c>
      <c r="G693" s="84" t="n">
        <v>0.7916666666666666</v>
      </c>
      <c r="H693" s="85">
        <f>IF(OR($F693="",$G693=""),"",($G693-$F693)*24)</f>
        <v/>
      </c>
      <c r="I693" s="81" t="inlineStr">
        <is>
          <t>Bac</t>
        </is>
      </c>
      <c r="J693" s="82" t="inlineStr">
        <is>
          <t>Bac Eco</t>
        </is>
      </c>
      <c r="K693" s="67" t="inlineStr">
        <is>
          <t>Français</t>
        </is>
      </c>
      <c r="L693" s="67" t="inlineStr">
        <is>
          <t>Français</t>
        </is>
      </c>
      <c r="M693" s="82" t="inlineStr">
        <is>
          <t>Nabil</t>
        </is>
      </c>
      <c r="N693" s="81" t="n"/>
      <c r="O693" s="81" t="n"/>
      <c r="P693" s="81" t="inlineStr">
        <is>
          <t>Hebdo · groupes alternés</t>
        </is>
      </c>
      <c r="Q693" s="82" t="inlineStr">
        <is>
          <t>Bac Eco + Bac SCE + Bac INFO</t>
        </is>
      </c>
      <c r="R693" s="81" t="n">
        <v>3</v>
      </c>
      <c r="S693" s="81" t="inlineStr">
        <is>
          <t>Oui</t>
        </is>
      </c>
      <c r="T693" s="81" t="inlineStr">
        <is>
          <t>S6-052</t>
        </is>
      </c>
      <c r="U693" s="82" t="inlineStr">
        <is>
          <t>Généré (octobre)</t>
        </is>
      </c>
      <c r="V693" s="82" t="inlineStr"/>
      <c r="W693" s="10" t="n"/>
      <c r="X693" s="10" t="inlineStr"/>
      <c r="Y693" s="64">
        <f>IF($M693="","",IF(SUMPRODUCT(($D$4:$D$863=$D693)*($M$4:$M$863=$M693)*($T$4:$T$863&lt;&gt;$T693)*($F$4:$F$863&lt;$G693)*($G$4:$G$863&gt;$F693))&gt;0,"⚠ CONFLIT",""))</f>
        <v/>
      </c>
      <c r="Z693" s="64">
        <f>IF($J693="","",IF(SUMPRODUCT(($D$4:$D$863=$D693)*($J$4:$J$863=$J693)*($T$4:$T$863&lt;&gt;$T693)*($F$4:$F$863&lt;$G693)*($G$4:$G$863&gt;$F693)*(1-($X$4:$X$863="Oui")*($X693="Oui")))&gt;0,"⚠ CONFLIT",""))</f>
        <v/>
      </c>
      <c r="AA693" s="64">
        <f>IF(COUNTIFS($D$4:$D$863,$D693,$J$4:$J$863,$J693,$F$4:$F$863,$F693,$K$4:$K$863,$K693)&gt;1,"⚠ DOUBLON","")</f>
        <v/>
      </c>
      <c r="AB693" s="64">
        <f>IF(COUNTIF($T$4:$T$863,$T693)&lt;&gt;COUNTIFS($T$4:$T$863,$T693,$D$4:$D$863,$D693,$F$4:$F$863,$F693,$G$4:$G$863,$G693,$K$4:$K$863,$K693,$M$4:$M$863,$M693),"⚠ INCOHÉRENT","")</f>
        <v/>
      </c>
      <c r="AC693" s="64">
        <f>COUNTIFS($A$4:$A693,$A693,$J$4:$J693,$J693,$E$4:$E693,$E693)</f>
        <v/>
      </c>
      <c r="AD693" s="65">
        <f>$A693&amp;"|"&amp;$J693&amp;"|"&amp;$E693&amp;"|"&amp;$AC693</f>
        <v/>
      </c>
      <c r="AE693" s="66">
        <f>IF($W693&lt;&gt;"","⚑ "&amp;$W693&amp;CHAR(10),"")&amp;TEXT($F693,"hh:mm")&amp;"-"&amp;TEXT($G693,"hh:mm")&amp;IF(OR($P693="Quinzaine A",AND($P693="Hebdo · groupes alternés",$C693="A"))," Q-A",IF(OR($P693="Quinzaine B",AND($P693="Hebdo · groupes alternés",$C693="B"))," Q-B",IF($P693="Exception"," PONCT.","")))&amp;IF($X693="Oui"," OPT","")&amp;CHAR(10)&amp;$K693&amp;CHAR(10)&amp;$M693&amp;IF($N693&lt;&gt;"",CHAR(10)&amp;"Salle "&amp;$N693,"")&amp;IF($O693="En ligne",CHAR(10)&amp;"EN LIGNE","")&amp;IF($V693&lt;&gt;"",CHAR(10)&amp;$V693,"")</f>
        <v/>
      </c>
      <c r="AF693" s="65" t="inlineStr"/>
      <c r="AG693" s="65" t="inlineStr">
        <is>
          <t>— généré —</t>
        </is>
      </c>
    </row>
    <row r="694" ht="15" customHeight="1">
      <c r="A694" s="81" t="inlineStr">
        <is>
          <t>S6</t>
        </is>
      </c>
      <c r="B694" s="82" t="inlineStr">
        <is>
          <t>du 19 au 25 octobre 2026</t>
        </is>
      </c>
      <c r="C694" s="81" t="inlineStr">
        <is>
          <t>B</t>
        </is>
      </c>
      <c r="D694" s="83" t="n">
        <v>46318</v>
      </c>
      <c r="E694" s="81" t="inlineStr">
        <is>
          <t>Vendredi</t>
        </is>
      </c>
      <c r="F694" s="84" t="n">
        <v>0.7291666666666666</v>
      </c>
      <c r="G694" s="84" t="n">
        <v>0.7916666666666666</v>
      </c>
      <c r="H694" s="85">
        <f>IF(OR($F694="",$G694=""),"",($G694-$F694)*24)</f>
        <v/>
      </c>
      <c r="I694" s="81" t="inlineStr">
        <is>
          <t>Bac</t>
        </is>
      </c>
      <c r="J694" s="82" t="inlineStr">
        <is>
          <t>Bac SCE</t>
        </is>
      </c>
      <c r="K694" s="67" t="inlineStr">
        <is>
          <t>Français</t>
        </is>
      </c>
      <c r="L694" s="67" t="inlineStr">
        <is>
          <t>Français</t>
        </is>
      </c>
      <c r="M694" s="82" t="inlineStr">
        <is>
          <t>Nabil</t>
        </is>
      </c>
      <c r="N694" s="81" t="n"/>
      <c r="O694" s="81" t="n"/>
      <c r="P694" s="81" t="inlineStr">
        <is>
          <t>Hebdo · groupes alternés</t>
        </is>
      </c>
      <c r="Q694" s="82" t="inlineStr">
        <is>
          <t>Bac Eco + Bac SCE + Bac INFO</t>
        </is>
      </c>
      <c r="R694" s="81" t="n">
        <v>3</v>
      </c>
      <c r="S694" s="81" t="inlineStr"/>
      <c r="T694" s="81" t="inlineStr">
        <is>
          <t>S6-052</t>
        </is>
      </c>
      <c r="U694" s="82" t="inlineStr">
        <is>
          <t>Généré (octobre)</t>
        </is>
      </c>
      <c r="V694" s="82" t="inlineStr"/>
      <c r="W694" s="10" t="n"/>
      <c r="X694" s="10" t="inlineStr"/>
      <c r="Y694" s="64">
        <f>IF($M694="","",IF(SUMPRODUCT(($D$4:$D$863=$D694)*($M$4:$M$863=$M694)*($T$4:$T$863&lt;&gt;$T694)*($F$4:$F$863&lt;$G694)*($G$4:$G$863&gt;$F694))&gt;0,"⚠ CONFLIT",""))</f>
        <v/>
      </c>
      <c r="Z694" s="64">
        <f>IF($J694="","",IF(SUMPRODUCT(($D$4:$D$863=$D694)*($J$4:$J$863=$J694)*($T$4:$T$863&lt;&gt;$T694)*($F$4:$F$863&lt;$G694)*($G$4:$G$863&gt;$F694)*(1-($X$4:$X$863="Oui")*($X694="Oui")))&gt;0,"⚠ CONFLIT",""))</f>
        <v/>
      </c>
      <c r="AA694" s="64">
        <f>IF(COUNTIFS($D$4:$D$863,$D694,$J$4:$J$863,$J694,$F$4:$F$863,$F694,$K$4:$K$863,$K694)&gt;1,"⚠ DOUBLON","")</f>
        <v/>
      </c>
      <c r="AB694" s="64">
        <f>IF(COUNTIF($T$4:$T$863,$T694)&lt;&gt;COUNTIFS($T$4:$T$863,$T694,$D$4:$D$863,$D694,$F$4:$F$863,$F694,$G$4:$G$863,$G694,$K$4:$K$863,$K694,$M$4:$M$863,$M694),"⚠ INCOHÉRENT","")</f>
        <v/>
      </c>
      <c r="AC694" s="64">
        <f>COUNTIFS($A$4:$A694,$A694,$J$4:$J694,$J694,$E$4:$E694,$E694)</f>
        <v/>
      </c>
      <c r="AD694" s="65">
        <f>$A694&amp;"|"&amp;$J694&amp;"|"&amp;$E694&amp;"|"&amp;$AC694</f>
        <v/>
      </c>
      <c r="AE694" s="66">
        <f>IF($W694&lt;&gt;"","⚑ "&amp;$W694&amp;CHAR(10),"")&amp;TEXT($F694,"hh:mm")&amp;"-"&amp;TEXT($G694,"hh:mm")&amp;IF(OR($P694="Quinzaine A",AND($P694="Hebdo · groupes alternés",$C694="A"))," Q-A",IF(OR($P694="Quinzaine B",AND($P694="Hebdo · groupes alternés",$C694="B"))," Q-B",IF($P694="Exception"," PONCT.","")))&amp;IF($X694="Oui"," OPT","")&amp;CHAR(10)&amp;$K694&amp;CHAR(10)&amp;$M694&amp;IF($N694&lt;&gt;"",CHAR(10)&amp;"Salle "&amp;$N694,"")&amp;IF($O694="En ligne",CHAR(10)&amp;"EN LIGNE","")&amp;IF($V694&lt;&gt;"",CHAR(10)&amp;$V694,"")</f>
        <v/>
      </c>
      <c r="AF694" s="65" t="inlineStr"/>
      <c r="AG694" s="65" t="inlineStr">
        <is>
          <t>— généré —</t>
        </is>
      </c>
    </row>
    <row r="695" ht="15" customHeight="1">
      <c r="A695" s="81" t="inlineStr">
        <is>
          <t>S6</t>
        </is>
      </c>
      <c r="B695" s="82" t="inlineStr">
        <is>
          <t>du 19 au 25 octobre 2026</t>
        </is>
      </c>
      <c r="C695" s="81" t="inlineStr">
        <is>
          <t>B</t>
        </is>
      </c>
      <c r="D695" s="83" t="n">
        <v>46318</v>
      </c>
      <c r="E695" s="81" t="inlineStr">
        <is>
          <t>Vendredi</t>
        </is>
      </c>
      <c r="F695" s="84" t="n">
        <v>0.7291666666666666</v>
      </c>
      <c r="G695" s="84" t="n">
        <v>0.7916666666666666</v>
      </c>
      <c r="H695" s="85">
        <f>IF(OR($F695="",$G695=""),"",($G695-$F695)*24)</f>
        <v/>
      </c>
      <c r="I695" s="81" t="inlineStr">
        <is>
          <t>Bac</t>
        </is>
      </c>
      <c r="J695" s="82" t="inlineStr">
        <is>
          <t>Bac INFO</t>
        </is>
      </c>
      <c r="K695" s="67" t="inlineStr">
        <is>
          <t>Français</t>
        </is>
      </c>
      <c r="L695" s="67" t="inlineStr">
        <is>
          <t>Français</t>
        </is>
      </c>
      <c r="M695" s="82" t="inlineStr">
        <is>
          <t>Nabil</t>
        </is>
      </c>
      <c r="N695" s="81" t="n"/>
      <c r="O695" s="81" t="n"/>
      <c r="P695" s="81" t="inlineStr">
        <is>
          <t>Hebdo · groupes alternés</t>
        </is>
      </c>
      <c r="Q695" s="82" t="inlineStr">
        <is>
          <t>Bac Eco + Bac SCE + Bac INFO</t>
        </is>
      </c>
      <c r="R695" s="81" t="n">
        <v>3</v>
      </c>
      <c r="S695" s="81" t="inlineStr"/>
      <c r="T695" s="81" t="inlineStr">
        <is>
          <t>S6-052</t>
        </is>
      </c>
      <c r="U695" s="82" t="inlineStr">
        <is>
          <t>Généré (octobre)</t>
        </is>
      </c>
      <c r="V695" s="82" t="inlineStr"/>
      <c r="W695" s="10" t="n"/>
      <c r="X695" s="10" t="inlineStr"/>
      <c r="Y695" s="64">
        <f>IF($M695="","",IF(SUMPRODUCT(($D$4:$D$863=$D695)*($M$4:$M$863=$M695)*($T$4:$T$863&lt;&gt;$T695)*($F$4:$F$863&lt;$G695)*($G$4:$G$863&gt;$F695))&gt;0,"⚠ CONFLIT",""))</f>
        <v/>
      </c>
      <c r="Z695" s="64">
        <f>IF($J695="","",IF(SUMPRODUCT(($D$4:$D$863=$D695)*($J$4:$J$863=$J695)*($T$4:$T$863&lt;&gt;$T695)*($F$4:$F$863&lt;$G695)*($G$4:$G$863&gt;$F695)*(1-($X$4:$X$863="Oui")*($X695="Oui")))&gt;0,"⚠ CONFLIT",""))</f>
        <v/>
      </c>
      <c r="AA695" s="64">
        <f>IF(COUNTIFS($D$4:$D$863,$D695,$J$4:$J$863,$J695,$F$4:$F$863,$F695,$K$4:$K$863,$K695)&gt;1,"⚠ DOUBLON","")</f>
        <v/>
      </c>
      <c r="AB695" s="64">
        <f>IF(COUNTIF($T$4:$T$863,$T695)&lt;&gt;COUNTIFS($T$4:$T$863,$T695,$D$4:$D$863,$D695,$F$4:$F$863,$F695,$G$4:$G$863,$G695,$K$4:$K$863,$K695,$M$4:$M$863,$M695),"⚠ INCOHÉRENT","")</f>
        <v/>
      </c>
      <c r="AC695" s="64">
        <f>COUNTIFS($A$4:$A695,$A695,$J$4:$J695,$J695,$E$4:$E695,$E695)</f>
        <v/>
      </c>
      <c r="AD695" s="65">
        <f>$A695&amp;"|"&amp;$J695&amp;"|"&amp;$E695&amp;"|"&amp;$AC695</f>
        <v/>
      </c>
      <c r="AE695" s="66">
        <f>IF($W695&lt;&gt;"","⚑ "&amp;$W695&amp;CHAR(10),"")&amp;TEXT($F695,"hh:mm")&amp;"-"&amp;TEXT($G695,"hh:mm")&amp;IF(OR($P695="Quinzaine A",AND($P695="Hebdo · groupes alternés",$C695="A"))," Q-A",IF(OR($P695="Quinzaine B",AND($P695="Hebdo · groupes alternés",$C695="B"))," Q-B",IF($P695="Exception"," PONCT.","")))&amp;IF($X695="Oui"," OPT","")&amp;CHAR(10)&amp;$K695&amp;CHAR(10)&amp;$M695&amp;IF($N695&lt;&gt;"",CHAR(10)&amp;"Salle "&amp;$N695,"")&amp;IF($O695="En ligne",CHAR(10)&amp;"EN LIGNE","")&amp;IF($V695&lt;&gt;"",CHAR(10)&amp;$V695,"")</f>
        <v/>
      </c>
      <c r="AF695" s="65" t="inlineStr"/>
      <c r="AG695" s="65" t="inlineStr">
        <is>
          <t>— généré —</t>
        </is>
      </c>
    </row>
    <row r="696" ht="15" customHeight="1">
      <c r="A696" s="58" t="inlineStr">
        <is>
          <t>S6</t>
        </is>
      </c>
      <c r="B696" s="59" t="inlineStr">
        <is>
          <t>du 19 au 25 octobre 2026</t>
        </is>
      </c>
      <c r="C696" s="58" t="inlineStr">
        <is>
          <t>B</t>
        </is>
      </c>
      <c r="D696" s="60" t="n">
        <v>46319</v>
      </c>
      <c r="E696" s="58" t="inlineStr">
        <is>
          <t>Samedi</t>
        </is>
      </c>
      <c r="F696" s="61" t="n">
        <v>0.6666666666666666</v>
      </c>
      <c r="G696" s="61" t="n">
        <v>0.7291666666666666</v>
      </c>
      <c r="H696" s="62">
        <f>IF(OR($F696="",$G696=""),"",($G696-$F696)*24)</f>
        <v/>
      </c>
      <c r="I696" s="58" t="inlineStr">
        <is>
          <t>Primaire</t>
        </is>
      </c>
      <c r="J696" s="59" t="inlineStr">
        <is>
          <t>4éme</t>
        </is>
      </c>
      <c r="K696" s="67" t="inlineStr">
        <is>
          <t>Français</t>
        </is>
      </c>
      <c r="L696" s="67" t="inlineStr">
        <is>
          <t>Français</t>
        </is>
      </c>
      <c r="M696" s="59" t="inlineStr">
        <is>
          <t>Hend</t>
        </is>
      </c>
      <c r="N696" s="58" t="n"/>
      <c r="O696" s="58" t="n"/>
      <c r="P696" s="58" t="inlineStr">
        <is>
          <t>Hebdomadaire</t>
        </is>
      </c>
      <c r="Q696" s="59" t="inlineStr"/>
      <c r="R696" s="58" t="n">
        <v>1</v>
      </c>
      <c r="S696" s="58" t="inlineStr">
        <is>
          <t>Oui</t>
        </is>
      </c>
      <c r="T696" s="58" t="inlineStr">
        <is>
          <t>S6-055</t>
        </is>
      </c>
      <c r="U696" s="59" t="inlineStr">
        <is>
          <t>Généré (octobre)</t>
        </is>
      </c>
      <c r="V696" s="59" t="inlineStr"/>
      <c r="W696" s="10" t="n"/>
      <c r="X696" s="10" t="inlineStr"/>
      <c r="Y696" s="64">
        <f>IF($M696="","",IF(SUMPRODUCT(($D$4:$D$863=$D696)*($M$4:$M$863=$M696)*($T$4:$T$863&lt;&gt;$T696)*($F$4:$F$863&lt;$G696)*($G$4:$G$863&gt;$F696))&gt;0,"⚠ CONFLIT",""))</f>
        <v/>
      </c>
      <c r="Z696" s="64">
        <f>IF($J696="","",IF(SUMPRODUCT(($D$4:$D$863=$D696)*($J$4:$J$863=$J696)*($T$4:$T$863&lt;&gt;$T696)*($F$4:$F$863&lt;$G696)*($G$4:$G$863&gt;$F696)*(1-($X$4:$X$863="Oui")*($X696="Oui")))&gt;0,"⚠ CONFLIT",""))</f>
        <v/>
      </c>
      <c r="AA696" s="64">
        <f>IF(COUNTIFS($D$4:$D$863,$D696,$J$4:$J$863,$J696,$F$4:$F$863,$F696,$K$4:$K$863,$K696)&gt;1,"⚠ DOUBLON","")</f>
        <v/>
      </c>
      <c r="AB696" s="64">
        <f>IF(COUNTIF($T$4:$T$863,$T696)&lt;&gt;COUNTIFS($T$4:$T$863,$T696,$D$4:$D$863,$D696,$F$4:$F$863,$F696,$G$4:$G$863,$G696,$K$4:$K$863,$K696,$M$4:$M$863,$M696),"⚠ INCOHÉRENT","")</f>
        <v/>
      </c>
      <c r="AC696" s="64">
        <f>COUNTIFS($A$4:$A696,$A696,$J$4:$J696,$J696,$E$4:$E696,$E696)</f>
        <v/>
      </c>
      <c r="AD696" s="65">
        <f>$A696&amp;"|"&amp;$J696&amp;"|"&amp;$E696&amp;"|"&amp;$AC696</f>
        <v/>
      </c>
      <c r="AE696" s="66">
        <f>IF($W696&lt;&gt;"","⚑ "&amp;$W696&amp;CHAR(10),"")&amp;TEXT($F696,"hh:mm")&amp;"-"&amp;TEXT($G696,"hh:mm")&amp;IF(OR($P696="Quinzaine A",AND($P696="Hebdo · groupes alternés",$C696="A"))," Q-A",IF(OR($P696="Quinzaine B",AND($P696="Hebdo · groupes alternés",$C696="B"))," Q-B",IF($P696="Exception"," PONCT.","")))&amp;IF($X696="Oui"," OPT","")&amp;CHAR(10)&amp;$K696&amp;CHAR(10)&amp;$M696&amp;IF($N696&lt;&gt;"",CHAR(10)&amp;"Salle "&amp;$N696,"")&amp;IF($O696="En ligne",CHAR(10)&amp;"EN LIGNE","")&amp;IF($V696&lt;&gt;"",CHAR(10)&amp;$V696,"")</f>
        <v/>
      </c>
      <c r="AF696" s="65" t="inlineStr"/>
      <c r="AG696" s="65" t="inlineStr">
        <is>
          <t>— généré —</t>
        </is>
      </c>
    </row>
    <row r="697" ht="15" customHeight="1">
      <c r="A697" s="58" t="inlineStr">
        <is>
          <t>S6</t>
        </is>
      </c>
      <c r="B697" s="59" t="inlineStr">
        <is>
          <t>du 19 au 25 octobre 2026</t>
        </is>
      </c>
      <c r="C697" s="58" t="inlineStr">
        <is>
          <t>B</t>
        </is>
      </c>
      <c r="D697" s="60" t="n">
        <v>46319</v>
      </c>
      <c r="E697" s="58" t="inlineStr">
        <is>
          <t>Samedi</t>
        </is>
      </c>
      <c r="F697" s="61" t="n">
        <v>0.75</v>
      </c>
      <c r="G697" s="61" t="n">
        <v>0.8125</v>
      </c>
      <c r="H697" s="62">
        <f>IF(OR($F697="",$G697=""),"",($G697-$F697)*24)</f>
        <v/>
      </c>
      <c r="I697" s="58" t="inlineStr">
        <is>
          <t>Primaire</t>
        </is>
      </c>
      <c r="J697" s="59" t="inlineStr">
        <is>
          <t>5éme</t>
        </is>
      </c>
      <c r="K697" s="67" t="inlineStr">
        <is>
          <t>Français</t>
        </is>
      </c>
      <c r="L697" s="67" t="inlineStr">
        <is>
          <t>Français</t>
        </is>
      </c>
      <c r="M697" s="59" t="inlineStr">
        <is>
          <t>Hend</t>
        </is>
      </c>
      <c r="N697" s="58" t="n"/>
      <c r="O697" s="58" t="n"/>
      <c r="P697" s="58" t="inlineStr">
        <is>
          <t>Hebdomadaire</t>
        </is>
      </c>
      <c r="Q697" s="59" t="inlineStr"/>
      <c r="R697" s="58" t="n">
        <v>1</v>
      </c>
      <c r="S697" s="58" t="inlineStr">
        <is>
          <t>Oui</t>
        </is>
      </c>
      <c r="T697" s="58" t="inlineStr">
        <is>
          <t>S6-056</t>
        </is>
      </c>
      <c r="U697" s="59" t="inlineStr">
        <is>
          <t>Généré (octobre)</t>
        </is>
      </c>
      <c r="V697" s="59" t="inlineStr"/>
      <c r="W697" s="10" t="n"/>
      <c r="X697" s="10" t="inlineStr"/>
      <c r="Y697" s="64">
        <f>IF($M697="","",IF(SUMPRODUCT(($D$4:$D$863=$D697)*($M$4:$M$863=$M697)*($T$4:$T$863&lt;&gt;$T697)*($F$4:$F$863&lt;$G697)*($G$4:$G$863&gt;$F697))&gt;0,"⚠ CONFLIT",""))</f>
        <v/>
      </c>
      <c r="Z697" s="64">
        <f>IF($J697="","",IF(SUMPRODUCT(($D$4:$D$863=$D697)*($J$4:$J$863=$J697)*($T$4:$T$863&lt;&gt;$T697)*($F$4:$F$863&lt;$G697)*($G$4:$G$863&gt;$F697)*(1-($X$4:$X$863="Oui")*($X697="Oui")))&gt;0,"⚠ CONFLIT",""))</f>
        <v/>
      </c>
      <c r="AA697" s="64">
        <f>IF(COUNTIFS($D$4:$D$863,$D697,$J$4:$J$863,$J697,$F$4:$F$863,$F697,$K$4:$K$863,$K697)&gt;1,"⚠ DOUBLON","")</f>
        <v/>
      </c>
      <c r="AB697" s="64">
        <f>IF(COUNTIF($T$4:$T$863,$T697)&lt;&gt;COUNTIFS($T$4:$T$863,$T697,$D$4:$D$863,$D697,$F$4:$F$863,$F697,$G$4:$G$863,$G697,$K$4:$K$863,$K697,$M$4:$M$863,$M697),"⚠ INCOHÉRENT","")</f>
        <v/>
      </c>
      <c r="AC697" s="64">
        <f>COUNTIFS($A$4:$A697,$A697,$J$4:$J697,$J697,$E$4:$E697,$E697)</f>
        <v/>
      </c>
      <c r="AD697" s="65">
        <f>$A697&amp;"|"&amp;$J697&amp;"|"&amp;$E697&amp;"|"&amp;$AC697</f>
        <v/>
      </c>
      <c r="AE697" s="66">
        <f>IF($W697&lt;&gt;"","⚑ "&amp;$W697&amp;CHAR(10),"")&amp;TEXT($F697,"hh:mm")&amp;"-"&amp;TEXT($G697,"hh:mm")&amp;IF(OR($P697="Quinzaine A",AND($P697="Hebdo · groupes alternés",$C697="A"))," Q-A",IF(OR($P697="Quinzaine B",AND($P697="Hebdo · groupes alternés",$C697="B"))," Q-B",IF($P697="Exception"," PONCT.","")))&amp;IF($X697="Oui"," OPT","")&amp;CHAR(10)&amp;$K697&amp;CHAR(10)&amp;$M697&amp;IF($N697&lt;&gt;"",CHAR(10)&amp;"Salle "&amp;$N697,"")&amp;IF($O697="En ligne",CHAR(10)&amp;"EN LIGNE","")&amp;IF($V697&lt;&gt;"",CHAR(10)&amp;$V697,"")</f>
        <v/>
      </c>
      <c r="AF697" s="65" t="inlineStr"/>
      <c r="AG697" s="65" t="inlineStr">
        <is>
          <t>— généré —</t>
        </is>
      </c>
    </row>
    <row r="698" ht="15" customHeight="1">
      <c r="A698" s="58" t="inlineStr">
        <is>
          <t>S6</t>
        </is>
      </c>
      <c r="B698" s="59" t="inlineStr">
        <is>
          <t>du 19 au 25 octobre 2026</t>
        </is>
      </c>
      <c r="C698" s="58" t="inlineStr">
        <is>
          <t>B</t>
        </is>
      </c>
      <c r="D698" s="60" t="n">
        <v>46319</v>
      </c>
      <c r="E698" s="58" t="inlineStr">
        <is>
          <t>Samedi</t>
        </is>
      </c>
      <c r="F698" s="61" t="n">
        <v>0.7916666666666666</v>
      </c>
      <c r="G698" s="61" t="n">
        <v>0.875</v>
      </c>
      <c r="H698" s="62">
        <f>IF(OR($F698="",$G698=""),"",($G698-$F698)*24)</f>
        <v/>
      </c>
      <c r="I698" s="58" t="inlineStr">
        <is>
          <t>Primaire</t>
        </is>
      </c>
      <c r="J698" s="59" t="inlineStr">
        <is>
          <t>6éme Pilote (A)</t>
        </is>
      </c>
      <c r="K698" s="63" t="inlineStr">
        <is>
          <t>عربية</t>
        </is>
      </c>
      <c r="L698" s="63" t="inlineStr">
        <is>
          <t>Arabe</t>
        </is>
      </c>
      <c r="M698" s="59" t="inlineStr">
        <is>
          <t>Lobna</t>
        </is>
      </c>
      <c r="N698" s="58" t="n"/>
      <c r="O698" s="58" t="n"/>
      <c r="P698" s="58" t="inlineStr">
        <is>
          <t>Hebdomadaire</t>
        </is>
      </c>
      <c r="Q698" s="59" t="inlineStr"/>
      <c r="R698" s="58" t="n">
        <v>1</v>
      </c>
      <c r="S698" s="58" t="inlineStr">
        <is>
          <t>Oui</t>
        </is>
      </c>
      <c r="T698" s="58" t="inlineStr">
        <is>
          <t>S6-057</t>
        </is>
      </c>
      <c r="U698" s="59" t="inlineStr">
        <is>
          <t>Généré (octobre)</t>
        </is>
      </c>
      <c r="V698" s="59" t="inlineStr"/>
      <c r="W698" s="10" t="n"/>
      <c r="X698" s="10" t="inlineStr"/>
      <c r="Y698" s="64">
        <f>IF($M698="","",IF(SUMPRODUCT(($D$4:$D$863=$D698)*($M$4:$M$863=$M698)*($T$4:$T$863&lt;&gt;$T698)*($F$4:$F$863&lt;$G698)*($G$4:$G$863&gt;$F698))&gt;0,"⚠ CONFLIT",""))</f>
        <v/>
      </c>
      <c r="Z698" s="64">
        <f>IF($J698="","",IF(SUMPRODUCT(($D$4:$D$863=$D698)*($J$4:$J$863=$J698)*($T$4:$T$863&lt;&gt;$T698)*($F$4:$F$863&lt;$G698)*($G$4:$G$863&gt;$F698)*(1-($X$4:$X$863="Oui")*($X698="Oui")))&gt;0,"⚠ CONFLIT",""))</f>
        <v/>
      </c>
      <c r="AA698" s="64">
        <f>IF(COUNTIFS($D$4:$D$863,$D698,$J$4:$J$863,$J698,$F$4:$F$863,$F698,$K$4:$K$863,$K698)&gt;1,"⚠ DOUBLON","")</f>
        <v/>
      </c>
      <c r="AB698" s="64">
        <f>IF(COUNTIF($T$4:$T$863,$T698)&lt;&gt;COUNTIFS($T$4:$T$863,$T698,$D$4:$D$863,$D698,$F$4:$F$863,$F698,$G$4:$G$863,$G698,$K$4:$K$863,$K698,$M$4:$M$863,$M698),"⚠ INCOHÉRENT","")</f>
        <v/>
      </c>
      <c r="AC698" s="64">
        <f>COUNTIFS($A$4:$A698,$A698,$J$4:$J698,$J698,$E$4:$E698,$E698)</f>
        <v/>
      </c>
      <c r="AD698" s="65">
        <f>$A698&amp;"|"&amp;$J698&amp;"|"&amp;$E698&amp;"|"&amp;$AC698</f>
        <v/>
      </c>
      <c r="AE698" s="66">
        <f>IF($W698&lt;&gt;"","⚑ "&amp;$W698&amp;CHAR(10),"")&amp;TEXT($F698,"hh:mm")&amp;"-"&amp;TEXT($G698,"hh:mm")&amp;IF(OR($P698="Quinzaine A",AND($P698="Hebdo · groupes alternés",$C698="A"))," Q-A",IF(OR($P698="Quinzaine B",AND($P698="Hebdo · groupes alternés",$C698="B"))," Q-B",IF($P698="Exception"," PONCT.","")))&amp;IF($X698="Oui"," OPT","")&amp;CHAR(10)&amp;$K698&amp;CHAR(10)&amp;$M698&amp;IF($N698&lt;&gt;"",CHAR(10)&amp;"Salle "&amp;$N698,"")&amp;IF($O698="En ligne",CHAR(10)&amp;"EN LIGNE","")&amp;IF($V698&lt;&gt;"",CHAR(10)&amp;$V698,"")</f>
        <v/>
      </c>
      <c r="AF698" s="65" t="inlineStr"/>
      <c r="AG698" s="65" t="inlineStr">
        <is>
          <t>— généré —</t>
        </is>
      </c>
    </row>
    <row r="699" ht="15" customHeight="1">
      <c r="A699" s="58" t="inlineStr">
        <is>
          <t>S6</t>
        </is>
      </c>
      <c r="B699" s="59" t="inlineStr">
        <is>
          <t>du 19 au 25 octobre 2026</t>
        </is>
      </c>
      <c r="C699" s="58" t="inlineStr">
        <is>
          <t>B</t>
        </is>
      </c>
      <c r="D699" s="60" t="n">
        <v>46319</v>
      </c>
      <c r="E699" s="58" t="inlineStr">
        <is>
          <t>Samedi</t>
        </is>
      </c>
      <c r="F699" s="61" t="n">
        <v>0.7083333333333334</v>
      </c>
      <c r="G699" s="61" t="n">
        <v>0.7916666666666666</v>
      </c>
      <c r="H699" s="62">
        <f>IF(OR($F699="",$G699=""),"",($G699-$F699)*24)</f>
        <v/>
      </c>
      <c r="I699" s="58" t="inlineStr">
        <is>
          <t>Primaire</t>
        </is>
      </c>
      <c r="J699" s="59" t="inlineStr">
        <is>
          <t>6éme (B)</t>
        </is>
      </c>
      <c r="K699" s="63" t="inlineStr">
        <is>
          <t>عربية</t>
        </is>
      </c>
      <c r="L699" s="63" t="inlineStr">
        <is>
          <t>Arabe</t>
        </is>
      </c>
      <c r="M699" s="59" t="inlineStr">
        <is>
          <t>Lobna</t>
        </is>
      </c>
      <c r="N699" s="58" t="n"/>
      <c r="O699" s="58" t="n"/>
      <c r="P699" s="58" t="inlineStr">
        <is>
          <t>Hebdomadaire</t>
        </is>
      </c>
      <c r="Q699" s="59" t="inlineStr"/>
      <c r="R699" s="58" t="n">
        <v>1</v>
      </c>
      <c r="S699" s="58" t="inlineStr">
        <is>
          <t>Oui</t>
        </is>
      </c>
      <c r="T699" s="58" t="inlineStr">
        <is>
          <t>S6-058</t>
        </is>
      </c>
      <c r="U699" s="59" t="inlineStr">
        <is>
          <t>Généré (octobre)</t>
        </is>
      </c>
      <c r="V699" s="59" t="inlineStr"/>
      <c r="W699" s="10" t="n"/>
      <c r="X699" s="10" t="inlineStr"/>
      <c r="Y699" s="64">
        <f>IF($M699="","",IF(SUMPRODUCT(($D$4:$D$863=$D699)*($M$4:$M$863=$M699)*($T$4:$T$863&lt;&gt;$T699)*($F$4:$F$863&lt;$G699)*($G$4:$G$863&gt;$F699))&gt;0,"⚠ CONFLIT",""))</f>
        <v/>
      </c>
      <c r="Z699" s="64">
        <f>IF($J699="","",IF(SUMPRODUCT(($D$4:$D$863=$D699)*($J$4:$J$863=$J699)*($T$4:$T$863&lt;&gt;$T699)*($F$4:$F$863&lt;$G699)*($G$4:$G$863&gt;$F699)*(1-($X$4:$X$863="Oui")*($X699="Oui")))&gt;0,"⚠ CONFLIT",""))</f>
        <v/>
      </c>
      <c r="AA699" s="64">
        <f>IF(COUNTIFS($D$4:$D$863,$D699,$J$4:$J$863,$J699,$F$4:$F$863,$F699,$K$4:$K$863,$K699)&gt;1,"⚠ DOUBLON","")</f>
        <v/>
      </c>
      <c r="AB699" s="64">
        <f>IF(COUNTIF($T$4:$T$863,$T699)&lt;&gt;COUNTIFS($T$4:$T$863,$T699,$D$4:$D$863,$D699,$F$4:$F$863,$F699,$G$4:$G$863,$G699,$K$4:$K$863,$K699,$M$4:$M$863,$M699),"⚠ INCOHÉRENT","")</f>
        <v/>
      </c>
      <c r="AC699" s="64">
        <f>COUNTIFS($A$4:$A699,$A699,$J$4:$J699,$J699,$E$4:$E699,$E699)</f>
        <v/>
      </c>
      <c r="AD699" s="65">
        <f>$A699&amp;"|"&amp;$J699&amp;"|"&amp;$E699&amp;"|"&amp;$AC699</f>
        <v/>
      </c>
      <c r="AE699" s="66">
        <f>IF($W699&lt;&gt;"","⚑ "&amp;$W699&amp;CHAR(10),"")&amp;TEXT($F699,"hh:mm")&amp;"-"&amp;TEXT($G699,"hh:mm")&amp;IF(OR($P699="Quinzaine A",AND($P699="Hebdo · groupes alternés",$C699="A"))," Q-A",IF(OR($P699="Quinzaine B",AND($P699="Hebdo · groupes alternés",$C699="B"))," Q-B",IF($P699="Exception"," PONCT.","")))&amp;IF($X699="Oui"," OPT","")&amp;CHAR(10)&amp;$K699&amp;CHAR(10)&amp;$M699&amp;IF($N699&lt;&gt;"",CHAR(10)&amp;"Salle "&amp;$N699,"")&amp;IF($O699="En ligne",CHAR(10)&amp;"EN LIGNE","")&amp;IF($V699&lt;&gt;"",CHAR(10)&amp;$V699,"")</f>
        <v/>
      </c>
      <c r="AF699" s="65" t="inlineStr"/>
      <c r="AG699" s="65" t="inlineStr">
        <is>
          <t>— généré —</t>
        </is>
      </c>
    </row>
    <row r="700" ht="15" customHeight="1">
      <c r="A700" s="68" t="inlineStr">
        <is>
          <t>S6</t>
        </is>
      </c>
      <c r="B700" s="69" t="inlineStr">
        <is>
          <t>du 19 au 25 octobre 2026</t>
        </is>
      </c>
      <c r="C700" s="68" t="inlineStr">
        <is>
          <t>B</t>
        </is>
      </c>
      <c r="D700" s="70" t="n">
        <v>46319</v>
      </c>
      <c r="E700" s="68" t="inlineStr">
        <is>
          <t>Samedi</t>
        </is>
      </c>
      <c r="F700" s="71" t="n">
        <v>0.75</v>
      </c>
      <c r="G700" s="71" t="n">
        <v>0.8125</v>
      </c>
      <c r="H700" s="72">
        <f>IF(OR($F700="",$G700=""),"",($G700-$F700)*24)</f>
        <v/>
      </c>
      <c r="I700" s="68" t="inlineStr">
        <is>
          <t>Collège</t>
        </is>
      </c>
      <c r="J700" s="69" t="inlineStr">
        <is>
          <t>7éme (A)</t>
        </is>
      </c>
      <c r="K700" s="63" t="inlineStr">
        <is>
          <t>Arabe</t>
        </is>
      </c>
      <c r="L700" s="63" t="inlineStr">
        <is>
          <t>Arabe</t>
        </is>
      </c>
      <c r="M700" s="69" t="inlineStr">
        <is>
          <t>Awatef</t>
        </is>
      </c>
      <c r="N700" s="68" t="n"/>
      <c r="O700" s="68" t="n"/>
      <c r="P700" s="68" t="inlineStr">
        <is>
          <t>Hebdomadaire</t>
        </is>
      </c>
      <c r="Q700" s="69" t="inlineStr"/>
      <c r="R700" s="68" t="n">
        <v>1</v>
      </c>
      <c r="S700" s="68" t="inlineStr">
        <is>
          <t>Oui</t>
        </is>
      </c>
      <c r="T700" s="68" t="inlineStr">
        <is>
          <t>S6-060</t>
        </is>
      </c>
      <c r="U700" s="69" t="inlineStr">
        <is>
          <t>Généré (octobre)</t>
        </is>
      </c>
      <c r="V700" s="69" t="inlineStr"/>
      <c r="W700" s="10" t="n"/>
      <c r="X700" s="10" t="inlineStr"/>
      <c r="Y700" s="64">
        <f>IF($M700="","",IF(SUMPRODUCT(($D$4:$D$863=$D700)*($M$4:$M$863=$M700)*($T$4:$T$863&lt;&gt;$T700)*($F$4:$F$863&lt;$G700)*($G$4:$G$863&gt;$F700))&gt;0,"⚠ CONFLIT",""))</f>
        <v/>
      </c>
      <c r="Z700" s="64">
        <f>IF($J700="","",IF(SUMPRODUCT(($D$4:$D$863=$D700)*($J$4:$J$863=$J700)*($T$4:$T$863&lt;&gt;$T700)*($F$4:$F$863&lt;$G700)*($G$4:$G$863&gt;$F700)*(1-($X$4:$X$863="Oui")*($X700="Oui")))&gt;0,"⚠ CONFLIT",""))</f>
        <v/>
      </c>
      <c r="AA700" s="64">
        <f>IF(COUNTIFS($D$4:$D$863,$D700,$J$4:$J$863,$J700,$F$4:$F$863,$F700,$K$4:$K$863,$K700)&gt;1,"⚠ DOUBLON","")</f>
        <v/>
      </c>
      <c r="AB700" s="64">
        <f>IF(COUNTIF($T$4:$T$863,$T700)&lt;&gt;COUNTIFS($T$4:$T$863,$T700,$D$4:$D$863,$D700,$F$4:$F$863,$F700,$G$4:$G$863,$G700,$K$4:$K$863,$K700,$M$4:$M$863,$M700),"⚠ INCOHÉRENT","")</f>
        <v/>
      </c>
      <c r="AC700" s="64">
        <f>COUNTIFS($A$4:$A700,$A700,$J$4:$J700,$J700,$E$4:$E700,$E700)</f>
        <v/>
      </c>
      <c r="AD700" s="65">
        <f>$A700&amp;"|"&amp;$J700&amp;"|"&amp;$E700&amp;"|"&amp;$AC700</f>
        <v/>
      </c>
      <c r="AE700" s="66">
        <f>IF($W700&lt;&gt;"","⚑ "&amp;$W700&amp;CHAR(10),"")&amp;TEXT($F700,"hh:mm")&amp;"-"&amp;TEXT($G700,"hh:mm")&amp;IF(OR($P700="Quinzaine A",AND($P700="Hebdo · groupes alternés",$C700="A"))," Q-A",IF(OR($P700="Quinzaine B",AND($P700="Hebdo · groupes alternés",$C700="B"))," Q-B",IF($P700="Exception"," PONCT.","")))&amp;IF($X700="Oui"," OPT","")&amp;CHAR(10)&amp;$K700&amp;CHAR(10)&amp;$M700&amp;IF($N700&lt;&gt;"",CHAR(10)&amp;"Salle "&amp;$N700,"")&amp;IF($O700="En ligne",CHAR(10)&amp;"EN LIGNE","")&amp;IF($V700&lt;&gt;"",CHAR(10)&amp;$V700,"")</f>
        <v/>
      </c>
      <c r="AF700" s="65" t="inlineStr"/>
      <c r="AG700" s="65" t="inlineStr">
        <is>
          <t>— généré —</t>
        </is>
      </c>
    </row>
    <row r="701" ht="15" customHeight="1">
      <c r="A701" s="68" t="inlineStr">
        <is>
          <t>S6</t>
        </is>
      </c>
      <c r="B701" s="69" t="inlineStr">
        <is>
          <t>du 19 au 25 octobre 2026</t>
        </is>
      </c>
      <c r="C701" s="68" t="inlineStr">
        <is>
          <t>B</t>
        </is>
      </c>
      <c r="D701" s="70" t="n">
        <v>46319</v>
      </c>
      <c r="E701" s="68" t="inlineStr">
        <is>
          <t>Samedi</t>
        </is>
      </c>
      <c r="F701" s="71" t="n">
        <v>0.6666666666666666</v>
      </c>
      <c r="G701" s="71" t="n">
        <v>0.7291666666666666</v>
      </c>
      <c r="H701" s="72">
        <f>IF(OR($F701="",$G701=""),"",($G701-$F701)*24)</f>
        <v/>
      </c>
      <c r="I701" s="68" t="inlineStr">
        <is>
          <t>Collège</t>
        </is>
      </c>
      <c r="J701" s="69" t="inlineStr">
        <is>
          <t>7éme (B)</t>
        </is>
      </c>
      <c r="K701" s="88" t="inlineStr">
        <is>
          <t>SVT</t>
        </is>
      </c>
      <c r="L701" s="88" t="inlineStr">
        <is>
          <t>SVT</t>
        </is>
      </c>
      <c r="M701" s="69" t="inlineStr">
        <is>
          <t>Sabrine</t>
        </is>
      </c>
      <c r="N701" s="68" t="n"/>
      <c r="O701" s="68" t="n"/>
      <c r="P701" s="68" t="inlineStr">
        <is>
          <t>Hebdo · groupes alternés</t>
        </is>
      </c>
      <c r="Q701" s="69" t="inlineStr"/>
      <c r="R701" s="68" t="n">
        <v>1</v>
      </c>
      <c r="S701" s="68" t="inlineStr">
        <is>
          <t>Oui</t>
        </is>
      </c>
      <c r="T701" s="68" t="inlineStr">
        <is>
          <t>S6-059</t>
        </is>
      </c>
      <c r="U701" s="69" t="inlineStr">
        <is>
          <t>Généré (octobre)</t>
        </is>
      </c>
      <c r="V701" s="69" t="inlineStr"/>
      <c r="W701" s="10" t="n"/>
      <c r="X701" s="10" t="inlineStr"/>
      <c r="Y701" s="64">
        <f>IF($M701="","",IF(SUMPRODUCT(($D$4:$D$863=$D701)*($M$4:$M$863=$M701)*($T$4:$T$863&lt;&gt;$T701)*($F$4:$F$863&lt;$G701)*($G$4:$G$863&gt;$F701))&gt;0,"⚠ CONFLIT",""))</f>
        <v/>
      </c>
      <c r="Z701" s="64">
        <f>IF($J701="","",IF(SUMPRODUCT(($D$4:$D$863=$D701)*($J$4:$J$863=$J701)*($T$4:$T$863&lt;&gt;$T701)*($F$4:$F$863&lt;$G701)*($G$4:$G$863&gt;$F701)*(1-($X$4:$X$863="Oui")*($X701="Oui")))&gt;0,"⚠ CONFLIT",""))</f>
        <v/>
      </c>
      <c r="AA701" s="64">
        <f>IF(COUNTIFS($D$4:$D$863,$D701,$J$4:$J$863,$J701,$F$4:$F$863,$F701,$K$4:$K$863,$K701)&gt;1,"⚠ DOUBLON","")</f>
        <v/>
      </c>
      <c r="AB701" s="64">
        <f>IF(COUNTIF($T$4:$T$863,$T701)&lt;&gt;COUNTIFS($T$4:$T$863,$T701,$D$4:$D$863,$D701,$F$4:$F$863,$F701,$G$4:$G$863,$G701,$K$4:$K$863,$K701,$M$4:$M$863,$M701),"⚠ INCOHÉRENT","")</f>
        <v/>
      </c>
      <c r="AC701" s="64">
        <f>COUNTIFS($A$4:$A701,$A701,$J$4:$J701,$J701,$E$4:$E701,$E701)</f>
        <v/>
      </c>
      <c r="AD701" s="65">
        <f>$A701&amp;"|"&amp;$J701&amp;"|"&amp;$E701&amp;"|"&amp;$AC701</f>
        <v/>
      </c>
      <c r="AE701" s="66">
        <f>IF($W701&lt;&gt;"","⚑ "&amp;$W701&amp;CHAR(10),"")&amp;TEXT($F701,"hh:mm")&amp;"-"&amp;TEXT($G701,"hh:mm")&amp;IF(OR($P701="Quinzaine A",AND($P701="Hebdo · groupes alternés",$C701="A"))," Q-A",IF(OR($P701="Quinzaine B",AND($P701="Hebdo · groupes alternés",$C701="B"))," Q-B",IF($P701="Exception"," PONCT.","")))&amp;IF($X701="Oui"," OPT","")&amp;CHAR(10)&amp;$K701&amp;CHAR(10)&amp;$M701&amp;IF($N701&lt;&gt;"",CHAR(10)&amp;"Salle "&amp;$N701,"")&amp;IF($O701="En ligne",CHAR(10)&amp;"EN LIGNE","")&amp;IF($V701&lt;&gt;"",CHAR(10)&amp;$V701,"")</f>
        <v/>
      </c>
      <c r="AF701" s="65" t="inlineStr"/>
      <c r="AG701" s="65" t="inlineStr">
        <is>
          <t>— généré —</t>
        </is>
      </c>
    </row>
    <row r="702" ht="15" customHeight="1">
      <c r="A702" s="68" t="inlineStr">
        <is>
          <t>S6</t>
        </is>
      </c>
      <c r="B702" s="69" t="inlineStr">
        <is>
          <t>du 19 au 25 octobre 2026</t>
        </is>
      </c>
      <c r="C702" s="68" t="inlineStr">
        <is>
          <t>B</t>
        </is>
      </c>
      <c r="D702" s="70" t="n">
        <v>46319</v>
      </c>
      <c r="E702" s="68" t="inlineStr">
        <is>
          <t>Samedi</t>
        </is>
      </c>
      <c r="F702" s="71" t="n">
        <v>0.7291666666666666</v>
      </c>
      <c r="G702" s="71" t="n">
        <v>0.7916666666666666</v>
      </c>
      <c r="H702" s="72">
        <f>IF(OR($F702="",$G702=""),"",($G702-$F702)*24)</f>
        <v/>
      </c>
      <c r="I702" s="68" t="inlineStr">
        <is>
          <t>Collège</t>
        </is>
      </c>
      <c r="J702" s="69" t="inlineStr">
        <is>
          <t>8éme (A)</t>
        </is>
      </c>
      <c r="K702" s="87" t="inlineStr">
        <is>
          <t>Anglais</t>
        </is>
      </c>
      <c r="L702" s="87" t="inlineStr">
        <is>
          <t>Anglais</t>
        </is>
      </c>
      <c r="M702" s="69" t="inlineStr">
        <is>
          <t>Imen Ben Lazrak</t>
        </is>
      </c>
      <c r="N702" s="68" t="n"/>
      <c r="O702" s="68" t="n"/>
      <c r="P702" s="68" t="inlineStr">
        <is>
          <t>Hebdo · groupes alternés</t>
        </is>
      </c>
      <c r="Q702" s="69" t="inlineStr"/>
      <c r="R702" s="68" t="n">
        <v>1</v>
      </c>
      <c r="S702" s="68" t="inlineStr">
        <is>
          <t>Oui</t>
        </is>
      </c>
      <c r="T702" s="68" t="inlineStr">
        <is>
          <t>S6-062</t>
        </is>
      </c>
      <c r="U702" s="69" t="inlineStr">
        <is>
          <t>Généré (octobre)</t>
        </is>
      </c>
      <c r="V702" s="69" t="inlineStr"/>
      <c r="W702" s="10" t="n"/>
      <c r="X702" s="10" t="inlineStr"/>
      <c r="Y702" s="64">
        <f>IF($M702="","",IF(SUMPRODUCT(($D$4:$D$863=$D702)*($M$4:$M$863=$M702)*($T$4:$T$863&lt;&gt;$T702)*($F$4:$F$863&lt;$G702)*($G$4:$G$863&gt;$F702))&gt;0,"⚠ CONFLIT",""))</f>
        <v/>
      </c>
      <c r="Z702" s="64">
        <f>IF($J702="","",IF(SUMPRODUCT(($D$4:$D$863=$D702)*($J$4:$J$863=$J702)*($T$4:$T$863&lt;&gt;$T702)*($F$4:$F$863&lt;$G702)*($G$4:$G$863&gt;$F702)*(1-($X$4:$X$863="Oui")*($X702="Oui")))&gt;0,"⚠ CONFLIT",""))</f>
        <v/>
      </c>
      <c r="AA702" s="64">
        <f>IF(COUNTIFS($D$4:$D$863,$D702,$J$4:$J$863,$J702,$F$4:$F$863,$F702,$K$4:$K$863,$K702)&gt;1,"⚠ DOUBLON","")</f>
        <v/>
      </c>
      <c r="AB702" s="64">
        <f>IF(COUNTIF($T$4:$T$863,$T702)&lt;&gt;COUNTIFS($T$4:$T$863,$T702,$D$4:$D$863,$D702,$F$4:$F$863,$F702,$G$4:$G$863,$G702,$K$4:$K$863,$K702,$M$4:$M$863,$M702),"⚠ INCOHÉRENT","")</f>
        <v/>
      </c>
      <c r="AC702" s="64">
        <f>COUNTIFS($A$4:$A702,$A702,$J$4:$J702,$J702,$E$4:$E702,$E702)</f>
        <v/>
      </c>
      <c r="AD702" s="65">
        <f>$A702&amp;"|"&amp;$J702&amp;"|"&amp;$E702&amp;"|"&amp;$AC702</f>
        <v/>
      </c>
      <c r="AE702" s="66">
        <f>IF($W702&lt;&gt;"","⚑ "&amp;$W702&amp;CHAR(10),"")&amp;TEXT($F702,"hh:mm")&amp;"-"&amp;TEXT($G702,"hh:mm")&amp;IF(OR($P702="Quinzaine A",AND($P702="Hebdo · groupes alternés",$C702="A"))," Q-A",IF(OR($P702="Quinzaine B",AND($P702="Hebdo · groupes alternés",$C702="B"))," Q-B",IF($P702="Exception"," PONCT.","")))&amp;IF($X702="Oui"," OPT","")&amp;CHAR(10)&amp;$K702&amp;CHAR(10)&amp;$M702&amp;IF($N702&lt;&gt;"",CHAR(10)&amp;"Salle "&amp;$N702,"")&amp;IF($O702="En ligne",CHAR(10)&amp;"EN LIGNE","")&amp;IF($V702&lt;&gt;"",CHAR(10)&amp;$V702,"")</f>
        <v/>
      </c>
      <c r="AF702" s="65" t="inlineStr"/>
      <c r="AG702" s="65" t="inlineStr">
        <is>
          <t>— généré —</t>
        </is>
      </c>
    </row>
    <row r="703" ht="15" customHeight="1">
      <c r="A703" s="68" t="inlineStr">
        <is>
          <t>S6</t>
        </is>
      </c>
      <c r="B703" s="69" t="inlineStr">
        <is>
          <t>du 19 au 25 octobre 2026</t>
        </is>
      </c>
      <c r="C703" s="68" t="inlineStr">
        <is>
          <t>B</t>
        </is>
      </c>
      <c r="D703" s="70" t="n">
        <v>46319</v>
      </c>
      <c r="E703" s="68" t="inlineStr">
        <is>
          <t>Samedi</t>
        </is>
      </c>
      <c r="F703" s="71" t="n">
        <v>0.7291666666666666</v>
      </c>
      <c r="G703" s="71" t="n">
        <v>0.7916666666666666</v>
      </c>
      <c r="H703" s="72">
        <f>IF(OR($F703="",$G703=""),"",($G703-$F703)*24)</f>
        <v/>
      </c>
      <c r="I703" s="68" t="inlineStr">
        <is>
          <t>Collège</t>
        </is>
      </c>
      <c r="J703" s="69" t="inlineStr">
        <is>
          <t>8éme (B)</t>
        </is>
      </c>
      <c r="K703" s="88" t="inlineStr">
        <is>
          <t>SVT</t>
        </is>
      </c>
      <c r="L703" s="88" t="inlineStr">
        <is>
          <t>SVT</t>
        </is>
      </c>
      <c r="M703" s="69" t="inlineStr">
        <is>
          <t>Sabrine</t>
        </is>
      </c>
      <c r="N703" s="68" t="n"/>
      <c r="O703" s="68" t="n"/>
      <c r="P703" s="68" t="inlineStr">
        <is>
          <t>Hebdo · groupes alternés</t>
        </is>
      </c>
      <c r="Q703" s="69" t="inlineStr">
        <is>
          <t>8éme (B) + 8éme (C)</t>
        </is>
      </c>
      <c r="R703" s="68" t="n">
        <v>2</v>
      </c>
      <c r="S703" s="68" t="inlineStr">
        <is>
          <t>Oui</t>
        </is>
      </c>
      <c r="T703" s="68" t="inlineStr">
        <is>
          <t>S6-061</t>
        </is>
      </c>
      <c r="U703" s="69" t="inlineStr">
        <is>
          <t>Généré (octobre)</t>
        </is>
      </c>
      <c r="V703" s="69" t="inlineStr"/>
      <c r="W703" s="10" t="n"/>
      <c r="X703" s="10" t="inlineStr"/>
      <c r="Y703" s="64">
        <f>IF($M703="","",IF(SUMPRODUCT(($D$4:$D$863=$D703)*($M$4:$M$863=$M703)*($T$4:$T$863&lt;&gt;$T703)*($F$4:$F$863&lt;$G703)*($G$4:$G$863&gt;$F703))&gt;0,"⚠ CONFLIT",""))</f>
        <v/>
      </c>
      <c r="Z703" s="64">
        <f>IF($J703="","",IF(SUMPRODUCT(($D$4:$D$863=$D703)*($J$4:$J$863=$J703)*($T$4:$T$863&lt;&gt;$T703)*($F$4:$F$863&lt;$G703)*($G$4:$G$863&gt;$F703)*(1-($X$4:$X$863="Oui")*($X703="Oui")))&gt;0,"⚠ CONFLIT",""))</f>
        <v/>
      </c>
      <c r="AA703" s="64">
        <f>IF(COUNTIFS($D$4:$D$863,$D703,$J$4:$J$863,$J703,$F$4:$F$863,$F703,$K$4:$K$863,$K703)&gt;1,"⚠ DOUBLON","")</f>
        <v/>
      </c>
      <c r="AB703" s="64">
        <f>IF(COUNTIF($T$4:$T$863,$T703)&lt;&gt;COUNTIFS($T$4:$T$863,$T703,$D$4:$D$863,$D703,$F$4:$F$863,$F703,$G$4:$G$863,$G703,$K$4:$K$863,$K703,$M$4:$M$863,$M703),"⚠ INCOHÉRENT","")</f>
        <v/>
      </c>
      <c r="AC703" s="64">
        <f>COUNTIFS($A$4:$A703,$A703,$J$4:$J703,$J703,$E$4:$E703,$E703)</f>
        <v/>
      </c>
      <c r="AD703" s="65">
        <f>$A703&amp;"|"&amp;$J703&amp;"|"&amp;$E703&amp;"|"&amp;$AC703</f>
        <v/>
      </c>
      <c r="AE703" s="66">
        <f>IF($W703&lt;&gt;"","⚑ "&amp;$W703&amp;CHAR(10),"")&amp;TEXT($F703,"hh:mm")&amp;"-"&amp;TEXT($G703,"hh:mm")&amp;IF(OR($P703="Quinzaine A",AND($P703="Hebdo · groupes alternés",$C703="A"))," Q-A",IF(OR($P703="Quinzaine B",AND($P703="Hebdo · groupes alternés",$C703="B"))," Q-B",IF($P703="Exception"," PONCT.","")))&amp;IF($X703="Oui"," OPT","")&amp;CHAR(10)&amp;$K703&amp;CHAR(10)&amp;$M703&amp;IF($N703&lt;&gt;"",CHAR(10)&amp;"Salle "&amp;$N703,"")&amp;IF($O703="En ligne",CHAR(10)&amp;"EN LIGNE","")&amp;IF($V703&lt;&gt;"",CHAR(10)&amp;$V703,"")</f>
        <v/>
      </c>
      <c r="AF703" s="65" t="inlineStr"/>
      <c r="AG703" s="65" t="inlineStr">
        <is>
          <t>— généré —</t>
        </is>
      </c>
    </row>
    <row r="704" ht="15" customHeight="1">
      <c r="A704" s="68" t="inlineStr">
        <is>
          <t>S6</t>
        </is>
      </c>
      <c r="B704" s="69" t="inlineStr">
        <is>
          <t>du 19 au 25 octobre 2026</t>
        </is>
      </c>
      <c r="C704" s="68" t="inlineStr">
        <is>
          <t>B</t>
        </is>
      </c>
      <c r="D704" s="70" t="n">
        <v>46319</v>
      </c>
      <c r="E704" s="68" t="inlineStr">
        <is>
          <t>Samedi</t>
        </is>
      </c>
      <c r="F704" s="71" t="n">
        <v>0.7291666666666666</v>
      </c>
      <c r="G704" s="71" t="n">
        <v>0.7916666666666666</v>
      </c>
      <c r="H704" s="72">
        <f>IF(OR($F704="",$G704=""),"",($G704-$F704)*24)</f>
        <v/>
      </c>
      <c r="I704" s="68" t="inlineStr">
        <is>
          <t>Collège</t>
        </is>
      </c>
      <c r="J704" s="69" t="inlineStr">
        <is>
          <t>8éme (C)</t>
        </is>
      </c>
      <c r="K704" s="88" t="inlineStr">
        <is>
          <t>SVT</t>
        </is>
      </c>
      <c r="L704" s="88" t="inlineStr">
        <is>
          <t>SVT</t>
        </is>
      </c>
      <c r="M704" s="69" t="inlineStr">
        <is>
          <t>Sabrine</t>
        </is>
      </c>
      <c r="N704" s="68" t="n"/>
      <c r="O704" s="68" t="n"/>
      <c r="P704" s="68" t="inlineStr">
        <is>
          <t>Hebdo · groupes alternés</t>
        </is>
      </c>
      <c r="Q704" s="69" t="inlineStr">
        <is>
          <t>8éme (B) + 8éme (C)</t>
        </is>
      </c>
      <c r="R704" s="68" t="n">
        <v>2</v>
      </c>
      <c r="S704" s="68" t="inlineStr"/>
      <c r="T704" s="68" t="inlineStr">
        <is>
          <t>S6-061</t>
        </is>
      </c>
      <c r="U704" s="69" t="inlineStr">
        <is>
          <t>Généré (octobre)</t>
        </is>
      </c>
      <c r="V704" s="69" t="inlineStr"/>
      <c r="W704" s="10" t="n"/>
      <c r="X704" s="10" t="inlineStr"/>
      <c r="Y704" s="64">
        <f>IF($M704="","",IF(SUMPRODUCT(($D$4:$D$863=$D704)*($M$4:$M$863=$M704)*($T$4:$T$863&lt;&gt;$T704)*($F$4:$F$863&lt;$G704)*($G$4:$G$863&gt;$F704))&gt;0,"⚠ CONFLIT",""))</f>
        <v/>
      </c>
      <c r="Z704" s="64">
        <f>IF($J704="","",IF(SUMPRODUCT(($D$4:$D$863=$D704)*($J$4:$J$863=$J704)*($T$4:$T$863&lt;&gt;$T704)*($F$4:$F$863&lt;$G704)*($G$4:$G$863&gt;$F704)*(1-($X$4:$X$863="Oui")*($X704="Oui")))&gt;0,"⚠ CONFLIT",""))</f>
        <v/>
      </c>
      <c r="AA704" s="64">
        <f>IF(COUNTIFS($D$4:$D$863,$D704,$J$4:$J$863,$J704,$F$4:$F$863,$F704,$K$4:$K$863,$K704)&gt;1,"⚠ DOUBLON","")</f>
        <v/>
      </c>
      <c r="AB704" s="64">
        <f>IF(COUNTIF($T$4:$T$863,$T704)&lt;&gt;COUNTIFS($T$4:$T$863,$T704,$D$4:$D$863,$D704,$F$4:$F$863,$F704,$G$4:$G$863,$G704,$K$4:$K$863,$K704,$M$4:$M$863,$M704),"⚠ INCOHÉRENT","")</f>
        <v/>
      </c>
      <c r="AC704" s="64">
        <f>COUNTIFS($A$4:$A704,$A704,$J$4:$J704,$J704,$E$4:$E704,$E704)</f>
        <v/>
      </c>
      <c r="AD704" s="65">
        <f>$A704&amp;"|"&amp;$J704&amp;"|"&amp;$E704&amp;"|"&amp;$AC704</f>
        <v/>
      </c>
      <c r="AE704" s="66">
        <f>IF($W704&lt;&gt;"","⚑ "&amp;$W704&amp;CHAR(10),"")&amp;TEXT($F704,"hh:mm")&amp;"-"&amp;TEXT($G704,"hh:mm")&amp;IF(OR($P704="Quinzaine A",AND($P704="Hebdo · groupes alternés",$C704="A"))," Q-A",IF(OR($P704="Quinzaine B",AND($P704="Hebdo · groupes alternés",$C704="B"))," Q-B",IF($P704="Exception"," PONCT.","")))&amp;IF($X704="Oui"," OPT","")&amp;CHAR(10)&amp;$K704&amp;CHAR(10)&amp;$M704&amp;IF($N704&lt;&gt;"",CHAR(10)&amp;"Salle "&amp;$N704,"")&amp;IF($O704="En ligne",CHAR(10)&amp;"EN LIGNE","")&amp;IF($V704&lt;&gt;"",CHAR(10)&amp;$V704,"")</f>
        <v/>
      </c>
      <c r="AF704" s="65" t="inlineStr"/>
      <c r="AG704" s="65" t="inlineStr">
        <is>
          <t>— généré —</t>
        </is>
      </c>
    </row>
    <row r="705" ht="15" customHeight="1">
      <c r="A705" s="68" t="inlineStr">
        <is>
          <t>S6</t>
        </is>
      </c>
      <c r="B705" s="69" t="inlineStr">
        <is>
          <t>du 19 au 25 octobre 2026</t>
        </is>
      </c>
      <c r="C705" s="68" t="inlineStr">
        <is>
          <t>B</t>
        </is>
      </c>
      <c r="D705" s="70" t="n">
        <v>46319</v>
      </c>
      <c r="E705" s="68" t="inlineStr">
        <is>
          <t>Samedi</t>
        </is>
      </c>
      <c r="F705" s="71" t="n">
        <v>0.6875</v>
      </c>
      <c r="G705" s="71" t="n">
        <v>0.75</v>
      </c>
      <c r="H705" s="72">
        <f>IF(OR($F705="",$G705=""),"",($G705-$F705)*24)</f>
        <v/>
      </c>
      <c r="I705" s="68" t="inlineStr">
        <is>
          <t>Collège</t>
        </is>
      </c>
      <c r="J705" s="69" t="inlineStr">
        <is>
          <t>9éme (A)</t>
        </is>
      </c>
      <c r="K705" s="63" t="inlineStr">
        <is>
          <t>Arabe</t>
        </is>
      </c>
      <c r="L705" s="63" t="inlineStr">
        <is>
          <t>Arabe</t>
        </is>
      </c>
      <c r="M705" s="69" t="inlineStr">
        <is>
          <t>Awatef</t>
        </is>
      </c>
      <c r="N705" s="68" t="n"/>
      <c r="O705" s="68" t="n"/>
      <c r="P705" s="68" t="inlineStr">
        <is>
          <t>Hebdomadaire</t>
        </is>
      </c>
      <c r="Q705" s="69" t="inlineStr"/>
      <c r="R705" s="68" t="n">
        <v>1</v>
      </c>
      <c r="S705" s="68" t="inlineStr">
        <is>
          <t>Oui</t>
        </is>
      </c>
      <c r="T705" s="68" t="inlineStr">
        <is>
          <t>S6-063</t>
        </is>
      </c>
      <c r="U705" s="69" t="inlineStr">
        <is>
          <t>Généré (octobre)</t>
        </is>
      </c>
      <c r="V705" s="69" t="inlineStr"/>
      <c r="W705" s="10" t="n"/>
      <c r="X705" s="10" t="inlineStr"/>
      <c r="Y705" s="64">
        <f>IF($M705="","",IF(SUMPRODUCT(($D$4:$D$863=$D705)*($M$4:$M$863=$M705)*($T$4:$T$863&lt;&gt;$T705)*($F$4:$F$863&lt;$G705)*($G$4:$G$863&gt;$F705))&gt;0,"⚠ CONFLIT",""))</f>
        <v/>
      </c>
      <c r="Z705" s="64">
        <f>IF($J705="","",IF(SUMPRODUCT(($D$4:$D$863=$D705)*($J$4:$J$863=$J705)*($T$4:$T$863&lt;&gt;$T705)*($F$4:$F$863&lt;$G705)*($G$4:$G$863&gt;$F705)*(1-($X$4:$X$863="Oui")*($X705="Oui")))&gt;0,"⚠ CONFLIT",""))</f>
        <v/>
      </c>
      <c r="AA705" s="64">
        <f>IF(COUNTIFS($D$4:$D$863,$D705,$J$4:$J$863,$J705,$F$4:$F$863,$F705,$K$4:$K$863,$K705)&gt;1,"⚠ DOUBLON","")</f>
        <v/>
      </c>
      <c r="AB705" s="64">
        <f>IF(COUNTIF($T$4:$T$863,$T705)&lt;&gt;COUNTIFS($T$4:$T$863,$T705,$D$4:$D$863,$D705,$F$4:$F$863,$F705,$G$4:$G$863,$G705,$K$4:$K$863,$K705,$M$4:$M$863,$M705),"⚠ INCOHÉRENT","")</f>
        <v/>
      </c>
      <c r="AC705" s="64">
        <f>COUNTIFS($A$4:$A705,$A705,$J$4:$J705,$J705,$E$4:$E705,$E705)</f>
        <v/>
      </c>
      <c r="AD705" s="65">
        <f>$A705&amp;"|"&amp;$J705&amp;"|"&amp;$E705&amp;"|"&amp;$AC705</f>
        <v/>
      </c>
      <c r="AE705" s="66">
        <f>IF($W705&lt;&gt;"","⚑ "&amp;$W705&amp;CHAR(10),"")&amp;TEXT($F705,"hh:mm")&amp;"-"&amp;TEXT($G705,"hh:mm")&amp;IF(OR($P705="Quinzaine A",AND($P705="Hebdo · groupes alternés",$C705="A"))," Q-A",IF(OR($P705="Quinzaine B",AND($P705="Hebdo · groupes alternés",$C705="B"))," Q-B",IF($P705="Exception"," PONCT.","")))&amp;IF($X705="Oui"," OPT","")&amp;CHAR(10)&amp;$K705&amp;CHAR(10)&amp;$M705&amp;IF($N705&lt;&gt;"",CHAR(10)&amp;"Salle "&amp;$N705,"")&amp;IF($O705="En ligne",CHAR(10)&amp;"EN LIGNE","")&amp;IF($V705&lt;&gt;"",CHAR(10)&amp;$V705,"")</f>
        <v/>
      </c>
      <c r="AF705" s="65" t="inlineStr"/>
      <c r="AG705" s="65" t="inlineStr">
        <is>
          <t>— généré —</t>
        </is>
      </c>
    </row>
    <row r="706" ht="15" customHeight="1">
      <c r="A706" s="68" t="inlineStr">
        <is>
          <t>S6</t>
        </is>
      </c>
      <c r="B706" s="69" t="inlineStr">
        <is>
          <t>du 19 au 25 octobre 2026</t>
        </is>
      </c>
      <c r="C706" s="68" t="inlineStr">
        <is>
          <t>B</t>
        </is>
      </c>
      <c r="D706" s="70" t="n">
        <v>46319</v>
      </c>
      <c r="E706" s="68" t="inlineStr">
        <is>
          <t>Samedi</t>
        </is>
      </c>
      <c r="F706" s="71" t="n">
        <v>0.7291666666666666</v>
      </c>
      <c r="G706" s="71" t="n">
        <v>0.7916666666666666</v>
      </c>
      <c r="H706" s="72">
        <f>IF(OR($F706="",$G706=""),"",($G706-$F706)*24)</f>
        <v/>
      </c>
      <c r="I706" s="68" t="inlineStr">
        <is>
          <t>Collège</t>
        </is>
      </c>
      <c r="J706" s="69" t="inlineStr">
        <is>
          <t>9éme (B)</t>
        </is>
      </c>
      <c r="K706" s="79" t="inlineStr">
        <is>
          <t>Math</t>
        </is>
      </c>
      <c r="L706" s="79" t="inlineStr">
        <is>
          <t>Math</t>
        </is>
      </c>
      <c r="M706" s="69" t="inlineStr">
        <is>
          <t>Hajer</t>
        </is>
      </c>
      <c r="N706" s="68" t="n"/>
      <c r="O706" s="68" t="n"/>
      <c r="P706" s="68" t="inlineStr">
        <is>
          <t>Hebdomadaire</t>
        </is>
      </c>
      <c r="Q706" s="69" t="inlineStr"/>
      <c r="R706" s="68" t="n">
        <v>1</v>
      </c>
      <c r="S706" s="68" t="inlineStr">
        <is>
          <t>Oui</t>
        </is>
      </c>
      <c r="T706" s="68" t="inlineStr">
        <is>
          <t>S6-064</t>
        </is>
      </c>
      <c r="U706" s="69" t="inlineStr">
        <is>
          <t>Généré (octobre)</t>
        </is>
      </c>
      <c r="V706" s="69" t="inlineStr"/>
      <c r="W706" s="10" t="n"/>
      <c r="X706" s="10" t="inlineStr"/>
      <c r="Y706" s="64">
        <f>IF($M706="","",IF(SUMPRODUCT(($D$4:$D$863=$D706)*($M$4:$M$863=$M706)*($T$4:$T$863&lt;&gt;$T706)*($F$4:$F$863&lt;$G706)*($G$4:$G$863&gt;$F706))&gt;0,"⚠ CONFLIT",""))</f>
        <v/>
      </c>
      <c r="Z706" s="64">
        <f>IF($J706="","",IF(SUMPRODUCT(($D$4:$D$863=$D706)*($J$4:$J$863=$J706)*($T$4:$T$863&lt;&gt;$T706)*($F$4:$F$863&lt;$G706)*($G$4:$G$863&gt;$F706)*(1-($X$4:$X$863="Oui")*($X706="Oui")))&gt;0,"⚠ CONFLIT",""))</f>
        <v/>
      </c>
      <c r="AA706" s="64">
        <f>IF(COUNTIFS($D$4:$D$863,$D706,$J$4:$J$863,$J706,$F$4:$F$863,$F706,$K$4:$K$863,$K706)&gt;1,"⚠ DOUBLON","")</f>
        <v/>
      </c>
      <c r="AB706" s="64">
        <f>IF(COUNTIF($T$4:$T$863,$T706)&lt;&gt;COUNTIFS($T$4:$T$863,$T706,$D$4:$D$863,$D706,$F$4:$F$863,$F706,$G$4:$G$863,$G706,$K$4:$K$863,$K706,$M$4:$M$863,$M706),"⚠ INCOHÉRENT","")</f>
        <v/>
      </c>
      <c r="AC706" s="64">
        <f>COUNTIFS($A$4:$A706,$A706,$J$4:$J706,$J706,$E$4:$E706,$E706)</f>
        <v/>
      </c>
      <c r="AD706" s="65">
        <f>$A706&amp;"|"&amp;$J706&amp;"|"&amp;$E706&amp;"|"&amp;$AC706</f>
        <v/>
      </c>
      <c r="AE706" s="66">
        <f>IF($W706&lt;&gt;"","⚑ "&amp;$W706&amp;CHAR(10),"")&amp;TEXT($F706,"hh:mm")&amp;"-"&amp;TEXT($G706,"hh:mm")&amp;IF(OR($P706="Quinzaine A",AND($P706="Hebdo · groupes alternés",$C706="A"))," Q-A",IF(OR($P706="Quinzaine B",AND($P706="Hebdo · groupes alternés",$C706="B"))," Q-B",IF($P706="Exception"," PONCT.","")))&amp;IF($X706="Oui"," OPT","")&amp;CHAR(10)&amp;$K706&amp;CHAR(10)&amp;$M706&amp;IF($N706&lt;&gt;"",CHAR(10)&amp;"Salle "&amp;$N706,"")&amp;IF($O706="En ligne",CHAR(10)&amp;"EN LIGNE","")&amp;IF($V706&lt;&gt;"",CHAR(10)&amp;$V706,"")</f>
        <v/>
      </c>
      <c r="AF706" s="65" t="inlineStr"/>
      <c r="AG706" s="65" t="inlineStr">
        <is>
          <t>— généré —</t>
        </is>
      </c>
    </row>
    <row r="707" ht="15" customHeight="1">
      <c r="A707" s="68" t="inlineStr">
        <is>
          <t>S6</t>
        </is>
      </c>
      <c r="B707" s="69" t="inlineStr">
        <is>
          <t>du 19 au 25 octobre 2026</t>
        </is>
      </c>
      <c r="C707" s="68" t="inlineStr">
        <is>
          <t>B</t>
        </is>
      </c>
      <c r="D707" s="70" t="n">
        <v>46319</v>
      </c>
      <c r="E707" s="68" t="inlineStr">
        <is>
          <t>Samedi</t>
        </is>
      </c>
      <c r="F707" s="71" t="n">
        <v>0.7916666666666666</v>
      </c>
      <c r="G707" s="71" t="n">
        <v>0.8541666666666666</v>
      </c>
      <c r="H707" s="72">
        <f>IF(OR($F707="",$G707=""),"",($G707-$F707)*24)</f>
        <v/>
      </c>
      <c r="I707" s="68" t="inlineStr">
        <is>
          <t>Collège</t>
        </is>
      </c>
      <c r="J707" s="69" t="inlineStr">
        <is>
          <t>9éme (C)</t>
        </is>
      </c>
      <c r="K707" s="79" t="inlineStr">
        <is>
          <t>Math</t>
        </is>
      </c>
      <c r="L707" s="79" t="inlineStr">
        <is>
          <t>Math</t>
        </is>
      </c>
      <c r="M707" s="69" t="inlineStr">
        <is>
          <t>Hajer</t>
        </is>
      </c>
      <c r="N707" s="68" t="n"/>
      <c r="O707" s="68" t="n"/>
      <c r="P707" s="68" t="inlineStr">
        <is>
          <t>Hebdomadaire</t>
        </is>
      </c>
      <c r="Q707" s="69" t="inlineStr"/>
      <c r="R707" s="68" t="n">
        <v>1</v>
      </c>
      <c r="S707" s="68" t="inlineStr">
        <is>
          <t>Oui</t>
        </is>
      </c>
      <c r="T707" s="68" t="inlineStr">
        <is>
          <t>S6-065</t>
        </is>
      </c>
      <c r="U707" s="69" t="inlineStr">
        <is>
          <t>Généré (octobre)</t>
        </is>
      </c>
      <c r="V707" s="69" t="inlineStr"/>
      <c r="W707" s="10" t="n"/>
      <c r="X707" s="10" t="inlineStr"/>
      <c r="Y707" s="64">
        <f>IF($M707="","",IF(SUMPRODUCT(($D$4:$D$863=$D707)*($M$4:$M$863=$M707)*($T$4:$T$863&lt;&gt;$T707)*($F$4:$F$863&lt;$G707)*($G$4:$G$863&gt;$F707))&gt;0,"⚠ CONFLIT",""))</f>
        <v/>
      </c>
      <c r="Z707" s="64">
        <f>IF($J707="","",IF(SUMPRODUCT(($D$4:$D$863=$D707)*($J$4:$J$863=$J707)*($T$4:$T$863&lt;&gt;$T707)*($F$4:$F$863&lt;$G707)*($G$4:$G$863&gt;$F707)*(1-($X$4:$X$863="Oui")*($X707="Oui")))&gt;0,"⚠ CONFLIT",""))</f>
        <v/>
      </c>
      <c r="AA707" s="64">
        <f>IF(COUNTIFS($D$4:$D$863,$D707,$J$4:$J$863,$J707,$F$4:$F$863,$F707,$K$4:$K$863,$K707)&gt;1,"⚠ DOUBLON","")</f>
        <v/>
      </c>
      <c r="AB707" s="64">
        <f>IF(COUNTIF($T$4:$T$863,$T707)&lt;&gt;COUNTIFS($T$4:$T$863,$T707,$D$4:$D$863,$D707,$F$4:$F$863,$F707,$G$4:$G$863,$G707,$K$4:$K$863,$K707,$M$4:$M$863,$M707),"⚠ INCOHÉRENT","")</f>
        <v/>
      </c>
      <c r="AC707" s="64">
        <f>COUNTIFS($A$4:$A707,$A707,$J$4:$J707,$J707,$E$4:$E707,$E707)</f>
        <v/>
      </c>
      <c r="AD707" s="65">
        <f>$A707&amp;"|"&amp;$J707&amp;"|"&amp;$E707&amp;"|"&amp;$AC707</f>
        <v/>
      </c>
      <c r="AE707" s="66">
        <f>IF($W707&lt;&gt;"","⚑ "&amp;$W707&amp;CHAR(10),"")&amp;TEXT($F707,"hh:mm")&amp;"-"&amp;TEXT($G707,"hh:mm")&amp;IF(OR($P707="Quinzaine A",AND($P707="Hebdo · groupes alternés",$C707="A"))," Q-A",IF(OR($P707="Quinzaine B",AND($P707="Hebdo · groupes alternés",$C707="B"))," Q-B",IF($P707="Exception"," PONCT.","")))&amp;IF($X707="Oui"," OPT","")&amp;CHAR(10)&amp;$K707&amp;CHAR(10)&amp;$M707&amp;IF($N707&lt;&gt;"",CHAR(10)&amp;"Salle "&amp;$N707,"")&amp;IF($O707="En ligne",CHAR(10)&amp;"EN LIGNE","")&amp;IF($V707&lt;&gt;"",CHAR(10)&amp;$V707,"")</f>
        <v/>
      </c>
      <c r="AF707" s="65" t="inlineStr"/>
      <c r="AG707" s="65" t="inlineStr">
        <is>
          <t>— généré —</t>
        </is>
      </c>
    </row>
    <row r="708" ht="15" customHeight="1">
      <c r="A708" s="74" t="inlineStr">
        <is>
          <t>S6</t>
        </is>
      </c>
      <c r="B708" s="75" t="inlineStr">
        <is>
          <t>du 19 au 25 octobre 2026</t>
        </is>
      </c>
      <c r="C708" s="74" t="inlineStr">
        <is>
          <t>B</t>
        </is>
      </c>
      <c r="D708" s="76" t="n">
        <v>46319</v>
      </c>
      <c r="E708" s="74" t="inlineStr">
        <is>
          <t>Samedi</t>
        </is>
      </c>
      <c r="F708" s="77" t="n">
        <v>0.6458333333333334</v>
      </c>
      <c r="G708" s="77" t="n">
        <v>0.7083333333333334</v>
      </c>
      <c r="H708" s="78">
        <f>IF(OR($F708="",$G708=""),"",($G708-$F708)*24)</f>
        <v/>
      </c>
      <c r="I708" s="74" t="inlineStr">
        <is>
          <t>Secondaire</t>
        </is>
      </c>
      <c r="J708" s="75" t="inlineStr">
        <is>
          <t>2éme Eco</t>
        </is>
      </c>
      <c r="K708" s="97" t="inlineStr">
        <is>
          <t>Géographie</t>
        </is>
      </c>
      <c r="L708" s="97" t="inlineStr">
        <is>
          <t>Géographie</t>
        </is>
      </c>
      <c r="M708" s="75" t="inlineStr">
        <is>
          <t>Abdelwaheb</t>
        </is>
      </c>
      <c r="N708" s="74" t="n"/>
      <c r="O708" s="74" t="n"/>
      <c r="P708" s="74" t="inlineStr">
        <is>
          <t>Quinzaine B</t>
        </is>
      </c>
      <c r="Q708" s="75" t="inlineStr"/>
      <c r="R708" s="74" t="n">
        <v>1</v>
      </c>
      <c r="S708" s="74" t="inlineStr">
        <is>
          <t>Oui</t>
        </is>
      </c>
      <c r="T708" s="74" t="inlineStr">
        <is>
          <t>S6-096</t>
        </is>
      </c>
      <c r="U708" s="75" t="inlineStr">
        <is>
          <t>Généré (octobre)</t>
        </is>
      </c>
      <c r="V708" s="75" t="inlineStr"/>
      <c r="W708" s="10" t="n"/>
      <c r="X708" s="10" t="inlineStr"/>
      <c r="Y708" s="64">
        <f>IF($M708="","",IF(SUMPRODUCT(($D$4:$D$863=$D708)*($M$4:$M$863=$M708)*($T$4:$T$863&lt;&gt;$T708)*($F$4:$F$863&lt;$G708)*($G$4:$G$863&gt;$F708))&gt;0,"⚠ CONFLIT",""))</f>
        <v/>
      </c>
      <c r="Z708" s="64">
        <f>IF($J708="","",IF(SUMPRODUCT(($D$4:$D$863=$D708)*($J$4:$J$863=$J708)*($T$4:$T$863&lt;&gt;$T708)*($F$4:$F$863&lt;$G708)*($G$4:$G$863&gt;$F708)*(1-($X$4:$X$863="Oui")*($X708="Oui")))&gt;0,"⚠ CONFLIT",""))</f>
        <v/>
      </c>
      <c r="AA708" s="64">
        <f>IF(COUNTIFS($D$4:$D$863,$D708,$J$4:$J$863,$J708,$F$4:$F$863,$F708,$K$4:$K$863,$K708)&gt;1,"⚠ DOUBLON","")</f>
        <v/>
      </c>
      <c r="AB708" s="64">
        <f>IF(COUNTIF($T$4:$T$863,$T708)&lt;&gt;COUNTIFS($T$4:$T$863,$T708,$D$4:$D$863,$D708,$F$4:$F$863,$F708,$G$4:$G$863,$G708,$K$4:$K$863,$K708,$M$4:$M$863,$M708),"⚠ INCOHÉRENT","")</f>
        <v/>
      </c>
      <c r="AC708" s="64">
        <f>COUNTIFS($A$4:$A708,$A708,$J$4:$J708,$J708,$E$4:$E708,$E708)</f>
        <v/>
      </c>
      <c r="AD708" s="65">
        <f>$A708&amp;"|"&amp;$J708&amp;"|"&amp;$E708&amp;"|"&amp;$AC708</f>
        <v/>
      </c>
      <c r="AE708" s="66">
        <f>IF($W708&lt;&gt;"","⚑ "&amp;$W708&amp;CHAR(10),"")&amp;TEXT($F708,"hh:mm")&amp;"-"&amp;TEXT($G708,"hh:mm")&amp;IF(OR($P708="Quinzaine A",AND($P708="Hebdo · groupes alternés",$C708="A"))," Q-A",IF(OR($P708="Quinzaine B",AND($P708="Hebdo · groupes alternés",$C708="B"))," Q-B",IF($P708="Exception"," PONCT.","")))&amp;IF($X708="Oui"," OPT","")&amp;CHAR(10)&amp;$K708&amp;CHAR(10)&amp;$M708&amp;IF($N708&lt;&gt;"",CHAR(10)&amp;"Salle "&amp;$N708,"")&amp;IF($O708="En ligne",CHAR(10)&amp;"EN LIGNE","")&amp;IF($V708&lt;&gt;"",CHAR(10)&amp;$V708,"")</f>
        <v/>
      </c>
      <c r="AF708" s="65" t="inlineStr"/>
      <c r="AG708" s="65" t="inlineStr">
        <is>
          <t>— généré —</t>
        </is>
      </c>
    </row>
    <row r="709" ht="15" customHeight="1">
      <c r="A709" s="74" t="inlineStr">
        <is>
          <t>S6</t>
        </is>
      </c>
      <c r="B709" s="75" t="inlineStr">
        <is>
          <t>du 19 au 25 octobre 2026</t>
        </is>
      </c>
      <c r="C709" s="74" t="inlineStr">
        <is>
          <t>B</t>
        </is>
      </c>
      <c r="D709" s="76" t="n">
        <v>46319</v>
      </c>
      <c r="E709" s="74" t="inlineStr">
        <is>
          <t>Samedi</t>
        </is>
      </c>
      <c r="F709" s="77" t="n">
        <v>0.6666666666666666</v>
      </c>
      <c r="G709" s="77" t="n">
        <v>0.7291666666666666</v>
      </c>
      <c r="H709" s="78">
        <f>IF(OR($F709="",$G709=""),"",($G709-$F709)*24)</f>
        <v/>
      </c>
      <c r="I709" s="74" t="inlineStr">
        <is>
          <t>Secondaire</t>
        </is>
      </c>
      <c r="J709" s="75" t="inlineStr">
        <is>
          <t>2éme SCE</t>
        </is>
      </c>
      <c r="K709" s="88" t="inlineStr">
        <is>
          <t>SVT</t>
        </is>
      </c>
      <c r="L709" s="88" t="inlineStr">
        <is>
          <t>SVT</t>
        </is>
      </c>
      <c r="M709" s="75" t="inlineStr">
        <is>
          <t>Rym</t>
        </is>
      </c>
      <c r="N709" s="74" t="n"/>
      <c r="O709" s="74" t="n"/>
      <c r="P709" s="74" t="inlineStr">
        <is>
          <t>Hebdomadaire</t>
        </is>
      </c>
      <c r="Q709" s="75" t="inlineStr"/>
      <c r="R709" s="74" t="n">
        <v>1</v>
      </c>
      <c r="S709" s="74" t="inlineStr">
        <is>
          <t>Oui</t>
        </is>
      </c>
      <c r="T709" s="74" t="inlineStr">
        <is>
          <t>S6-066</t>
        </is>
      </c>
      <c r="U709" s="75" t="inlineStr">
        <is>
          <t>Généré (octobre)</t>
        </is>
      </c>
      <c r="V709" s="75" t="inlineStr"/>
      <c r="W709" s="10" t="n"/>
      <c r="X709" s="10" t="inlineStr"/>
      <c r="Y709" s="64">
        <f>IF($M709="","",IF(SUMPRODUCT(($D$4:$D$863=$D709)*($M$4:$M$863=$M709)*($T$4:$T$863&lt;&gt;$T709)*($F$4:$F$863&lt;$G709)*($G$4:$G$863&gt;$F709))&gt;0,"⚠ CONFLIT",""))</f>
        <v/>
      </c>
      <c r="Z709" s="64">
        <f>IF($J709="","",IF(SUMPRODUCT(($D$4:$D$863=$D709)*($J$4:$J$863=$J709)*($T$4:$T$863&lt;&gt;$T709)*($F$4:$F$863&lt;$G709)*($G$4:$G$863&gt;$F709)*(1-($X$4:$X$863="Oui")*($X709="Oui")))&gt;0,"⚠ CONFLIT",""))</f>
        <v/>
      </c>
      <c r="AA709" s="64">
        <f>IF(COUNTIFS($D$4:$D$863,$D709,$J$4:$J$863,$J709,$F$4:$F$863,$F709,$K$4:$K$863,$K709)&gt;1,"⚠ DOUBLON","")</f>
        <v/>
      </c>
      <c r="AB709" s="64">
        <f>IF(COUNTIF($T$4:$T$863,$T709)&lt;&gt;COUNTIFS($T$4:$T$863,$T709,$D$4:$D$863,$D709,$F$4:$F$863,$F709,$G$4:$G$863,$G709,$K$4:$K$863,$K709,$M$4:$M$863,$M709),"⚠ INCOHÉRENT","")</f>
        <v/>
      </c>
      <c r="AC709" s="64">
        <f>COUNTIFS($A$4:$A709,$A709,$J$4:$J709,$J709,$E$4:$E709,$E709)</f>
        <v/>
      </c>
      <c r="AD709" s="65">
        <f>$A709&amp;"|"&amp;$J709&amp;"|"&amp;$E709&amp;"|"&amp;$AC709</f>
        <v/>
      </c>
      <c r="AE709" s="66">
        <f>IF($W709&lt;&gt;"","⚑ "&amp;$W709&amp;CHAR(10),"")&amp;TEXT($F709,"hh:mm")&amp;"-"&amp;TEXT($G709,"hh:mm")&amp;IF(OR($P709="Quinzaine A",AND($P709="Hebdo · groupes alternés",$C709="A"))," Q-A",IF(OR($P709="Quinzaine B",AND($P709="Hebdo · groupes alternés",$C709="B"))," Q-B",IF($P709="Exception"," PONCT.","")))&amp;IF($X709="Oui"," OPT","")&amp;CHAR(10)&amp;$K709&amp;CHAR(10)&amp;$M709&amp;IF($N709&lt;&gt;"",CHAR(10)&amp;"Salle "&amp;$N709,"")&amp;IF($O709="En ligne",CHAR(10)&amp;"EN LIGNE","")&amp;IF($V709&lt;&gt;"",CHAR(10)&amp;$V709,"")</f>
        <v/>
      </c>
      <c r="AF709" s="65" t="inlineStr"/>
      <c r="AG709" s="65" t="inlineStr">
        <is>
          <t>— généré —</t>
        </is>
      </c>
    </row>
    <row r="710" ht="15" customHeight="1">
      <c r="A710" s="74" t="inlineStr">
        <is>
          <t>S6</t>
        </is>
      </c>
      <c r="B710" s="75" t="inlineStr">
        <is>
          <t>du 19 au 25 octobre 2026</t>
        </is>
      </c>
      <c r="C710" s="74" t="inlineStr">
        <is>
          <t>B</t>
        </is>
      </c>
      <c r="D710" s="76" t="n">
        <v>46319</v>
      </c>
      <c r="E710" s="74" t="inlineStr">
        <is>
          <t>Samedi</t>
        </is>
      </c>
      <c r="F710" s="77" t="n">
        <v>0.7083333333333334</v>
      </c>
      <c r="G710" s="77" t="n">
        <v>0.7916666666666666</v>
      </c>
      <c r="H710" s="78">
        <f>IF(OR($F710="",$G710=""),"",($G710-$F710)*24)</f>
        <v/>
      </c>
      <c r="I710" s="74" t="inlineStr">
        <is>
          <t>Secondaire</t>
        </is>
      </c>
      <c r="J710" s="75" t="inlineStr">
        <is>
          <t>2éme INFO</t>
        </is>
      </c>
      <c r="K710" s="80" t="inlineStr">
        <is>
          <t>Informatique</t>
        </is>
      </c>
      <c r="L710" s="80" t="inlineStr">
        <is>
          <t>Informatique</t>
        </is>
      </c>
      <c r="M710" s="75" t="inlineStr">
        <is>
          <t>Aymen</t>
        </is>
      </c>
      <c r="N710" s="74" t="n"/>
      <c r="O710" s="74" t="n"/>
      <c r="P710" s="74" t="inlineStr">
        <is>
          <t>Hebdomadaire</t>
        </is>
      </c>
      <c r="Q710" s="75" t="inlineStr"/>
      <c r="R710" s="74" t="n">
        <v>1</v>
      </c>
      <c r="S710" s="74" t="inlineStr">
        <is>
          <t>Oui</t>
        </is>
      </c>
      <c r="T710" s="74" t="inlineStr">
        <is>
          <t>S6-094</t>
        </is>
      </c>
      <c r="U710" s="75" t="inlineStr">
        <is>
          <t>Généré (octobre)</t>
        </is>
      </c>
      <c r="V710" s="75" t="inlineStr"/>
      <c r="W710" s="10" t="n"/>
      <c r="X710" s="10" t="inlineStr"/>
      <c r="Y710" s="64">
        <f>IF($M710="","",IF(SUMPRODUCT(($D$4:$D$863=$D710)*($M$4:$M$863=$M710)*($T$4:$T$863&lt;&gt;$T710)*($F$4:$F$863&lt;$G710)*($G$4:$G$863&gt;$F710))&gt;0,"⚠ CONFLIT",""))</f>
        <v/>
      </c>
      <c r="Z710" s="64">
        <f>IF($J710="","",IF(SUMPRODUCT(($D$4:$D$863=$D710)*($J$4:$J$863=$J710)*($T$4:$T$863&lt;&gt;$T710)*($F$4:$F$863&lt;$G710)*($G$4:$G$863&gt;$F710)*(1-($X$4:$X$863="Oui")*($X710="Oui")))&gt;0,"⚠ CONFLIT",""))</f>
        <v/>
      </c>
      <c r="AA710" s="64">
        <f>IF(COUNTIFS($D$4:$D$863,$D710,$J$4:$J$863,$J710,$F$4:$F$863,$F710,$K$4:$K$863,$K710)&gt;1,"⚠ DOUBLON","")</f>
        <v/>
      </c>
      <c r="AB710" s="64">
        <f>IF(COUNTIF($T$4:$T$863,$T710)&lt;&gt;COUNTIFS($T$4:$T$863,$T710,$D$4:$D$863,$D710,$F$4:$F$863,$F710,$G$4:$G$863,$G710,$K$4:$K$863,$K710,$M$4:$M$863,$M710),"⚠ INCOHÉRENT","")</f>
        <v/>
      </c>
      <c r="AC710" s="64">
        <f>COUNTIFS($A$4:$A710,$A710,$J$4:$J710,$J710,$E$4:$E710,$E710)</f>
        <v/>
      </c>
      <c r="AD710" s="65">
        <f>$A710&amp;"|"&amp;$J710&amp;"|"&amp;$E710&amp;"|"&amp;$AC710</f>
        <v/>
      </c>
      <c r="AE710" s="66">
        <f>IF($W710&lt;&gt;"","⚑ "&amp;$W710&amp;CHAR(10),"")&amp;TEXT($F710,"hh:mm")&amp;"-"&amp;TEXT($G710,"hh:mm")&amp;IF(OR($P710="Quinzaine A",AND($P710="Hebdo · groupes alternés",$C710="A"))," Q-A",IF(OR($P710="Quinzaine B",AND($P710="Hebdo · groupes alternés",$C710="B"))," Q-B",IF($P710="Exception"," PONCT.","")))&amp;IF($X710="Oui"," OPT","")&amp;CHAR(10)&amp;$K710&amp;CHAR(10)&amp;$M710&amp;IF($N710&lt;&gt;"",CHAR(10)&amp;"Salle "&amp;$N710,"")&amp;IF($O710="En ligne",CHAR(10)&amp;"EN LIGNE","")&amp;IF($V710&lt;&gt;"",CHAR(10)&amp;$V710,"")</f>
        <v/>
      </c>
      <c r="AF710" s="65" t="inlineStr"/>
      <c r="AG710" s="65" t="inlineStr">
        <is>
          <t>— généré —</t>
        </is>
      </c>
    </row>
    <row r="711" ht="15" customHeight="1">
      <c r="A711" s="74" t="inlineStr">
        <is>
          <t>S6</t>
        </is>
      </c>
      <c r="B711" s="75" t="inlineStr">
        <is>
          <t>du 19 au 25 octobre 2026</t>
        </is>
      </c>
      <c r="C711" s="74" t="inlineStr">
        <is>
          <t>B</t>
        </is>
      </c>
      <c r="D711" s="76" t="n">
        <v>46319</v>
      </c>
      <c r="E711" s="74" t="inlineStr">
        <is>
          <t>Samedi</t>
        </is>
      </c>
      <c r="F711" s="77" t="n">
        <v>0.7083333333333334</v>
      </c>
      <c r="G711" s="77" t="n">
        <v>0.7708333333333334</v>
      </c>
      <c r="H711" s="78">
        <f>IF(OR($F711="",$G711=""),"",($G711-$F711)*24)</f>
        <v/>
      </c>
      <c r="I711" s="74" t="inlineStr">
        <is>
          <t>Secondaire</t>
        </is>
      </c>
      <c r="J711" s="75" t="inlineStr">
        <is>
          <t>3éme Eco</t>
        </is>
      </c>
      <c r="K711" s="97" t="inlineStr">
        <is>
          <t>Géographie</t>
        </is>
      </c>
      <c r="L711" s="97" t="inlineStr">
        <is>
          <t>Géographie</t>
        </is>
      </c>
      <c r="M711" s="75" t="inlineStr">
        <is>
          <t>Abdelwaheb</t>
        </is>
      </c>
      <c r="N711" s="74" t="n"/>
      <c r="O711" s="74" t="n"/>
      <c r="P711" s="74" t="inlineStr">
        <is>
          <t>Quinzaine B</t>
        </is>
      </c>
      <c r="Q711" s="75" t="inlineStr"/>
      <c r="R711" s="74" t="n">
        <v>1</v>
      </c>
      <c r="S711" s="74" t="inlineStr">
        <is>
          <t>Oui</t>
        </is>
      </c>
      <c r="T711" s="74" t="inlineStr">
        <is>
          <t>S6-097</t>
        </is>
      </c>
      <c r="U711" s="75" t="inlineStr">
        <is>
          <t>Généré (octobre)</t>
        </is>
      </c>
      <c r="V711" s="75" t="inlineStr"/>
      <c r="W711" s="10" t="n"/>
      <c r="X711" s="10" t="inlineStr"/>
      <c r="Y711" s="64">
        <f>IF($M711="","",IF(SUMPRODUCT(($D$4:$D$863=$D711)*($M$4:$M$863=$M711)*($T$4:$T$863&lt;&gt;$T711)*($F$4:$F$863&lt;$G711)*($G$4:$G$863&gt;$F711))&gt;0,"⚠ CONFLIT",""))</f>
        <v/>
      </c>
      <c r="Z711" s="64">
        <f>IF($J711="","",IF(SUMPRODUCT(($D$4:$D$863=$D711)*($J$4:$J$863=$J711)*($T$4:$T$863&lt;&gt;$T711)*($F$4:$F$863&lt;$G711)*($G$4:$G$863&gt;$F711)*(1-($X$4:$X$863="Oui")*($X711="Oui")))&gt;0,"⚠ CONFLIT",""))</f>
        <v/>
      </c>
      <c r="AA711" s="64">
        <f>IF(COUNTIFS($D$4:$D$863,$D711,$J$4:$J$863,$J711,$F$4:$F$863,$F711,$K$4:$K$863,$K711)&gt;1,"⚠ DOUBLON","")</f>
        <v/>
      </c>
      <c r="AB711" s="64">
        <f>IF(COUNTIF($T$4:$T$863,$T711)&lt;&gt;COUNTIFS($T$4:$T$863,$T711,$D$4:$D$863,$D711,$F$4:$F$863,$F711,$G$4:$G$863,$G711,$K$4:$K$863,$K711,$M$4:$M$863,$M711),"⚠ INCOHÉRENT","")</f>
        <v/>
      </c>
      <c r="AC711" s="64">
        <f>COUNTIFS($A$4:$A711,$A711,$J$4:$J711,$J711,$E$4:$E711,$E711)</f>
        <v/>
      </c>
      <c r="AD711" s="65">
        <f>$A711&amp;"|"&amp;$J711&amp;"|"&amp;$E711&amp;"|"&amp;$AC711</f>
        <v/>
      </c>
      <c r="AE711" s="66">
        <f>IF($W711&lt;&gt;"","⚑ "&amp;$W711&amp;CHAR(10),"")&amp;TEXT($F711,"hh:mm")&amp;"-"&amp;TEXT($G711,"hh:mm")&amp;IF(OR($P711="Quinzaine A",AND($P711="Hebdo · groupes alternés",$C711="A"))," Q-A",IF(OR($P711="Quinzaine B",AND($P711="Hebdo · groupes alternés",$C711="B"))," Q-B",IF($P711="Exception"," PONCT.","")))&amp;IF($X711="Oui"," OPT","")&amp;CHAR(10)&amp;$K711&amp;CHAR(10)&amp;$M711&amp;IF($N711&lt;&gt;"",CHAR(10)&amp;"Salle "&amp;$N711,"")&amp;IF($O711="En ligne",CHAR(10)&amp;"EN LIGNE","")&amp;IF($V711&lt;&gt;"",CHAR(10)&amp;$V711,"")</f>
        <v/>
      </c>
      <c r="AF711" s="65" t="inlineStr"/>
      <c r="AG711" s="65" t="inlineStr">
        <is>
          <t>— généré —</t>
        </is>
      </c>
    </row>
    <row r="712" ht="15" customHeight="1">
      <c r="A712" s="74" t="inlineStr">
        <is>
          <t>S6</t>
        </is>
      </c>
      <c r="B712" s="75" t="inlineStr">
        <is>
          <t>du 19 au 25 octobre 2026</t>
        </is>
      </c>
      <c r="C712" s="74" t="inlineStr">
        <is>
          <t>B</t>
        </is>
      </c>
      <c r="D712" s="76" t="n">
        <v>46319</v>
      </c>
      <c r="E712" s="74" t="inlineStr">
        <is>
          <t>Samedi</t>
        </is>
      </c>
      <c r="F712" s="77" t="n">
        <v>0.625</v>
      </c>
      <c r="G712" s="77" t="n">
        <v>0.7083333333333334</v>
      </c>
      <c r="H712" s="78">
        <f>IF(OR($F712="",$G712=""),"",($G712-$F712)*24)</f>
        <v/>
      </c>
      <c r="I712" s="74" t="inlineStr">
        <is>
          <t>Secondaire</t>
        </is>
      </c>
      <c r="J712" s="75" t="inlineStr">
        <is>
          <t>3éme INFO</t>
        </is>
      </c>
      <c r="K712" s="94" t="inlineStr">
        <is>
          <t>ALGO</t>
        </is>
      </c>
      <c r="L712" s="94" t="inlineStr">
        <is>
          <t>ALGO</t>
        </is>
      </c>
      <c r="M712" s="75" t="inlineStr">
        <is>
          <t>Aymen</t>
        </is>
      </c>
      <c r="N712" s="74" t="n"/>
      <c r="O712" s="74" t="n"/>
      <c r="P712" s="74" t="inlineStr">
        <is>
          <t>Hebdomadaire</t>
        </is>
      </c>
      <c r="Q712" s="75" t="inlineStr"/>
      <c r="R712" s="74" t="n">
        <v>1</v>
      </c>
      <c r="S712" s="74" t="inlineStr">
        <is>
          <t>Oui</t>
        </is>
      </c>
      <c r="T712" s="74" t="inlineStr">
        <is>
          <t>S6-067</t>
        </is>
      </c>
      <c r="U712" s="75" t="inlineStr">
        <is>
          <t>Généré (octobre)</t>
        </is>
      </c>
      <c r="V712" s="75" t="inlineStr"/>
      <c r="W712" s="10" t="n"/>
      <c r="X712" s="10" t="inlineStr"/>
      <c r="Y712" s="64">
        <f>IF($M712="","",IF(SUMPRODUCT(($D$4:$D$863=$D712)*($M$4:$M$863=$M712)*($T$4:$T$863&lt;&gt;$T712)*($F$4:$F$863&lt;$G712)*($G$4:$G$863&gt;$F712))&gt;0,"⚠ CONFLIT",""))</f>
        <v/>
      </c>
      <c r="Z712" s="64">
        <f>IF($J712="","",IF(SUMPRODUCT(($D$4:$D$863=$D712)*($J$4:$J$863=$J712)*($T$4:$T$863&lt;&gt;$T712)*($F$4:$F$863&lt;$G712)*($G$4:$G$863&gt;$F712)*(1-($X$4:$X$863="Oui")*($X712="Oui")))&gt;0,"⚠ CONFLIT",""))</f>
        <v/>
      </c>
      <c r="AA712" s="64">
        <f>IF(COUNTIFS($D$4:$D$863,$D712,$J$4:$J$863,$J712,$F$4:$F$863,$F712,$K$4:$K$863,$K712)&gt;1,"⚠ DOUBLON","")</f>
        <v/>
      </c>
      <c r="AB712" s="64">
        <f>IF(COUNTIF($T$4:$T$863,$T712)&lt;&gt;COUNTIFS($T$4:$T$863,$T712,$D$4:$D$863,$D712,$F$4:$F$863,$F712,$G$4:$G$863,$G712,$K$4:$K$863,$K712,$M$4:$M$863,$M712),"⚠ INCOHÉRENT","")</f>
        <v/>
      </c>
      <c r="AC712" s="64">
        <f>COUNTIFS($A$4:$A712,$A712,$J$4:$J712,$J712,$E$4:$E712,$E712)</f>
        <v/>
      </c>
      <c r="AD712" s="65">
        <f>$A712&amp;"|"&amp;$J712&amp;"|"&amp;$E712&amp;"|"&amp;$AC712</f>
        <v/>
      </c>
      <c r="AE712" s="66">
        <f>IF($W712&lt;&gt;"","⚑ "&amp;$W712&amp;CHAR(10),"")&amp;TEXT($F712,"hh:mm")&amp;"-"&amp;TEXT($G712,"hh:mm")&amp;IF(OR($P712="Quinzaine A",AND($P712="Hebdo · groupes alternés",$C712="A"))," Q-A",IF(OR($P712="Quinzaine B",AND($P712="Hebdo · groupes alternés",$C712="B"))," Q-B",IF($P712="Exception"," PONCT.","")))&amp;IF($X712="Oui"," OPT","")&amp;CHAR(10)&amp;$K712&amp;CHAR(10)&amp;$M712&amp;IF($N712&lt;&gt;"",CHAR(10)&amp;"Salle "&amp;$N712,"")&amp;IF($O712="En ligne",CHAR(10)&amp;"EN LIGNE","")&amp;IF($V712&lt;&gt;"",CHAR(10)&amp;$V712,"")</f>
        <v/>
      </c>
      <c r="AF712" s="65" t="inlineStr"/>
      <c r="AG712" s="65" t="inlineStr">
        <is>
          <t>— généré —</t>
        </is>
      </c>
    </row>
    <row r="713" ht="15" customHeight="1">
      <c r="A713" s="74" t="inlineStr">
        <is>
          <t>S6</t>
        </is>
      </c>
      <c r="B713" s="75" t="inlineStr">
        <is>
          <t>du 19 au 25 octobre 2026</t>
        </is>
      </c>
      <c r="C713" s="74" t="inlineStr">
        <is>
          <t>B</t>
        </is>
      </c>
      <c r="D713" s="76" t="n">
        <v>46319</v>
      </c>
      <c r="E713" s="74" t="inlineStr">
        <is>
          <t>Samedi</t>
        </is>
      </c>
      <c r="F713" s="77" t="n">
        <v>0.7291666666666666</v>
      </c>
      <c r="G713" s="77" t="n">
        <v>0.7916666666666666</v>
      </c>
      <c r="H713" s="78">
        <f>IF(OR($F713="",$G713=""),"",($G713-$F713)*24)</f>
        <v/>
      </c>
      <c r="I713" s="74" t="inlineStr">
        <is>
          <t>Secondaire</t>
        </is>
      </c>
      <c r="J713" s="75" t="inlineStr">
        <is>
          <t>3éme SCE</t>
        </is>
      </c>
      <c r="K713" s="88" t="inlineStr">
        <is>
          <t>SVT</t>
        </is>
      </c>
      <c r="L713" s="88" t="inlineStr">
        <is>
          <t>SVT</t>
        </is>
      </c>
      <c r="M713" s="75" t="inlineStr">
        <is>
          <t>Rym</t>
        </is>
      </c>
      <c r="N713" s="74" t="n"/>
      <c r="O713" s="74" t="n"/>
      <c r="P713" s="74" t="inlineStr">
        <is>
          <t>Hebdomadaire</t>
        </is>
      </c>
      <c r="Q713" s="75" t="inlineStr"/>
      <c r="R713" s="74" t="n">
        <v>1</v>
      </c>
      <c r="S713" s="74" t="inlineStr">
        <is>
          <t>Oui</t>
        </is>
      </c>
      <c r="T713" s="74" t="inlineStr">
        <is>
          <t>S6-068</t>
        </is>
      </c>
      <c r="U713" s="75" t="inlineStr">
        <is>
          <t>Généré (octobre)</t>
        </is>
      </c>
      <c r="V713" s="75" t="inlineStr"/>
      <c r="W713" s="10" t="n"/>
      <c r="X713" s="10" t="inlineStr"/>
      <c r="Y713" s="64">
        <f>IF($M713="","",IF(SUMPRODUCT(($D$4:$D$863=$D713)*($M$4:$M$863=$M713)*($T$4:$T$863&lt;&gt;$T713)*($F$4:$F$863&lt;$G713)*($G$4:$G$863&gt;$F713))&gt;0,"⚠ CONFLIT",""))</f>
        <v/>
      </c>
      <c r="Z713" s="64">
        <f>IF($J713="","",IF(SUMPRODUCT(($D$4:$D$863=$D713)*($J$4:$J$863=$J713)*($T$4:$T$863&lt;&gt;$T713)*($F$4:$F$863&lt;$G713)*($G$4:$G$863&gt;$F713)*(1-($X$4:$X$863="Oui")*($X713="Oui")))&gt;0,"⚠ CONFLIT",""))</f>
        <v/>
      </c>
      <c r="AA713" s="64">
        <f>IF(COUNTIFS($D$4:$D$863,$D713,$J$4:$J$863,$J713,$F$4:$F$863,$F713,$K$4:$K$863,$K713)&gt;1,"⚠ DOUBLON","")</f>
        <v/>
      </c>
      <c r="AB713" s="64">
        <f>IF(COUNTIF($T$4:$T$863,$T713)&lt;&gt;COUNTIFS($T$4:$T$863,$T713,$D$4:$D$863,$D713,$F$4:$F$863,$F713,$G$4:$G$863,$G713,$K$4:$K$863,$K713,$M$4:$M$863,$M713),"⚠ INCOHÉRENT","")</f>
        <v/>
      </c>
      <c r="AC713" s="64">
        <f>COUNTIFS($A$4:$A713,$A713,$J$4:$J713,$J713,$E$4:$E713,$E713)</f>
        <v/>
      </c>
      <c r="AD713" s="65">
        <f>$A713&amp;"|"&amp;$J713&amp;"|"&amp;$E713&amp;"|"&amp;$AC713</f>
        <v/>
      </c>
      <c r="AE713" s="66">
        <f>IF($W713&lt;&gt;"","⚑ "&amp;$W713&amp;CHAR(10),"")&amp;TEXT($F713,"hh:mm")&amp;"-"&amp;TEXT($G713,"hh:mm")&amp;IF(OR($P713="Quinzaine A",AND($P713="Hebdo · groupes alternés",$C713="A"))," Q-A",IF(OR($P713="Quinzaine B",AND($P713="Hebdo · groupes alternés",$C713="B"))," Q-B",IF($P713="Exception"," PONCT.","")))&amp;IF($X713="Oui"," OPT","")&amp;CHAR(10)&amp;$K713&amp;CHAR(10)&amp;$M713&amp;IF($N713&lt;&gt;"",CHAR(10)&amp;"Salle "&amp;$N713,"")&amp;IF($O713="En ligne",CHAR(10)&amp;"EN LIGNE","")&amp;IF($V713&lt;&gt;"",CHAR(10)&amp;$V713,"")</f>
        <v/>
      </c>
      <c r="AF713" s="65" t="inlineStr"/>
      <c r="AG713" s="65" t="inlineStr">
        <is>
          <t>— généré —</t>
        </is>
      </c>
    </row>
    <row r="714" ht="15" customHeight="1">
      <c r="A714" s="81" t="inlineStr">
        <is>
          <t>S6</t>
        </is>
      </c>
      <c r="B714" s="82" t="inlineStr">
        <is>
          <t>du 19 au 25 octobre 2026</t>
        </is>
      </c>
      <c r="C714" s="81" t="inlineStr">
        <is>
          <t>B</t>
        </is>
      </c>
      <c r="D714" s="83" t="n">
        <v>46319</v>
      </c>
      <c r="E714" s="81" t="inlineStr">
        <is>
          <t>Samedi</t>
        </is>
      </c>
      <c r="F714" s="84" t="n">
        <v>0.7708333333333334</v>
      </c>
      <c r="G714" s="84" t="n">
        <v>0.8333333333333334</v>
      </c>
      <c r="H714" s="85">
        <f>IF(OR($F714="",$G714=""),"",($G714-$F714)*24)</f>
        <v/>
      </c>
      <c r="I714" s="81" t="inlineStr">
        <is>
          <t>Bac</t>
        </is>
      </c>
      <c r="J714" s="82" t="inlineStr">
        <is>
          <t>Bac Eco</t>
        </is>
      </c>
      <c r="K714" s="97" t="inlineStr">
        <is>
          <t>Géographie</t>
        </is>
      </c>
      <c r="L714" s="97" t="inlineStr">
        <is>
          <t>Géographie</t>
        </is>
      </c>
      <c r="M714" s="82" t="inlineStr">
        <is>
          <t>Abdelwaheb</t>
        </is>
      </c>
      <c r="N714" s="81" t="n"/>
      <c r="O714" s="81" t="n"/>
      <c r="P714" s="81" t="inlineStr">
        <is>
          <t>Quinzaine B</t>
        </is>
      </c>
      <c r="Q714" s="82" t="inlineStr"/>
      <c r="R714" s="81" t="n">
        <v>1</v>
      </c>
      <c r="S714" s="81" t="inlineStr">
        <is>
          <t>Oui</t>
        </is>
      </c>
      <c r="T714" s="81" t="inlineStr">
        <is>
          <t>S6-098</t>
        </is>
      </c>
      <c r="U714" s="82" t="inlineStr">
        <is>
          <t>Généré (octobre)</t>
        </is>
      </c>
      <c r="V714" s="82" t="inlineStr"/>
      <c r="W714" s="10" t="n"/>
      <c r="X714" s="10" t="inlineStr"/>
      <c r="Y714" s="64">
        <f>IF($M714="","",IF(SUMPRODUCT(($D$4:$D$863=$D714)*($M$4:$M$863=$M714)*($T$4:$T$863&lt;&gt;$T714)*($F$4:$F$863&lt;$G714)*($G$4:$G$863&gt;$F714))&gt;0,"⚠ CONFLIT",""))</f>
        <v/>
      </c>
      <c r="Z714" s="64">
        <f>IF($J714="","",IF(SUMPRODUCT(($D$4:$D$863=$D714)*($J$4:$J$863=$J714)*($T$4:$T$863&lt;&gt;$T714)*($F$4:$F$863&lt;$G714)*($G$4:$G$863&gt;$F714)*(1-($X$4:$X$863="Oui")*($X714="Oui")))&gt;0,"⚠ CONFLIT",""))</f>
        <v/>
      </c>
      <c r="AA714" s="64">
        <f>IF(COUNTIFS($D$4:$D$863,$D714,$J$4:$J$863,$J714,$F$4:$F$863,$F714,$K$4:$K$863,$K714)&gt;1,"⚠ DOUBLON","")</f>
        <v/>
      </c>
      <c r="AB714" s="64">
        <f>IF(COUNTIF($T$4:$T$863,$T714)&lt;&gt;COUNTIFS($T$4:$T$863,$T714,$D$4:$D$863,$D714,$F$4:$F$863,$F714,$G$4:$G$863,$G714,$K$4:$K$863,$K714,$M$4:$M$863,$M714),"⚠ INCOHÉRENT","")</f>
        <v/>
      </c>
      <c r="AC714" s="64">
        <f>COUNTIFS($A$4:$A714,$A714,$J$4:$J714,$J714,$E$4:$E714,$E714)</f>
        <v/>
      </c>
      <c r="AD714" s="65">
        <f>$A714&amp;"|"&amp;$J714&amp;"|"&amp;$E714&amp;"|"&amp;$AC714</f>
        <v/>
      </c>
      <c r="AE714" s="66">
        <f>IF($W714&lt;&gt;"","⚑ "&amp;$W714&amp;CHAR(10),"")&amp;TEXT($F714,"hh:mm")&amp;"-"&amp;TEXT($G714,"hh:mm")&amp;IF(OR($P714="Quinzaine A",AND($P714="Hebdo · groupes alternés",$C714="A"))," Q-A",IF(OR($P714="Quinzaine B",AND($P714="Hebdo · groupes alternés",$C714="B"))," Q-B",IF($P714="Exception"," PONCT.","")))&amp;IF($X714="Oui"," OPT","")&amp;CHAR(10)&amp;$K714&amp;CHAR(10)&amp;$M714&amp;IF($N714&lt;&gt;"",CHAR(10)&amp;"Salle "&amp;$N714,"")&amp;IF($O714="En ligne",CHAR(10)&amp;"EN LIGNE","")&amp;IF($V714&lt;&gt;"",CHAR(10)&amp;$V714,"")</f>
        <v/>
      </c>
      <c r="AF714" s="65" t="inlineStr"/>
      <c r="AG714" s="65" t="inlineStr">
        <is>
          <t>— généré —</t>
        </is>
      </c>
    </row>
    <row r="715" ht="15" customHeight="1">
      <c r="A715" s="81" t="inlineStr">
        <is>
          <t>S6</t>
        </is>
      </c>
      <c r="B715" s="82" t="inlineStr">
        <is>
          <t>du 19 au 25 octobre 2026</t>
        </is>
      </c>
      <c r="C715" s="81" t="inlineStr">
        <is>
          <t>B</t>
        </is>
      </c>
      <c r="D715" s="83" t="n">
        <v>46319</v>
      </c>
      <c r="E715" s="81" t="inlineStr">
        <is>
          <t>Samedi</t>
        </is>
      </c>
      <c r="F715" s="84" t="n">
        <v>0.7916666666666666</v>
      </c>
      <c r="G715" s="84" t="n">
        <v>0.8541666666666666</v>
      </c>
      <c r="H715" s="85">
        <f>IF(OR($F715="",$G715=""),"",($G715-$F715)*24)</f>
        <v/>
      </c>
      <c r="I715" s="81" t="inlineStr">
        <is>
          <t>Bac</t>
        </is>
      </c>
      <c r="J715" s="82" t="inlineStr">
        <is>
          <t>Bac SCE</t>
        </is>
      </c>
      <c r="K715" s="88" t="inlineStr">
        <is>
          <t>SVT</t>
        </is>
      </c>
      <c r="L715" s="88" t="inlineStr">
        <is>
          <t>SVT</t>
        </is>
      </c>
      <c r="M715" s="82" t="inlineStr">
        <is>
          <t>Rym</t>
        </is>
      </c>
      <c r="N715" s="81" t="n"/>
      <c r="O715" s="81" t="n"/>
      <c r="P715" s="81" t="inlineStr">
        <is>
          <t>Hebdomadaire</t>
        </is>
      </c>
      <c r="Q715" s="82" t="inlineStr"/>
      <c r="R715" s="81" t="n">
        <v>1</v>
      </c>
      <c r="S715" s="81" t="inlineStr">
        <is>
          <t>Oui</t>
        </is>
      </c>
      <c r="T715" s="81" t="inlineStr">
        <is>
          <t>S6-069</t>
        </is>
      </c>
      <c r="U715" s="82" t="inlineStr">
        <is>
          <t>Généré (octobre)</t>
        </is>
      </c>
      <c r="V715" s="82" t="inlineStr"/>
      <c r="W715" s="10" t="n"/>
      <c r="X715" s="10" t="inlineStr"/>
      <c r="Y715" s="64">
        <f>IF($M715="","",IF(SUMPRODUCT(($D$4:$D$863=$D715)*($M$4:$M$863=$M715)*($T$4:$T$863&lt;&gt;$T715)*($F$4:$F$863&lt;$G715)*($G$4:$G$863&gt;$F715))&gt;0,"⚠ CONFLIT",""))</f>
        <v/>
      </c>
      <c r="Z715" s="64">
        <f>IF($J715="","",IF(SUMPRODUCT(($D$4:$D$863=$D715)*($J$4:$J$863=$J715)*($T$4:$T$863&lt;&gt;$T715)*($F$4:$F$863&lt;$G715)*($G$4:$G$863&gt;$F715)*(1-($X$4:$X$863="Oui")*($X715="Oui")))&gt;0,"⚠ CONFLIT",""))</f>
        <v/>
      </c>
      <c r="AA715" s="64">
        <f>IF(COUNTIFS($D$4:$D$863,$D715,$J$4:$J$863,$J715,$F$4:$F$863,$F715,$K$4:$K$863,$K715)&gt;1,"⚠ DOUBLON","")</f>
        <v/>
      </c>
      <c r="AB715" s="64">
        <f>IF(COUNTIF($T$4:$T$863,$T715)&lt;&gt;COUNTIFS($T$4:$T$863,$T715,$D$4:$D$863,$D715,$F$4:$F$863,$F715,$G$4:$G$863,$G715,$K$4:$K$863,$K715,$M$4:$M$863,$M715),"⚠ INCOHÉRENT","")</f>
        <v/>
      </c>
      <c r="AC715" s="64">
        <f>COUNTIFS($A$4:$A715,$A715,$J$4:$J715,$J715,$E$4:$E715,$E715)</f>
        <v/>
      </c>
      <c r="AD715" s="65">
        <f>$A715&amp;"|"&amp;$J715&amp;"|"&amp;$E715&amp;"|"&amp;$AC715</f>
        <v/>
      </c>
      <c r="AE715" s="66">
        <f>IF($W715&lt;&gt;"","⚑ "&amp;$W715&amp;CHAR(10),"")&amp;TEXT($F715,"hh:mm")&amp;"-"&amp;TEXT($G715,"hh:mm")&amp;IF(OR($P715="Quinzaine A",AND($P715="Hebdo · groupes alternés",$C715="A"))," Q-A",IF(OR($P715="Quinzaine B",AND($P715="Hebdo · groupes alternés",$C715="B"))," Q-B",IF($P715="Exception"," PONCT.","")))&amp;IF($X715="Oui"," OPT","")&amp;CHAR(10)&amp;$K715&amp;CHAR(10)&amp;$M715&amp;IF($N715&lt;&gt;"",CHAR(10)&amp;"Salle "&amp;$N715,"")&amp;IF($O715="En ligne",CHAR(10)&amp;"EN LIGNE","")&amp;IF($V715&lt;&gt;"",CHAR(10)&amp;$V715,"")</f>
        <v/>
      </c>
      <c r="AF715" s="65" t="inlineStr"/>
      <c r="AG715" s="65" t="inlineStr">
        <is>
          <t>— généré —</t>
        </is>
      </c>
    </row>
    <row r="716" ht="15" customHeight="1">
      <c r="A716" s="81" t="inlineStr">
        <is>
          <t>S6</t>
        </is>
      </c>
      <c r="B716" s="82" t="inlineStr">
        <is>
          <t>du 19 au 25 octobre 2026</t>
        </is>
      </c>
      <c r="C716" s="81" t="inlineStr">
        <is>
          <t>B</t>
        </is>
      </c>
      <c r="D716" s="83" t="n">
        <v>46319</v>
      </c>
      <c r="E716" s="81" t="inlineStr">
        <is>
          <t>Samedi</t>
        </is>
      </c>
      <c r="F716" s="84" t="n">
        <v>0.7916666666666666</v>
      </c>
      <c r="G716" s="84" t="n">
        <v>0.875</v>
      </c>
      <c r="H716" s="85">
        <f>IF(OR($F716="",$G716=""),"",($G716-$F716)*24)</f>
        <v/>
      </c>
      <c r="I716" s="81" t="inlineStr">
        <is>
          <t>Bac</t>
        </is>
      </c>
      <c r="J716" s="82" t="inlineStr">
        <is>
          <t>Bac INFO</t>
        </is>
      </c>
      <c r="K716" s="94" t="inlineStr">
        <is>
          <t>ALGO</t>
        </is>
      </c>
      <c r="L716" s="94" t="inlineStr">
        <is>
          <t>ALGO</t>
        </is>
      </c>
      <c r="M716" s="82" t="inlineStr">
        <is>
          <t>Heni</t>
        </is>
      </c>
      <c r="N716" s="81" t="n"/>
      <c r="O716" s="81" t="n"/>
      <c r="P716" s="81" t="inlineStr">
        <is>
          <t>Hebdomadaire</t>
        </is>
      </c>
      <c r="Q716" s="82" t="inlineStr"/>
      <c r="R716" s="81" t="n">
        <v>1</v>
      </c>
      <c r="S716" s="81" t="inlineStr">
        <is>
          <t>Oui</t>
        </is>
      </c>
      <c r="T716" s="81" t="inlineStr">
        <is>
          <t>S6-070</t>
        </is>
      </c>
      <c r="U716" s="82" t="inlineStr">
        <is>
          <t>Généré (octobre)</t>
        </is>
      </c>
      <c r="V716" s="82" t="inlineStr"/>
      <c r="W716" s="10" t="n"/>
      <c r="X716" s="10" t="inlineStr"/>
      <c r="Y716" s="64">
        <f>IF($M716="","",IF(SUMPRODUCT(($D$4:$D$863=$D716)*($M$4:$M$863=$M716)*($T$4:$T$863&lt;&gt;$T716)*($F$4:$F$863&lt;$G716)*($G$4:$G$863&gt;$F716))&gt;0,"⚠ CONFLIT",""))</f>
        <v/>
      </c>
      <c r="Z716" s="64">
        <f>IF($J716="","",IF(SUMPRODUCT(($D$4:$D$863=$D716)*($J$4:$J$863=$J716)*($T$4:$T$863&lt;&gt;$T716)*($F$4:$F$863&lt;$G716)*($G$4:$G$863&gt;$F716)*(1-($X$4:$X$863="Oui")*($X716="Oui")))&gt;0,"⚠ CONFLIT",""))</f>
        <v/>
      </c>
      <c r="AA716" s="64">
        <f>IF(COUNTIFS($D$4:$D$863,$D716,$J$4:$J$863,$J716,$F$4:$F$863,$F716,$K$4:$K$863,$K716)&gt;1,"⚠ DOUBLON","")</f>
        <v/>
      </c>
      <c r="AB716" s="64">
        <f>IF(COUNTIF($T$4:$T$863,$T716)&lt;&gt;COUNTIFS($T$4:$T$863,$T716,$D$4:$D$863,$D716,$F$4:$F$863,$F716,$G$4:$G$863,$G716,$K$4:$K$863,$K716,$M$4:$M$863,$M716),"⚠ INCOHÉRENT","")</f>
        <v/>
      </c>
      <c r="AC716" s="64">
        <f>COUNTIFS($A$4:$A716,$A716,$J$4:$J716,$J716,$E$4:$E716,$E716)</f>
        <v/>
      </c>
      <c r="AD716" s="65">
        <f>$A716&amp;"|"&amp;$J716&amp;"|"&amp;$E716&amp;"|"&amp;$AC716</f>
        <v/>
      </c>
      <c r="AE716" s="66">
        <f>IF($W716&lt;&gt;"","⚑ "&amp;$W716&amp;CHAR(10),"")&amp;TEXT($F716,"hh:mm")&amp;"-"&amp;TEXT($G716,"hh:mm")&amp;IF(OR($P716="Quinzaine A",AND($P716="Hebdo · groupes alternés",$C716="A"))," Q-A",IF(OR($P716="Quinzaine B",AND($P716="Hebdo · groupes alternés",$C716="B"))," Q-B",IF($P716="Exception"," PONCT.","")))&amp;IF($X716="Oui"," OPT","")&amp;CHAR(10)&amp;$K716&amp;CHAR(10)&amp;$M716&amp;IF($N716&lt;&gt;"",CHAR(10)&amp;"Salle "&amp;$N716,"")&amp;IF($O716="En ligne",CHAR(10)&amp;"EN LIGNE","")&amp;IF($V716&lt;&gt;"",CHAR(10)&amp;$V716,"")</f>
        <v/>
      </c>
      <c r="AF716" s="65" t="inlineStr"/>
      <c r="AG716" s="65" t="inlineStr">
        <is>
          <t>— généré —</t>
        </is>
      </c>
    </row>
    <row r="717" ht="15" customHeight="1">
      <c r="A717" s="58" t="inlineStr">
        <is>
          <t>S6</t>
        </is>
      </c>
      <c r="B717" s="59" t="inlineStr">
        <is>
          <t>du 19 au 25 octobre 2026</t>
        </is>
      </c>
      <c r="C717" s="58" t="inlineStr">
        <is>
          <t>B</t>
        </is>
      </c>
      <c r="D717" s="60" t="n">
        <v>46320</v>
      </c>
      <c r="E717" s="58" t="inlineStr">
        <is>
          <t>Dimanche</t>
        </is>
      </c>
      <c r="F717" s="61" t="n">
        <v>0.4375</v>
      </c>
      <c r="G717" s="61" t="n">
        <v>0.5</v>
      </c>
      <c r="H717" s="62">
        <f>IF(OR($F717="",$G717=""),"",($G717-$F717)*24)</f>
        <v/>
      </c>
      <c r="I717" s="58" t="inlineStr">
        <is>
          <t>Primaire</t>
        </is>
      </c>
      <c r="J717" s="59" t="inlineStr">
        <is>
          <t>5éme</t>
        </is>
      </c>
      <c r="K717" s="87" t="inlineStr">
        <is>
          <t>Anglais</t>
        </is>
      </c>
      <c r="L717" s="87" t="inlineStr">
        <is>
          <t>Anglais</t>
        </is>
      </c>
      <c r="M717" s="59" t="inlineStr">
        <is>
          <t>Samar</t>
        </is>
      </c>
      <c r="N717" s="58" t="n"/>
      <c r="O717" s="58" t="n"/>
      <c r="P717" s="58" t="inlineStr">
        <is>
          <t>Hebdo · groupes alternés</t>
        </is>
      </c>
      <c r="Q717" s="59" t="inlineStr"/>
      <c r="R717" s="58" t="n">
        <v>1</v>
      </c>
      <c r="S717" s="58" t="inlineStr">
        <is>
          <t>Oui</t>
        </is>
      </c>
      <c r="T717" s="58" t="inlineStr">
        <is>
          <t>S6-071</t>
        </is>
      </c>
      <c r="U717" s="59" t="inlineStr">
        <is>
          <t>Généré (octobre)</t>
        </is>
      </c>
      <c r="V717" s="59" t="inlineStr"/>
      <c r="W717" s="10" t="n"/>
      <c r="X717" s="10" t="inlineStr"/>
      <c r="Y717" s="64">
        <f>IF($M717="","",IF(SUMPRODUCT(($D$4:$D$863=$D717)*($M$4:$M$863=$M717)*($T$4:$T$863&lt;&gt;$T717)*($F$4:$F$863&lt;$G717)*($G$4:$G$863&gt;$F717))&gt;0,"⚠ CONFLIT",""))</f>
        <v/>
      </c>
      <c r="Z717" s="64">
        <f>IF($J717="","",IF(SUMPRODUCT(($D$4:$D$863=$D717)*($J$4:$J$863=$J717)*($T$4:$T$863&lt;&gt;$T717)*($F$4:$F$863&lt;$G717)*($G$4:$G$863&gt;$F717)*(1-($X$4:$X$863="Oui")*($X717="Oui")))&gt;0,"⚠ CONFLIT",""))</f>
        <v/>
      </c>
      <c r="AA717" s="64">
        <f>IF(COUNTIFS($D$4:$D$863,$D717,$J$4:$J$863,$J717,$F$4:$F$863,$F717,$K$4:$K$863,$K717)&gt;1,"⚠ DOUBLON","")</f>
        <v/>
      </c>
      <c r="AB717" s="64">
        <f>IF(COUNTIF($T$4:$T$863,$T717)&lt;&gt;COUNTIFS($T$4:$T$863,$T717,$D$4:$D$863,$D717,$F$4:$F$863,$F717,$G$4:$G$863,$G717,$K$4:$K$863,$K717,$M$4:$M$863,$M717),"⚠ INCOHÉRENT","")</f>
        <v/>
      </c>
      <c r="AC717" s="64">
        <f>COUNTIFS($A$4:$A717,$A717,$J$4:$J717,$J717,$E$4:$E717,$E717)</f>
        <v/>
      </c>
      <c r="AD717" s="65">
        <f>$A717&amp;"|"&amp;$J717&amp;"|"&amp;$E717&amp;"|"&amp;$AC717</f>
        <v/>
      </c>
      <c r="AE717" s="66">
        <f>IF($W717&lt;&gt;"","⚑ "&amp;$W717&amp;CHAR(10),"")&amp;TEXT($F717,"hh:mm")&amp;"-"&amp;TEXT($G717,"hh:mm")&amp;IF(OR($P717="Quinzaine A",AND($P717="Hebdo · groupes alternés",$C717="A"))," Q-A",IF(OR($P717="Quinzaine B",AND($P717="Hebdo · groupes alternés",$C717="B"))," Q-B",IF($P717="Exception"," PONCT.","")))&amp;IF($X717="Oui"," OPT","")&amp;CHAR(10)&amp;$K717&amp;CHAR(10)&amp;$M717&amp;IF($N717&lt;&gt;"",CHAR(10)&amp;"Salle "&amp;$N717,"")&amp;IF($O717="En ligne",CHAR(10)&amp;"EN LIGNE","")&amp;IF($V717&lt;&gt;"",CHAR(10)&amp;$V717,"")</f>
        <v/>
      </c>
      <c r="AF717" s="65" t="inlineStr"/>
      <c r="AG717" s="65" t="inlineStr">
        <is>
          <t>— généré —</t>
        </is>
      </c>
    </row>
    <row r="718" ht="15" customHeight="1">
      <c r="A718" s="68" t="inlineStr">
        <is>
          <t>S6</t>
        </is>
      </c>
      <c r="B718" s="69" t="inlineStr">
        <is>
          <t>du 19 au 25 octobre 2026</t>
        </is>
      </c>
      <c r="C718" s="68" t="inlineStr">
        <is>
          <t>B</t>
        </is>
      </c>
      <c r="D718" s="70" t="n">
        <v>46320</v>
      </c>
      <c r="E718" s="68" t="inlineStr">
        <is>
          <t>Dimanche</t>
        </is>
      </c>
      <c r="F718" s="71" t="n">
        <v>0.5833333333333334</v>
      </c>
      <c r="G718" s="71" t="n">
        <v>0.6458333333333334</v>
      </c>
      <c r="H718" s="72">
        <f>IF(OR($F718="",$G718=""),"",($G718-$F718)*24)</f>
        <v/>
      </c>
      <c r="I718" s="68" t="inlineStr">
        <is>
          <t>Collège</t>
        </is>
      </c>
      <c r="J718" s="69" t="inlineStr">
        <is>
          <t>7éme (A)</t>
        </is>
      </c>
      <c r="K718" s="67" t="inlineStr">
        <is>
          <t>Français</t>
        </is>
      </c>
      <c r="L718" s="67" t="inlineStr">
        <is>
          <t>Français</t>
        </is>
      </c>
      <c r="M718" s="69" t="inlineStr">
        <is>
          <t>Marwa</t>
        </is>
      </c>
      <c r="N718" s="68" t="n"/>
      <c r="O718" s="68" t="n"/>
      <c r="P718" s="68" t="inlineStr">
        <is>
          <t>Hebdomadaire</t>
        </is>
      </c>
      <c r="Q718" s="69" t="inlineStr"/>
      <c r="R718" s="68" t="n">
        <v>1</v>
      </c>
      <c r="S718" s="68" t="inlineStr">
        <is>
          <t>Oui</t>
        </is>
      </c>
      <c r="T718" s="68" t="inlineStr">
        <is>
          <t>S6-072</t>
        </is>
      </c>
      <c r="U718" s="69" t="inlineStr">
        <is>
          <t>Généré (octobre)</t>
        </is>
      </c>
      <c r="V718" s="69" t="inlineStr"/>
      <c r="W718" s="10" t="n"/>
      <c r="X718" s="10" t="inlineStr"/>
      <c r="Y718" s="64">
        <f>IF($M718="","",IF(SUMPRODUCT(($D$4:$D$863=$D718)*($M$4:$M$863=$M718)*($T$4:$T$863&lt;&gt;$T718)*($F$4:$F$863&lt;$G718)*($G$4:$G$863&gt;$F718))&gt;0,"⚠ CONFLIT",""))</f>
        <v/>
      </c>
      <c r="Z718" s="64">
        <f>IF($J718="","",IF(SUMPRODUCT(($D$4:$D$863=$D718)*($J$4:$J$863=$J718)*($T$4:$T$863&lt;&gt;$T718)*($F$4:$F$863&lt;$G718)*($G$4:$G$863&gt;$F718)*(1-($X$4:$X$863="Oui")*($X718="Oui")))&gt;0,"⚠ CONFLIT",""))</f>
        <v/>
      </c>
      <c r="AA718" s="64">
        <f>IF(COUNTIFS($D$4:$D$863,$D718,$J$4:$J$863,$J718,$F$4:$F$863,$F718,$K$4:$K$863,$K718)&gt;1,"⚠ DOUBLON","")</f>
        <v/>
      </c>
      <c r="AB718" s="64">
        <f>IF(COUNTIF($T$4:$T$863,$T718)&lt;&gt;COUNTIFS($T$4:$T$863,$T718,$D$4:$D$863,$D718,$F$4:$F$863,$F718,$G$4:$G$863,$G718,$K$4:$K$863,$K718,$M$4:$M$863,$M718),"⚠ INCOHÉRENT","")</f>
        <v/>
      </c>
      <c r="AC718" s="64">
        <f>COUNTIFS($A$4:$A718,$A718,$J$4:$J718,$J718,$E$4:$E718,$E718)</f>
        <v/>
      </c>
      <c r="AD718" s="65">
        <f>$A718&amp;"|"&amp;$J718&amp;"|"&amp;$E718&amp;"|"&amp;$AC718</f>
        <v/>
      </c>
      <c r="AE718" s="66">
        <f>IF($W718&lt;&gt;"","⚑ "&amp;$W718&amp;CHAR(10),"")&amp;TEXT($F718,"hh:mm")&amp;"-"&amp;TEXT($G718,"hh:mm")&amp;IF(OR($P718="Quinzaine A",AND($P718="Hebdo · groupes alternés",$C718="A"))," Q-A",IF(OR($P718="Quinzaine B",AND($P718="Hebdo · groupes alternés",$C718="B"))," Q-B",IF($P718="Exception"," PONCT.","")))&amp;IF($X718="Oui"," OPT","")&amp;CHAR(10)&amp;$K718&amp;CHAR(10)&amp;$M718&amp;IF($N718&lt;&gt;"",CHAR(10)&amp;"Salle "&amp;$N718,"")&amp;IF($O718="En ligne",CHAR(10)&amp;"EN LIGNE","")&amp;IF($V718&lt;&gt;"",CHAR(10)&amp;$V718,"")</f>
        <v/>
      </c>
      <c r="AF718" s="65" t="inlineStr"/>
      <c r="AG718" s="65" t="inlineStr">
        <is>
          <t>— généré —</t>
        </is>
      </c>
    </row>
    <row r="719" ht="15" customHeight="1">
      <c r="A719" s="68" t="inlineStr">
        <is>
          <t>S6</t>
        </is>
      </c>
      <c r="B719" s="69" t="inlineStr">
        <is>
          <t>du 19 au 25 octobre 2026</t>
        </is>
      </c>
      <c r="C719" s="68" t="inlineStr">
        <is>
          <t>B</t>
        </is>
      </c>
      <c r="D719" s="70" t="n">
        <v>46320</v>
      </c>
      <c r="E719" s="68" t="inlineStr">
        <is>
          <t>Dimanche</t>
        </is>
      </c>
      <c r="F719" s="71" t="n">
        <v>0.6458333333333334</v>
      </c>
      <c r="G719" s="71" t="n">
        <v>0.7083333333333334</v>
      </c>
      <c r="H719" s="72">
        <f>IF(OR($F719="",$G719=""),"",($G719-$F719)*24)</f>
        <v/>
      </c>
      <c r="I719" s="68" t="inlineStr">
        <is>
          <t>Collège</t>
        </is>
      </c>
      <c r="J719" s="69" t="inlineStr">
        <is>
          <t>7éme (B)</t>
        </is>
      </c>
      <c r="K719" s="67" t="inlineStr">
        <is>
          <t>Français</t>
        </is>
      </c>
      <c r="L719" s="67" t="inlineStr">
        <is>
          <t>Français</t>
        </is>
      </c>
      <c r="M719" s="69" t="inlineStr">
        <is>
          <t>Marwa</t>
        </is>
      </c>
      <c r="N719" s="68" t="n"/>
      <c r="O719" s="68" t="n"/>
      <c r="P719" s="68" t="inlineStr">
        <is>
          <t>Hebdomadaire</t>
        </is>
      </c>
      <c r="Q719" s="69" t="inlineStr"/>
      <c r="R719" s="68" t="n">
        <v>1</v>
      </c>
      <c r="S719" s="68" t="inlineStr">
        <is>
          <t>Oui</t>
        </is>
      </c>
      <c r="T719" s="68" t="inlineStr">
        <is>
          <t>S6-073</t>
        </is>
      </c>
      <c r="U719" s="69" t="inlineStr">
        <is>
          <t>Généré (octobre)</t>
        </is>
      </c>
      <c r="V719" s="69" t="inlineStr"/>
      <c r="W719" s="10" t="n"/>
      <c r="X719" s="10" t="inlineStr"/>
      <c r="Y719" s="64">
        <f>IF($M719="","",IF(SUMPRODUCT(($D$4:$D$863=$D719)*($M$4:$M$863=$M719)*($T$4:$T$863&lt;&gt;$T719)*($F$4:$F$863&lt;$G719)*($G$4:$G$863&gt;$F719))&gt;0,"⚠ CONFLIT",""))</f>
        <v/>
      </c>
      <c r="Z719" s="64">
        <f>IF($J719="","",IF(SUMPRODUCT(($D$4:$D$863=$D719)*($J$4:$J$863=$J719)*($T$4:$T$863&lt;&gt;$T719)*($F$4:$F$863&lt;$G719)*($G$4:$G$863&gt;$F719)*(1-($X$4:$X$863="Oui")*($X719="Oui")))&gt;0,"⚠ CONFLIT",""))</f>
        <v/>
      </c>
      <c r="AA719" s="64">
        <f>IF(COUNTIFS($D$4:$D$863,$D719,$J$4:$J$863,$J719,$F$4:$F$863,$F719,$K$4:$K$863,$K719)&gt;1,"⚠ DOUBLON","")</f>
        <v/>
      </c>
      <c r="AB719" s="64">
        <f>IF(COUNTIF($T$4:$T$863,$T719)&lt;&gt;COUNTIFS($T$4:$T$863,$T719,$D$4:$D$863,$D719,$F$4:$F$863,$F719,$G$4:$G$863,$G719,$K$4:$K$863,$K719,$M$4:$M$863,$M719),"⚠ INCOHÉRENT","")</f>
        <v/>
      </c>
      <c r="AC719" s="64">
        <f>COUNTIFS($A$4:$A719,$A719,$J$4:$J719,$J719,$E$4:$E719,$E719)</f>
        <v/>
      </c>
      <c r="AD719" s="65">
        <f>$A719&amp;"|"&amp;$J719&amp;"|"&amp;$E719&amp;"|"&amp;$AC719</f>
        <v/>
      </c>
      <c r="AE719" s="66">
        <f>IF($W719&lt;&gt;"","⚑ "&amp;$W719&amp;CHAR(10),"")&amp;TEXT($F719,"hh:mm")&amp;"-"&amp;TEXT($G719,"hh:mm")&amp;IF(OR($P719="Quinzaine A",AND($P719="Hebdo · groupes alternés",$C719="A"))," Q-A",IF(OR($P719="Quinzaine B",AND($P719="Hebdo · groupes alternés",$C719="B"))," Q-B",IF($P719="Exception"," PONCT.","")))&amp;IF($X719="Oui"," OPT","")&amp;CHAR(10)&amp;$K719&amp;CHAR(10)&amp;$M719&amp;IF($N719&lt;&gt;"",CHAR(10)&amp;"Salle "&amp;$N719,"")&amp;IF($O719="En ligne",CHAR(10)&amp;"EN LIGNE","")&amp;IF($V719&lt;&gt;"",CHAR(10)&amp;$V719,"")</f>
        <v/>
      </c>
      <c r="AF719" s="65" t="inlineStr"/>
      <c r="AG719" s="65" t="inlineStr">
        <is>
          <t>— généré —</t>
        </is>
      </c>
    </row>
    <row r="720" ht="15" customHeight="1">
      <c r="A720" s="68" t="inlineStr">
        <is>
          <t>S6</t>
        </is>
      </c>
      <c r="B720" s="69" t="inlineStr">
        <is>
          <t>du 19 au 25 octobre 2026</t>
        </is>
      </c>
      <c r="C720" s="68" t="inlineStr">
        <is>
          <t>B</t>
        </is>
      </c>
      <c r="D720" s="70" t="n">
        <v>46320</v>
      </c>
      <c r="E720" s="68" t="inlineStr">
        <is>
          <t>Dimanche</t>
        </is>
      </c>
      <c r="F720" s="71" t="n">
        <v>0.5729166666666666</v>
      </c>
      <c r="G720" s="71" t="n">
        <v>0.6354166666666666</v>
      </c>
      <c r="H720" s="72">
        <f>IF(OR($F720="",$G720=""),"",($G720-$F720)*24)</f>
        <v/>
      </c>
      <c r="I720" s="68" t="inlineStr">
        <is>
          <t>Collège</t>
        </is>
      </c>
      <c r="J720" s="69" t="inlineStr">
        <is>
          <t>8éme (A)</t>
        </is>
      </c>
      <c r="K720" s="79" t="inlineStr">
        <is>
          <t>Math</t>
        </is>
      </c>
      <c r="L720" s="79" t="inlineStr">
        <is>
          <t>Math</t>
        </is>
      </c>
      <c r="M720" s="69" t="inlineStr">
        <is>
          <t>Hajer</t>
        </is>
      </c>
      <c r="N720" s="68" t="n"/>
      <c r="O720" s="68" t="n"/>
      <c r="P720" s="68" t="inlineStr">
        <is>
          <t>Hebdomadaire</t>
        </is>
      </c>
      <c r="Q720" s="69" t="inlineStr"/>
      <c r="R720" s="68" t="n">
        <v>1</v>
      </c>
      <c r="S720" s="68" t="inlineStr">
        <is>
          <t>Oui</t>
        </is>
      </c>
      <c r="T720" s="68" t="inlineStr">
        <is>
          <t>S6-074</t>
        </is>
      </c>
      <c r="U720" s="69" t="inlineStr">
        <is>
          <t>Généré (octobre)</t>
        </is>
      </c>
      <c r="V720" s="69" t="inlineStr"/>
      <c r="W720" s="10" t="n"/>
      <c r="X720" s="10" t="inlineStr"/>
      <c r="Y720" s="64">
        <f>IF($M720="","",IF(SUMPRODUCT(($D$4:$D$863=$D720)*($M$4:$M$863=$M720)*($T$4:$T$863&lt;&gt;$T720)*($F$4:$F$863&lt;$G720)*($G$4:$G$863&gt;$F720))&gt;0,"⚠ CONFLIT",""))</f>
        <v/>
      </c>
      <c r="Z720" s="64">
        <f>IF($J720="","",IF(SUMPRODUCT(($D$4:$D$863=$D720)*($J$4:$J$863=$J720)*($T$4:$T$863&lt;&gt;$T720)*($F$4:$F$863&lt;$G720)*($G$4:$G$863&gt;$F720)*(1-($X$4:$X$863="Oui")*($X720="Oui")))&gt;0,"⚠ CONFLIT",""))</f>
        <v/>
      </c>
      <c r="AA720" s="64">
        <f>IF(COUNTIFS($D$4:$D$863,$D720,$J$4:$J$863,$J720,$F$4:$F$863,$F720,$K$4:$K$863,$K720)&gt;1,"⚠ DOUBLON","")</f>
        <v/>
      </c>
      <c r="AB720" s="64">
        <f>IF(COUNTIF($T$4:$T$863,$T720)&lt;&gt;COUNTIFS($T$4:$T$863,$T720,$D$4:$D$863,$D720,$F$4:$F$863,$F720,$G$4:$G$863,$G720,$K$4:$K$863,$K720,$M$4:$M$863,$M720),"⚠ INCOHÉRENT","")</f>
        <v/>
      </c>
      <c r="AC720" s="64">
        <f>COUNTIFS($A$4:$A720,$A720,$J$4:$J720,$J720,$E$4:$E720,$E720)</f>
        <v/>
      </c>
      <c r="AD720" s="65">
        <f>$A720&amp;"|"&amp;$J720&amp;"|"&amp;$E720&amp;"|"&amp;$AC720</f>
        <v/>
      </c>
      <c r="AE720" s="66">
        <f>IF($W720&lt;&gt;"","⚑ "&amp;$W720&amp;CHAR(10),"")&amp;TEXT($F720,"hh:mm")&amp;"-"&amp;TEXT($G720,"hh:mm")&amp;IF(OR($P720="Quinzaine A",AND($P720="Hebdo · groupes alternés",$C720="A"))," Q-A",IF(OR($P720="Quinzaine B",AND($P720="Hebdo · groupes alternés",$C720="B"))," Q-B",IF($P720="Exception"," PONCT.","")))&amp;IF($X720="Oui"," OPT","")&amp;CHAR(10)&amp;$K720&amp;CHAR(10)&amp;$M720&amp;IF($N720&lt;&gt;"",CHAR(10)&amp;"Salle "&amp;$N720,"")&amp;IF($O720="En ligne",CHAR(10)&amp;"EN LIGNE","")&amp;IF($V720&lt;&gt;"",CHAR(10)&amp;$V720,"")</f>
        <v/>
      </c>
      <c r="AF720" s="65" t="inlineStr"/>
      <c r="AG720" s="65" t="inlineStr">
        <is>
          <t>— généré —</t>
        </is>
      </c>
    </row>
    <row r="721" ht="15" customHeight="1">
      <c r="A721" s="68" t="inlineStr">
        <is>
          <t>S6</t>
        </is>
      </c>
      <c r="B721" s="69" t="inlineStr">
        <is>
          <t>du 19 au 25 octobre 2026</t>
        </is>
      </c>
      <c r="C721" s="68" t="inlineStr">
        <is>
          <t>B</t>
        </is>
      </c>
      <c r="D721" s="70" t="n">
        <v>46320</v>
      </c>
      <c r="E721" s="68" t="inlineStr">
        <is>
          <t>Dimanche</t>
        </is>
      </c>
      <c r="F721" s="71" t="n">
        <v>0.7083333333333334</v>
      </c>
      <c r="G721" s="71" t="n">
        <v>0.7708333333333334</v>
      </c>
      <c r="H721" s="72">
        <f>IF(OR($F721="",$G721=""),"",($G721-$F721)*24)</f>
        <v/>
      </c>
      <c r="I721" s="68" t="inlineStr">
        <is>
          <t>Collège</t>
        </is>
      </c>
      <c r="J721" s="69" t="inlineStr">
        <is>
          <t>8éme (B)</t>
        </is>
      </c>
      <c r="K721" s="67" t="inlineStr">
        <is>
          <t>Français</t>
        </is>
      </c>
      <c r="L721" s="67" t="inlineStr">
        <is>
          <t>Français</t>
        </is>
      </c>
      <c r="M721" s="69" t="inlineStr">
        <is>
          <t>Marwa</t>
        </is>
      </c>
      <c r="N721" s="68" t="n"/>
      <c r="O721" s="68" t="n"/>
      <c r="P721" s="68" t="inlineStr">
        <is>
          <t>Hebdomadaire</t>
        </is>
      </c>
      <c r="Q721" s="69" t="inlineStr"/>
      <c r="R721" s="68" t="n">
        <v>1</v>
      </c>
      <c r="S721" s="68" t="inlineStr">
        <is>
          <t>Oui</t>
        </is>
      </c>
      <c r="T721" s="68" t="inlineStr">
        <is>
          <t>S6-075</t>
        </is>
      </c>
      <c r="U721" s="69" t="inlineStr">
        <is>
          <t>Généré (octobre)</t>
        </is>
      </c>
      <c r="V721" s="69" t="inlineStr"/>
      <c r="W721" s="10" t="n"/>
      <c r="X721" s="10" t="inlineStr"/>
      <c r="Y721" s="64">
        <f>IF($M721="","",IF(SUMPRODUCT(($D$4:$D$863=$D721)*($M$4:$M$863=$M721)*($T$4:$T$863&lt;&gt;$T721)*($F$4:$F$863&lt;$G721)*($G$4:$G$863&gt;$F721))&gt;0,"⚠ CONFLIT",""))</f>
        <v/>
      </c>
      <c r="Z721" s="64">
        <f>IF($J721="","",IF(SUMPRODUCT(($D$4:$D$863=$D721)*($J$4:$J$863=$J721)*($T$4:$T$863&lt;&gt;$T721)*($F$4:$F$863&lt;$G721)*($G$4:$G$863&gt;$F721)*(1-($X$4:$X$863="Oui")*($X721="Oui")))&gt;0,"⚠ CONFLIT",""))</f>
        <v/>
      </c>
      <c r="AA721" s="64">
        <f>IF(COUNTIFS($D$4:$D$863,$D721,$J$4:$J$863,$J721,$F$4:$F$863,$F721,$K$4:$K$863,$K721)&gt;1,"⚠ DOUBLON","")</f>
        <v/>
      </c>
      <c r="AB721" s="64">
        <f>IF(COUNTIF($T$4:$T$863,$T721)&lt;&gt;COUNTIFS($T$4:$T$863,$T721,$D$4:$D$863,$D721,$F$4:$F$863,$F721,$G$4:$G$863,$G721,$K$4:$K$863,$K721,$M$4:$M$863,$M721),"⚠ INCOHÉRENT","")</f>
        <v/>
      </c>
      <c r="AC721" s="64">
        <f>COUNTIFS($A$4:$A721,$A721,$J$4:$J721,$J721,$E$4:$E721,$E721)</f>
        <v/>
      </c>
      <c r="AD721" s="65">
        <f>$A721&amp;"|"&amp;$J721&amp;"|"&amp;$E721&amp;"|"&amp;$AC721</f>
        <v/>
      </c>
      <c r="AE721" s="66">
        <f>IF($W721&lt;&gt;"","⚑ "&amp;$W721&amp;CHAR(10),"")&amp;TEXT($F721,"hh:mm")&amp;"-"&amp;TEXT($G721,"hh:mm")&amp;IF(OR($P721="Quinzaine A",AND($P721="Hebdo · groupes alternés",$C721="A"))," Q-A",IF(OR($P721="Quinzaine B",AND($P721="Hebdo · groupes alternés",$C721="B"))," Q-B",IF($P721="Exception"," PONCT.","")))&amp;IF($X721="Oui"," OPT","")&amp;CHAR(10)&amp;$K721&amp;CHAR(10)&amp;$M721&amp;IF($N721&lt;&gt;"",CHAR(10)&amp;"Salle "&amp;$N721,"")&amp;IF($O721="En ligne",CHAR(10)&amp;"EN LIGNE","")&amp;IF($V721&lt;&gt;"",CHAR(10)&amp;$V721,"")</f>
        <v/>
      </c>
      <c r="AF721" s="65" t="inlineStr"/>
      <c r="AG721" s="65" t="inlineStr">
        <is>
          <t>— généré —</t>
        </is>
      </c>
    </row>
    <row r="722" ht="15" customHeight="1">
      <c r="A722" s="68" t="inlineStr">
        <is>
          <t>S6</t>
        </is>
      </c>
      <c r="B722" s="69" t="inlineStr">
        <is>
          <t>du 19 au 25 octobre 2026</t>
        </is>
      </c>
      <c r="C722" s="68" t="inlineStr">
        <is>
          <t>B</t>
        </is>
      </c>
      <c r="D722" s="70" t="n">
        <v>46320</v>
      </c>
      <c r="E722" s="68" t="inlineStr">
        <is>
          <t>Dimanche</t>
        </is>
      </c>
      <c r="F722" s="71" t="n">
        <v>0.4375</v>
      </c>
      <c r="G722" s="71" t="n">
        <v>0.5</v>
      </c>
      <c r="H722" s="72">
        <f>IF(OR($F722="",$G722=""),"",($G722-$F722)*24)</f>
        <v/>
      </c>
      <c r="I722" s="68" t="inlineStr">
        <is>
          <t>Collège</t>
        </is>
      </c>
      <c r="J722" s="69" t="inlineStr">
        <is>
          <t>9éme (A)</t>
        </is>
      </c>
      <c r="K722" s="87" t="inlineStr">
        <is>
          <t>Anglais</t>
        </is>
      </c>
      <c r="L722" s="87" t="inlineStr">
        <is>
          <t>Anglais</t>
        </is>
      </c>
      <c r="M722" s="69" t="inlineStr">
        <is>
          <t>Bassma</t>
        </is>
      </c>
      <c r="N722" s="68" t="n"/>
      <c r="O722" s="68" t="n"/>
      <c r="P722" s="68" t="inlineStr">
        <is>
          <t>Hebdomadaire</t>
        </is>
      </c>
      <c r="Q722" s="69" t="inlineStr"/>
      <c r="R722" s="68" t="n">
        <v>1</v>
      </c>
      <c r="S722" s="68" t="inlineStr">
        <is>
          <t>Oui</t>
        </is>
      </c>
      <c r="T722" s="68" t="inlineStr">
        <is>
          <t>S6-076</t>
        </is>
      </c>
      <c r="U722" s="69" t="inlineStr">
        <is>
          <t>Généré (octobre)</t>
        </is>
      </c>
      <c r="V722" s="69" t="inlineStr"/>
      <c r="W722" s="10" t="n"/>
      <c r="X722" s="10" t="inlineStr"/>
      <c r="Y722" s="64">
        <f>IF($M722="","",IF(SUMPRODUCT(($D$4:$D$863=$D722)*($M$4:$M$863=$M722)*($T$4:$T$863&lt;&gt;$T722)*($F$4:$F$863&lt;$G722)*($G$4:$G$863&gt;$F722))&gt;0,"⚠ CONFLIT",""))</f>
        <v/>
      </c>
      <c r="Z722" s="64">
        <f>IF($J722="","",IF(SUMPRODUCT(($D$4:$D$863=$D722)*($J$4:$J$863=$J722)*($T$4:$T$863&lt;&gt;$T722)*($F$4:$F$863&lt;$G722)*($G$4:$G$863&gt;$F722)*(1-($X$4:$X$863="Oui")*($X722="Oui")))&gt;0,"⚠ CONFLIT",""))</f>
        <v/>
      </c>
      <c r="AA722" s="64">
        <f>IF(COUNTIFS($D$4:$D$863,$D722,$J$4:$J$863,$J722,$F$4:$F$863,$F722,$K$4:$K$863,$K722)&gt;1,"⚠ DOUBLON","")</f>
        <v/>
      </c>
      <c r="AB722" s="64">
        <f>IF(COUNTIF($T$4:$T$863,$T722)&lt;&gt;COUNTIFS($T$4:$T$863,$T722,$D$4:$D$863,$D722,$F$4:$F$863,$F722,$G$4:$G$863,$G722,$K$4:$K$863,$K722,$M$4:$M$863,$M722),"⚠ INCOHÉRENT","")</f>
        <v/>
      </c>
      <c r="AC722" s="64">
        <f>COUNTIFS($A$4:$A722,$A722,$J$4:$J722,$J722,$E$4:$E722,$E722)</f>
        <v/>
      </c>
      <c r="AD722" s="65">
        <f>$A722&amp;"|"&amp;$J722&amp;"|"&amp;$E722&amp;"|"&amp;$AC722</f>
        <v/>
      </c>
      <c r="AE722" s="66">
        <f>IF($W722&lt;&gt;"","⚑ "&amp;$W722&amp;CHAR(10),"")&amp;TEXT($F722,"hh:mm")&amp;"-"&amp;TEXT($G722,"hh:mm")&amp;IF(OR($P722="Quinzaine A",AND($P722="Hebdo · groupes alternés",$C722="A"))," Q-A",IF(OR($P722="Quinzaine B",AND($P722="Hebdo · groupes alternés",$C722="B"))," Q-B",IF($P722="Exception"," PONCT.","")))&amp;IF($X722="Oui"," OPT","")&amp;CHAR(10)&amp;$K722&amp;CHAR(10)&amp;$M722&amp;IF($N722&lt;&gt;"",CHAR(10)&amp;"Salle "&amp;$N722,"")&amp;IF($O722="En ligne",CHAR(10)&amp;"EN LIGNE","")&amp;IF($V722&lt;&gt;"",CHAR(10)&amp;$V722,"")</f>
        <v/>
      </c>
      <c r="AF722" s="65" t="inlineStr"/>
      <c r="AG722" s="65" t="inlineStr">
        <is>
          <t>— généré —</t>
        </is>
      </c>
    </row>
    <row r="723" ht="15" customHeight="1">
      <c r="A723" s="68" t="inlineStr">
        <is>
          <t>S6</t>
        </is>
      </c>
      <c r="B723" s="69" t="inlineStr">
        <is>
          <t>du 19 au 25 octobre 2026</t>
        </is>
      </c>
      <c r="C723" s="68" t="inlineStr">
        <is>
          <t>B</t>
        </is>
      </c>
      <c r="D723" s="70" t="n">
        <v>46320</v>
      </c>
      <c r="E723" s="68" t="inlineStr">
        <is>
          <t>Dimanche</t>
        </is>
      </c>
      <c r="F723" s="71" t="n">
        <v>0.6458333333333334</v>
      </c>
      <c r="G723" s="71" t="n">
        <v>0.7083333333333334</v>
      </c>
      <c r="H723" s="72">
        <f>IF(OR($F723="",$G723=""),"",($G723-$F723)*24)</f>
        <v/>
      </c>
      <c r="I723" s="68" t="inlineStr">
        <is>
          <t>Collège</t>
        </is>
      </c>
      <c r="J723" s="69" t="inlineStr">
        <is>
          <t>9éme (A)</t>
        </is>
      </c>
      <c r="K723" s="67" t="inlineStr">
        <is>
          <t>Français</t>
        </is>
      </c>
      <c r="L723" s="67" t="inlineStr">
        <is>
          <t>Français</t>
        </is>
      </c>
      <c r="M723" s="69" t="inlineStr">
        <is>
          <t>Nassima</t>
        </is>
      </c>
      <c r="N723" s="68" t="n"/>
      <c r="O723" s="68" t="n"/>
      <c r="P723" s="68" t="inlineStr">
        <is>
          <t>Hebdomadaire</t>
        </is>
      </c>
      <c r="Q723" s="69" t="inlineStr"/>
      <c r="R723" s="68" t="n">
        <v>1</v>
      </c>
      <c r="S723" s="68" t="inlineStr">
        <is>
          <t>Oui</t>
        </is>
      </c>
      <c r="T723" s="68" t="inlineStr">
        <is>
          <t>S6-077</t>
        </is>
      </c>
      <c r="U723" s="69" t="inlineStr">
        <is>
          <t>Généré (octobre)</t>
        </is>
      </c>
      <c r="V723" s="69" t="inlineStr"/>
      <c r="W723" s="10" t="n"/>
      <c r="X723" s="10" t="inlineStr"/>
      <c r="Y723" s="64">
        <f>IF($M723="","",IF(SUMPRODUCT(($D$4:$D$863=$D723)*($M$4:$M$863=$M723)*($T$4:$T$863&lt;&gt;$T723)*($F$4:$F$863&lt;$G723)*($G$4:$G$863&gt;$F723))&gt;0,"⚠ CONFLIT",""))</f>
        <v/>
      </c>
      <c r="Z723" s="64">
        <f>IF($J723="","",IF(SUMPRODUCT(($D$4:$D$863=$D723)*($J$4:$J$863=$J723)*($T$4:$T$863&lt;&gt;$T723)*($F$4:$F$863&lt;$G723)*($G$4:$G$863&gt;$F723)*(1-($X$4:$X$863="Oui")*($X723="Oui")))&gt;0,"⚠ CONFLIT",""))</f>
        <v/>
      </c>
      <c r="AA723" s="64">
        <f>IF(COUNTIFS($D$4:$D$863,$D723,$J$4:$J$863,$J723,$F$4:$F$863,$F723,$K$4:$K$863,$K723)&gt;1,"⚠ DOUBLON","")</f>
        <v/>
      </c>
      <c r="AB723" s="64">
        <f>IF(COUNTIF($T$4:$T$863,$T723)&lt;&gt;COUNTIFS($T$4:$T$863,$T723,$D$4:$D$863,$D723,$F$4:$F$863,$F723,$G$4:$G$863,$G723,$K$4:$K$863,$K723,$M$4:$M$863,$M723),"⚠ INCOHÉRENT","")</f>
        <v/>
      </c>
      <c r="AC723" s="64">
        <f>COUNTIFS($A$4:$A723,$A723,$J$4:$J723,$J723,$E$4:$E723,$E723)</f>
        <v/>
      </c>
      <c r="AD723" s="65">
        <f>$A723&amp;"|"&amp;$J723&amp;"|"&amp;$E723&amp;"|"&amp;$AC723</f>
        <v/>
      </c>
      <c r="AE723" s="66">
        <f>IF($W723&lt;&gt;"","⚑ "&amp;$W723&amp;CHAR(10),"")&amp;TEXT($F723,"hh:mm")&amp;"-"&amp;TEXT($G723,"hh:mm")&amp;IF(OR($P723="Quinzaine A",AND($P723="Hebdo · groupes alternés",$C723="A"))," Q-A",IF(OR($P723="Quinzaine B",AND($P723="Hebdo · groupes alternés",$C723="B"))," Q-B",IF($P723="Exception"," PONCT.","")))&amp;IF($X723="Oui"," OPT","")&amp;CHAR(10)&amp;$K723&amp;CHAR(10)&amp;$M723&amp;IF($N723&lt;&gt;"",CHAR(10)&amp;"Salle "&amp;$N723,"")&amp;IF($O723="En ligne",CHAR(10)&amp;"EN LIGNE","")&amp;IF($V723&lt;&gt;"",CHAR(10)&amp;$V723,"")</f>
        <v/>
      </c>
      <c r="AF723" s="65" t="inlineStr"/>
      <c r="AG723" s="65" t="inlineStr">
        <is>
          <t>— généré —</t>
        </is>
      </c>
    </row>
    <row r="724" ht="15" customHeight="1">
      <c r="A724" s="68" t="inlineStr">
        <is>
          <t>S6</t>
        </is>
      </c>
      <c r="B724" s="69" t="inlineStr">
        <is>
          <t>du 19 au 25 octobre 2026</t>
        </is>
      </c>
      <c r="C724" s="68" t="inlineStr">
        <is>
          <t>B</t>
        </is>
      </c>
      <c r="D724" s="70" t="n">
        <v>46320</v>
      </c>
      <c r="E724" s="68" t="inlineStr">
        <is>
          <t>Dimanche</t>
        </is>
      </c>
      <c r="F724" s="71" t="n">
        <v>0.375</v>
      </c>
      <c r="G724" s="71" t="n">
        <v>0.4375</v>
      </c>
      <c r="H724" s="72">
        <f>IF(OR($F724="",$G724=""),"",($G724-$F724)*24)</f>
        <v/>
      </c>
      <c r="I724" s="68" t="inlineStr">
        <is>
          <t>Collège</t>
        </is>
      </c>
      <c r="J724" s="69" t="inlineStr">
        <is>
          <t>9éme (B)</t>
        </is>
      </c>
      <c r="K724" s="87" t="inlineStr">
        <is>
          <t>Anglais</t>
        </is>
      </c>
      <c r="L724" s="87" t="inlineStr">
        <is>
          <t>Anglais</t>
        </is>
      </c>
      <c r="M724" s="69" t="inlineStr">
        <is>
          <t>Bassma</t>
        </is>
      </c>
      <c r="N724" s="68" t="n"/>
      <c r="O724" s="68" t="n"/>
      <c r="P724" s="68" t="inlineStr">
        <is>
          <t>Hebdomadaire</t>
        </is>
      </c>
      <c r="Q724" s="69" t="inlineStr"/>
      <c r="R724" s="68" t="n">
        <v>1</v>
      </c>
      <c r="S724" s="68" t="inlineStr">
        <is>
          <t>Oui</t>
        </is>
      </c>
      <c r="T724" s="68" t="inlineStr">
        <is>
          <t>S6-078</t>
        </is>
      </c>
      <c r="U724" s="69" t="inlineStr">
        <is>
          <t>Généré (octobre)</t>
        </is>
      </c>
      <c r="V724" s="69" t="inlineStr"/>
      <c r="W724" s="10" t="n"/>
      <c r="X724" s="10" t="inlineStr"/>
      <c r="Y724" s="64">
        <f>IF($M724="","",IF(SUMPRODUCT(($D$4:$D$863=$D724)*($M$4:$M$863=$M724)*($T$4:$T$863&lt;&gt;$T724)*($F$4:$F$863&lt;$G724)*($G$4:$G$863&gt;$F724))&gt;0,"⚠ CONFLIT",""))</f>
        <v/>
      </c>
      <c r="Z724" s="64">
        <f>IF($J724="","",IF(SUMPRODUCT(($D$4:$D$863=$D724)*($J$4:$J$863=$J724)*($T$4:$T$863&lt;&gt;$T724)*($F$4:$F$863&lt;$G724)*($G$4:$G$863&gt;$F724)*(1-($X$4:$X$863="Oui")*($X724="Oui")))&gt;0,"⚠ CONFLIT",""))</f>
        <v/>
      </c>
      <c r="AA724" s="64">
        <f>IF(COUNTIFS($D$4:$D$863,$D724,$J$4:$J$863,$J724,$F$4:$F$863,$F724,$K$4:$K$863,$K724)&gt;1,"⚠ DOUBLON","")</f>
        <v/>
      </c>
      <c r="AB724" s="64">
        <f>IF(COUNTIF($T$4:$T$863,$T724)&lt;&gt;COUNTIFS($T$4:$T$863,$T724,$D$4:$D$863,$D724,$F$4:$F$863,$F724,$G$4:$G$863,$G724,$K$4:$K$863,$K724,$M$4:$M$863,$M724),"⚠ INCOHÉRENT","")</f>
        <v/>
      </c>
      <c r="AC724" s="64">
        <f>COUNTIFS($A$4:$A724,$A724,$J$4:$J724,$J724,$E$4:$E724,$E724)</f>
        <v/>
      </c>
      <c r="AD724" s="65">
        <f>$A724&amp;"|"&amp;$J724&amp;"|"&amp;$E724&amp;"|"&amp;$AC724</f>
        <v/>
      </c>
      <c r="AE724" s="66">
        <f>IF($W724&lt;&gt;"","⚑ "&amp;$W724&amp;CHAR(10),"")&amp;TEXT($F724,"hh:mm")&amp;"-"&amp;TEXT($G724,"hh:mm")&amp;IF(OR($P724="Quinzaine A",AND($P724="Hebdo · groupes alternés",$C724="A"))," Q-A",IF(OR($P724="Quinzaine B",AND($P724="Hebdo · groupes alternés",$C724="B"))," Q-B",IF($P724="Exception"," PONCT.","")))&amp;IF($X724="Oui"," OPT","")&amp;CHAR(10)&amp;$K724&amp;CHAR(10)&amp;$M724&amp;IF($N724&lt;&gt;"",CHAR(10)&amp;"Salle "&amp;$N724,"")&amp;IF($O724="En ligne",CHAR(10)&amp;"EN LIGNE","")&amp;IF($V724&lt;&gt;"",CHAR(10)&amp;$V724,"")</f>
        <v/>
      </c>
      <c r="AF724" s="65" t="inlineStr"/>
      <c r="AG724" s="65" t="inlineStr">
        <is>
          <t>— généré —</t>
        </is>
      </c>
    </row>
    <row r="725" ht="15" customHeight="1">
      <c r="A725" s="68" t="inlineStr">
        <is>
          <t>S6</t>
        </is>
      </c>
      <c r="B725" s="69" t="inlineStr">
        <is>
          <t>du 19 au 25 octobre 2026</t>
        </is>
      </c>
      <c r="C725" s="68" t="inlineStr">
        <is>
          <t>B</t>
        </is>
      </c>
      <c r="D725" s="70" t="n">
        <v>46320</v>
      </c>
      <c r="E725" s="68" t="inlineStr">
        <is>
          <t>Dimanche</t>
        </is>
      </c>
      <c r="F725" s="71" t="n">
        <v>0.7083333333333334</v>
      </c>
      <c r="G725" s="71" t="n">
        <v>0.7708333333333334</v>
      </c>
      <c r="H725" s="72">
        <f>IF(OR($F725="",$G725=""),"",($G725-$F725)*24)</f>
        <v/>
      </c>
      <c r="I725" s="68" t="inlineStr">
        <is>
          <t>Collège</t>
        </is>
      </c>
      <c r="J725" s="69" t="inlineStr">
        <is>
          <t>9éme (B)</t>
        </is>
      </c>
      <c r="K725" s="67" t="inlineStr">
        <is>
          <t>Français</t>
        </is>
      </c>
      <c r="L725" s="67" t="inlineStr">
        <is>
          <t>Français</t>
        </is>
      </c>
      <c r="M725" s="69" t="inlineStr">
        <is>
          <t>Nassima</t>
        </is>
      </c>
      <c r="N725" s="68" t="n"/>
      <c r="O725" s="68" t="n"/>
      <c r="P725" s="68" t="inlineStr">
        <is>
          <t>Hebdomadaire</t>
        </is>
      </c>
      <c r="Q725" s="69" t="inlineStr">
        <is>
          <t>9éme (B) + 9éme (C)</t>
        </is>
      </c>
      <c r="R725" s="68" t="n">
        <v>2</v>
      </c>
      <c r="S725" s="68" t="inlineStr">
        <is>
          <t>Oui</t>
        </is>
      </c>
      <c r="T725" s="68" t="inlineStr">
        <is>
          <t>S6-079</t>
        </is>
      </c>
      <c r="U725" s="69" t="inlineStr">
        <is>
          <t>Généré (octobre)</t>
        </is>
      </c>
      <c r="V725" s="69" t="inlineStr"/>
      <c r="W725" s="10" t="n"/>
      <c r="X725" s="10" t="inlineStr"/>
      <c r="Y725" s="64">
        <f>IF($M725="","",IF(SUMPRODUCT(($D$4:$D$863=$D725)*($M$4:$M$863=$M725)*($T$4:$T$863&lt;&gt;$T725)*($F$4:$F$863&lt;$G725)*($G$4:$G$863&gt;$F725))&gt;0,"⚠ CONFLIT",""))</f>
        <v/>
      </c>
      <c r="Z725" s="64">
        <f>IF($J725="","",IF(SUMPRODUCT(($D$4:$D$863=$D725)*($J$4:$J$863=$J725)*($T$4:$T$863&lt;&gt;$T725)*($F$4:$F$863&lt;$G725)*($G$4:$G$863&gt;$F725)*(1-($X$4:$X$863="Oui")*($X725="Oui")))&gt;0,"⚠ CONFLIT",""))</f>
        <v/>
      </c>
      <c r="AA725" s="64">
        <f>IF(COUNTIFS($D$4:$D$863,$D725,$J$4:$J$863,$J725,$F$4:$F$863,$F725,$K$4:$K$863,$K725)&gt;1,"⚠ DOUBLON","")</f>
        <v/>
      </c>
      <c r="AB725" s="64">
        <f>IF(COUNTIF($T$4:$T$863,$T725)&lt;&gt;COUNTIFS($T$4:$T$863,$T725,$D$4:$D$863,$D725,$F$4:$F$863,$F725,$G$4:$G$863,$G725,$K$4:$K$863,$K725,$M$4:$M$863,$M725),"⚠ INCOHÉRENT","")</f>
        <v/>
      </c>
      <c r="AC725" s="64">
        <f>COUNTIFS($A$4:$A725,$A725,$J$4:$J725,$J725,$E$4:$E725,$E725)</f>
        <v/>
      </c>
      <c r="AD725" s="65">
        <f>$A725&amp;"|"&amp;$J725&amp;"|"&amp;$E725&amp;"|"&amp;$AC725</f>
        <v/>
      </c>
      <c r="AE725" s="66">
        <f>IF($W725&lt;&gt;"","⚑ "&amp;$W725&amp;CHAR(10),"")&amp;TEXT($F725,"hh:mm")&amp;"-"&amp;TEXT($G725,"hh:mm")&amp;IF(OR($P725="Quinzaine A",AND($P725="Hebdo · groupes alternés",$C725="A"))," Q-A",IF(OR($P725="Quinzaine B",AND($P725="Hebdo · groupes alternés",$C725="B"))," Q-B",IF($P725="Exception"," PONCT.","")))&amp;IF($X725="Oui"," OPT","")&amp;CHAR(10)&amp;$K725&amp;CHAR(10)&amp;$M725&amp;IF($N725&lt;&gt;"",CHAR(10)&amp;"Salle "&amp;$N725,"")&amp;IF($O725="En ligne",CHAR(10)&amp;"EN LIGNE","")&amp;IF($V725&lt;&gt;"",CHAR(10)&amp;$V725,"")</f>
        <v/>
      </c>
      <c r="AF725" s="65" t="inlineStr"/>
      <c r="AG725" s="65" t="inlineStr">
        <is>
          <t>— généré —</t>
        </is>
      </c>
    </row>
    <row r="726" ht="15" customHeight="1">
      <c r="A726" s="68" t="inlineStr">
        <is>
          <t>S6</t>
        </is>
      </c>
      <c r="B726" s="69" t="inlineStr">
        <is>
          <t>du 19 au 25 octobre 2026</t>
        </is>
      </c>
      <c r="C726" s="68" t="inlineStr">
        <is>
          <t>B</t>
        </is>
      </c>
      <c r="D726" s="70" t="n">
        <v>46320</v>
      </c>
      <c r="E726" s="68" t="inlineStr">
        <is>
          <t>Dimanche</t>
        </is>
      </c>
      <c r="F726" s="71" t="n">
        <v>0.7083333333333334</v>
      </c>
      <c r="G726" s="71" t="n">
        <v>0.7708333333333334</v>
      </c>
      <c r="H726" s="72">
        <f>IF(OR($F726="",$G726=""),"",($G726-$F726)*24)</f>
        <v/>
      </c>
      <c r="I726" s="68" t="inlineStr">
        <is>
          <t>Collège</t>
        </is>
      </c>
      <c r="J726" s="69" t="inlineStr">
        <is>
          <t>9éme (C)</t>
        </is>
      </c>
      <c r="K726" s="67" t="inlineStr">
        <is>
          <t>Français</t>
        </is>
      </c>
      <c r="L726" s="67" t="inlineStr">
        <is>
          <t>Français</t>
        </is>
      </c>
      <c r="M726" s="69" t="inlineStr">
        <is>
          <t>Nassima</t>
        </is>
      </c>
      <c r="N726" s="68" t="n"/>
      <c r="O726" s="68" t="n"/>
      <c r="P726" s="68" t="inlineStr">
        <is>
          <t>Hebdomadaire</t>
        </is>
      </c>
      <c r="Q726" s="69" t="inlineStr">
        <is>
          <t>9éme (B) + 9éme (C)</t>
        </is>
      </c>
      <c r="R726" s="68" t="n">
        <v>2</v>
      </c>
      <c r="S726" s="68" t="inlineStr"/>
      <c r="T726" s="68" t="inlineStr">
        <is>
          <t>S6-079</t>
        </is>
      </c>
      <c r="U726" s="69" t="inlineStr">
        <is>
          <t>Généré (octobre)</t>
        </is>
      </c>
      <c r="V726" s="69" t="inlineStr"/>
      <c r="W726" s="10" t="n"/>
      <c r="X726" s="10" t="inlineStr"/>
      <c r="Y726" s="64">
        <f>IF($M726="","",IF(SUMPRODUCT(($D$4:$D$863=$D726)*($M$4:$M$863=$M726)*($T$4:$T$863&lt;&gt;$T726)*($F$4:$F$863&lt;$G726)*($G$4:$G$863&gt;$F726))&gt;0,"⚠ CONFLIT",""))</f>
        <v/>
      </c>
      <c r="Z726" s="64">
        <f>IF($J726="","",IF(SUMPRODUCT(($D$4:$D$863=$D726)*($J$4:$J$863=$J726)*($T$4:$T$863&lt;&gt;$T726)*($F$4:$F$863&lt;$G726)*($G$4:$G$863&gt;$F726)*(1-($X$4:$X$863="Oui")*($X726="Oui")))&gt;0,"⚠ CONFLIT",""))</f>
        <v/>
      </c>
      <c r="AA726" s="64">
        <f>IF(COUNTIFS($D$4:$D$863,$D726,$J$4:$J$863,$J726,$F$4:$F$863,$F726,$K$4:$K$863,$K726)&gt;1,"⚠ DOUBLON","")</f>
        <v/>
      </c>
      <c r="AB726" s="64">
        <f>IF(COUNTIF($T$4:$T$863,$T726)&lt;&gt;COUNTIFS($T$4:$T$863,$T726,$D$4:$D$863,$D726,$F$4:$F$863,$F726,$G$4:$G$863,$G726,$K$4:$K$863,$K726,$M$4:$M$863,$M726),"⚠ INCOHÉRENT","")</f>
        <v/>
      </c>
      <c r="AC726" s="64">
        <f>COUNTIFS($A$4:$A726,$A726,$J$4:$J726,$J726,$E$4:$E726,$E726)</f>
        <v/>
      </c>
      <c r="AD726" s="65">
        <f>$A726&amp;"|"&amp;$J726&amp;"|"&amp;$E726&amp;"|"&amp;$AC726</f>
        <v/>
      </c>
      <c r="AE726" s="66">
        <f>IF($W726&lt;&gt;"","⚑ "&amp;$W726&amp;CHAR(10),"")&amp;TEXT($F726,"hh:mm")&amp;"-"&amp;TEXT($G726,"hh:mm")&amp;IF(OR($P726="Quinzaine A",AND($P726="Hebdo · groupes alternés",$C726="A"))," Q-A",IF(OR($P726="Quinzaine B",AND($P726="Hebdo · groupes alternés",$C726="B"))," Q-B",IF($P726="Exception"," PONCT.","")))&amp;IF($X726="Oui"," OPT","")&amp;CHAR(10)&amp;$K726&amp;CHAR(10)&amp;$M726&amp;IF($N726&lt;&gt;"",CHAR(10)&amp;"Salle "&amp;$N726,"")&amp;IF($O726="En ligne",CHAR(10)&amp;"EN LIGNE","")&amp;IF($V726&lt;&gt;"",CHAR(10)&amp;$V726,"")</f>
        <v/>
      </c>
      <c r="AF726" s="65" t="inlineStr"/>
      <c r="AG726" s="65" t="inlineStr">
        <is>
          <t>— généré —</t>
        </is>
      </c>
    </row>
    <row r="727" ht="15" customHeight="1">
      <c r="A727" s="74" t="inlineStr">
        <is>
          <t>S6</t>
        </is>
      </c>
      <c r="B727" s="75" t="inlineStr">
        <is>
          <t>du 19 au 25 octobre 2026</t>
        </is>
      </c>
      <c r="C727" s="74" t="inlineStr">
        <is>
          <t>B</t>
        </is>
      </c>
      <c r="D727" s="76" t="n">
        <v>46320</v>
      </c>
      <c r="E727" s="74" t="inlineStr">
        <is>
          <t>Dimanche</t>
        </is>
      </c>
      <c r="F727" s="77" t="n">
        <v>0.375</v>
      </c>
      <c r="G727" s="77" t="n">
        <v>0.4375</v>
      </c>
      <c r="H727" s="78">
        <f>IF(OR($F727="",$G727=""),"",($G727-$F727)*24)</f>
        <v/>
      </c>
      <c r="I727" s="74" t="inlineStr">
        <is>
          <t>Secondaire</t>
        </is>
      </c>
      <c r="J727" s="75" t="inlineStr">
        <is>
          <t>1ére (A)</t>
        </is>
      </c>
      <c r="K727" s="73" t="inlineStr">
        <is>
          <t>Physique</t>
        </is>
      </c>
      <c r="L727" s="73" t="inlineStr">
        <is>
          <t>Physique</t>
        </is>
      </c>
      <c r="M727" s="75" t="inlineStr">
        <is>
          <t>Refka</t>
        </is>
      </c>
      <c r="N727" s="74" t="n"/>
      <c r="O727" s="74" t="n"/>
      <c r="P727" s="74" t="inlineStr">
        <is>
          <t>Hebdomadaire</t>
        </is>
      </c>
      <c r="Q727" s="75" t="inlineStr"/>
      <c r="R727" s="74" t="n">
        <v>1</v>
      </c>
      <c r="S727" s="74" t="inlineStr">
        <is>
          <t>Oui</t>
        </is>
      </c>
      <c r="T727" s="74" t="inlineStr">
        <is>
          <t>S6-080</t>
        </is>
      </c>
      <c r="U727" s="75" t="inlineStr">
        <is>
          <t>Généré (octobre)</t>
        </is>
      </c>
      <c r="V727" s="75" t="inlineStr"/>
      <c r="W727" s="10" t="n"/>
      <c r="X727" s="10" t="inlineStr"/>
      <c r="Y727" s="64">
        <f>IF($M727="","",IF(SUMPRODUCT(($D$4:$D$863=$D727)*($M$4:$M$863=$M727)*($T$4:$T$863&lt;&gt;$T727)*($F$4:$F$863&lt;$G727)*($G$4:$G$863&gt;$F727))&gt;0,"⚠ CONFLIT",""))</f>
        <v/>
      </c>
      <c r="Z727" s="64">
        <f>IF($J727="","",IF(SUMPRODUCT(($D$4:$D$863=$D727)*($J$4:$J$863=$J727)*($T$4:$T$863&lt;&gt;$T727)*($F$4:$F$863&lt;$G727)*($G$4:$G$863&gt;$F727)*(1-($X$4:$X$863="Oui")*($X727="Oui")))&gt;0,"⚠ CONFLIT",""))</f>
        <v/>
      </c>
      <c r="AA727" s="64">
        <f>IF(COUNTIFS($D$4:$D$863,$D727,$J$4:$J$863,$J727,$F$4:$F$863,$F727,$K$4:$K$863,$K727)&gt;1,"⚠ DOUBLON","")</f>
        <v/>
      </c>
      <c r="AB727" s="64">
        <f>IF(COUNTIF($T$4:$T$863,$T727)&lt;&gt;COUNTIFS($T$4:$T$863,$T727,$D$4:$D$863,$D727,$F$4:$F$863,$F727,$G$4:$G$863,$G727,$K$4:$K$863,$K727,$M$4:$M$863,$M727),"⚠ INCOHÉRENT","")</f>
        <v/>
      </c>
      <c r="AC727" s="64">
        <f>COUNTIFS($A$4:$A727,$A727,$J$4:$J727,$J727,$E$4:$E727,$E727)</f>
        <v/>
      </c>
      <c r="AD727" s="65">
        <f>$A727&amp;"|"&amp;$J727&amp;"|"&amp;$E727&amp;"|"&amp;$AC727</f>
        <v/>
      </c>
      <c r="AE727" s="66">
        <f>IF($W727&lt;&gt;"","⚑ "&amp;$W727&amp;CHAR(10),"")&amp;TEXT($F727,"hh:mm")&amp;"-"&amp;TEXT($G727,"hh:mm")&amp;IF(OR($P727="Quinzaine A",AND($P727="Hebdo · groupes alternés",$C727="A"))," Q-A",IF(OR($P727="Quinzaine B",AND($P727="Hebdo · groupes alternés",$C727="B"))," Q-B",IF($P727="Exception"," PONCT.","")))&amp;IF($X727="Oui"," OPT","")&amp;CHAR(10)&amp;$K727&amp;CHAR(10)&amp;$M727&amp;IF($N727&lt;&gt;"",CHAR(10)&amp;"Salle "&amp;$N727,"")&amp;IF($O727="En ligne",CHAR(10)&amp;"EN LIGNE","")&amp;IF($V727&lt;&gt;"",CHAR(10)&amp;$V727,"")</f>
        <v/>
      </c>
      <c r="AF727" s="65" t="inlineStr"/>
      <c r="AG727" s="65" t="inlineStr">
        <is>
          <t>— généré —</t>
        </is>
      </c>
    </row>
    <row r="728" ht="15" customHeight="1">
      <c r="A728" s="74" t="inlineStr">
        <is>
          <t>S6</t>
        </is>
      </c>
      <c r="B728" s="75" t="inlineStr">
        <is>
          <t>du 19 au 25 octobre 2026</t>
        </is>
      </c>
      <c r="C728" s="74" t="inlineStr">
        <is>
          <t>B</t>
        </is>
      </c>
      <c r="D728" s="76" t="n">
        <v>46320</v>
      </c>
      <c r="E728" s="74" t="inlineStr">
        <is>
          <t>Dimanche</t>
        </is>
      </c>
      <c r="F728" s="77" t="n">
        <v>0.4375</v>
      </c>
      <c r="G728" s="77" t="n">
        <v>0.5</v>
      </c>
      <c r="H728" s="78">
        <f>IF(OR($F728="",$G728=""),"",($G728-$F728)*24)</f>
        <v/>
      </c>
      <c r="I728" s="74" t="inlineStr">
        <is>
          <t>Secondaire</t>
        </is>
      </c>
      <c r="J728" s="75" t="inlineStr">
        <is>
          <t>1ére (B)</t>
        </is>
      </c>
      <c r="K728" s="73" t="inlineStr">
        <is>
          <t>Physique</t>
        </is>
      </c>
      <c r="L728" s="73" t="inlineStr">
        <is>
          <t>Physique</t>
        </is>
      </c>
      <c r="M728" s="75" t="inlineStr">
        <is>
          <t>Refka</t>
        </is>
      </c>
      <c r="N728" s="74" t="n"/>
      <c r="O728" s="74" t="n"/>
      <c r="P728" s="74" t="inlineStr">
        <is>
          <t>Hebdomadaire</t>
        </is>
      </c>
      <c r="Q728" s="75" t="inlineStr"/>
      <c r="R728" s="74" t="n">
        <v>1</v>
      </c>
      <c r="S728" s="74" t="inlineStr">
        <is>
          <t>Oui</t>
        </is>
      </c>
      <c r="T728" s="74" t="inlineStr">
        <is>
          <t>S6-081</t>
        </is>
      </c>
      <c r="U728" s="75" t="inlineStr">
        <is>
          <t>Généré (octobre)</t>
        </is>
      </c>
      <c r="V728" s="75" t="inlineStr"/>
      <c r="W728" s="10" t="n"/>
      <c r="X728" s="10" t="inlineStr"/>
      <c r="Y728" s="64">
        <f>IF($M728="","",IF(SUMPRODUCT(($D$4:$D$863=$D728)*($M$4:$M$863=$M728)*($T$4:$T$863&lt;&gt;$T728)*($F$4:$F$863&lt;$G728)*($G$4:$G$863&gt;$F728))&gt;0,"⚠ CONFLIT",""))</f>
        <v/>
      </c>
      <c r="Z728" s="64">
        <f>IF($J728="","",IF(SUMPRODUCT(($D$4:$D$863=$D728)*($J$4:$J$863=$J728)*($T$4:$T$863&lt;&gt;$T728)*($F$4:$F$863&lt;$G728)*($G$4:$G$863&gt;$F728)*(1-($X$4:$X$863="Oui")*($X728="Oui")))&gt;0,"⚠ CONFLIT",""))</f>
        <v/>
      </c>
      <c r="AA728" s="64">
        <f>IF(COUNTIFS($D$4:$D$863,$D728,$J$4:$J$863,$J728,$F$4:$F$863,$F728,$K$4:$K$863,$K728)&gt;1,"⚠ DOUBLON","")</f>
        <v/>
      </c>
      <c r="AB728" s="64">
        <f>IF(COUNTIF($T$4:$T$863,$T728)&lt;&gt;COUNTIFS($T$4:$T$863,$T728,$D$4:$D$863,$D728,$F$4:$F$863,$F728,$G$4:$G$863,$G728,$K$4:$K$863,$K728,$M$4:$M$863,$M728),"⚠ INCOHÉRENT","")</f>
        <v/>
      </c>
      <c r="AC728" s="64">
        <f>COUNTIFS($A$4:$A728,$A728,$J$4:$J728,$J728,$E$4:$E728,$E728)</f>
        <v/>
      </c>
      <c r="AD728" s="65">
        <f>$A728&amp;"|"&amp;$J728&amp;"|"&amp;$E728&amp;"|"&amp;$AC728</f>
        <v/>
      </c>
      <c r="AE728" s="66">
        <f>IF($W728&lt;&gt;"","⚑ "&amp;$W728&amp;CHAR(10),"")&amp;TEXT($F728,"hh:mm")&amp;"-"&amp;TEXT($G728,"hh:mm")&amp;IF(OR($P728="Quinzaine A",AND($P728="Hebdo · groupes alternés",$C728="A"))," Q-A",IF(OR($P728="Quinzaine B",AND($P728="Hebdo · groupes alternés",$C728="B"))," Q-B",IF($P728="Exception"," PONCT.","")))&amp;IF($X728="Oui"," OPT","")&amp;CHAR(10)&amp;$K728&amp;CHAR(10)&amp;$M728&amp;IF($N728&lt;&gt;"",CHAR(10)&amp;"Salle "&amp;$N728,"")&amp;IF($O728="En ligne",CHAR(10)&amp;"EN LIGNE","")&amp;IF($V728&lt;&gt;"",CHAR(10)&amp;$V728,"")</f>
        <v/>
      </c>
      <c r="AF728" s="65" t="inlineStr"/>
      <c r="AG728" s="65" t="inlineStr">
        <is>
          <t>— généré —</t>
        </is>
      </c>
    </row>
    <row r="729" ht="15" customHeight="1">
      <c r="A729" s="74" t="inlineStr">
        <is>
          <t>S6</t>
        </is>
      </c>
      <c r="B729" s="75" t="inlineStr">
        <is>
          <t>du 19 au 25 octobre 2026</t>
        </is>
      </c>
      <c r="C729" s="74" t="inlineStr">
        <is>
          <t>B</t>
        </is>
      </c>
      <c r="D729" s="76" t="n">
        <v>46320</v>
      </c>
      <c r="E729" s="74" t="inlineStr">
        <is>
          <t>Dimanche</t>
        </is>
      </c>
      <c r="F729" s="77" t="n">
        <v>0.5416666666666666</v>
      </c>
      <c r="G729" s="77" t="n">
        <v>0.6041666666666666</v>
      </c>
      <c r="H729" s="78">
        <f>IF(OR($F729="",$G729=""),"",($G729-$F729)*24)</f>
        <v/>
      </c>
      <c r="I729" s="74" t="inlineStr">
        <is>
          <t>Secondaire</t>
        </is>
      </c>
      <c r="J729" s="75" t="inlineStr">
        <is>
          <t>1ére (B)</t>
        </is>
      </c>
      <c r="K729" s="88" t="inlineStr">
        <is>
          <t>SVT</t>
        </is>
      </c>
      <c r="L729" s="88" t="inlineStr">
        <is>
          <t>SVT</t>
        </is>
      </c>
      <c r="M729" s="75" t="inlineStr">
        <is>
          <t>Imen Ghoumeme</t>
        </is>
      </c>
      <c r="N729" s="74" t="n"/>
      <c r="O729" s="74" t="n"/>
      <c r="P729" s="74" t="inlineStr">
        <is>
          <t>Quinzaine B</t>
        </is>
      </c>
      <c r="Q729" s="75" t="inlineStr"/>
      <c r="R729" s="74" t="n">
        <v>1</v>
      </c>
      <c r="S729" s="74" t="inlineStr">
        <is>
          <t>Oui</t>
        </is>
      </c>
      <c r="T729" s="74" t="inlineStr">
        <is>
          <t>S6-099</t>
        </is>
      </c>
      <c r="U729" s="75" t="inlineStr">
        <is>
          <t>Généré (octobre)</t>
        </is>
      </c>
      <c r="V729" s="75" t="inlineStr"/>
      <c r="W729" s="10" t="n"/>
      <c r="X729" s="10" t="inlineStr"/>
      <c r="Y729" s="64">
        <f>IF($M729="","",IF(SUMPRODUCT(($D$4:$D$863=$D729)*($M$4:$M$863=$M729)*($T$4:$T$863&lt;&gt;$T729)*($F$4:$F$863&lt;$G729)*($G$4:$G$863&gt;$F729))&gt;0,"⚠ CONFLIT",""))</f>
        <v/>
      </c>
      <c r="Z729" s="64">
        <f>IF($J729="","",IF(SUMPRODUCT(($D$4:$D$863=$D729)*($J$4:$J$863=$J729)*($T$4:$T$863&lt;&gt;$T729)*($F$4:$F$863&lt;$G729)*($G$4:$G$863&gt;$F729)*(1-($X$4:$X$863="Oui")*($X729="Oui")))&gt;0,"⚠ CONFLIT",""))</f>
        <v/>
      </c>
      <c r="AA729" s="64">
        <f>IF(COUNTIFS($D$4:$D$863,$D729,$J$4:$J$863,$J729,$F$4:$F$863,$F729,$K$4:$K$863,$K729)&gt;1,"⚠ DOUBLON","")</f>
        <v/>
      </c>
      <c r="AB729" s="64">
        <f>IF(COUNTIF($T$4:$T$863,$T729)&lt;&gt;COUNTIFS($T$4:$T$863,$T729,$D$4:$D$863,$D729,$F$4:$F$863,$F729,$G$4:$G$863,$G729,$K$4:$K$863,$K729,$M$4:$M$863,$M729),"⚠ INCOHÉRENT","")</f>
        <v/>
      </c>
      <c r="AC729" s="64">
        <f>COUNTIFS($A$4:$A729,$A729,$J$4:$J729,$J729,$E$4:$E729,$E729)</f>
        <v/>
      </c>
      <c r="AD729" s="65">
        <f>$A729&amp;"|"&amp;$J729&amp;"|"&amp;$E729&amp;"|"&amp;$AC729</f>
        <v/>
      </c>
      <c r="AE729" s="66">
        <f>IF($W729&lt;&gt;"","⚑ "&amp;$W729&amp;CHAR(10),"")&amp;TEXT($F729,"hh:mm")&amp;"-"&amp;TEXT($G729,"hh:mm")&amp;IF(OR($P729="Quinzaine A",AND($P729="Hebdo · groupes alternés",$C729="A"))," Q-A",IF(OR($P729="Quinzaine B",AND($P729="Hebdo · groupes alternés",$C729="B"))," Q-B",IF($P729="Exception"," PONCT.","")))&amp;IF($X729="Oui"," OPT","")&amp;CHAR(10)&amp;$K729&amp;CHAR(10)&amp;$M729&amp;IF($N729&lt;&gt;"",CHAR(10)&amp;"Salle "&amp;$N729,"")&amp;IF($O729="En ligne",CHAR(10)&amp;"EN LIGNE","")&amp;IF($V729&lt;&gt;"",CHAR(10)&amp;$V729,"")</f>
        <v/>
      </c>
      <c r="AF729" s="65" t="inlineStr"/>
      <c r="AG729" s="65" t="inlineStr">
        <is>
          <t>— généré —</t>
        </is>
      </c>
    </row>
    <row r="730" ht="15" customHeight="1">
      <c r="A730" s="74" t="inlineStr">
        <is>
          <t>S6</t>
        </is>
      </c>
      <c r="B730" s="75" t="inlineStr">
        <is>
          <t>du 19 au 25 octobre 2026</t>
        </is>
      </c>
      <c r="C730" s="74" t="inlineStr">
        <is>
          <t>B</t>
        </is>
      </c>
      <c r="D730" s="76" t="n">
        <v>46320</v>
      </c>
      <c r="E730" s="74" t="inlineStr">
        <is>
          <t>Dimanche</t>
        </is>
      </c>
      <c r="F730" s="77" t="n">
        <v>0.375</v>
      </c>
      <c r="G730" s="77" t="n">
        <v>0.4375</v>
      </c>
      <c r="H730" s="78">
        <f>IF(OR($F730="",$G730=""),"",($G730-$F730)*24)</f>
        <v/>
      </c>
      <c r="I730" s="74" t="inlineStr">
        <is>
          <t>Secondaire</t>
        </is>
      </c>
      <c r="J730" s="75" t="inlineStr">
        <is>
          <t>2éme Eco</t>
        </is>
      </c>
      <c r="K730" s="95" t="inlineStr">
        <is>
          <t>Eco</t>
        </is>
      </c>
      <c r="L730" s="95" t="inlineStr">
        <is>
          <t>Eco</t>
        </is>
      </c>
      <c r="M730" s="75" t="inlineStr">
        <is>
          <t>Rym</t>
        </is>
      </c>
      <c r="N730" s="74" t="n"/>
      <c r="O730" s="74" t="n"/>
      <c r="P730" s="74" t="inlineStr">
        <is>
          <t>Hebdomadaire</t>
        </is>
      </c>
      <c r="Q730" s="75" t="inlineStr"/>
      <c r="R730" s="74" t="n">
        <v>1</v>
      </c>
      <c r="S730" s="74" t="inlineStr">
        <is>
          <t>Oui</t>
        </is>
      </c>
      <c r="T730" s="74" t="inlineStr">
        <is>
          <t>S6-082</t>
        </is>
      </c>
      <c r="U730" s="75" t="inlineStr">
        <is>
          <t>Généré (octobre)</t>
        </is>
      </c>
      <c r="V730" s="75" t="inlineStr"/>
      <c r="W730" s="10" t="n"/>
      <c r="X730" s="10" t="inlineStr"/>
      <c r="Y730" s="64">
        <f>IF($M730="","",IF(SUMPRODUCT(($D$4:$D$863=$D730)*($M$4:$M$863=$M730)*($T$4:$T$863&lt;&gt;$T730)*($F$4:$F$863&lt;$G730)*($G$4:$G$863&gt;$F730))&gt;0,"⚠ CONFLIT",""))</f>
        <v/>
      </c>
      <c r="Z730" s="64">
        <f>IF($J730="","",IF(SUMPRODUCT(($D$4:$D$863=$D730)*($J$4:$J$863=$J730)*($T$4:$T$863&lt;&gt;$T730)*($F$4:$F$863&lt;$G730)*($G$4:$G$863&gt;$F730)*(1-($X$4:$X$863="Oui")*($X730="Oui")))&gt;0,"⚠ CONFLIT",""))</f>
        <v/>
      </c>
      <c r="AA730" s="64">
        <f>IF(COUNTIFS($D$4:$D$863,$D730,$J$4:$J$863,$J730,$F$4:$F$863,$F730,$K$4:$K$863,$K730)&gt;1,"⚠ DOUBLON","")</f>
        <v/>
      </c>
      <c r="AB730" s="64">
        <f>IF(COUNTIF($T$4:$T$863,$T730)&lt;&gt;COUNTIFS($T$4:$T$863,$T730,$D$4:$D$863,$D730,$F$4:$F$863,$F730,$G$4:$G$863,$G730,$K$4:$K$863,$K730,$M$4:$M$863,$M730),"⚠ INCOHÉRENT","")</f>
        <v/>
      </c>
      <c r="AC730" s="64">
        <f>COUNTIFS($A$4:$A730,$A730,$J$4:$J730,$J730,$E$4:$E730,$E730)</f>
        <v/>
      </c>
      <c r="AD730" s="65">
        <f>$A730&amp;"|"&amp;$J730&amp;"|"&amp;$E730&amp;"|"&amp;$AC730</f>
        <v/>
      </c>
      <c r="AE730" s="66">
        <f>IF($W730&lt;&gt;"","⚑ "&amp;$W730&amp;CHAR(10),"")&amp;TEXT($F730,"hh:mm")&amp;"-"&amp;TEXT($G730,"hh:mm")&amp;IF(OR($P730="Quinzaine A",AND($P730="Hebdo · groupes alternés",$C730="A"))," Q-A",IF(OR($P730="Quinzaine B",AND($P730="Hebdo · groupes alternés",$C730="B"))," Q-B",IF($P730="Exception"," PONCT.","")))&amp;IF($X730="Oui"," OPT","")&amp;CHAR(10)&amp;$K730&amp;CHAR(10)&amp;$M730&amp;IF($N730&lt;&gt;"",CHAR(10)&amp;"Salle "&amp;$N730,"")&amp;IF($O730="En ligne",CHAR(10)&amp;"EN LIGNE","")&amp;IF($V730&lt;&gt;"",CHAR(10)&amp;$V730,"")</f>
        <v/>
      </c>
      <c r="AF730" s="65" t="inlineStr"/>
      <c r="AG730" s="65" t="inlineStr">
        <is>
          <t>— généré —</t>
        </is>
      </c>
    </row>
    <row r="731" ht="15" customHeight="1">
      <c r="A731" s="74" t="inlineStr">
        <is>
          <t>S6</t>
        </is>
      </c>
      <c r="B731" s="75" t="inlineStr">
        <is>
          <t>du 19 au 25 octobre 2026</t>
        </is>
      </c>
      <c r="C731" s="74" t="inlineStr">
        <is>
          <t>B</t>
        </is>
      </c>
      <c r="D731" s="76" t="n">
        <v>46320</v>
      </c>
      <c r="E731" s="74" t="inlineStr">
        <is>
          <t>Dimanche</t>
        </is>
      </c>
      <c r="F731" s="77" t="n">
        <v>0.5</v>
      </c>
      <c r="G731" s="77" t="n">
        <v>0.5625</v>
      </c>
      <c r="H731" s="78">
        <f>IF(OR($F731="",$G731=""),"",($G731-$F731)*24)</f>
        <v/>
      </c>
      <c r="I731" s="74" t="inlineStr">
        <is>
          <t>Secondaire</t>
        </is>
      </c>
      <c r="J731" s="75" t="inlineStr">
        <is>
          <t>2éme SCE</t>
        </is>
      </c>
      <c r="K731" s="73" t="inlineStr">
        <is>
          <t>Physique</t>
        </is>
      </c>
      <c r="L731" s="73" t="inlineStr">
        <is>
          <t>Physique</t>
        </is>
      </c>
      <c r="M731" s="75" t="inlineStr">
        <is>
          <t>Refka</t>
        </is>
      </c>
      <c r="N731" s="74" t="n"/>
      <c r="O731" s="74" t="n"/>
      <c r="P731" s="74" t="inlineStr">
        <is>
          <t>Hebdomadaire</t>
        </is>
      </c>
      <c r="Q731" s="75" t="inlineStr"/>
      <c r="R731" s="74" t="n">
        <v>1</v>
      </c>
      <c r="S731" s="74" t="inlineStr">
        <is>
          <t>Oui</t>
        </is>
      </c>
      <c r="T731" s="74" t="inlineStr">
        <is>
          <t>S6-083</t>
        </is>
      </c>
      <c r="U731" s="75" t="inlineStr">
        <is>
          <t>Généré (octobre)</t>
        </is>
      </c>
      <c r="V731" s="75" t="inlineStr"/>
      <c r="W731" s="10" t="n"/>
      <c r="X731" s="10" t="inlineStr"/>
      <c r="Y731" s="64">
        <f>IF($M731="","",IF(SUMPRODUCT(($D$4:$D$863=$D731)*($M$4:$M$863=$M731)*($T$4:$T$863&lt;&gt;$T731)*($F$4:$F$863&lt;$G731)*($G$4:$G$863&gt;$F731))&gt;0,"⚠ CONFLIT",""))</f>
        <v/>
      </c>
      <c r="Z731" s="64">
        <f>IF($J731="","",IF(SUMPRODUCT(($D$4:$D$863=$D731)*($J$4:$J$863=$J731)*($T$4:$T$863&lt;&gt;$T731)*($F$4:$F$863&lt;$G731)*($G$4:$G$863&gt;$F731)*(1-($X$4:$X$863="Oui")*($X731="Oui")))&gt;0,"⚠ CONFLIT",""))</f>
        <v/>
      </c>
      <c r="AA731" s="64">
        <f>IF(COUNTIFS($D$4:$D$863,$D731,$J$4:$J$863,$J731,$F$4:$F$863,$F731,$K$4:$K$863,$K731)&gt;1,"⚠ DOUBLON","")</f>
        <v/>
      </c>
      <c r="AB731" s="64">
        <f>IF(COUNTIF($T$4:$T$863,$T731)&lt;&gt;COUNTIFS($T$4:$T$863,$T731,$D$4:$D$863,$D731,$F$4:$F$863,$F731,$G$4:$G$863,$G731,$K$4:$K$863,$K731,$M$4:$M$863,$M731),"⚠ INCOHÉRENT","")</f>
        <v/>
      </c>
      <c r="AC731" s="64">
        <f>COUNTIFS($A$4:$A731,$A731,$J$4:$J731,$J731,$E$4:$E731,$E731)</f>
        <v/>
      </c>
      <c r="AD731" s="65">
        <f>$A731&amp;"|"&amp;$J731&amp;"|"&amp;$E731&amp;"|"&amp;$AC731</f>
        <v/>
      </c>
      <c r="AE731" s="66">
        <f>IF($W731&lt;&gt;"","⚑ "&amp;$W731&amp;CHAR(10),"")&amp;TEXT($F731,"hh:mm")&amp;"-"&amp;TEXT($G731,"hh:mm")&amp;IF(OR($P731="Quinzaine A",AND($P731="Hebdo · groupes alternés",$C731="A"))," Q-A",IF(OR($P731="Quinzaine B",AND($P731="Hebdo · groupes alternés",$C731="B"))," Q-B",IF($P731="Exception"," PONCT.","")))&amp;IF($X731="Oui"," OPT","")&amp;CHAR(10)&amp;$K731&amp;CHAR(10)&amp;$M731&amp;IF($N731&lt;&gt;"",CHAR(10)&amp;"Salle "&amp;$N731,"")&amp;IF($O731="En ligne",CHAR(10)&amp;"EN LIGNE","")&amp;IF($V731&lt;&gt;"",CHAR(10)&amp;$V731,"")</f>
        <v/>
      </c>
      <c r="AF731" s="65" t="inlineStr"/>
      <c r="AG731" s="65" t="inlineStr">
        <is>
          <t>— généré —</t>
        </is>
      </c>
    </row>
    <row r="732" ht="15" customHeight="1">
      <c r="A732" s="74" t="inlineStr">
        <is>
          <t>S6</t>
        </is>
      </c>
      <c r="B732" s="75" t="inlineStr">
        <is>
          <t>du 19 au 25 octobre 2026</t>
        </is>
      </c>
      <c r="C732" s="74" t="inlineStr">
        <is>
          <t>B</t>
        </is>
      </c>
      <c r="D732" s="76" t="n">
        <v>46320</v>
      </c>
      <c r="E732" s="74" t="inlineStr">
        <is>
          <t>Dimanche</t>
        </is>
      </c>
      <c r="F732" s="77" t="n">
        <v>0.4375</v>
      </c>
      <c r="G732" s="77" t="n">
        <v>0.5</v>
      </c>
      <c r="H732" s="78">
        <f>IF(OR($F732="",$G732=""),"",($G732-$F732)*24)</f>
        <v/>
      </c>
      <c r="I732" s="74" t="inlineStr">
        <is>
          <t>Secondaire</t>
        </is>
      </c>
      <c r="J732" s="75" t="inlineStr">
        <is>
          <t>3éme Eco</t>
        </is>
      </c>
      <c r="K732" s="95" t="inlineStr">
        <is>
          <t>Eco</t>
        </is>
      </c>
      <c r="L732" s="95" t="inlineStr">
        <is>
          <t>Eco</t>
        </is>
      </c>
      <c r="M732" s="75" t="inlineStr">
        <is>
          <t>Rym</t>
        </is>
      </c>
      <c r="N732" s="74" t="n"/>
      <c r="O732" s="74" t="n"/>
      <c r="P732" s="74" t="inlineStr">
        <is>
          <t>Hebdomadaire</t>
        </is>
      </c>
      <c r="Q732" s="75" t="inlineStr"/>
      <c r="R732" s="74" t="n">
        <v>1</v>
      </c>
      <c r="S732" s="74" t="inlineStr">
        <is>
          <t>Oui</t>
        </is>
      </c>
      <c r="T732" s="74" t="inlineStr">
        <is>
          <t>S6-084</t>
        </is>
      </c>
      <c r="U732" s="75" t="inlineStr">
        <is>
          <t>Généré (octobre)</t>
        </is>
      </c>
      <c r="V732" s="75" t="inlineStr"/>
      <c r="W732" s="10" t="n"/>
      <c r="X732" s="10" t="inlineStr"/>
      <c r="Y732" s="64">
        <f>IF($M732="","",IF(SUMPRODUCT(($D$4:$D$863=$D732)*($M$4:$M$863=$M732)*($T$4:$T$863&lt;&gt;$T732)*($F$4:$F$863&lt;$G732)*($G$4:$G$863&gt;$F732))&gt;0,"⚠ CONFLIT",""))</f>
        <v/>
      </c>
      <c r="Z732" s="64">
        <f>IF($J732="","",IF(SUMPRODUCT(($D$4:$D$863=$D732)*($J$4:$J$863=$J732)*($T$4:$T$863&lt;&gt;$T732)*($F$4:$F$863&lt;$G732)*($G$4:$G$863&gt;$F732)*(1-($X$4:$X$863="Oui")*($X732="Oui")))&gt;0,"⚠ CONFLIT",""))</f>
        <v/>
      </c>
      <c r="AA732" s="64">
        <f>IF(COUNTIFS($D$4:$D$863,$D732,$J$4:$J$863,$J732,$F$4:$F$863,$F732,$K$4:$K$863,$K732)&gt;1,"⚠ DOUBLON","")</f>
        <v/>
      </c>
      <c r="AB732" s="64">
        <f>IF(COUNTIF($T$4:$T$863,$T732)&lt;&gt;COUNTIFS($T$4:$T$863,$T732,$D$4:$D$863,$D732,$F$4:$F$863,$F732,$G$4:$G$863,$G732,$K$4:$K$863,$K732,$M$4:$M$863,$M732),"⚠ INCOHÉRENT","")</f>
        <v/>
      </c>
      <c r="AC732" s="64">
        <f>COUNTIFS($A$4:$A732,$A732,$J$4:$J732,$J732,$E$4:$E732,$E732)</f>
        <v/>
      </c>
      <c r="AD732" s="65">
        <f>$A732&amp;"|"&amp;$J732&amp;"|"&amp;$E732&amp;"|"&amp;$AC732</f>
        <v/>
      </c>
      <c r="AE732" s="66">
        <f>IF($W732&lt;&gt;"","⚑ "&amp;$W732&amp;CHAR(10),"")&amp;TEXT($F732,"hh:mm")&amp;"-"&amp;TEXT($G732,"hh:mm")&amp;IF(OR($P732="Quinzaine A",AND($P732="Hebdo · groupes alternés",$C732="A"))," Q-A",IF(OR($P732="Quinzaine B",AND($P732="Hebdo · groupes alternés",$C732="B"))," Q-B",IF($P732="Exception"," PONCT.","")))&amp;IF($X732="Oui"," OPT","")&amp;CHAR(10)&amp;$K732&amp;CHAR(10)&amp;$M732&amp;IF($N732&lt;&gt;"",CHAR(10)&amp;"Salle "&amp;$N732,"")&amp;IF($O732="En ligne",CHAR(10)&amp;"EN LIGNE","")&amp;IF($V732&lt;&gt;"",CHAR(10)&amp;$V732,"")</f>
        <v/>
      </c>
      <c r="AF732" s="65" t="inlineStr"/>
      <c r="AG732" s="65" t="inlineStr">
        <is>
          <t>— généré —</t>
        </is>
      </c>
    </row>
    <row r="733" ht="15" customHeight="1">
      <c r="A733" s="74" t="inlineStr">
        <is>
          <t>S6</t>
        </is>
      </c>
      <c r="B733" s="75" t="inlineStr">
        <is>
          <t>du 19 au 25 octobre 2026</t>
        </is>
      </c>
      <c r="C733" s="74" t="inlineStr">
        <is>
          <t>B</t>
        </is>
      </c>
      <c r="D733" s="76" t="n">
        <v>46320</v>
      </c>
      <c r="E733" s="74" t="inlineStr">
        <is>
          <t>Dimanche</t>
        </is>
      </c>
      <c r="F733" s="77" t="n">
        <v>0.5833333333333334</v>
      </c>
      <c r="G733" s="77" t="n">
        <v>0.6458333333333334</v>
      </c>
      <c r="H733" s="78">
        <f>IF(OR($F733="",$G733=""),"",($G733-$F733)*24)</f>
        <v/>
      </c>
      <c r="I733" s="74" t="inlineStr">
        <is>
          <t>Secondaire</t>
        </is>
      </c>
      <c r="J733" s="75" t="inlineStr">
        <is>
          <t>3éme Eco</t>
        </is>
      </c>
      <c r="K733" s="79" t="inlineStr">
        <is>
          <t>Math</t>
        </is>
      </c>
      <c r="L733" s="79" t="inlineStr">
        <is>
          <t>Math</t>
        </is>
      </c>
      <c r="M733" s="75" t="inlineStr">
        <is>
          <t>Lotfi</t>
        </is>
      </c>
      <c r="N733" s="74" t="n"/>
      <c r="O733" s="74" t="n"/>
      <c r="P733" s="74" t="inlineStr">
        <is>
          <t>Hebdomadaire</t>
        </is>
      </c>
      <c r="Q733" s="75" t="inlineStr"/>
      <c r="R733" s="74" t="n">
        <v>1</v>
      </c>
      <c r="S733" s="74" t="inlineStr">
        <is>
          <t>Oui</t>
        </is>
      </c>
      <c r="T733" s="74" t="inlineStr">
        <is>
          <t>S6-085</t>
        </is>
      </c>
      <c r="U733" s="75" t="inlineStr">
        <is>
          <t>Généré (octobre)</t>
        </is>
      </c>
      <c r="V733" s="75" t="inlineStr"/>
      <c r="W733" s="10" t="n"/>
      <c r="X733" s="10" t="inlineStr"/>
      <c r="Y733" s="64">
        <f>IF($M733="","",IF(SUMPRODUCT(($D$4:$D$863=$D733)*($M$4:$M$863=$M733)*($T$4:$T$863&lt;&gt;$T733)*($F$4:$F$863&lt;$G733)*($G$4:$G$863&gt;$F733))&gt;0,"⚠ CONFLIT",""))</f>
        <v/>
      </c>
      <c r="Z733" s="64">
        <f>IF($J733="","",IF(SUMPRODUCT(($D$4:$D$863=$D733)*($J$4:$J$863=$J733)*($T$4:$T$863&lt;&gt;$T733)*($F$4:$F$863&lt;$G733)*($G$4:$G$863&gt;$F733)*(1-($X$4:$X$863="Oui")*($X733="Oui")))&gt;0,"⚠ CONFLIT",""))</f>
        <v/>
      </c>
      <c r="AA733" s="64">
        <f>IF(COUNTIFS($D$4:$D$863,$D733,$J$4:$J$863,$J733,$F$4:$F$863,$F733,$K$4:$K$863,$K733)&gt;1,"⚠ DOUBLON","")</f>
        <v/>
      </c>
      <c r="AB733" s="64">
        <f>IF(COUNTIF($T$4:$T$863,$T733)&lt;&gt;COUNTIFS($T$4:$T$863,$T733,$D$4:$D$863,$D733,$F$4:$F$863,$F733,$G$4:$G$863,$G733,$K$4:$K$863,$K733,$M$4:$M$863,$M733),"⚠ INCOHÉRENT","")</f>
        <v/>
      </c>
      <c r="AC733" s="64">
        <f>COUNTIFS($A$4:$A733,$A733,$J$4:$J733,$J733,$E$4:$E733,$E733)</f>
        <v/>
      </c>
      <c r="AD733" s="65">
        <f>$A733&amp;"|"&amp;$J733&amp;"|"&amp;$E733&amp;"|"&amp;$AC733</f>
        <v/>
      </c>
      <c r="AE733" s="66">
        <f>IF($W733&lt;&gt;"","⚑ "&amp;$W733&amp;CHAR(10),"")&amp;TEXT($F733,"hh:mm")&amp;"-"&amp;TEXT($G733,"hh:mm")&amp;IF(OR($P733="Quinzaine A",AND($P733="Hebdo · groupes alternés",$C733="A"))," Q-A",IF(OR($P733="Quinzaine B",AND($P733="Hebdo · groupes alternés",$C733="B"))," Q-B",IF($P733="Exception"," PONCT.","")))&amp;IF($X733="Oui"," OPT","")&amp;CHAR(10)&amp;$K733&amp;CHAR(10)&amp;$M733&amp;IF($N733&lt;&gt;"",CHAR(10)&amp;"Salle "&amp;$N733,"")&amp;IF($O733="En ligne",CHAR(10)&amp;"EN LIGNE","")&amp;IF($V733&lt;&gt;"",CHAR(10)&amp;$V733,"")</f>
        <v/>
      </c>
      <c r="AF733" s="65" t="inlineStr"/>
      <c r="AG733" s="65" t="inlineStr">
        <is>
          <t>— généré —</t>
        </is>
      </c>
    </row>
    <row r="734" ht="15" customHeight="1">
      <c r="A734" s="74" t="inlineStr">
        <is>
          <t>S6</t>
        </is>
      </c>
      <c r="B734" s="75" t="inlineStr">
        <is>
          <t>du 19 au 25 octobre 2026</t>
        </is>
      </c>
      <c r="C734" s="74" t="inlineStr">
        <is>
          <t>B</t>
        </is>
      </c>
      <c r="D734" s="76" t="n">
        <v>46320</v>
      </c>
      <c r="E734" s="74" t="inlineStr">
        <is>
          <t>Dimanche</t>
        </is>
      </c>
      <c r="F734" s="77" t="n">
        <v>0.5</v>
      </c>
      <c r="G734" s="77" t="n">
        <v>0.5625</v>
      </c>
      <c r="H734" s="78">
        <f>IF(OR($F734="",$G734=""),"",($G734-$F734)*24)</f>
        <v/>
      </c>
      <c r="I734" s="74" t="inlineStr">
        <is>
          <t>Secondaire</t>
        </is>
      </c>
      <c r="J734" s="75" t="inlineStr">
        <is>
          <t>3éme INFO</t>
        </is>
      </c>
      <c r="K734" s="79" t="inlineStr">
        <is>
          <t>Math</t>
        </is>
      </c>
      <c r="L734" s="79" t="inlineStr">
        <is>
          <t>Math</t>
        </is>
      </c>
      <c r="M734" s="75" t="inlineStr">
        <is>
          <t>Lotfi</t>
        </is>
      </c>
      <c r="N734" s="74" t="n"/>
      <c r="O734" s="74" t="n"/>
      <c r="P734" s="74" t="inlineStr">
        <is>
          <t>Hebdomadaire</t>
        </is>
      </c>
      <c r="Q734" s="75" t="inlineStr"/>
      <c r="R734" s="74" t="n">
        <v>1</v>
      </c>
      <c r="S734" s="74" t="inlineStr">
        <is>
          <t>Oui</t>
        </is>
      </c>
      <c r="T734" s="74" t="inlineStr">
        <is>
          <t>S6-086</t>
        </is>
      </c>
      <c r="U734" s="75" t="inlineStr">
        <is>
          <t>Généré (octobre)</t>
        </is>
      </c>
      <c r="V734" s="75" t="inlineStr"/>
      <c r="W734" s="10" t="n"/>
      <c r="X734" s="10" t="inlineStr"/>
      <c r="Y734" s="64">
        <f>IF($M734="","",IF(SUMPRODUCT(($D$4:$D$863=$D734)*($M$4:$M$863=$M734)*($T$4:$T$863&lt;&gt;$T734)*($F$4:$F$863&lt;$G734)*($G$4:$G$863&gt;$F734))&gt;0,"⚠ CONFLIT",""))</f>
        <v/>
      </c>
      <c r="Z734" s="64">
        <f>IF($J734="","",IF(SUMPRODUCT(($D$4:$D$863=$D734)*($J$4:$J$863=$J734)*($T$4:$T$863&lt;&gt;$T734)*($F$4:$F$863&lt;$G734)*($G$4:$G$863&gt;$F734)*(1-($X$4:$X$863="Oui")*($X734="Oui")))&gt;0,"⚠ CONFLIT",""))</f>
        <v/>
      </c>
      <c r="AA734" s="64">
        <f>IF(COUNTIFS($D$4:$D$863,$D734,$J$4:$J$863,$J734,$F$4:$F$863,$F734,$K$4:$K$863,$K734)&gt;1,"⚠ DOUBLON","")</f>
        <v/>
      </c>
      <c r="AB734" s="64">
        <f>IF(COUNTIF($T$4:$T$863,$T734)&lt;&gt;COUNTIFS($T$4:$T$863,$T734,$D$4:$D$863,$D734,$F$4:$F$863,$F734,$G$4:$G$863,$G734,$K$4:$K$863,$K734,$M$4:$M$863,$M734),"⚠ INCOHÉRENT","")</f>
        <v/>
      </c>
      <c r="AC734" s="64">
        <f>COUNTIFS($A$4:$A734,$A734,$J$4:$J734,$J734,$E$4:$E734,$E734)</f>
        <v/>
      </c>
      <c r="AD734" s="65">
        <f>$A734&amp;"|"&amp;$J734&amp;"|"&amp;$E734&amp;"|"&amp;$AC734</f>
        <v/>
      </c>
      <c r="AE734" s="66">
        <f>IF($W734&lt;&gt;"","⚑ "&amp;$W734&amp;CHAR(10),"")&amp;TEXT($F734,"hh:mm")&amp;"-"&amp;TEXT($G734,"hh:mm")&amp;IF(OR($P734="Quinzaine A",AND($P734="Hebdo · groupes alternés",$C734="A"))," Q-A",IF(OR($P734="Quinzaine B",AND($P734="Hebdo · groupes alternés",$C734="B"))," Q-B",IF($P734="Exception"," PONCT.","")))&amp;IF($X734="Oui"," OPT","")&amp;CHAR(10)&amp;$K734&amp;CHAR(10)&amp;$M734&amp;IF($N734&lt;&gt;"",CHAR(10)&amp;"Salle "&amp;$N734,"")&amp;IF($O734="En ligne",CHAR(10)&amp;"EN LIGNE","")&amp;IF($V734&lt;&gt;"",CHAR(10)&amp;$V734,"")</f>
        <v/>
      </c>
      <c r="AF734" s="65" t="inlineStr"/>
      <c r="AG734" s="65" t="inlineStr">
        <is>
          <t>— généré —</t>
        </is>
      </c>
    </row>
    <row r="735" ht="15" customHeight="1">
      <c r="A735" s="74" t="inlineStr">
        <is>
          <t>S6</t>
        </is>
      </c>
      <c r="B735" s="75" t="inlineStr">
        <is>
          <t>du 19 au 25 octobre 2026</t>
        </is>
      </c>
      <c r="C735" s="74" t="inlineStr">
        <is>
          <t>B</t>
        </is>
      </c>
      <c r="D735" s="76" t="n">
        <v>46320</v>
      </c>
      <c r="E735" s="74" t="inlineStr">
        <is>
          <t>Dimanche</t>
        </is>
      </c>
      <c r="F735" s="77" t="n">
        <v>0.4375</v>
      </c>
      <c r="G735" s="77" t="n">
        <v>0.5</v>
      </c>
      <c r="H735" s="78">
        <f>IF(OR($F735="",$G735=""),"",($G735-$F735)*24)</f>
        <v/>
      </c>
      <c r="I735" s="74" t="inlineStr">
        <is>
          <t>Secondaire</t>
        </is>
      </c>
      <c r="J735" s="75" t="inlineStr">
        <is>
          <t>3éme SCE</t>
        </is>
      </c>
      <c r="K735" s="73" t="inlineStr">
        <is>
          <t>Physique</t>
        </is>
      </c>
      <c r="L735" s="73" t="inlineStr">
        <is>
          <t>Physique</t>
        </is>
      </c>
      <c r="M735" s="75" t="inlineStr">
        <is>
          <t>Sondes</t>
        </is>
      </c>
      <c r="N735" s="74" t="n"/>
      <c r="O735" s="74" t="n"/>
      <c r="P735" s="74" t="inlineStr">
        <is>
          <t>Hebdomadaire</t>
        </is>
      </c>
      <c r="Q735" s="75" t="inlineStr"/>
      <c r="R735" s="74" t="n">
        <v>1</v>
      </c>
      <c r="S735" s="74" t="inlineStr">
        <is>
          <t>Oui</t>
        </is>
      </c>
      <c r="T735" s="74" t="inlineStr">
        <is>
          <t>S6-087</t>
        </is>
      </c>
      <c r="U735" s="75" t="inlineStr">
        <is>
          <t>Généré (octobre)</t>
        </is>
      </c>
      <c r="V735" s="75" t="inlineStr"/>
      <c r="W735" s="10" t="n"/>
      <c r="X735" s="10" t="inlineStr"/>
      <c r="Y735" s="64">
        <f>IF($M735="","",IF(SUMPRODUCT(($D$4:$D$863=$D735)*($M$4:$M$863=$M735)*($T$4:$T$863&lt;&gt;$T735)*($F$4:$F$863&lt;$G735)*($G$4:$G$863&gt;$F735))&gt;0,"⚠ CONFLIT",""))</f>
        <v/>
      </c>
      <c r="Z735" s="64">
        <f>IF($J735="","",IF(SUMPRODUCT(($D$4:$D$863=$D735)*($J$4:$J$863=$J735)*($T$4:$T$863&lt;&gt;$T735)*($F$4:$F$863&lt;$G735)*($G$4:$G$863&gt;$F735)*(1-($X$4:$X$863="Oui")*($X735="Oui")))&gt;0,"⚠ CONFLIT",""))</f>
        <v/>
      </c>
      <c r="AA735" s="64">
        <f>IF(COUNTIFS($D$4:$D$863,$D735,$J$4:$J$863,$J735,$F$4:$F$863,$F735,$K$4:$K$863,$K735)&gt;1,"⚠ DOUBLON","")</f>
        <v/>
      </c>
      <c r="AB735" s="64">
        <f>IF(COUNTIF($T$4:$T$863,$T735)&lt;&gt;COUNTIFS($T$4:$T$863,$T735,$D$4:$D$863,$D735,$F$4:$F$863,$F735,$G$4:$G$863,$G735,$K$4:$K$863,$K735,$M$4:$M$863,$M735),"⚠ INCOHÉRENT","")</f>
        <v/>
      </c>
      <c r="AC735" s="64">
        <f>COUNTIFS($A$4:$A735,$A735,$J$4:$J735,$J735,$E$4:$E735,$E735)</f>
        <v/>
      </c>
      <c r="AD735" s="65">
        <f>$A735&amp;"|"&amp;$J735&amp;"|"&amp;$E735&amp;"|"&amp;$AC735</f>
        <v/>
      </c>
      <c r="AE735" s="66">
        <f>IF($W735&lt;&gt;"","⚑ "&amp;$W735&amp;CHAR(10),"")&amp;TEXT($F735,"hh:mm")&amp;"-"&amp;TEXT($G735,"hh:mm")&amp;IF(OR($P735="Quinzaine A",AND($P735="Hebdo · groupes alternés",$C735="A"))," Q-A",IF(OR($P735="Quinzaine B",AND($P735="Hebdo · groupes alternés",$C735="B"))," Q-B",IF($P735="Exception"," PONCT.","")))&amp;IF($X735="Oui"," OPT","")&amp;CHAR(10)&amp;$K735&amp;CHAR(10)&amp;$M735&amp;IF($N735&lt;&gt;"",CHAR(10)&amp;"Salle "&amp;$N735,"")&amp;IF($O735="En ligne",CHAR(10)&amp;"EN LIGNE","")&amp;IF($V735&lt;&gt;"",CHAR(10)&amp;$V735,"")</f>
        <v/>
      </c>
      <c r="AF735" s="65" t="inlineStr"/>
      <c r="AG735" s="65" t="inlineStr">
        <is>
          <t>— généré —</t>
        </is>
      </c>
    </row>
    <row r="736" ht="15" customHeight="1">
      <c r="A736" s="81" t="inlineStr">
        <is>
          <t>S6</t>
        </is>
      </c>
      <c r="B736" s="82" t="inlineStr">
        <is>
          <t>du 19 au 25 octobre 2026</t>
        </is>
      </c>
      <c r="C736" s="81" t="inlineStr">
        <is>
          <t>B</t>
        </is>
      </c>
      <c r="D736" s="83" t="n">
        <v>46320</v>
      </c>
      <c r="E736" s="81" t="inlineStr">
        <is>
          <t>Dimanche</t>
        </is>
      </c>
      <c r="F736" s="84" t="n">
        <v>0.4375</v>
      </c>
      <c r="G736" s="84" t="n">
        <v>0.5</v>
      </c>
      <c r="H736" s="85">
        <f>IF(OR($F736="",$G736=""),"",($G736-$F736)*24)</f>
        <v/>
      </c>
      <c r="I736" s="81" t="inlineStr">
        <is>
          <t>Bac</t>
        </is>
      </c>
      <c r="J736" s="82" t="inlineStr">
        <is>
          <t>Bac Eco</t>
        </is>
      </c>
      <c r="K736" s="79" t="inlineStr">
        <is>
          <t>Math</t>
        </is>
      </c>
      <c r="L736" s="79" t="inlineStr">
        <is>
          <t>Math</t>
        </is>
      </c>
      <c r="M736" s="82" t="inlineStr">
        <is>
          <t>Lotfi</t>
        </is>
      </c>
      <c r="N736" s="81" t="n"/>
      <c r="O736" s="81" t="n"/>
      <c r="P736" s="81" t="inlineStr">
        <is>
          <t>Hebdomadaire</t>
        </is>
      </c>
      <c r="Q736" s="82" t="inlineStr"/>
      <c r="R736" s="81" t="n">
        <v>1</v>
      </c>
      <c r="S736" s="81" t="inlineStr">
        <is>
          <t>Oui</t>
        </is>
      </c>
      <c r="T736" s="81" t="inlineStr">
        <is>
          <t>S6-089</t>
        </is>
      </c>
      <c r="U736" s="82" t="inlineStr">
        <is>
          <t>Généré (octobre)</t>
        </is>
      </c>
      <c r="V736" s="82" t="inlineStr"/>
      <c r="W736" s="10" t="n"/>
      <c r="X736" s="10" t="inlineStr"/>
      <c r="Y736" s="64">
        <f>IF($M736="","",IF(SUMPRODUCT(($D$4:$D$863=$D736)*($M$4:$M$863=$M736)*($T$4:$T$863&lt;&gt;$T736)*($F$4:$F$863&lt;$G736)*($G$4:$G$863&gt;$F736))&gt;0,"⚠ CONFLIT",""))</f>
        <v/>
      </c>
      <c r="Z736" s="64">
        <f>IF($J736="","",IF(SUMPRODUCT(($D$4:$D$863=$D736)*($J$4:$J$863=$J736)*($T$4:$T$863&lt;&gt;$T736)*($F$4:$F$863&lt;$G736)*($G$4:$G$863&gt;$F736)*(1-($X$4:$X$863="Oui")*($X736="Oui")))&gt;0,"⚠ CONFLIT",""))</f>
        <v/>
      </c>
      <c r="AA736" s="64">
        <f>IF(COUNTIFS($D$4:$D$863,$D736,$J$4:$J$863,$J736,$F$4:$F$863,$F736,$K$4:$K$863,$K736)&gt;1,"⚠ DOUBLON","")</f>
        <v/>
      </c>
      <c r="AB736" s="64">
        <f>IF(COUNTIF($T$4:$T$863,$T736)&lt;&gt;COUNTIFS($T$4:$T$863,$T736,$D$4:$D$863,$D736,$F$4:$F$863,$F736,$G$4:$G$863,$G736,$K$4:$K$863,$K736,$M$4:$M$863,$M736),"⚠ INCOHÉRENT","")</f>
        <v/>
      </c>
      <c r="AC736" s="64">
        <f>COUNTIFS($A$4:$A736,$A736,$J$4:$J736,$J736,$E$4:$E736,$E736)</f>
        <v/>
      </c>
      <c r="AD736" s="65">
        <f>$A736&amp;"|"&amp;$J736&amp;"|"&amp;$E736&amp;"|"&amp;$AC736</f>
        <v/>
      </c>
      <c r="AE736" s="66">
        <f>IF($W736&lt;&gt;"","⚑ "&amp;$W736&amp;CHAR(10),"")&amp;TEXT($F736,"hh:mm")&amp;"-"&amp;TEXT($G736,"hh:mm")&amp;IF(OR($P736="Quinzaine A",AND($P736="Hebdo · groupes alternés",$C736="A"))," Q-A",IF(OR($P736="Quinzaine B",AND($P736="Hebdo · groupes alternés",$C736="B"))," Q-B",IF($P736="Exception"," PONCT.","")))&amp;IF($X736="Oui"," OPT","")&amp;CHAR(10)&amp;$K736&amp;CHAR(10)&amp;$M736&amp;IF($N736&lt;&gt;"",CHAR(10)&amp;"Salle "&amp;$N736,"")&amp;IF($O736="En ligne",CHAR(10)&amp;"EN LIGNE","")&amp;IF($V736&lt;&gt;"",CHAR(10)&amp;$V736,"")</f>
        <v/>
      </c>
      <c r="AF736" s="65" t="inlineStr"/>
      <c r="AG736" s="65" t="inlineStr">
        <is>
          <t>— généré —</t>
        </is>
      </c>
    </row>
    <row r="737" ht="15" customHeight="1">
      <c r="A737" s="81" t="inlineStr">
        <is>
          <t>S6</t>
        </is>
      </c>
      <c r="B737" s="82" t="inlineStr">
        <is>
          <t>du 19 au 25 octobre 2026</t>
        </is>
      </c>
      <c r="C737" s="81" t="inlineStr">
        <is>
          <t>B</t>
        </is>
      </c>
      <c r="D737" s="83" t="n">
        <v>46320</v>
      </c>
      <c r="E737" s="81" t="inlineStr">
        <is>
          <t>Dimanche</t>
        </is>
      </c>
      <c r="F737" s="84" t="n">
        <v>0.5208333333333334</v>
      </c>
      <c r="G737" s="84" t="n">
        <v>0.6041666666666666</v>
      </c>
      <c r="H737" s="85">
        <f>IF(OR($F737="",$G737=""),"",($G737-$F737)*24)</f>
        <v/>
      </c>
      <c r="I737" s="81" t="inlineStr">
        <is>
          <t>Bac</t>
        </is>
      </c>
      <c r="J737" s="82" t="inlineStr">
        <is>
          <t>Bac Eco</t>
        </is>
      </c>
      <c r="K737" s="95" t="inlineStr">
        <is>
          <t>Eco</t>
        </is>
      </c>
      <c r="L737" s="95" t="inlineStr">
        <is>
          <t>Eco</t>
        </is>
      </c>
      <c r="M737" s="82" t="inlineStr">
        <is>
          <t>Rym</t>
        </is>
      </c>
      <c r="N737" s="81" t="n"/>
      <c r="O737" s="81" t="n"/>
      <c r="P737" s="81" t="inlineStr">
        <is>
          <t>Hebdomadaire</t>
        </is>
      </c>
      <c r="Q737" s="82" t="inlineStr"/>
      <c r="R737" s="81" t="n">
        <v>1</v>
      </c>
      <c r="S737" s="81" t="inlineStr">
        <is>
          <t>Oui</t>
        </is>
      </c>
      <c r="T737" s="81" t="inlineStr">
        <is>
          <t>S6-088</t>
        </is>
      </c>
      <c r="U737" s="82" t="inlineStr">
        <is>
          <t>Généré (octobre)</t>
        </is>
      </c>
      <c r="V737" s="82" t="inlineStr"/>
      <c r="W737" s="10" t="n"/>
      <c r="X737" s="10" t="inlineStr"/>
      <c r="Y737" s="64">
        <f>IF($M737="","",IF(SUMPRODUCT(($D$4:$D$863=$D737)*($M$4:$M$863=$M737)*($T$4:$T$863&lt;&gt;$T737)*($F$4:$F$863&lt;$G737)*($G$4:$G$863&gt;$F737))&gt;0,"⚠ CONFLIT",""))</f>
        <v/>
      </c>
      <c r="Z737" s="64">
        <f>IF($J737="","",IF(SUMPRODUCT(($D$4:$D$863=$D737)*($J$4:$J$863=$J737)*($T$4:$T$863&lt;&gt;$T737)*($F$4:$F$863&lt;$G737)*($G$4:$G$863&gt;$F737)*(1-($X$4:$X$863="Oui")*($X737="Oui")))&gt;0,"⚠ CONFLIT",""))</f>
        <v/>
      </c>
      <c r="AA737" s="64">
        <f>IF(COUNTIFS($D$4:$D$863,$D737,$J$4:$J$863,$J737,$F$4:$F$863,$F737,$K$4:$K$863,$K737)&gt;1,"⚠ DOUBLON","")</f>
        <v/>
      </c>
      <c r="AB737" s="64">
        <f>IF(COUNTIF($T$4:$T$863,$T737)&lt;&gt;COUNTIFS($T$4:$T$863,$T737,$D$4:$D$863,$D737,$F$4:$F$863,$F737,$G$4:$G$863,$G737,$K$4:$K$863,$K737,$M$4:$M$863,$M737),"⚠ INCOHÉRENT","")</f>
        <v/>
      </c>
      <c r="AC737" s="64">
        <f>COUNTIFS($A$4:$A737,$A737,$J$4:$J737,$J737,$E$4:$E737,$E737)</f>
        <v/>
      </c>
      <c r="AD737" s="65">
        <f>$A737&amp;"|"&amp;$J737&amp;"|"&amp;$E737&amp;"|"&amp;$AC737</f>
        <v/>
      </c>
      <c r="AE737" s="66">
        <f>IF($W737&lt;&gt;"","⚑ "&amp;$W737&amp;CHAR(10),"")&amp;TEXT($F737,"hh:mm")&amp;"-"&amp;TEXT($G737,"hh:mm")&amp;IF(OR($P737="Quinzaine A",AND($P737="Hebdo · groupes alternés",$C737="A"))," Q-A",IF(OR($P737="Quinzaine B",AND($P737="Hebdo · groupes alternés",$C737="B"))," Q-B",IF($P737="Exception"," PONCT.","")))&amp;IF($X737="Oui"," OPT","")&amp;CHAR(10)&amp;$K737&amp;CHAR(10)&amp;$M737&amp;IF($N737&lt;&gt;"",CHAR(10)&amp;"Salle "&amp;$N737,"")&amp;IF($O737="En ligne",CHAR(10)&amp;"EN LIGNE","")&amp;IF($V737&lt;&gt;"",CHAR(10)&amp;$V737,"")</f>
        <v/>
      </c>
      <c r="AF737" s="65" t="inlineStr"/>
      <c r="AG737" s="65" t="inlineStr">
        <is>
          <t>— généré —</t>
        </is>
      </c>
    </row>
    <row r="738" ht="15" customHeight="1">
      <c r="A738" s="81" t="inlineStr">
        <is>
          <t>S6</t>
        </is>
      </c>
      <c r="B738" s="82" t="inlineStr">
        <is>
          <t>du 19 au 25 octobre 2026</t>
        </is>
      </c>
      <c r="C738" s="81" t="inlineStr">
        <is>
          <t>B</t>
        </is>
      </c>
      <c r="D738" s="83" t="n">
        <v>46320</v>
      </c>
      <c r="E738" s="81" t="inlineStr">
        <is>
          <t>Dimanche</t>
        </is>
      </c>
      <c r="F738" s="84" t="n">
        <v>0.6458333333333334</v>
      </c>
      <c r="G738" s="84" t="n">
        <v>0.7083333333333334</v>
      </c>
      <c r="H738" s="85">
        <f>IF(OR($F738="",$G738=""),"",($G738-$F738)*24)</f>
        <v/>
      </c>
      <c r="I738" s="81" t="inlineStr">
        <is>
          <t>Bac</t>
        </is>
      </c>
      <c r="J738" s="82" t="inlineStr">
        <is>
          <t>Bac INFO</t>
        </is>
      </c>
      <c r="K738" s="79" t="inlineStr">
        <is>
          <t>Math</t>
        </is>
      </c>
      <c r="L738" s="79" t="inlineStr">
        <is>
          <t>Math</t>
        </is>
      </c>
      <c r="M738" s="82" t="inlineStr">
        <is>
          <t>Lotfi</t>
        </is>
      </c>
      <c r="N738" s="81" t="n"/>
      <c r="O738" s="81" t="n"/>
      <c r="P738" s="81" t="inlineStr">
        <is>
          <t>Hebdomadaire</t>
        </is>
      </c>
      <c r="Q738" s="82" t="inlineStr"/>
      <c r="R738" s="81" t="n">
        <v>1</v>
      </c>
      <c r="S738" s="81" t="inlineStr">
        <is>
          <t>Oui</t>
        </is>
      </c>
      <c r="T738" s="81" t="inlineStr">
        <is>
          <t>S6-090</t>
        </is>
      </c>
      <c r="U738" s="82" t="inlineStr">
        <is>
          <t>Généré (octobre)</t>
        </is>
      </c>
      <c r="V738" s="82" t="inlineStr"/>
      <c r="W738" s="10" t="n"/>
      <c r="X738" s="10" t="inlineStr"/>
      <c r="Y738" s="64">
        <f>IF($M738="","",IF(SUMPRODUCT(($D$4:$D$863=$D738)*($M$4:$M$863=$M738)*($T$4:$T$863&lt;&gt;$T738)*($F$4:$F$863&lt;$G738)*($G$4:$G$863&gt;$F738))&gt;0,"⚠ CONFLIT",""))</f>
        <v/>
      </c>
      <c r="Z738" s="64">
        <f>IF($J738="","",IF(SUMPRODUCT(($D$4:$D$863=$D738)*($J$4:$J$863=$J738)*($T$4:$T$863&lt;&gt;$T738)*($F$4:$F$863&lt;$G738)*($G$4:$G$863&gt;$F738)*(1-($X$4:$X$863="Oui")*($X738="Oui")))&gt;0,"⚠ CONFLIT",""))</f>
        <v/>
      </c>
      <c r="AA738" s="64">
        <f>IF(COUNTIFS($D$4:$D$863,$D738,$J$4:$J$863,$J738,$F$4:$F$863,$F738,$K$4:$K$863,$K738)&gt;1,"⚠ DOUBLON","")</f>
        <v/>
      </c>
      <c r="AB738" s="64">
        <f>IF(COUNTIF($T$4:$T$863,$T738)&lt;&gt;COUNTIFS($T$4:$T$863,$T738,$D$4:$D$863,$D738,$F$4:$F$863,$F738,$G$4:$G$863,$G738,$K$4:$K$863,$K738,$M$4:$M$863,$M738),"⚠ INCOHÉRENT","")</f>
        <v/>
      </c>
      <c r="AC738" s="64">
        <f>COUNTIFS($A$4:$A738,$A738,$J$4:$J738,$J738,$E$4:$E738,$E738)</f>
        <v/>
      </c>
      <c r="AD738" s="65">
        <f>$A738&amp;"|"&amp;$J738&amp;"|"&amp;$E738&amp;"|"&amp;$AC738</f>
        <v/>
      </c>
      <c r="AE738" s="66">
        <f>IF($W738&lt;&gt;"","⚑ "&amp;$W738&amp;CHAR(10),"")&amp;TEXT($F738,"hh:mm")&amp;"-"&amp;TEXT($G738,"hh:mm")&amp;IF(OR($P738="Quinzaine A",AND($P738="Hebdo · groupes alternés",$C738="A"))," Q-A",IF(OR($P738="Quinzaine B",AND($P738="Hebdo · groupes alternés",$C738="B"))," Q-B",IF($P738="Exception"," PONCT.","")))&amp;IF($X738="Oui"," OPT","")&amp;CHAR(10)&amp;$K738&amp;CHAR(10)&amp;$M738&amp;IF($N738&lt;&gt;"",CHAR(10)&amp;"Salle "&amp;$N738,"")&amp;IF($O738="En ligne",CHAR(10)&amp;"EN LIGNE","")&amp;IF($V738&lt;&gt;"",CHAR(10)&amp;$V738,"")</f>
        <v/>
      </c>
      <c r="AF738" s="65" t="inlineStr"/>
      <c r="AG738" s="65" t="inlineStr">
        <is>
          <t>— généré —</t>
        </is>
      </c>
    </row>
    <row r="739" ht="15" customHeight="1">
      <c r="A739" s="58" t="inlineStr">
        <is>
          <t>S7</t>
        </is>
      </c>
      <c r="B739" s="59" t="inlineStr">
        <is>
          <t>du 26 octobre au 1er novembre 2026</t>
        </is>
      </c>
      <c r="C739" s="58" t="inlineStr">
        <is>
          <t>A</t>
        </is>
      </c>
      <c r="D739" s="60" t="n">
        <v>46321</v>
      </c>
      <c r="E739" s="58" t="inlineStr">
        <is>
          <t>Lundi</t>
        </is>
      </c>
      <c r="F739" s="61" t="n">
        <v>0.7916666666666666</v>
      </c>
      <c r="G739" s="61" t="n">
        <v>0.875</v>
      </c>
      <c r="H739" s="62">
        <f>IF(OR($F739="",$G739=""),"",($G739-$F739)*24)</f>
        <v/>
      </c>
      <c r="I739" s="58" t="inlineStr">
        <is>
          <t>Primaire</t>
        </is>
      </c>
      <c r="J739" s="59" t="inlineStr">
        <is>
          <t>4éme</t>
        </is>
      </c>
      <c r="K739" s="63" t="inlineStr">
        <is>
          <t>عربية</t>
        </is>
      </c>
      <c r="L739" s="63" t="inlineStr">
        <is>
          <t>Arabe</t>
        </is>
      </c>
      <c r="M739" s="59" t="inlineStr">
        <is>
          <t>Lobna</t>
        </is>
      </c>
      <c r="N739" s="58" t="n"/>
      <c r="O739" s="58" t="n"/>
      <c r="P739" s="58" t="inlineStr">
        <is>
          <t>Hebdomadaire</t>
        </is>
      </c>
      <c r="Q739" s="59" t="inlineStr"/>
      <c r="R739" s="58" t="n">
        <v>1</v>
      </c>
      <c r="S739" s="58" t="inlineStr">
        <is>
          <t>Oui</t>
        </is>
      </c>
      <c r="T739" s="58" t="inlineStr">
        <is>
          <t>S7-001</t>
        </is>
      </c>
      <c r="U739" s="59" t="inlineStr">
        <is>
          <t>Généré (octobre)</t>
        </is>
      </c>
      <c r="V739" s="59" t="inlineStr"/>
      <c r="W739" s="10" t="n"/>
      <c r="X739" s="10" t="inlineStr"/>
      <c r="Y739" s="64">
        <f>IF($M739="","",IF(SUMPRODUCT(($D$4:$D$863=$D739)*($M$4:$M$863=$M739)*($T$4:$T$863&lt;&gt;$T739)*($F$4:$F$863&lt;$G739)*($G$4:$G$863&gt;$F739))&gt;0,"⚠ CONFLIT",""))</f>
        <v/>
      </c>
      <c r="Z739" s="64">
        <f>IF($J739="","",IF(SUMPRODUCT(($D$4:$D$863=$D739)*($J$4:$J$863=$J739)*($T$4:$T$863&lt;&gt;$T739)*($F$4:$F$863&lt;$G739)*($G$4:$G$863&gt;$F739)*(1-($X$4:$X$863="Oui")*($X739="Oui")))&gt;0,"⚠ CONFLIT",""))</f>
        <v/>
      </c>
      <c r="AA739" s="64">
        <f>IF(COUNTIFS($D$4:$D$863,$D739,$J$4:$J$863,$J739,$F$4:$F$863,$F739,$K$4:$K$863,$K739)&gt;1,"⚠ DOUBLON","")</f>
        <v/>
      </c>
      <c r="AB739" s="64">
        <f>IF(COUNTIF($T$4:$T$863,$T739)&lt;&gt;COUNTIFS($T$4:$T$863,$T739,$D$4:$D$863,$D739,$F$4:$F$863,$F739,$G$4:$G$863,$G739,$K$4:$K$863,$K739,$M$4:$M$863,$M739),"⚠ INCOHÉRENT","")</f>
        <v/>
      </c>
      <c r="AC739" s="64">
        <f>COUNTIFS($A$4:$A739,$A739,$J$4:$J739,$J739,$E$4:$E739,$E739)</f>
        <v/>
      </c>
      <c r="AD739" s="65">
        <f>$A739&amp;"|"&amp;$J739&amp;"|"&amp;$E739&amp;"|"&amp;$AC739</f>
        <v/>
      </c>
      <c r="AE739" s="66">
        <f>IF($W739&lt;&gt;"","⚑ "&amp;$W739&amp;CHAR(10),"")&amp;TEXT($F739,"hh:mm")&amp;"-"&amp;TEXT($G739,"hh:mm")&amp;IF(OR($P739="Quinzaine A",AND($P739="Hebdo · groupes alternés",$C739="A"))," Q-A",IF(OR($P739="Quinzaine B",AND($P739="Hebdo · groupes alternés",$C739="B"))," Q-B",IF($P739="Exception"," PONCT.","")))&amp;IF($X739="Oui"," OPT","")&amp;CHAR(10)&amp;$K739&amp;CHAR(10)&amp;$M739&amp;IF($N739&lt;&gt;"",CHAR(10)&amp;"Salle "&amp;$N739,"")&amp;IF($O739="En ligne",CHAR(10)&amp;"EN LIGNE","")&amp;IF($V739&lt;&gt;"",CHAR(10)&amp;$V739,"")</f>
        <v/>
      </c>
      <c r="AF739" s="65" t="inlineStr"/>
      <c r="AG739" s="65" t="inlineStr">
        <is>
          <t>— généré —</t>
        </is>
      </c>
    </row>
    <row r="740" ht="15" customHeight="1">
      <c r="A740" s="58" t="inlineStr">
        <is>
          <t>S7</t>
        </is>
      </c>
      <c r="B740" s="59" t="inlineStr">
        <is>
          <t>du 26 octobre au 1er novembre 2026</t>
        </is>
      </c>
      <c r="C740" s="58" t="inlineStr">
        <is>
          <t>A</t>
        </is>
      </c>
      <c r="D740" s="60" t="n">
        <v>46321</v>
      </c>
      <c r="E740" s="58" t="inlineStr">
        <is>
          <t>Lundi</t>
        </is>
      </c>
      <c r="F740" s="61" t="n">
        <v>0.7916666666666666</v>
      </c>
      <c r="G740" s="61" t="n">
        <v>0.8541666666666666</v>
      </c>
      <c r="H740" s="62">
        <f>IF(OR($F740="",$G740=""),"",($G740-$F740)*24)</f>
        <v/>
      </c>
      <c r="I740" s="58" t="inlineStr">
        <is>
          <t>Primaire</t>
        </is>
      </c>
      <c r="J740" s="59" t="inlineStr">
        <is>
          <t>6éme Pilote (A)</t>
        </is>
      </c>
      <c r="K740" s="67" t="inlineStr">
        <is>
          <t>Français</t>
        </is>
      </c>
      <c r="L740" s="67" t="inlineStr">
        <is>
          <t>Français</t>
        </is>
      </c>
      <c r="M740" s="59" t="inlineStr">
        <is>
          <t>Hend</t>
        </is>
      </c>
      <c r="N740" s="58" t="n"/>
      <c r="O740" s="58" t="n"/>
      <c r="P740" s="58" t="inlineStr">
        <is>
          <t>Hebdomadaire</t>
        </is>
      </c>
      <c r="Q740" s="59" t="inlineStr"/>
      <c r="R740" s="58" t="n">
        <v>1</v>
      </c>
      <c r="S740" s="58" t="inlineStr">
        <is>
          <t>Oui</t>
        </is>
      </c>
      <c r="T740" s="58" t="inlineStr">
        <is>
          <t>S7-002</t>
        </is>
      </c>
      <c r="U740" s="59" t="inlineStr">
        <is>
          <t>Généré (octobre)</t>
        </is>
      </c>
      <c r="V740" s="59" t="inlineStr"/>
      <c r="W740" s="10" t="n"/>
      <c r="X740" s="10" t="inlineStr"/>
      <c r="Y740" s="64">
        <f>IF($M740="","",IF(SUMPRODUCT(($D$4:$D$863=$D740)*($M$4:$M$863=$M740)*($T$4:$T$863&lt;&gt;$T740)*($F$4:$F$863&lt;$G740)*($G$4:$G$863&gt;$F740))&gt;0,"⚠ CONFLIT",""))</f>
        <v/>
      </c>
      <c r="Z740" s="64">
        <f>IF($J740="","",IF(SUMPRODUCT(($D$4:$D$863=$D740)*($J$4:$J$863=$J740)*($T$4:$T$863&lt;&gt;$T740)*($F$4:$F$863&lt;$G740)*($G$4:$G$863&gt;$F740)*(1-($X$4:$X$863="Oui")*($X740="Oui")))&gt;0,"⚠ CONFLIT",""))</f>
        <v/>
      </c>
      <c r="AA740" s="64">
        <f>IF(COUNTIFS($D$4:$D$863,$D740,$J$4:$J$863,$J740,$F$4:$F$863,$F740,$K$4:$K$863,$K740)&gt;1,"⚠ DOUBLON","")</f>
        <v/>
      </c>
      <c r="AB740" s="64">
        <f>IF(COUNTIF($T$4:$T$863,$T740)&lt;&gt;COUNTIFS($T$4:$T$863,$T740,$D$4:$D$863,$D740,$F$4:$F$863,$F740,$G$4:$G$863,$G740,$K$4:$K$863,$K740,$M$4:$M$863,$M740),"⚠ INCOHÉRENT","")</f>
        <v/>
      </c>
      <c r="AC740" s="64">
        <f>COUNTIFS($A$4:$A740,$A740,$J$4:$J740,$J740,$E$4:$E740,$E740)</f>
        <v/>
      </c>
      <c r="AD740" s="65">
        <f>$A740&amp;"|"&amp;$J740&amp;"|"&amp;$E740&amp;"|"&amp;$AC740</f>
        <v/>
      </c>
      <c r="AE740" s="66">
        <f>IF($W740&lt;&gt;"","⚑ "&amp;$W740&amp;CHAR(10),"")&amp;TEXT($F740,"hh:mm")&amp;"-"&amp;TEXT($G740,"hh:mm")&amp;IF(OR($P740="Quinzaine A",AND($P740="Hebdo · groupes alternés",$C740="A"))," Q-A",IF(OR($P740="Quinzaine B",AND($P740="Hebdo · groupes alternés",$C740="B"))," Q-B",IF($P740="Exception"," PONCT.","")))&amp;IF($X740="Oui"," OPT","")&amp;CHAR(10)&amp;$K740&amp;CHAR(10)&amp;$M740&amp;IF($N740&lt;&gt;"",CHAR(10)&amp;"Salle "&amp;$N740,"")&amp;IF($O740="En ligne",CHAR(10)&amp;"EN LIGNE","")&amp;IF($V740&lt;&gt;"",CHAR(10)&amp;$V740,"")</f>
        <v/>
      </c>
      <c r="AF740" s="65" t="inlineStr"/>
      <c r="AG740" s="65" t="inlineStr">
        <is>
          <t>— généré —</t>
        </is>
      </c>
    </row>
    <row r="741" ht="15" customHeight="1">
      <c r="A741" s="68" t="inlineStr">
        <is>
          <t>S7</t>
        </is>
      </c>
      <c r="B741" s="69" t="inlineStr">
        <is>
          <t>du 26 octobre au 1er novembre 2026</t>
        </is>
      </c>
      <c r="C741" s="68" t="inlineStr">
        <is>
          <t>A</t>
        </is>
      </c>
      <c r="D741" s="70" t="n">
        <v>46321</v>
      </c>
      <c r="E741" s="68" t="inlineStr">
        <is>
          <t>Lundi</t>
        </is>
      </c>
      <c r="F741" s="71" t="n">
        <v>0.8125</v>
      </c>
      <c r="G741" s="71" t="n">
        <v>0.875</v>
      </c>
      <c r="H741" s="72">
        <f>IF(OR($F741="",$G741=""),"",($G741-$F741)*24)</f>
        <v/>
      </c>
      <c r="I741" s="68" t="inlineStr">
        <is>
          <t>Collège</t>
        </is>
      </c>
      <c r="J741" s="69" t="inlineStr">
        <is>
          <t>7éme (B)</t>
        </is>
      </c>
      <c r="K741" s="63" t="inlineStr">
        <is>
          <t>Arabe</t>
        </is>
      </c>
      <c r="L741" s="63" t="inlineStr">
        <is>
          <t>Arabe</t>
        </is>
      </c>
      <c r="M741" s="69" t="inlineStr">
        <is>
          <t>Yahya</t>
        </is>
      </c>
      <c r="N741" s="68" t="n"/>
      <c r="O741" s="68" t="n"/>
      <c r="P741" s="68" t="inlineStr">
        <is>
          <t>Hebdomadaire</t>
        </is>
      </c>
      <c r="Q741" s="69" t="inlineStr"/>
      <c r="R741" s="68" t="n">
        <v>1</v>
      </c>
      <c r="S741" s="68" t="inlineStr">
        <is>
          <t>Oui</t>
        </is>
      </c>
      <c r="T741" s="68" t="inlineStr">
        <is>
          <t>S7-003</t>
        </is>
      </c>
      <c r="U741" s="69" t="inlineStr">
        <is>
          <t>Généré (octobre)</t>
        </is>
      </c>
      <c r="V741" s="69" t="inlineStr"/>
      <c r="W741" s="10" t="n"/>
      <c r="X741" s="10" t="inlineStr"/>
      <c r="Y741" s="64">
        <f>IF($M741="","",IF(SUMPRODUCT(($D$4:$D$863=$D741)*($M$4:$M$863=$M741)*($T$4:$T$863&lt;&gt;$T741)*($F$4:$F$863&lt;$G741)*($G$4:$G$863&gt;$F741))&gt;0,"⚠ CONFLIT",""))</f>
        <v/>
      </c>
      <c r="Z741" s="64">
        <f>IF($J741="","",IF(SUMPRODUCT(($D$4:$D$863=$D741)*($J$4:$J$863=$J741)*($T$4:$T$863&lt;&gt;$T741)*($F$4:$F$863&lt;$G741)*($G$4:$G$863&gt;$F741)*(1-($X$4:$X$863="Oui")*($X741="Oui")))&gt;0,"⚠ CONFLIT",""))</f>
        <v/>
      </c>
      <c r="AA741" s="64">
        <f>IF(COUNTIFS($D$4:$D$863,$D741,$J$4:$J$863,$J741,$F$4:$F$863,$F741,$K$4:$K$863,$K741)&gt;1,"⚠ DOUBLON","")</f>
        <v/>
      </c>
      <c r="AB741" s="64">
        <f>IF(COUNTIF($T$4:$T$863,$T741)&lt;&gt;COUNTIFS($T$4:$T$863,$T741,$D$4:$D$863,$D741,$F$4:$F$863,$F741,$G$4:$G$863,$G741,$K$4:$K$863,$K741,$M$4:$M$863,$M741),"⚠ INCOHÉRENT","")</f>
        <v/>
      </c>
      <c r="AC741" s="64">
        <f>COUNTIFS($A$4:$A741,$A741,$J$4:$J741,$J741,$E$4:$E741,$E741)</f>
        <v/>
      </c>
      <c r="AD741" s="65">
        <f>$A741&amp;"|"&amp;$J741&amp;"|"&amp;$E741&amp;"|"&amp;$AC741</f>
        <v/>
      </c>
      <c r="AE741" s="66">
        <f>IF($W741&lt;&gt;"","⚑ "&amp;$W741&amp;CHAR(10),"")&amp;TEXT($F741,"hh:mm")&amp;"-"&amp;TEXT($G741,"hh:mm")&amp;IF(OR($P741="Quinzaine A",AND($P741="Hebdo · groupes alternés",$C741="A"))," Q-A",IF(OR($P741="Quinzaine B",AND($P741="Hebdo · groupes alternés",$C741="B"))," Q-B",IF($P741="Exception"," PONCT.","")))&amp;IF($X741="Oui"," OPT","")&amp;CHAR(10)&amp;$K741&amp;CHAR(10)&amp;$M741&amp;IF($N741&lt;&gt;"",CHAR(10)&amp;"Salle "&amp;$N741,"")&amp;IF($O741="En ligne",CHAR(10)&amp;"EN LIGNE","")&amp;IF($V741&lt;&gt;"",CHAR(10)&amp;$V741,"")</f>
        <v/>
      </c>
      <c r="AF741" s="65" t="inlineStr"/>
      <c r="AG741" s="65" t="inlineStr">
        <is>
          <t>— généré —</t>
        </is>
      </c>
    </row>
    <row r="742" ht="15" customHeight="1">
      <c r="A742" s="68" t="inlineStr">
        <is>
          <t>S7</t>
        </is>
      </c>
      <c r="B742" s="69" t="inlineStr">
        <is>
          <t>du 26 octobre au 1er novembre 2026</t>
        </is>
      </c>
      <c r="C742" s="68" t="inlineStr">
        <is>
          <t>A</t>
        </is>
      </c>
      <c r="D742" s="70" t="n">
        <v>46321</v>
      </c>
      <c r="E742" s="68" t="inlineStr">
        <is>
          <t>Lundi</t>
        </is>
      </c>
      <c r="F742" s="71" t="n">
        <v>0.8125</v>
      </c>
      <c r="G742" s="71" t="n">
        <v>0.875</v>
      </c>
      <c r="H742" s="72">
        <f>IF(OR($F742="",$G742=""),"",($G742-$F742)*24)</f>
        <v/>
      </c>
      <c r="I742" s="68" t="inlineStr">
        <is>
          <t>Collège</t>
        </is>
      </c>
      <c r="J742" s="69" t="inlineStr">
        <is>
          <t>9éme (A)</t>
        </is>
      </c>
      <c r="K742" s="73" t="inlineStr">
        <is>
          <t>فيزياء</t>
        </is>
      </c>
      <c r="L742" s="73" t="inlineStr">
        <is>
          <t>Physique</t>
        </is>
      </c>
      <c r="M742" s="69" t="inlineStr">
        <is>
          <t>Melek</t>
        </is>
      </c>
      <c r="N742" s="68" t="n"/>
      <c r="O742" s="68" t="n"/>
      <c r="P742" s="68" t="inlineStr">
        <is>
          <t>Hebdomadaire</t>
        </is>
      </c>
      <c r="Q742" s="69" t="inlineStr">
        <is>
          <t>9éme (A) + 9éme (B) + 9éme (C)</t>
        </is>
      </c>
      <c r="R742" s="68" t="n">
        <v>3</v>
      </c>
      <c r="S742" s="68" t="inlineStr">
        <is>
          <t>Oui</t>
        </is>
      </c>
      <c r="T742" s="68" t="inlineStr">
        <is>
          <t>S7-004</t>
        </is>
      </c>
      <c r="U742" s="69" t="inlineStr">
        <is>
          <t>Généré (octobre)</t>
        </is>
      </c>
      <c r="V742" s="69" t="inlineStr"/>
      <c r="W742" s="10" t="n"/>
      <c r="X742" s="10" t="inlineStr"/>
      <c r="Y742" s="64">
        <f>IF($M742="","",IF(SUMPRODUCT(($D$4:$D$863=$D742)*($M$4:$M$863=$M742)*($T$4:$T$863&lt;&gt;$T742)*($F$4:$F$863&lt;$G742)*($G$4:$G$863&gt;$F742))&gt;0,"⚠ CONFLIT",""))</f>
        <v/>
      </c>
      <c r="Z742" s="64">
        <f>IF($J742="","",IF(SUMPRODUCT(($D$4:$D$863=$D742)*($J$4:$J$863=$J742)*($T$4:$T$863&lt;&gt;$T742)*($F$4:$F$863&lt;$G742)*($G$4:$G$863&gt;$F742)*(1-($X$4:$X$863="Oui")*($X742="Oui")))&gt;0,"⚠ CONFLIT",""))</f>
        <v/>
      </c>
      <c r="AA742" s="64">
        <f>IF(COUNTIFS($D$4:$D$863,$D742,$J$4:$J$863,$J742,$F$4:$F$863,$F742,$K$4:$K$863,$K742)&gt;1,"⚠ DOUBLON","")</f>
        <v/>
      </c>
      <c r="AB742" s="64">
        <f>IF(COUNTIF($T$4:$T$863,$T742)&lt;&gt;COUNTIFS($T$4:$T$863,$T742,$D$4:$D$863,$D742,$F$4:$F$863,$F742,$G$4:$G$863,$G742,$K$4:$K$863,$K742,$M$4:$M$863,$M742),"⚠ INCOHÉRENT","")</f>
        <v/>
      </c>
      <c r="AC742" s="64">
        <f>COUNTIFS($A$4:$A742,$A742,$J$4:$J742,$J742,$E$4:$E742,$E742)</f>
        <v/>
      </c>
      <c r="AD742" s="65">
        <f>$A742&amp;"|"&amp;$J742&amp;"|"&amp;$E742&amp;"|"&amp;$AC742</f>
        <v/>
      </c>
      <c r="AE742" s="66">
        <f>IF($W742&lt;&gt;"","⚑ "&amp;$W742&amp;CHAR(10),"")&amp;TEXT($F742,"hh:mm")&amp;"-"&amp;TEXT($G742,"hh:mm")&amp;IF(OR($P742="Quinzaine A",AND($P742="Hebdo · groupes alternés",$C742="A"))," Q-A",IF(OR($P742="Quinzaine B",AND($P742="Hebdo · groupes alternés",$C742="B"))," Q-B",IF($P742="Exception"," PONCT.","")))&amp;IF($X742="Oui"," OPT","")&amp;CHAR(10)&amp;$K742&amp;CHAR(10)&amp;$M742&amp;IF($N742&lt;&gt;"",CHAR(10)&amp;"Salle "&amp;$N742,"")&amp;IF($O742="En ligne",CHAR(10)&amp;"EN LIGNE","")&amp;IF($V742&lt;&gt;"",CHAR(10)&amp;$V742,"")</f>
        <v/>
      </c>
      <c r="AF742" s="65" t="inlineStr"/>
      <c r="AG742" s="65" t="inlineStr">
        <is>
          <t>— généré —</t>
        </is>
      </c>
    </row>
    <row r="743" ht="15" customHeight="1">
      <c r="A743" s="68" t="inlineStr">
        <is>
          <t>S7</t>
        </is>
      </c>
      <c r="B743" s="69" t="inlineStr">
        <is>
          <t>du 26 octobre au 1er novembre 2026</t>
        </is>
      </c>
      <c r="C743" s="68" t="inlineStr">
        <is>
          <t>A</t>
        </is>
      </c>
      <c r="D743" s="70" t="n">
        <v>46321</v>
      </c>
      <c r="E743" s="68" t="inlineStr">
        <is>
          <t>Lundi</t>
        </is>
      </c>
      <c r="F743" s="71" t="n">
        <v>0.8125</v>
      </c>
      <c r="G743" s="71" t="n">
        <v>0.875</v>
      </c>
      <c r="H743" s="72">
        <f>IF(OR($F743="",$G743=""),"",($G743-$F743)*24)</f>
        <v/>
      </c>
      <c r="I743" s="68" t="inlineStr">
        <is>
          <t>Collège</t>
        </is>
      </c>
      <c r="J743" s="69" t="inlineStr">
        <is>
          <t>9éme (B)</t>
        </is>
      </c>
      <c r="K743" s="73" t="inlineStr">
        <is>
          <t>فيزياء</t>
        </is>
      </c>
      <c r="L743" s="73" t="inlineStr">
        <is>
          <t>Physique</t>
        </is>
      </c>
      <c r="M743" s="69" t="inlineStr">
        <is>
          <t>Melek</t>
        </is>
      </c>
      <c r="N743" s="68" t="n"/>
      <c r="O743" s="68" t="n"/>
      <c r="P743" s="68" t="inlineStr">
        <is>
          <t>Hebdomadaire</t>
        </is>
      </c>
      <c r="Q743" s="69" t="inlineStr">
        <is>
          <t>9éme (A) + 9éme (B) + 9éme (C)</t>
        </is>
      </c>
      <c r="R743" s="68" t="n">
        <v>3</v>
      </c>
      <c r="S743" s="68" t="inlineStr"/>
      <c r="T743" s="68" t="inlineStr">
        <is>
          <t>S7-004</t>
        </is>
      </c>
      <c r="U743" s="69" t="inlineStr">
        <is>
          <t>Généré (octobre)</t>
        </is>
      </c>
      <c r="V743" s="69" t="inlineStr"/>
      <c r="W743" s="10" t="n"/>
      <c r="X743" s="10" t="inlineStr"/>
      <c r="Y743" s="64">
        <f>IF($M743="","",IF(SUMPRODUCT(($D$4:$D$863=$D743)*($M$4:$M$863=$M743)*($T$4:$T$863&lt;&gt;$T743)*($F$4:$F$863&lt;$G743)*($G$4:$G$863&gt;$F743))&gt;0,"⚠ CONFLIT",""))</f>
        <v/>
      </c>
      <c r="Z743" s="64">
        <f>IF($J743="","",IF(SUMPRODUCT(($D$4:$D$863=$D743)*($J$4:$J$863=$J743)*($T$4:$T$863&lt;&gt;$T743)*($F$4:$F$863&lt;$G743)*($G$4:$G$863&gt;$F743)*(1-($X$4:$X$863="Oui")*($X743="Oui")))&gt;0,"⚠ CONFLIT",""))</f>
        <v/>
      </c>
      <c r="AA743" s="64">
        <f>IF(COUNTIFS($D$4:$D$863,$D743,$J$4:$J$863,$J743,$F$4:$F$863,$F743,$K$4:$K$863,$K743)&gt;1,"⚠ DOUBLON","")</f>
        <v/>
      </c>
      <c r="AB743" s="64">
        <f>IF(COUNTIF($T$4:$T$863,$T743)&lt;&gt;COUNTIFS($T$4:$T$863,$T743,$D$4:$D$863,$D743,$F$4:$F$863,$F743,$G$4:$G$863,$G743,$K$4:$K$863,$K743,$M$4:$M$863,$M743),"⚠ INCOHÉRENT","")</f>
        <v/>
      </c>
      <c r="AC743" s="64">
        <f>COUNTIFS($A$4:$A743,$A743,$J$4:$J743,$J743,$E$4:$E743,$E743)</f>
        <v/>
      </c>
      <c r="AD743" s="65">
        <f>$A743&amp;"|"&amp;$J743&amp;"|"&amp;$E743&amp;"|"&amp;$AC743</f>
        <v/>
      </c>
      <c r="AE743" s="66">
        <f>IF($W743&lt;&gt;"","⚑ "&amp;$W743&amp;CHAR(10),"")&amp;TEXT($F743,"hh:mm")&amp;"-"&amp;TEXT($G743,"hh:mm")&amp;IF(OR($P743="Quinzaine A",AND($P743="Hebdo · groupes alternés",$C743="A"))," Q-A",IF(OR($P743="Quinzaine B",AND($P743="Hebdo · groupes alternés",$C743="B"))," Q-B",IF($P743="Exception"," PONCT.","")))&amp;IF($X743="Oui"," OPT","")&amp;CHAR(10)&amp;$K743&amp;CHAR(10)&amp;$M743&amp;IF($N743&lt;&gt;"",CHAR(10)&amp;"Salle "&amp;$N743,"")&amp;IF($O743="En ligne",CHAR(10)&amp;"EN LIGNE","")&amp;IF($V743&lt;&gt;"",CHAR(10)&amp;$V743,"")</f>
        <v/>
      </c>
      <c r="AF743" s="65" t="inlineStr"/>
      <c r="AG743" s="65" t="inlineStr">
        <is>
          <t>— généré —</t>
        </is>
      </c>
    </row>
    <row r="744" ht="15" customHeight="1">
      <c r="A744" s="68" t="inlineStr">
        <is>
          <t>S7</t>
        </is>
      </c>
      <c r="B744" s="69" t="inlineStr">
        <is>
          <t>du 26 octobre au 1er novembre 2026</t>
        </is>
      </c>
      <c r="C744" s="68" t="inlineStr">
        <is>
          <t>A</t>
        </is>
      </c>
      <c r="D744" s="70" t="n">
        <v>46321</v>
      </c>
      <c r="E744" s="68" t="inlineStr">
        <is>
          <t>Lundi</t>
        </is>
      </c>
      <c r="F744" s="71" t="n">
        <v>0.8125</v>
      </c>
      <c r="G744" s="71" t="n">
        <v>0.875</v>
      </c>
      <c r="H744" s="72">
        <f>IF(OR($F744="",$G744=""),"",($G744-$F744)*24)</f>
        <v/>
      </c>
      <c r="I744" s="68" t="inlineStr">
        <is>
          <t>Collège</t>
        </is>
      </c>
      <c r="J744" s="69" t="inlineStr">
        <is>
          <t>9éme (C)</t>
        </is>
      </c>
      <c r="K744" s="73" t="inlineStr">
        <is>
          <t>فيزياء</t>
        </is>
      </c>
      <c r="L744" s="73" t="inlineStr">
        <is>
          <t>Physique</t>
        </is>
      </c>
      <c r="M744" s="69" t="inlineStr">
        <is>
          <t>Melek</t>
        </is>
      </c>
      <c r="N744" s="68" t="n"/>
      <c r="O744" s="68" t="n"/>
      <c r="P744" s="68" t="inlineStr">
        <is>
          <t>Hebdomadaire</t>
        </is>
      </c>
      <c r="Q744" s="69" t="inlineStr">
        <is>
          <t>9éme (A) + 9éme (B) + 9éme (C)</t>
        </is>
      </c>
      <c r="R744" s="68" t="n">
        <v>3</v>
      </c>
      <c r="S744" s="68" t="inlineStr"/>
      <c r="T744" s="68" t="inlineStr">
        <is>
          <t>S7-004</t>
        </is>
      </c>
      <c r="U744" s="69" t="inlineStr">
        <is>
          <t>Généré (octobre)</t>
        </is>
      </c>
      <c r="V744" s="69" t="inlineStr"/>
      <c r="W744" s="10" t="n"/>
      <c r="X744" s="10" t="inlineStr"/>
      <c r="Y744" s="64">
        <f>IF($M744="","",IF(SUMPRODUCT(($D$4:$D$863=$D744)*($M$4:$M$863=$M744)*($T$4:$T$863&lt;&gt;$T744)*($F$4:$F$863&lt;$G744)*($G$4:$G$863&gt;$F744))&gt;0,"⚠ CONFLIT",""))</f>
        <v/>
      </c>
      <c r="Z744" s="64">
        <f>IF($J744="","",IF(SUMPRODUCT(($D$4:$D$863=$D744)*($J$4:$J$863=$J744)*($T$4:$T$863&lt;&gt;$T744)*($F$4:$F$863&lt;$G744)*($G$4:$G$863&gt;$F744)*(1-($X$4:$X$863="Oui")*($X744="Oui")))&gt;0,"⚠ CONFLIT",""))</f>
        <v/>
      </c>
      <c r="AA744" s="64">
        <f>IF(COUNTIFS($D$4:$D$863,$D744,$J$4:$J$863,$J744,$F$4:$F$863,$F744,$K$4:$K$863,$K744)&gt;1,"⚠ DOUBLON","")</f>
        <v/>
      </c>
      <c r="AB744" s="64">
        <f>IF(COUNTIF($T$4:$T$863,$T744)&lt;&gt;COUNTIFS($T$4:$T$863,$T744,$D$4:$D$863,$D744,$F$4:$F$863,$F744,$G$4:$G$863,$G744,$K$4:$K$863,$K744,$M$4:$M$863,$M744),"⚠ INCOHÉRENT","")</f>
        <v/>
      </c>
      <c r="AC744" s="64">
        <f>COUNTIFS($A$4:$A744,$A744,$J$4:$J744,$J744,$E$4:$E744,$E744)</f>
        <v/>
      </c>
      <c r="AD744" s="65">
        <f>$A744&amp;"|"&amp;$J744&amp;"|"&amp;$E744&amp;"|"&amp;$AC744</f>
        <v/>
      </c>
      <c r="AE744" s="66">
        <f>IF($W744&lt;&gt;"","⚑ "&amp;$W744&amp;CHAR(10),"")&amp;TEXT($F744,"hh:mm")&amp;"-"&amp;TEXT($G744,"hh:mm")&amp;IF(OR($P744="Quinzaine A",AND($P744="Hebdo · groupes alternés",$C744="A"))," Q-A",IF(OR($P744="Quinzaine B",AND($P744="Hebdo · groupes alternés",$C744="B"))," Q-B",IF($P744="Exception"," PONCT.","")))&amp;IF($X744="Oui"," OPT","")&amp;CHAR(10)&amp;$K744&amp;CHAR(10)&amp;$M744&amp;IF($N744&lt;&gt;"",CHAR(10)&amp;"Salle "&amp;$N744,"")&amp;IF($O744="En ligne",CHAR(10)&amp;"EN LIGNE","")&amp;IF($V744&lt;&gt;"",CHAR(10)&amp;$V744,"")</f>
        <v/>
      </c>
      <c r="AF744" s="65" t="inlineStr"/>
      <c r="AG744" s="65" t="inlineStr">
        <is>
          <t>— généré —</t>
        </is>
      </c>
    </row>
    <row r="745" ht="15" customHeight="1">
      <c r="A745" s="74" t="inlineStr">
        <is>
          <t>S7</t>
        </is>
      </c>
      <c r="B745" s="75" t="inlineStr">
        <is>
          <t>du 26 octobre au 1er novembre 2026</t>
        </is>
      </c>
      <c r="C745" s="74" t="inlineStr">
        <is>
          <t>A</t>
        </is>
      </c>
      <c r="D745" s="76" t="n">
        <v>46321</v>
      </c>
      <c r="E745" s="74" t="inlineStr">
        <is>
          <t>Lundi</t>
        </is>
      </c>
      <c r="F745" s="77" t="n">
        <v>0.8125</v>
      </c>
      <c r="G745" s="77" t="n">
        <v>0.875</v>
      </c>
      <c r="H745" s="78">
        <f>IF(OR($F745="",$G745=""),"",($G745-$F745)*24)</f>
        <v/>
      </c>
      <c r="I745" s="74" t="inlineStr">
        <is>
          <t>Secondaire</t>
        </is>
      </c>
      <c r="J745" s="75" t="inlineStr">
        <is>
          <t>1ére (A)</t>
        </is>
      </c>
      <c r="K745" s="79" t="inlineStr">
        <is>
          <t>Math</t>
        </is>
      </c>
      <c r="L745" s="79" t="inlineStr">
        <is>
          <t>Math</t>
        </is>
      </c>
      <c r="M745" s="75" t="inlineStr">
        <is>
          <t>Haythem</t>
        </is>
      </c>
      <c r="N745" s="74" t="n"/>
      <c r="O745" s="74" t="n"/>
      <c r="P745" s="74" t="inlineStr">
        <is>
          <t>Hebdomadaire</t>
        </is>
      </c>
      <c r="Q745" s="75" t="inlineStr"/>
      <c r="R745" s="74" t="n">
        <v>1</v>
      </c>
      <c r="S745" s="74" t="inlineStr">
        <is>
          <t>Oui</t>
        </is>
      </c>
      <c r="T745" s="74" t="inlineStr">
        <is>
          <t>S7-005</t>
        </is>
      </c>
      <c r="U745" s="75" t="inlineStr">
        <is>
          <t>Généré (octobre)</t>
        </is>
      </c>
      <c r="V745" s="75" t="inlineStr"/>
      <c r="W745" s="10" t="n"/>
      <c r="X745" s="10" t="inlineStr"/>
      <c r="Y745" s="64">
        <f>IF($M745="","",IF(SUMPRODUCT(($D$4:$D$863=$D745)*($M$4:$M$863=$M745)*($T$4:$T$863&lt;&gt;$T745)*($F$4:$F$863&lt;$G745)*($G$4:$G$863&gt;$F745))&gt;0,"⚠ CONFLIT",""))</f>
        <v/>
      </c>
      <c r="Z745" s="64">
        <f>IF($J745="","",IF(SUMPRODUCT(($D$4:$D$863=$D745)*($J$4:$J$863=$J745)*($T$4:$T$863&lt;&gt;$T745)*($F$4:$F$863&lt;$G745)*($G$4:$G$863&gt;$F745)*(1-($X$4:$X$863="Oui")*($X745="Oui")))&gt;0,"⚠ CONFLIT",""))</f>
        <v/>
      </c>
      <c r="AA745" s="64">
        <f>IF(COUNTIFS($D$4:$D$863,$D745,$J$4:$J$863,$J745,$F$4:$F$863,$F745,$K$4:$K$863,$K745)&gt;1,"⚠ DOUBLON","")</f>
        <v/>
      </c>
      <c r="AB745" s="64">
        <f>IF(COUNTIF($T$4:$T$863,$T745)&lt;&gt;COUNTIFS($T$4:$T$863,$T745,$D$4:$D$863,$D745,$F$4:$F$863,$F745,$G$4:$G$863,$G745,$K$4:$K$863,$K745,$M$4:$M$863,$M745),"⚠ INCOHÉRENT","")</f>
        <v/>
      </c>
      <c r="AC745" s="64">
        <f>COUNTIFS($A$4:$A745,$A745,$J$4:$J745,$J745,$E$4:$E745,$E745)</f>
        <v/>
      </c>
      <c r="AD745" s="65">
        <f>$A745&amp;"|"&amp;$J745&amp;"|"&amp;$E745&amp;"|"&amp;$AC745</f>
        <v/>
      </c>
      <c r="AE745" s="66">
        <f>IF($W745&lt;&gt;"","⚑ "&amp;$W745&amp;CHAR(10),"")&amp;TEXT($F745,"hh:mm")&amp;"-"&amp;TEXT($G745,"hh:mm")&amp;IF(OR($P745="Quinzaine A",AND($P745="Hebdo · groupes alternés",$C745="A"))," Q-A",IF(OR($P745="Quinzaine B",AND($P745="Hebdo · groupes alternés",$C745="B"))," Q-B",IF($P745="Exception"," PONCT.","")))&amp;IF($X745="Oui"," OPT","")&amp;CHAR(10)&amp;$K745&amp;CHAR(10)&amp;$M745&amp;IF($N745&lt;&gt;"",CHAR(10)&amp;"Salle "&amp;$N745,"")&amp;IF($O745="En ligne",CHAR(10)&amp;"EN LIGNE","")&amp;IF($V745&lt;&gt;"",CHAR(10)&amp;$V745,"")</f>
        <v/>
      </c>
      <c r="AF745" s="65" t="inlineStr"/>
      <c r="AG745" s="65" t="inlineStr">
        <is>
          <t>— généré —</t>
        </is>
      </c>
    </row>
    <row r="746" ht="15" customHeight="1">
      <c r="A746" s="74" t="inlineStr">
        <is>
          <t>S7</t>
        </is>
      </c>
      <c r="B746" s="75" t="inlineStr">
        <is>
          <t>du 26 octobre au 1er novembre 2026</t>
        </is>
      </c>
      <c r="C746" s="74" t="inlineStr">
        <is>
          <t>A</t>
        </is>
      </c>
      <c r="D746" s="76" t="n">
        <v>46321</v>
      </c>
      <c r="E746" s="74" t="inlineStr">
        <is>
          <t>Lundi</t>
        </is>
      </c>
      <c r="F746" s="77" t="n">
        <v>0.6458333333333334</v>
      </c>
      <c r="G746" s="77" t="n">
        <v>0.7291666666666666</v>
      </c>
      <c r="H746" s="78">
        <f>IF(OR($F746="",$G746=""),"",($G746-$F746)*24)</f>
        <v/>
      </c>
      <c r="I746" s="74" t="inlineStr">
        <is>
          <t>Secondaire</t>
        </is>
      </c>
      <c r="J746" s="75" t="inlineStr">
        <is>
          <t>3éme INFO</t>
        </is>
      </c>
      <c r="K746" s="96" t="inlineStr">
        <is>
          <t>STI</t>
        </is>
      </c>
      <c r="L746" s="96" t="inlineStr">
        <is>
          <t>STI</t>
        </is>
      </c>
      <c r="M746" s="75" t="inlineStr">
        <is>
          <t>Aymen</t>
        </is>
      </c>
      <c r="N746" s="74" t="n"/>
      <c r="O746" s="74" t="n"/>
      <c r="P746" s="74" t="inlineStr">
        <is>
          <t>Hebdomadaire</t>
        </is>
      </c>
      <c r="Q746" s="75" t="inlineStr"/>
      <c r="R746" s="74" t="n">
        <v>1</v>
      </c>
      <c r="S746" s="74" t="inlineStr">
        <is>
          <t>Oui</t>
        </is>
      </c>
      <c r="T746" s="74" t="inlineStr">
        <is>
          <t>S7-092</t>
        </is>
      </c>
      <c r="U746" s="75" t="inlineStr">
        <is>
          <t>Généré (octobre)</t>
        </is>
      </c>
      <c r="V746" s="75" t="inlineStr"/>
      <c r="W746" s="10" t="n"/>
      <c r="X746" s="10" t="inlineStr"/>
      <c r="Y746" s="64">
        <f>IF($M746="","",IF(SUMPRODUCT(($D$4:$D$863=$D746)*($M$4:$M$863=$M746)*($T$4:$T$863&lt;&gt;$T746)*($F$4:$F$863&lt;$G746)*($G$4:$G$863&gt;$F746))&gt;0,"⚠ CONFLIT",""))</f>
        <v/>
      </c>
      <c r="Z746" s="64">
        <f>IF($J746="","",IF(SUMPRODUCT(($D$4:$D$863=$D746)*($J$4:$J$863=$J746)*($T$4:$T$863&lt;&gt;$T746)*($F$4:$F$863&lt;$G746)*($G$4:$G$863&gt;$F746)*(1-($X$4:$X$863="Oui")*($X746="Oui")))&gt;0,"⚠ CONFLIT",""))</f>
        <v/>
      </c>
      <c r="AA746" s="64">
        <f>IF(COUNTIFS($D$4:$D$863,$D746,$J$4:$J$863,$J746,$F$4:$F$863,$F746,$K$4:$K$863,$K746)&gt;1,"⚠ DOUBLON","")</f>
        <v/>
      </c>
      <c r="AB746" s="64">
        <f>IF(COUNTIF($T$4:$T$863,$T746)&lt;&gt;COUNTIFS($T$4:$T$863,$T746,$D$4:$D$863,$D746,$F$4:$F$863,$F746,$G$4:$G$863,$G746,$K$4:$K$863,$K746,$M$4:$M$863,$M746),"⚠ INCOHÉRENT","")</f>
        <v/>
      </c>
      <c r="AC746" s="64">
        <f>COUNTIFS($A$4:$A746,$A746,$J$4:$J746,$J746,$E$4:$E746,$E746)</f>
        <v/>
      </c>
      <c r="AD746" s="65">
        <f>$A746&amp;"|"&amp;$J746&amp;"|"&amp;$E746&amp;"|"&amp;$AC746</f>
        <v/>
      </c>
      <c r="AE746" s="66">
        <f>IF($W746&lt;&gt;"","⚑ "&amp;$W746&amp;CHAR(10),"")&amp;TEXT($F746,"hh:mm")&amp;"-"&amp;TEXT($G746,"hh:mm")&amp;IF(OR($P746="Quinzaine A",AND($P746="Hebdo · groupes alternés",$C746="A"))," Q-A",IF(OR($P746="Quinzaine B",AND($P746="Hebdo · groupes alternés",$C746="B"))," Q-B",IF($P746="Exception"," PONCT.","")))&amp;IF($X746="Oui"," OPT","")&amp;CHAR(10)&amp;$K746&amp;CHAR(10)&amp;$M746&amp;IF($N746&lt;&gt;"",CHAR(10)&amp;"Salle "&amp;$N746,"")&amp;IF($O746="En ligne",CHAR(10)&amp;"EN LIGNE","")&amp;IF($V746&lt;&gt;"",CHAR(10)&amp;$V746,"")</f>
        <v/>
      </c>
      <c r="AF746" s="65" t="inlineStr"/>
      <c r="AG746" s="65" t="inlineStr">
        <is>
          <t>— généré —</t>
        </is>
      </c>
    </row>
    <row r="747" ht="15" customHeight="1">
      <c r="A747" s="74" t="inlineStr">
        <is>
          <t>S7</t>
        </is>
      </c>
      <c r="B747" s="75" t="inlineStr">
        <is>
          <t>du 26 octobre au 1er novembre 2026</t>
        </is>
      </c>
      <c r="C747" s="74" t="inlineStr">
        <is>
          <t>A</t>
        </is>
      </c>
      <c r="D747" s="76" t="n">
        <v>46321</v>
      </c>
      <c r="E747" s="74" t="inlineStr">
        <is>
          <t>Lundi</t>
        </is>
      </c>
      <c r="F747" s="77" t="n">
        <v>0.7916666666666666</v>
      </c>
      <c r="G747" s="77" t="n">
        <v>0.8541666666666666</v>
      </c>
      <c r="H747" s="78">
        <f>IF(OR($F747="",$G747=""),"",($G747-$F747)*24)</f>
        <v/>
      </c>
      <c r="I747" s="74" t="inlineStr">
        <is>
          <t>Secondaire</t>
        </is>
      </c>
      <c r="J747" s="75" t="inlineStr">
        <is>
          <t>3éme SCE</t>
        </is>
      </c>
      <c r="K747" s="79" t="inlineStr">
        <is>
          <t>Math</t>
        </is>
      </c>
      <c r="L747" s="79" t="inlineStr">
        <is>
          <t>Math</t>
        </is>
      </c>
      <c r="M747" s="75" t="inlineStr">
        <is>
          <t>Lotfi</t>
        </is>
      </c>
      <c r="N747" s="74" t="n"/>
      <c r="O747" s="74" t="n"/>
      <c r="P747" s="74" t="inlineStr">
        <is>
          <t>Hebdomadaire</t>
        </is>
      </c>
      <c r="Q747" s="75" t="inlineStr"/>
      <c r="R747" s="74" t="n">
        <v>1</v>
      </c>
      <c r="S747" s="74" t="inlineStr">
        <is>
          <t>Oui</t>
        </is>
      </c>
      <c r="T747" s="74" t="inlineStr">
        <is>
          <t>S7-093</t>
        </is>
      </c>
      <c r="U747" s="75" t="inlineStr">
        <is>
          <t>Généré (octobre)</t>
        </is>
      </c>
      <c r="V747" s="75" t="inlineStr"/>
      <c r="W747" s="10" t="n"/>
      <c r="X747" s="10" t="inlineStr"/>
      <c r="Y747" s="64">
        <f>IF($M747="","",IF(SUMPRODUCT(($D$4:$D$863=$D747)*($M$4:$M$863=$M747)*($T$4:$T$863&lt;&gt;$T747)*($F$4:$F$863&lt;$G747)*($G$4:$G$863&gt;$F747))&gt;0,"⚠ CONFLIT",""))</f>
        <v/>
      </c>
      <c r="Z747" s="64">
        <f>IF($J747="","",IF(SUMPRODUCT(($D$4:$D$863=$D747)*($J$4:$J$863=$J747)*($T$4:$T$863&lt;&gt;$T747)*($F$4:$F$863&lt;$G747)*($G$4:$G$863&gt;$F747)*(1-($X$4:$X$863="Oui")*($X747="Oui")))&gt;0,"⚠ CONFLIT",""))</f>
        <v/>
      </c>
      <c r="AA747" s="64">
        <f>IF(COUNTIFS($D$4:$D$863,$D747,$J$4:$J$863,$J747,$F$4:$F$863,$F747,$K$4:$K$863,$K747)&gt;1,"⚠ DOUBLON","")</f>
        <v/>
      </c>
      <c r="AB747" s="64">
        <f>IF(COUNTIF($T$4:$T$863,$T747)&lt;&gt;COUNTIFS($T$4:$T$863,$T747,$D$4:$D$863,$D747,$F$4:$F$863,$F747,$G$4:$G$863,$G747,$K$4:$K$863,$K747,$M$4:$M$863,$M747),"⚠ INCOHÉRENT","")</f>
        <v/>
      </c>
      <c r="AC747" s="64">
        <f>COUNTIFS($A$4:$A747,$A747,$J$4:$J747,$J747,$E$4:$E747,$E747)</f>
        <v/>
      </c>
      <c r="AD747" s="65">
        <f>$A747&amp;"|"&amp;$J747&amp;"|"&amp;$E747&amp;"|"&amp;$AC747</f>
        <v/>
      </c>
      <c r="AE747" s="66">
        <f>IF($W747&lt;&gt;"","⚑ "&amp;$W747&amp;CHAR(10),"")&amp;TEXT($F747,"hh:mm")&amp;"-"&amp;TEXT($G747,"hh:mm")&amp;IF(OR($P747="Quinzaine A",AND($P747="Hebdo · groupes alternés",$C747="A"))," Q-A",IF(OR($P747="Quinzaine B",AND($P747="Hebdo · groupes alternés",$C747="B"))," Q-B",IF($P747="Exception"," PONCT.","")))&amp;IF($X747="Oui"," OPT","")&amp;CHAR(10)&amp;$K747&amp;CHAR(10)&amp;$M747&amp;IF($N747&lt;&gt;"",CHAR(10)&amp;"Salle "&amp;$N747,"")&amp;IF($O747="En ligne",CHAR(10)&amp;"EN LIGNE","")&amp;IF($V747&lt;&gt;"",CHAR(10)&amp;$V747,"")</f>
        <v/>
      </c>
      <c r="AF747" s="65" t="inlineStr"/>
      <c r="AG747" s="65" t="inlineStr">
        <is>
          <t>— généré —</t>
        </is>
      </c>
    </row>
    <row r="748" ht="15" customHeight="1">
      <c r="A748" s="81" t="inlineStr">
        <is>
          <t>S7</t>
        </is>
      </c>
      <c r="B748" s="82" t="inlineStr">
        <is>
          <t>du 26 octobre au 1er novembre 2026</t>
        </is>
      </c>
      <c r="C748" s="81" t="inlineStr">
        <is>
          <t>A</t>
        </is>
      </c>
      <c r="D748" s="83" t="n">
        <v>46321</v>
      </c>
      <c r="E748" s="81" t="inlineStr">
        <is>
          <t>Lundi</t>
        </is>
      </c>
      <c r="F748" s="84" t="n">
        <v>0.7916666666666666</v>
      </c>
      <c r="G748" s="84" t="n">
        <v>0.875</v>
      </c>
      <c r="H748" s="85">
        <f>IF(OR($F748="",$G748=""),"",($G748-$F748)*24)</f>
        <v/>
      </c>
      <c r="I748" s="81" t="inlineStr">
        <is>
          <t>Bac</t>
        </is>
      </c>
      <c r="J748" s="82" t="inlineStr">
        <is>
          <t>Bac Eco</t>
        </is>
      </c>
      <c r="K748" s="86" t="inlineStr">
        <is>
          <t>Gestion</t>
        </is>
      </c>
      <c r="L748" s="86" t="inlineStr">
        <is>
          <t>Gestion</t>
        </is>
      </c>
      <c r="M748" s="82" t="inlineStr">
        <is>
          <t>Yassine</t>
        </is>
      </c>
      <c r="N748" s="81" t="n"/>
      <c r="O748" s="81" t="n"/>
      <c r="P748" s="81" t="inlineStr">
        <is>
          <t>Hebdomadaire</t>
        </is>
      </c>
      <c r="Q748" s="82" t="inlineStr"/>
      <c r="R748" s="81" t="n">
        <v>1</v>
      </c>
      <c r="S748" s="81" t="inlineStr">
        <is>
          <t>Oui</t>
        </is>
      </c>
      <c r="T748" s="81" t="inlineStr">
        <is>
          <t>S7-006</t>
        </is>
      </c>
      <c r="U748" s="82" t="inlineStr">
        <is>
          <t>Généré (octobre)</t>
        </is>
      </c>
      <c r="V748" s="82" t="inlineStr"/>
      <c r="W748" s="10" t="n"/>
      <c r="X748" s="10" t="inlineStr"/>
      <c r="Y748" s="64">
        <f>IF($M748="","",IF(SUMPRODUCT(($D$4:$D$863=$D748)*($M$4:$M$863=$M748)*($T$4:$T$863&lt;&gt;$T748)*($F$4:$F$863&lt;$G748)*($G$4:$G$863&gt;$F748))&gt;0,"⚠ CONFLIT",""))</f>
        <v/>
      </c>
      <c r="Z748" s="64">
        <f>IF($J748="","",IF(SUMPRODUCT(($D$4:$D$863=$D748)*($J$4:$J$863=$J748)*($T$4:$T$863&lt;&gt;$T748)*($F$4:$F$863&lt;$G748)*($G$4:$G$863&gt;$F748)*(1-($X$4:$X$863="Oui")*($X748="Oui")))&gt;0,"⚠ CONFLIT",""))</f>
        <v/>
      </c>
      <c r="AA748" s="64">
        <f>IF(COUNTIFS($D$4:$D$863,$D748,$J$4:$J$863,$J748,$F$4:$F$863,$F748,$K$4:$K$863,$K748)&gt;1,"⚠ DOUBLON","")</f>
        <v/>
      </c>
      <c r="AB748" s="64">
        <f>IF(COUNTIF($T$4:$T$863,$T748)&lt;&gt;COUNTIFS($T$4:$T$863,$T748,$D$4:$D$863,$D748,$F$4:$F$863,$F748,$G$4:$G$863,$G748,$K$4:$K$863,$K748,$M$4:$M$863,$M748),"⚠ INCOHÉRENT","")</f>
        <v/>
      </c>
      <c r="AC748" s="64">
        <f>COUNTIFS($A$4:$A748,$A748,$J$4:$J748,$J748,$E$4:$E748,$E748)</f>
        <v/>
      </c>
      <c r="AD748" s="65">
        <f>$A748&amp;"|"&amp;$J748&amp;"|"&amp;$E748&amp;"|"&amp;$AC748</f>
        <v/>
      </c>
      <c r="AE748" s="66">
        <f>IF($W748&lt;&gt;"","⚑ "&amp;$W748&amp;CHAR(10),"")&amp;TEXT($F748,"hh:mm")&amp;"-"&amp;TEXT($G748,"hh:mm")&amp;IF(OR($P748="Quinzaine A",AND($P748="Hebdo · groupes alternés",$C748="A"))," Q-A",IF(OR($P748="Quinzaine B",AND($P748="Hebdo · groupes alternés",$C748="B"))," Q-B",IF($P748="Exception"," PONCT.","")))&amp;IF($X748="Oui"," OPT","")&amp;CHAR(10)&amp;$K748&amp;CHAR(10)&amp;$M748&amp;IF($N748&lt;&gt;"",CHAR(10)&amp;"Salle "&amp;$N748,"")&amp;IF($O748="En ligne",CHAR(10)&amp;"EN LIGNE","")&amp;IF($V748&lt;&gt;"",CHAR(10)&amp;$V748,"")</f>
        <v/>
      </c>
      <c r="AF748" s="65" t="inlineStr"/>
      <c r="AG748" s="65" t="inlineStr">
        <is>
          <t>— généré —</t>
        </is>
      </c>
    </row>
    <row r="749" ht="15" customHeight="1">
      <c r="A749" s="81" t="inlineStr">
        <is>
          <t>S7</t>
        </is>
      </c>
      <c r="B749" s="82" t="inlineStr">
        <is>
          <t>du 26 octobre au 1er novembre 2026</t>
        </is>
      </c>
      <c r="C749" s="81" t="inlineStr">
        <is>
          <t>A</t>
        </is>
      </c>
      <c r="D749" s="83" t="n">
        <v>46321</v>
      </c>
      <c r="E749" s="81" t="inlineStr">
        <is>
          <t>Lundi</t>
        </is>
      </c>
      <c r="F749" s="84" t="n">
        <v>0.7916666666666666</v>
      </c>
      <c r="G749" s="84" t="n">
        <v>0.875</v>
      </c>
      <c r="H749" s="85">
        <f>IF(OR($F749="",$G749=""),"",($G749-$F749)*24)</f>
        <v/>
      </c>
      <c r="I749" s="81" t="inlineStr">
        <is>
          <t>Bac</t>
        </is>
      </c>
      <c r="J749" s="82" t="inlineStr">
        <is>
          <t>Bac SCE</t>
        </is>
      </c>
      <c r="K749" s="73" t="inlineStr">
        <is>
          <t>Physique</t>
        </is>
      </c>
      <c r="L749" s="73" t="inlineStr">
        <is>
          <t>Physique</t>
        </is>
      </c>
      <c r="M749" s="82" t="inlineStr">
        <is>
          <t>Sondes</t>
        </is>
      </c>
      <c r="N749" s="81" t="n"/>
      <c r="O749" s="81" t="n"/>
      <c r="P749" s="81" t="inlineStr">
        <is>
          <t>Hebdomadaire</t>
        </is>
      </c>
      <c r="Q749" s="82" t="inlineStr"/>
      <c r="R749" s="81" t="n">
        <v>1</v>
      </c>
      <c r="S749" s="81" t="inlineStr">
        <is>
          <t>Oui</t>
        </is>
      </c>
      <c r="T749" s="81" t="inlineStr">
        <is>
          <t>S7-007</t>
        </is>
      </c>
      <c r="U749" s="82" t="inlineStr">
        <is>
          <t>Généré (octobre)</t>
        </is>
      </c>
      <c r="V749" s="82" t="inlineStr"/>
      <c r="W749" s="10" t="n"/>
      <c r="X749" s="10" t="inlineStr"/>
      <c r="Y749" s="64">
        <f>IF($M749="","",IF(SUMPRODUCT(($D$4:$D$863=$D749)*($M$4:$M$863=$M749)*($T$4:$T$863&lt;&gt;$T749)*($F$4:$F$863&lt;$G749)*($G$4:$G$863&gt;$F749))&gt;0,"⚠ CONFLIT",""))</f>
        <v/>
      </c>
      <c r="Z749" s="64">
        <f>IF($J749="","",IF(SUMPRODUCT(($D$4:$D$863=$D749)*($J$4:$J$863=$J749)*($T$4:$T$863&lt;&gt;$T749)*($F$4:$F$863&lt;$G749)*($G$4:$G$863&gt;$F749)*(1-($X$4:$X$863="Oui")*($X749="Oui")))&gt;0,"⚠ CONFLIT",""))</f>
        <v/>
      </c>
      <c r="AA749" s="64">
        <f>IF(COUNTIFS($D$4:$D$863,$D749,$J$4:$J$863,$J749,$F$4:$F$863,$F749,$K$4:$K$863,$K749)&gt;1,"⚠ DOUBLON","")</f>
        <v/>
      </c>
      <c r="AB749" s="64">
        <f>IF(COUNTIF($T$4:$T$863,$T749)&lt;&gt;COUNTIFS($T$4:$T$863,$T749,$D$4:$D$863,$D749,$F$4:$F$863,$F749,$G$4:$G$863,$G749,$K$4:$K$863,$K749,$M$4:$M$863,$M749),"⚠ INCOHÉRENT","")</f>
        <v/>
      </c>
      <c r="AC749" s="64">
        <f>COUNTIFS($A$4:$A749,$A749,$J$4:$J749,$J749,$E$4:$E749,$E749)</f>
        <v/>
      </c>
      <c r="AD749" s="65">
        <f>$A749&amp;"|"&amp;$J749&amp;"|"&amp;$E749&amp;"|"&amp;$AC749</f>
        <v/>
      </c>
      <c r="AE749" s="66">
        <f>IF($W749&lt;&gt;"","⚑ "&amp;$W749&amp;CHAR(10),"")&amp;TEXT($F749,"hh:mm")&amp;"-"&amp;TEXT($G749,"hh:mm")&amp;IF(OR($P749="Quinzaine A",AND($P749="Hebdo · groupes alternés",$C749="A"))," Q-A",IF(OR($P749="Quinzaine B",AND($P749="Hebdo · groupes alternés",$C749="B"))," Q-B",IF($P749="Exception"," PONCT.","")))&amp;IF($X749="Oui"," OPT","")&amp;CHAR(10)&amp;$K749&amp;CHAR(10)&amp;$M749&amp;IF($N749&lt;&gt;"",CHAR(10)&amp;"Salle "&amp;$N749,"")&amp;IF($O749="En ligne",CHAR(10)&amp;"EN LIGNE","")&amp;IF($V749&lt;&gt;"",CHAR(10)&amp;$V749,"")</f>
        <v/>
      </c>
      <c r="AF749" s="65" t="inlineStr"/>
      <c r="AG749" s="65" t="inlineStr">
        <is>
          <t>— généré —</t>
        </is>
      </c>
    </row>
    <row r="750" ht="15" customHeight="1">
      <c r="A750" s="81" t="inlineStr">
        <is>
          <t>S7</t>
        </is>
      </c>
      <c r="B750" s="82" t="inlineStr">
        <is>
          <t>du 26 octobre au 1er novembre 2026</t>
        </is>
      </c>
      <c r="C750" s="81" t="inlineStr">
        <is>
          <t>A</t>
        </is>
      </c>
      <c r="D750" s="83" t="n">
        <v>46321</v>
      </c>
      <c r="E750" s="81" t="inlineStr">
        <is>
          <t>Lundi</t>
        </is>
      </c>
      <c r="F750" s="84" t="n">
        <v>0.8125</v>
      </c>
      <c r="G750" s="84" t="n">
        <v>0.875</v>
      </c>
      <c r="H750" s="85">
        <f>IF(OR($F750="",$G750=""),"",($G750-$F750)*24)</f>
        <v/>
      </c>
      <c r="I750" s="81" t="inlineStr">
        <is>
          <t>Bac</t>
        </is>
      </c>
      <c r="J750" s="82" t="inlineStr">
        <is>
          <t>Bac INFO</t>
        </is>
      </c>
      <c r="K750" s="73" t="inlineStr">
        <is>
          <t>Physique</t>
        </is>
      </c>
      <c r="L750" s="73" t="inlineStr">
        <is>
          <t>Physique</t>
        </is>
      </c>
      <c r="M750" s="82" t="inlineStr">
        <is>
          <t>Samia</t>
        </is>
      </c>
      <c r="N750" s="81" t="n"/>
      <c r="O750" s="81" t="n"/>
      <c r="P750" s="81" t="inlineStr">
        <is>
          <t>Hebdomadaire</t>
        </is>
      </c>
      <c r="Q750" s="82" t="inlineStr"/>
      <c r="R750" s="81" t="n">
        <v>1</v>
      </c>
      <c r="S750" s="81" t="inlineStr">
        <is>
          <t>Oui</t>
        </is>
      </c>
      <c r="T750" s="81" t="inlineStr">
        <is>
          <t>S7-008</t>
        </is>
      </c>
      <c r="U750" s="82" t="inlineStr">
        <is>
          <t>Généré (octobre)</t>
        </is>
      </c>
      <c r="V750" s="82" t="inlineStr"/>
      <c r="W750" s="10" t="n"/>
      <c r="X750" s="10" t="inlineStr"/>
      <c r="Y750" s="64">
        <f>IF($M750="","",IF(SUMPRODUCT(($D$4:$D$863=$D750)*($M$4:$M$863=$M750)*($T$4:$T$863&lt;&gt;$T750)*($F$4:$F$863&lt;$G750)*($G$4:$G$863&gt;$F750))&gt;0,"⚠ CONFLIT",""))</f>
        <v/>
      </c>
      <c r="Z750" s="64">
        <f>IF($J750="","",IF(SUMPRODUCT(($D$4:$D$863=$D750)*($J$4:$J$863=$J750)*($T$4:$T$863&lt;&gt;$T750)*($F$4:$F$863&lt;$G750)*($G$4:$G$863&gt;$F750)*(1-($X$4:$X$863="Oui")*($X750="Oui")))&gt;0,"⚠ CONFLIT",""))</f>
        <v/>
      </c>
      <c r="AA750" s="64">
        <f>IF(COUNTIFS($D$4:$D$863,$D750,$J$4:$J$863,$J750,$F$4:$F$863,$F750,$K$4:$K$863,$K750)&gt;1,"⚠ DOUBLON","")</f>
        <v/>
      </c>
      <c r="AB750" s="64">
        <f>IF(COUNTIF($T$4:$T$863,$T750)&lt;&gt;COUNTIFS($T$4:$T$863,$T750,$D$4:$D$863,$D750,$F$4:$F$863,$F750,$G$4:$G$863,$G750,$K$4:$K$863,$K750,$M$4:$M$863,$M750),"⚠ INCOHÉRENT","")</f>
        <v/>
      </c>
      <c r="AC750" s="64">
        <f>COUNTIFS($A$4:$A750,$A750,$J$4:$J750,$J750,$E$4:$E750,$E750)</f>
        <v/>
      </c>
      <c r="AD750" s="65">
        <f>$A750&amp;"|"&amp;$J750&amp;"|"&amp;$E750&amp;"|"&amp;$AC750</f>
        <v/>
      </c>
      <c r="AE750" s="66">
        <f>IF($W750&lt;&gt;"","⚑ "&amp;$W750&amp;CHAR(10),"")&amp;TEXT($F750,"hh:mm")&amp;"-"&amp;TEXT($G750,"hh:mm")&amp;IF(OR($P750="Quinzaine A",AND($P750="Hebdo · groupes alternés",$C750="A"))," Q-A",IF(OR($P750="Quinzaine B",AND($P750="Hebdo · groupes alternés",$C750="B"))," Q-B",IF($P750="Exception"," PONCT.","")))&amp;IF($X750="Oui"," OPT","")&amp;CHAR(10)&amp;$K750&amp;CHAR(10)&amp;$M750&amp;IF($N750&lt;&gt;"",CHAR(10)&amp;"Salle "&amp;$N750,"")&amp;IF($O750="En ligne",CHAR(10)&amp;"EN LIGNE","")&amp;IF($V750&lt;&gt;"",CHAR(10)&amp;$V750,"")</f>
        <v/>
      </c>
      <c r="AF750" s="65" t="inlineStr"/>
      <c r="AG750" s="65" t="inlineStr">
        <is>
          <t>— généré —</t>
        </is>
      </c>
    </row>
    <row r="751" ht="15" customHeight="1">
      <c r="A751" s="58" t="inlineStr">
        <is>
          <t>S7</t>
        </is>
      </c>
      <c r="B751" s="59" t="inlineStr">
        <is>
          <t>du 26 octobre au 1er novembre 2026</t>
        </is>
      </c>
      <c r="C751" s="58" t="inlineStr">
        <is>
          <t>A</t>
        </is>
      </c>
      <c r="D751" s="60" t="n">
        <v>46322</v>
      </c>
      <c r="E751" s="58" t="inlineStr">
        <is>
          <t>Mardi</t>
        </is>
      </c>
      <c r="F751" s="61" t="n">
        <v>0.7916666666666666</v>
      </c>
      <c r="G751" s="61" t="n">
        <v>0.875</v>
      </c>
      <c r="H751" s="62">
        <f>IF(OR($F751="",$G751=""),"",($G751-$F751)*24)</f>
        <v/>
      </c>
      <c r="I751" s="58" t="inlineStr">
        <is>
          <t>Primaire</t>
        </is>
      </c>
      <c r="J751" s="59" t="inlineStr">
        <is>
          <t>5éme</t>
        </is>
      </c>
      <c r="K751" s="63" t="inlineStr">
        <is>
          <t>عربية</t>
        </is>
      </c>
      <c r="L751" s="63" t="inlineStr">
        <is>
          <t>Arabe</t>
        </is>
      </c>
      <c r="M751" s="59" t="inlineStr">
        <is>
          <t>Lobna</t>
        </is>
      </c>
      <c r="N751" s="58" t="n"/>
      <c r="O751" s="58" t="n"/>
      <c r="P751" s="58" t="inlineStr">
        <is>
          <t>Hebdomadaire</t>
        </is>
      </c>
      <c r="Q751" s="59" t="inlineStr"/>
      <c r="R751" s="58" t="n">
        <v>1</v>
      </c>
      <c r="S751" s="58" t="inlineStr">
        <is>
          <t>Oui</t>
        </is>
      </c>
      <c r="T751" s="58" t="inlineStr">
        <is>
          <t>S7-009</t>
        </is>
      </c>
      <c r="U751" s="59" t="inlineStr">
        <is>
          <t>Généré (octobre)</t>
        </is>
      </c>
      <c r="V751" s="59" t="inlineStr"/>
      <c r="W751" s="10" t="n"/>
      <c r="X751" s="10" t="inlineStr"/>
      <c r="Y751" s="64">
        <f>IF($M751="","",IF(SUMPRODUCT(($D$4:$D$863=$D751)*($M$4:$M$863=$M751)*($T$4:$T$863&lt;&gt;$T751)*($F$4:$F$863&lt;$G751)*($G$4:$G$863&gt;$F751))&gt;0,"⚠ CONFLIT",""))</f>
        <v/>
      </c>
      <c r="Z751" s="64">
        <f>IF($J751="","",IF(SUMPRODUCT(($D$4:$D$863=$D751)*($J$4:$J$863=$J751)*($T$4:$T$863&lt;&gt;$T751)*($F$4:$F$863&lt;$G751)*($G$4:$G$863&gt;$F751)*(1-($X$4:$X$863="Oui")*($X751="Oui")))&gt;0,"⚠ CONFLIT",""))</f>
        <v/>
      </c>
      <c r="AA751" s="64">
        <f>IF(COUNTIFS($D$4:$D$863,$D751,$J$4:$J$863,$J751,$F$4:$F$863,$F751,$K$4:$K$863,$K751)&gt;1,"⚠ DOUBLON","")</f>
        <v/>
      </c>
      <c r="AB751" s="64">
        <f>IF(COUNTIF($T$4:$T$863,$T751)&lt;&gt;COUNTIFS($T$4:$T$863,$T751,$D$4:$D$863,$D751,$F$4:$F$863,$F751,$G$4:$G$863,$G751,$K$4:$K$863,$K751,$M$4:$M$863,$M751),"⚠ INCOHÉRENT","")</f>
        <v/>
      </c>
      <c r="AC751" s="64">
        <f>COUNTIFS($A$4:$A751,$A751,$J$4:$J751,$J751,$E$4:$E751,$E751)</f>
        <v/>
      </c>
      <c r="AD751" s="65">
        <f>$A751&amp;"|"&amp;$J751&amp;"|"&amp;$E751&amp;"|"&amp;$AC751</f>
        <v/>
      </c>
      <c r="AE751" s="66">
        <f>IF($W751&lt;&gt;"","⚑ "&amp;$W751&amp;CHAR(10),"")&amp;TEXT($F751,"hh:mm")&amp;"-"&amp;TEXT($G751,"hh:mm")&amp;IF(OR($P751="Quinzaine A",AND($P751="Hebdo · groupes alternés",$C751="A"))," Q-A",IF(OR($P751="Quinzaine B",AND($P751="Hebdo · groupes alternés",$C751="B"))," Q-B",IF($P751="Exception"," PONCT.","")))&amp;IF($X751="Oui"," OPT","")&amp;CHAR(10)&amp;$K751&amp;CHAR(10)&amp;$M751&amp;IF($N751&lt;&gt;"",CHAR(10)&amp;"Salle "&amp;$N751,"")&amp;IF($O751="En ligne",CHAR(10)&amp;"EN LIGNE","")&amp;IF($V751&lt;&gt;"",CHAR(10)&amp;$V751,"")</f>
        <v/>
      </c>
      <c r="AF751" s="65" t="inlineStr"/>
      <c r="AG751" s="65" t="inlineStr">
        <is>
          <t>— généré —</t>
        </is>
      </c>
    </row>
    <row r="752" ht="15" customHeight="1">
      <c r="A752" s="58" t="inlineStr">
        <is>
          <t>S7</t>
        </is>
      </c>
      <c r="B752" s="59" t="inlineStr">
        <is>
          <t>du 26 octobre au 1er novembre 2026</t>
        </is>
      </c>
      <c r="C752" s="58" t="inlineStr">
        <is>
          <t>A</t>
        </is>
      </c>
      <c r="D752" s="60" t="n">
        <v>46322</v>
      </c>
      <c r="E752" s="58" t="inlineStr">
        <is>
          <t>Mardi</t>
        </is>
      </c>
      <c r="F752" s="61" t="n">
        <v>0.7916666666666666</v>
      </c>
      <c r="G752" s="61" t="n">
        <v>0.8541666666666666</v>
      </c>
      <c r="H752" s="62">
        <f>IF(OR($F752="",$G752=""),"",($G752-$F752)*24)</f>
        <v/>
      </c>
      <c r="I752" s="58" t="inlineStr">
        <is>
          <t>Primaire</t>
        </is>
      </c>
      <c r="J752" s="59" t="inlineStr">
        <is>
          <t>6éme (B)</t>
        </is>
      </c>
      <c r="K752" s="67" t="inlineStr">
        <is>
          <t>Français</t>
        </is>
      </c>
      <c r="L752" s="67" t="inlineStr">
        <is>
          <t>Français</t>
        </is>
      </c>
      <c r="M752" s="59" t="inlineStr">
        <is>
          <t>Hend</t>
        </is>
      </c>
      <c r="N752" s="58" t="n"/>
      <c r="O752" s="58" t="n"/>
      <c r="P752" s="58" t="inlineStr">
        <is>
          <t>Hebdomadaire</t>
        </is>
      </c>
      <c r="Q752" s="59" t="inlineStr"/>
      <c r="R752" s="58" t="n">
        <v>1</v>
      </c>
      <c r="S752" s="58" t="inlineStr">
        <is>
          <t>Oui</t>
        </is>
      </c>
      <c r="T752" s="58" t="inlineStr">
        <is>
          <t>S7-010</t>
        </is>
      </c>
      <c r="U752" s="59" t="inlineStr">
        <is>
          <t>Généré (octobre)</t>
        </is>
      </c>
      <c r="V752" s="59" t="inlineStr"/>
      <c r="W752" s="10" t="n"/>
      <c r="X752" s="10" t="inlineStr"/>
      <c r="Y752" s="64">
        <f>IF($M752="","",IF(SUMPRODUCT(($D$4:$D$863=$D752)*($M$4:$M$863=$M752)*($T$4:$T$863&lt;&gt;$T752)*($F$4:$F$863&lt;$G752)*($G$4:$G$863&gt;$F752))&gt;0,"⚠ CONFLIT",""))</f>
        <v/>
      </c>
      <c r="Z752" s="64">
        <f>IF($J752="","",IF(SUMPRODUCT(($D$4:$D$863=$D752)*($J$4:$J$863=$J752)*($T$4:$T$863&lt;&gt;$T752)*($F$4:$F$863&lt;$G752)*($G$4:$G$863&gt;$F752)*(1-($X$4:$X$863="Oui")*($X752="Oui")))&gt;0,"⚠ CONFLIT",""))</f>
        <v/>
      </c>
      <c r="AA752" s="64">
        <f>IF(COUNTIFS($D$4:$D$863,$D752,$J$4:$J$863,$J752,$F$4:$F$863,$F752,$K$4:$K$863,$K752)&gt;1,"⚠ DOUBLON","")</f>
        <v/>
      </c>
      <c r="AB752" s="64">
        <f>IF(COUNTIF($T$4:$T$863,$T752)&lt;&gt;COUNTIFS($T$4:$T$863,$T752,$D$4:$D$863,$D752,$F$4:$F$863,$F752,$G$4:$G$863,$G752,$K$4:$K$863,$K752,$M$4:$M$863,$M752),"⚠ INCOHÉRENT","")</f>
        <v/>
      </c>
      <c r="AC752" s="64">
        <f>COUNTIFS($A$4:$A752,$A752,$J$4:$J752,$J752,$E$4:$E752,$E752)</f>
        <v/>
      </c>
      <c r="AD752" s="65">
        <f>$A752&amp;"|"&amp;$J752&amp;"|"&amp;$E752&amp;"|"&amp;$AC752</f>
        <v/>
      </c>
      <c r="AE752" s="66">
        <f>IF($W752&lt;&gt;"","⚑ "&amp;$W752&amp;CHAR(10),"")&amp;TEXT($F752,"hh:mm")&amp;"-"&amp;TEXT($G752,"hh:mm")&amp;IF(OR($P752="Quinzaine A",AND($P752="Hebdo · groupes alternés",$C752="A"))," Q-A",IF(OR($P752="Quinzaine B",AND($P752="Hebdo · groupes alternés",$C752="B"))," Q-B",IF($P752="Exception"," PONCT.","")))&amp;IF($X752="Oui"," OPT","")&amp;CHAR(10)&amp;$K752&amp;CHAR(10)&amp;$M752&amp;IF($N752&lt;&gt;"",CHAR(10)&amp;"Salle "&amp;$N752,"")&amp;IF($O752="En ligne",CHAR(10)&amp;"EN LIGNE","")&amp;IF($V752&lt;&gt;"",CHAR(10)&amp;$V752,"")</f>
        <v/>
      </c>
      <c r="AF752" s="65" t="inlineStr"/>
      <c r="AG752" s="65" t="inlineStr">
        <is>
          <t>— généré —</t>
        </is>
      </c>
    </row>
    <row r="753" ht="15" customHeight="1">
      <c r="A753" s="68" t="inlineStr">
        <is>
          <t>S7</t>
        </is>
      </c>
      <c r="B753" s="69" t="inlineStr">
        <is>
          <t>du 26 octobre au 1er novembre 2026</t>
        </is>
      </c>
      <c r="C753" s="68" t="inlineStr">
        <is>
          <t>A</t>
        </is>
      </c>
      <c r="D753" s="70" t="n">
        <v>46322</v>
      </c>
      <c r="E753" s="68" t="inlineStr">
        <is>
          <t>Mardi</t>
        </is>
      </c>
      <c r="F753" s="71" t="n">
        <v>0.7916666666666666</v>
      </c>
      <c r="G753" s="71" t="n">
        <v>0.8541666666666666</v>
      </c>
      <c r="H753" s="72">
        <f>IF(OR($F753="",$G753=""),"",($G753-$F753)*24)</f>
        <v/>
      </c>
      <c r="I753" s="68" t="inlineStr">
        <is>
          <t>Collège</t>
        </is>
      </c>
      <c r="J753" s="69" t="inlineStr">
        <is>
          <t>7éme (A)</t>
        </is>
      </c>
      <c r="K753" s="87" t="inlineStr">
        <is>
          <t>Anglais</t>
        </is>
      </c>
      <c r="L753" s="87" t="inlineStr">
        <is>
          <t>Anglais</t>
        </is>
      </c>
      <c r="M753" s="69" t="inlineStr">
        <is>
          <t>Imen Ben Lazrak</t>
        </is>
      </c>
      <c r="N753" s="68" t="n"/>
      <c r="O753" s="68" t="n"/>
      <c r="P753" s="68" t="inlineStr">
        <is>
          <t>Hebdo · groupes alternés</t>
        </is>
      </c>
      <c r="Q753" s="69" t="inlineStr"/>
      <c r="R753" s="68" t="n">
        <v>1</v>
      </c>
      <c r="S753" s="68" t="inlineStr">
        <is>
          <t>Oui</t>
        </is>
      </c>
      <c r="T753" s="68" t="inlineStr">
        <is>
          <t>S7-011</t>
        </is>
      </c>
      <c r="U753" s="69" t="inlineStr">
        <is>
          <t>Généré (octobre)</t>
        </is>
      </c>
      <c r="V753" s="69" t="inlineStr"/>
      <c r="W753" s="10" t="n"/>
      <c r="X753" s="10" t="inlineStr"/>
      <c r="Y753" s="64">
        <f>IF($M753="","",IF(SUMPRODUCT(($D$4:$D$863=$D753)*($M$4:$M$863=$M753)*($T$4:$T$863&lt;&gt;$T753)*($F$4:$F$863&lt;$G753)*($G$4:$G$863&gt;$F753))&gt;0,"⚠ CONFLIT",""))</f>
        <v/>
      </c>
      <c r="Z753" s="64">
        <f>IF($J753="","",IF(SUMPRODUCT(($D$4:$D$863=$D753)*($J$4:$J$863=$J753)*($T$4:$T$863&lt;&gt;$T753)*($F$4:$F$863&lt;$G753)*($G$4:$G$863&gt;$F753)*(1-($X$4:$X$863="Oui")*($X753="Oui")))&gt;0,"⚠ CONFLIT",""))</f>
        <v/>
      </c>
      <c r="AA753" s="64">
        <f>IF(COUNTIFS($D$4:$D$863,$D753,$J$4:$J$863,$J753,$F$4:$F$863,$F753,$K$4:$K$863,$K753)&gt;1,"⚠ DOUBLON","")</f>
        <v/>
      </c>
      <c r="AB753" s="64">
        <f>IF(COUNTIF($T$4:$T$863,$T753)&lt;&gt;COUNTIFS($T$4:$T$863,$T753,$D$4:$D$863,$D753,$F$4:$F$863,$F753,$G$4:$G$863,$G753,$K$4:$K$863,$K753,$M$4:$M$863,$M753),"⚠ INCOHÉRENT","")</f>
        <v/>
      </c>
      <c r="AC753" s="64">
        <f>COUNTIFS($A$4:$A753,$A753,$J$4:$J753,$J753,$E$4:$E753,$E753)</f>
        <v/>
      </c>
      <c r="AD753" s="65">
        <f>$A753&amp;"|"&amp;$J753&amp;"|"&amp;$E753&amp;"|"&amp;$AC753</f>
        <v/>
      </c>
      <c r="AE753" s="66">
        <f>IF($W753&lt;&gt;"","⚑ "&amp;$W753&amp;CHAR(10),"")&amp;TEXT($F753,"hh:mm")&amp;"-"&amp;TEXT($G753,"hh:mm")&amp;IF(OR($P753="Quinzaine A",AND($P753="Hebdo · groupes alternés",$C753="A"))," Q-A",IF(OR($P753="Quinzaine B",AND($P753="Hebdo · groupes alternés",$C753="B"))," Q-B",IF($P753="Exception"," PONCT.","")))&amp;IF($X753="Oui"," OPT","")&amp;CHAR(10)&amp;$K753&amp;CHAR(10)&amp;$M753&amp;IF($N753&lt;&gt;"",CHAR(10)&amp;"Salle "&amp;$N753,"")&amp;IF($O753="En ligne",CHAR(10)&amp;"EN LIGNE","")&amp;IF($V753&lt;&gt;"",CHAR(10)&amp;$V753,"")</f>
        <v/>
      </c>
      <c r="AF753" s="65" t="inlineStr"/>
      <c r="AG753" s="65" t="inlineStr">
        <is>
          <t>— généré —</t>
        </is>
      </c>
    </row>
    <row r="754" ht="15" customHeight="1">
      <c r="A754" s="68" t="inlineStr">
        <is>
          <t>S7</t>
        </is>
      </c>
      <c r="B754" s="69" t="inlineStr">
        <is>
          <t>du 26 octobre au 1er novembre 2026</t>
        </is>
      </c>
      <c r="C754" s="68" t="inlineStr">
        <is>
          <t>A</t>
        </is>
      </c>
      <c r="D754" s="70" t="n">
        <v>46322</v>
      </c>
      <c r="E754" s="68" t="inlineStr">
        <is>
          <t>Mardi</t>
        </is>
      </c>
      <c r="F754" s="71" t="n">
        <v>0.8125</v>
      </c>
      <c r="G754" s="71" t="n">
        <v>0.875</v>
      </c>
      <c r="H754" s="72">
        <f>IF(OR($F754="",$G754=""),"",($G754-$F754)*24)</f>
        <v/>
      </c>
      <c r="I754" s="68" t="inlineStr">
        <is>
          <t>Collège</t>
        </is>
      </c>
      <c r="J754" s="69" t="inlineStr">
        <is>
          <t>8éme (B)</t>
        </is>
      </c>
      <c r="K754" s="63" t="inlineStr">
        <is>
          <t>Arabe</t>
        </is>
      </c>
      <c r="L754" s="63" t="inlineStr">
        <is>
          <t>Arabe</t>
        </is>
      </c>
      <c r="M754" s="69" t="inlineStr">
        <is>
          <t>Yahya</t>
        </is>
      </c>
      <c r="N754" s="68" t="n"/>
      <c r="O754" s="68" t="n"/>
      <c r="P754" s="68" t="inlineStr">
        <is>
          <t>Hebdomadaire</t>
        </is>
      </c>
      <c r="Q754" s="69" t="inlineStr">
        <is>
          <t>8éme (B) + 8éme (C)</t>
        </is>
      </c>
      <c r="R754" s="68" t="n">
        <v>2</v>
      </c>
      <c r="S754" s="68" t="inlineStr">
        <is>
          <t>Oui</t>
        </is>
      </c>
      <c r="T754" s="68" t="inlineStr">
        <is>
          <t>S7-012</t>
        </is>
      </c>
      <c r="U754" s="69" t="inlineStr">
        <is>
          <t>Généré (octobre)</t>
        </is>
      </c>
      <c r="V754" s="69" t="inlineStr"/>
      <c r="W754" s="10" t="n"/>
      <c r="X754" s="10" t="inlineStr"/>
      <c r="Y754" s="64">
        <f>IF($M754="","",IF(SUMPRODUCT(($D$4:$D$863=$D754)*($M$4:$M$863=$M754)*($T$4:$T$863&lt;&gt;$T754)*($F$4:$F$863&lt;$G754)*($G$4:$G$863&gt;$F754))&gt;0,"⚠ CONFLIT",""))</f>
        <v/>
      </c>
      <c r="Z754" s="64">
        <f>IF($J754="","",IF(SUMPRODUCT(($D$4:$D$863=$D754)*($J$4:$J$863=$J754)*($T$4:$T$863&lt;&gt;$T754)*($F$4:$F$863&lt;$G754)*($G$4:$G$863&gt;$F754)*(1-($X$4:$X$863="Oui")*($X754="Oui")))&gt;0,"⚠ CONFLIT",""))</f>
        <v/>
      </c>
      <c r="AA754" s="64">
        <f>IF(COUNTIFS($D$4:$D$863,$D754,$J$4:$J$863,$J754,$F$4:$F$863,$F754,$K$4:$K$863,$K754)&gt;1,"⚠ DOUBLON","")</f>
        <v/>
      </c>
      <c r="AB754" s="64">
        <f>IF(COUNTIF($T$4:$T$863,$T754)&lt;&gt;COUNTIFS($T$4:$T$863,$T754,$D$4:$D$863,$D754,$F$4:$F$863,$F754,$G$4:$G$863,$G754,$K$4:$K$863,$K754,$M$4:$M$863,$M754),"⚠ INCOHÉRENT","")</f>
        <v/>
      </c>
      <c r="AC754" s="64">
        <f>COUNTIFS($A$4:$A754,$A754,$J$4:$J754,$J754,$E$4:$E754,$E754)</f>
        <v/>
      </c>
      <c r="AD754" s="65">
        <f>$A754&amp;"|"&amp;$J754&amp;"|"&amp;$E754&amp;"|"&amp;$AC754</f>
        <v/>
      </c>
      <c r="AE754" s="66">
        <f>IF($W754&lt;&gt;"","⚑ "&amp;$W754&amp;CHAR(10),"")&amp;TEXT($F754,"hh:mm")&amp;"-"&amp;TEXT($G754,"hh:mm")&amp;IF(OR($P754="Quinzaine A",AND($P754="Hebdo · groupes alternés",$C754="A"))," Q-A",IF(OR($P754="Quinzaine B",AND($P754="Hebdo · groupes alternés",$C754="B"))," Q-B",IF($P754="Exception"," PONCT.","")))&amp;IF($X754="Oui"," OPT","")&amp;CHAR(10)&amp;$K754&amp;CHAR(10)&amp;$M754&amp;IF($N754&lt;&gt;"",CHAR(10)&amp;"Salle "&amp;$N754,"")&amp;IF($O754="En ligne",CHAR(10)&amp;"EN LIGNE","")&amp;IF($V754&lt;&gt;"",CHAR(10)&amp;$V754,"")</f>
        <v/>
      </c>
      <c r="AF754" s="65" t="inlineStr"/>
      <c r="AG754" s="65" t="inlineStr">
        <is>
          <t>— généré —</t>
        </is>
      </c>
    </row>
    <row r="755" ht="15" customHeight="1">
      <c r="A755" s="68" t="inlineStr">
        <is>
          <t>S7</t>
        </is>
      </c>
      <c r="B755" s="69" t="inlineStr">
        <is>
          <t>du 26 octobre au 1er novembre 2026</t>
        </is>
      </c>
      <c r="C755" s="68" t="inlineStr">
        <is>
          <t>A</t>
        </is>
      </c>
      <c r="D755" s="70" t="n">
        <v>46322</v>
      </c>
      <c r="E755" s="68" t="inlineStr">
        <is>
          <t>Mardi</t>
        </is>
      </c>
      <c r="F755" s="71" t="n">
        <v>0.8125</v>
      </c>
      <c r="G755" s="71" t="n">
        <v>0.875</v>
      </c>
      <c r="H755" s="72">
        <f>IF(OR($F755="",$G755=""),"",($G755-$F755)*24)</f>
        <v/>
      </c>
      <c r="I755" s="68" t="inlineStr">
        <is>
          <t>Collège</t>
        </is>
      </c>
      <c r="J755" s="69" t="inlineStr">
        <is>
          <t>8éme (C)</t>
        </is>
      </c>
      <c r="K755" s="63" t="inlineStr">
        <is>
          <t>Arabe</t>
        </is>
      </c>
      <c r="L755" s="63" t="inlineStr">
        <is>
          <t>Arabe</t>
        </is>
      </c>
      <c r="M755" s="69" t="inlineStr">
        <is>
          <t>Yahya</t>
        </is>
      </c>
      <c r="N755" s="68" t="n"/>
      <c r="O755" s="68" t="n"/>
      <c r="P755" s="68" t="inlineStr">
        <is>
          <t>Hebdomadaire</t>
        </is>
      </c>
      <c r="Q755" s="69" t="inlineStr">
        <is>
          <t>8éme (B) + 8éme (C)</t>
        </is>
      </c>
      <c r="R755" s="68" t="n">
        <v>2</v>
      </c>
      <c r="S755" s="68" t="inlineStr"/>
      <c r="T755" s="68" t="inlineStr">
        <is>
          <t>S7-012</t>
        </is>
      </c>
      <c r="U755" s="69" t="inlineStr">
        <is>
          <t>Généré (octobre)</t>
        </is>
      </c>
      <c r="V755" s="69" t="inlineStr"/>
      <c r="W755" s="10" t="n"/>
      <c r="X755" s="10" t="inlineStr"/>
      <c r="Y755" s="64">
        <f>IF($M755="","",IF(SUMPRODUCT(($D$4:$D$863=$D755)*($M$4:$M$863=$M755)*($T$4:$T$863&lt;&gt;$T755)*($F$4:$F$863&lt;$G755)*($G$4:$G$863&gt;$F755))&gt;0,"⚠ CONFLIT",""))</f>
        <v/>
      </c>
      <c r="Z755" s="64">
        <f>IF($J755="","",IF(SUMPRODUCT(($D$4:$D$863=$D755)*($J$4:$J$863=$J755)*($T$4:$T$863&lt;&gt;$T755)*($F$4:$F$863&lt;$G755)*($G$4:$G$863&gt;$F755)*(1-($X$4:$X$863="Oui")*($X755="Oui")))&gt;0,"⚠ CONFLIT",""))</f>
        <v/>
      </c>
      <c r="AA755" s="64">
        <f>IF(COUNTIFS($D$4:$D$863,$D755,$J$4:$J$863,$J755,$F$4:$F$863,$F755,$K$4:$K$863,$K755)&gt;1,"⚠ DOUBLON","")</f>
        <v/>
      </c>
      <c r="AB755" s="64">
        <f>IF(COUNTIF($T$4:$T$863,$T755)&lt;&gt;COUNTIFS($T$4:$T$863,$T755,$D$4:$D$863,$D755,$F$4:$F$863,$F755,$G$4:$G$863,$G755,$K$4:$K$863,$K755,$M$4:$M$863,$M755),"⚠ INCOHÉRENT","")</f>
        <v/>
      </c>
      <c r="AC755" s="64">
        <f>COUNTIFS($A$4:$A755,$A755,$J$4:$J755,$J755,$E$4:$E755,$E755)</f>
        <v/>
      </c>
      <c r="AD755" s="65">
        <f>$A755&amp;"|"&amp;$J755&amp;"|"&amp;$E755&amp;"|"&amp;$AC755</f>
        <v/>
      </c>
      <c r="AE755" s="66">
        <f>IF($W755&lt;&gt;"","⚑ "&amp;$W755&amp;CHAR(10),"")&amp;TEXT($F755,"hh:mm")&amp;"-"&amp;TEXT($G755,"hh:mm")&amp;IF(OR($P755="Quinzaine A",AND($P755="Hebdo · groupes alternés",$C755="A"))," Q-A",IF(OR($P755="Quinzaine B",AND($P755="Hebdo · groupes alternés",$C755="B"))," Q-B",IF($P755="Exception"," PONCT.","")))&amp;IF($X755="Oui"," OPT","")&amp;CHAR(10)&amp;$K755&amp;CHAR(10)&amp;$M755&amp;IF($N755&lt;&gt;"",CHAR(10)&amp;"Salle "&amp;$N755,"")&amp;IF($O755="En ligne",CHAR(10)&amp;"EN LIGNE","")&amp;IF($V755&lt;&gt;"",CHAR(10)&amp;$V755,"")</f>
        <v/>
      </c>
      <c r="AF755" s="65" t="inlineStr"/>
      <c r="AG755" s="65" t="inlineStr">
        <is>
          <t>— généré —</t>
        </is>
      </c>
    </row>
    <row r="756" ht="15" customHeight="1">
      <c r="A756" s="68" t="inlineStr">
        <is>
          <t>S7</t>
        </is>
      </c>
      <c r="B756" s="69" t="inlineStr">
        <is>
          <t>du 26 octobre au 1er novembre 2026</t>
        </is>
      </c>
      <c r="C756" s="68" t="inlineStr">
        <is>
          <t>A</t>
        </is>
      </c>
      <c r="D756" s="70" t="n">
        <v>46322</v>
      </c>
      <c r="E756" s="68" t="inlineStr">
        <is>
          <t>Mardi</t>
        </is>
      </c>
      <c r="F756" s="71" t="n">
        <v>0.7916666666666666</v>
      </c>
      <c r="G756" s="71" t="n">
        <v>0.8541666666666666</v>
      </c>
      <c r="H756" s="72">
        <f>IF(OR($F756="",$G756=""),"",($G756-$F756)*24)</f>
        <v/>
      </c>
      <c r="I756" s="68" t="inlineStr">
        <is>
          <t>Collège</t>
        </is>
      </c>
      <c r="J756" s="69" t="inlineStr">
        <is>
          <t>9éme (A)</t>
        </is>
      </c>
      <c r="K756" s="79" t="inlineStr">
        <is>
          <t>Math</t>
        </is>
      </c>
      <c r="L756" s="79" t="inlineStr">
        <is>
          <t>Math</t>
        </is>
      </c>
      <c r="M756" s="69" t="inlineStr">
        <is>
          <t>Faouzi</t>
        </is>
      </c>
      <c r="N756" s="68" t="n"/>
      <c r="O756" s="68" t="n"/>
      <c r="P756" s="68" t="inlineStr">
        <is>
          <t>Hebdomadaire</t>
        </is>
      </c>
      <c r="Q756" s="69" t="inlineStr"/>
      <c r="R756" s="68" t="n">
        <v>1</v>
      </c>
      <c r="S756" s="68" t="inlineStr">
        <is>
          <t>Oui</t>
        </is>
      </c>
      <c r="T756" s="68" t="inlineStr">
        <is>
          <t>S7-013</t>
        </is>
      </c>
      <c r="U756" s="69" t="inlineStr">
        <is>
          <t>Généré (octobre)</t>
        </is>
      </c>
      <c r="V756" s="69" t="inlineStr"/>
      <c r="W756" s="10" t="n"/>
      <c r="X756" s="10" t="inlineStr"/>
      <c r="Y756" s="64">
        <f>IF($M756="","",IF(SUMPRODUCT(($D$4:$D$863=$D756)*($M$4:$M$863=$M756)*($T$4:$T$863&lt;&gt;$T756)*($F$4:$F$863&lt;$G756)*($G$4:$G$863&gt;$F756))&gt;0,"⚠ CONFLIT",""))</f>
        <v/>
      </c>
      <c r="Z756" s="64">
        <f>IF($J756="","",IF(SUMPRODUCT(($D$4:$D$863=$D756)*($J$4:$J$863=$J756)*($T$4:$T$863&lt;&gt;$T756)*($F$4:$F$863&lt;$G756)*($G$4:$G$863&gt;$F756)*(1-($X$4:$X$863="Oui")*($X756="Oui")))&gt;0,"⚠ CONFLIT",""))</f>
        <v/>
      </c>
      <c r="AA756" s="64">
        <f>IF(COUNTIFS($D$4:$D$863,$D756,$J$4:$J$863,$J756,$F$4:$F$863,$F756,$K$4:$K$863,$K756)&gt;1,"⚠ DOUBLON","")</f>
        <v/>
      </c>
      <c r="AB756" s="64">
        <f>IF(COUNTIF($T$4:$T$863,$T756)&lt;&gt;COUNTIFS($T$4:$T$863,$T756,$D$4:$D$863,$D756,$F$4:$F$863,$F756,$G$4:$G$863,$G756,$K$4:$K$863,$K756,$M$4:$M$863,$M756),"⚠ INCOHÉRENT","")</f>
        <v/>
      </c>
      <c r="AC756" s="64">
        <f>COUNTIFS($A$4:$A756,$A756,$J$4:$J756,$J756,$E$4:$E756,$E756)</f>
        <v/>
      </c>
      <c r="AD756" s="65">
        <f>$A756&amp;"|"&amp;$J756&amp;"|"&amp;$E756&amp;"|"&amp;$AC756</f>
        <v/>
      </c>
      <c r="AE756" s="66">
        <f>IF($W756&lt;&gt;"","⚑ "&amp;$W756&amp;CHAR(10),"")&amp;TEXT($F756,"hh:mm")&amp;"-"&amp;TEXT($G756,"hh:mm")&amp;IF(OR($P756="Quinzaine A",AND($P756="Hebdo · groupes alternés",$C756="A"))," Q-A",IF(OR($P756="Quinzaine B",AND($P756="Hebdo · groupes alternés",$C756="B"))," Q-B",IF($P756="Exception"," PONCT.","")))&amp;IF($X756="Oui"," OPT","")&amp;CHAR(10)&amp;$K756&amp;CHAR(10)&amp;$M756&amp;IF($N756&lt;&gt;"",CHAR(10)&amp;"Salle "&amp;$N756,"")&amp;IF($O756="En ligne",CHAR(10)&amp;"EN LIGNE","")&amp;IF($V756&lt;&gt;"",CHAR(10)&amp;$V756,"")</f>
        <v/>
      </c>
      <c r="AF756" s="65" t="inlineStr"/>
      <c r="AG756" s="65" t="inlineStr">
        <is>
          <t>— généré —</t>
        </is>
      </c>
    </row>
    <row r="757" ht="15" customHeight="1">
      <c r="A757" s="68" t="inlineStr">
        <is>
          <t>S7</t>
        </is>
      </c>
      <c r="B757" s="69" t="inlineStr">
        <is>
          <t>du 26 octobre au 1er novembre 2026</t>
        </is>
      </c>
      <c r="C757" s="68" t="inlineStr">
        <is>
          <t>A</t>
        </is>
      </c>
      <c r="D757" s="70" t="n">
        <v>46322</v>
      </c>
      <c r="E757" s="68" t="inlineStr">
        <is>
          <t>Mardi</t>
        </is>
      </c>
      <c r="F757" s="71" t="n">
        <v>0.8020833333333334</v>
      </c>
      <c r="G757" s="71" t="n">
        <v>0.8645833333333334</v>
      </c>
      <c r="H757" s="72">
        <f>IF(OR($F757="",$G757=""),"",($G757-$F757)*24)</f>
        <v/>
      </c>
      <c r="I757" s="68" t="inlineStr">
        <is>
          <t>Collège</t>
        </is>
      </c>
      <c r="J757" s="69" t="inlineStr">
        <is>
          <t>9éme (B)</t>
        </is>
      </c>
      <c r="K757" s="88" t="inlineStr">
        <is>
          <t>SVT</t>
        </is>
      </c>
      <c r="L757" s="88" t="inlineStr">
        <is>
          <t>SVT</t>
        </is>
      </c>
      <c r="M757" s="69" t="inlineStr">
        <is>
          <t>Imen Jribi</t>
        </is>
      </c>
      <c r="N757" s="68" t="n"/>
      <c r="O757" s="68" t="n"/>
      <c r="P757" s="68" t="inlineStr">
        <is>
          <t>Hebdomadaire</t>
        </is>
      </c>
      <c r="Q757" s="69" t="inlineStr"/>
      <c r="R757" s="68" t="n">
        <v>1</v>
      </c>
      <c r="S757" s="68" t="inlineStr">
        <is>
          <t>Oui</t>
        </is>
      </c>
      <c r="T757" s="68" t="inlineStr">
        <is>
          <t>S7-014</t>
        </is>
      </c>
      <c r="U757" s="69" t="inlineStr">
        <is>
          <t>Généré (octobre)</t>
        </is>
      </c>
      <c r="V757" s="69" t="inlineStr"/>
      <c r="W757" s="10" t="n"/>
      <c r="X757" s="10" t="inlineStr"/>
      <c r="Y757" s="64">
        <f>IF($M757="","",IF(SUMPRODUCT(($D$4:$D$863=$D757)*($M$4:$M$863=$M757)*($T$4:$T$863&lt;&gt;$T757)*($F$4:$F$863&lt;$G757)*($G$4:$G$863&gt;$F757))&gt;0,"⚠ CONFLIT",""))</f>
        <v/>
      </c>
      <c r="Z757" s="64">
        <f>IF($J757="","",IF(SUMPRODUCT(($D$4:$D$863=$D757)*($J$4:$J$863=$J757)*($T$4:$T$863&lt;&gt;$T757)*($F$4:$F$863&lt;$G757)*($G$4:$G$863&gt;$F757)*(1-($X$4:$X$863="Oui")*($X757="Oui")))&gt;0,"⚠ CONFLIT",""))</f>
        <v/>
      </c>
      <c r="AA757" s="64">
        <f>IF(COUNTIFS($D$4:$D$863,$D757,$J$4:$J$863,$J757,$F$4:$F$863,$F757,$K$4:$K$863,$K757)&gt;1,"⚠ DOUBLON","")</f>
        <v/>
      </c>
      <c r="AB757" s="64">
        <f>IF(COUNTIF($T$4:$T$863,$T757)&lt;&gt;COUNTIFS($T$4:$T$863,$T757,$D$4:$D$863,$D757,$F$4:$F$863,$F757,$G$4:$G$863,$G757,$K$4:$K$863,$K757,$M$4:$M$863,$M757),"⚠ INCOHÉRENT","")</f>
        <v/>
      </c>
      <c r="AC757" s="64">
        <f>COUNTIFS($A$4:$A757,$A757,$J$4:$J757,$J757,$E$4:$E757,$E757)</f>
        <v/>
      </c>
      <c r="AD757" s="65">
        <f>$A757&amp;"|"&amp;$J757&amp;"|"&amp;$E757&amp;"|"&amp;$AC757</f>
        <v/>
      </c>
      <c r="AE757" s="66">
        <f>IF($W757&lt;&gt;"","⚑ "&amp;$W757&amp;CHAR(10),"")&amp;TEXT($F757,"hh:mm")&amp;"-"&amp;TEXT($G757,"hh:mm")&amp;IF(OR($P757="Quinzaine A",AND($P757="Hebdo · groupes alternés",$C757="A"))," Q-A",IF(OR($P757="Quinzaine B",AND($P757="Hebdo · groupes alternés",$C757="B"))," Q-B",IF($P757="Exception"," PONCT.","")))&amp;IF($X757="Oui"," OPT","")&amp;CHAR(10)&amp;$K757&amp;CHAR(10)&amp;$M757&amp;IF($N757&lt;&gt;"",CHAR(10)&amp;"Salle "&amp;$N757,"")&amp;IF($O757="En ligne",CHAR(10)&amp;"EN LIGNE","")&amp;IF($V757&lt;&gt;"",CHAR(10)&amp;$V757,"")</f>
        <v/>
      </c>
      <c r="AF757" s="65" t="inlineStr"/>
      <c r="AG757" s="65" t="inlineStr">
        <is>
          <t>— généré —</t>
        </is>
      </c>
    </row>
    <row r="758" ht="15" customHeight="1">
      <c r="A758" s="74" t="inlineStr">
        <is>
          <t>S7</t>
        </is>
      </c>
      <c r="B758" s="75" t="inlineStr">
        <is>
          <t>du 26 octobre au 1er novembre 2026</t>
        </is>
      </c>
      <c r="C758" s="74" t="inlineStr">
        <is>
          <t>A</t>
        </is>
      </c>
      <c r="D758" s="76" t="n">
        <v>46322</v>
      </c>
      <c r="E758" s="74" t="inlineStr">
        <is>
          <t>Mardi</t>
        </is>
      </c>
      <c r="F758" s="77" t="n">
        <v>0.8020833333333334</v>
      </c>
      <c r="G758" s="77" t="n">
        <v>0.8645833333333334</v>
      </c>
      <c r="H758" s="78">
        <f>IF(OR($F758="",$G758=""),"",($G758-$F758)*24)</f>
        <v/>
      </c>
      <c r="I758" s="74" t="inlineStr">
        <is>
          <t>Secondaire</t>
        </is>
      </c>
      <c r="J758" s="75" t="inlineStr">
        <is>
          <t>1ére (A)</t>
        </is>
      </c>
      <c r="K758" s="67" t="inlineStr">
        <is>
          <t>Français</t>
        </is>
      </c>
      <c r="L758" s="67" t="inlineStr">
        <is>
          <t>Français</t>
        </is>
      </c>
      <c r="M758" s="75" t="inlineStr">
        <is>
          <t>Nassima</t>
        </is>
      </c>
      <c r="N758" s="74" t="n"/>
      <c r="O758" s="74" t="n"/>
      <c r="P758" s="74" t="inlineStr">
        <is>
          <t>Hebdomadaire</t>
        </is>
      </c>
      <c r="Q758" s="75" t="inlineStr"/>
      <c r="R758" s="74" t="n">
        <v>1</v>
      </c>
      <c r="S758" s="74" t="inlineStr">
        <is>
          <t>Oui</t>
        </is>
      </c>
      <c r="T758" s="74" t="inlineStr">
        <is>
          <t>S7-015</t>
        </is>
      </c>
      <c r="U758" s="75" t="inlineStr">
        <is>
          <t>Généré (octobre)</t>
        </is>
      </c>
      <c r="V758" s="75" t="inlineStr"/>
      <c r="W758" s="10" t="n"/>
      <c r="X758" s="10" t="inlineStr"/>
      <c r="Y758" s="64">
        <f>IF($M758="","",IF(SUMPRODUCT(($D$4:$D$863=$D758)*($M$4:$M$863=$M758)*($T$4:$T$863&lt;&gt;$T758)*($F$4:$F$863&lt;$G758)*($G$4:$G$863&gt;$F758))&gt;0,"⚠ CONFLIT",""))</f>
        <v/>
      </c>
      <c r="Z758" s="64">
        <f>IF($J758="","",IF(SUMPRODUCT(($D$4:$D$863=$D758)*($J$4:$J$863=$J758)*($T$4:$T$863&lt;&gt;$T758)*($F$4:$F$863&lt;$G758)*($G$4:$G$863&gt;$F758)*(1-($X$4:$X$863="Oui")*($X758="Oui")))&gt;0,"⚠ CONFLIT",""))</f>
        <v/>
      </c>
      <c r="AA758" s="64">
        <f>IF(COUNTIFS($D$4:$D$863,$D758,$J$4:$J$863,$J758,$F$4:$F$863,$F758,$K$4:$K$863,$K758)&gt;1,"⚠ DOUBLON","")</f>
        <v/>
      </c>
      <c r="AB758" s="64">
        <f>IF(COUNTIF($T$4:$T$863,$T758)&lt;&gt;COUNTIFS($T$4:$T$863,$T758,$D$4:$D$863,$D758,$F$4:$F$863,$F758,$G$4:$G$863,$G758,$K$4:$K$863,$K758,$M$4:$M$863,$M758),"⚠ INCOHÉRENT","")</f>
        <v/>
      </c>
      <c r="AC758" s="64">
        <f>COUNTIFS($A$4:$A758,$A758,$J$4:$J758,$J758,$E$4:$E758,$E758)</f>
        <v/>
      </c>
      <c r="AD758" s="65">
        <f>$A758&amp;"|"&amp;$J758&amp;"|"&amp;$E758&amp;"|"&amp;$AC758</f>
        <v/>
      </c>
      <c r="AE758" s="66">
        <f>IF($W758&lt;&gt;"","⚑ "&amp;$W758&amp;CHAR(10),"")&amp;TEXT($F758,"hh:mm")&amp;"-"&amp;TEXT($G758,"hh:mm")&amp;IF(OR($P758="Quinzaine A",AND($P758="Hebdo · groupes alternés",$C758="A"))," Q-A",IF(OR($P758="Quinzaine B",AND($P758="Hebdo · groupes alternés",$C758="B"))," Q-B",IF($P758="Exception"," PONCT.","")))&amp;IF($X758="Oui"," OPT","")&amp;CHAR(10)&amp;$K758&amp;CHAR(10)&amp;$M758&amp;IF($N758&lt;&gt;"",CHAR(10)&amp;"Salle "&amp;$N758,"")&amp;IF($O758="En ligne",CHAR(10)&amp;"EN LIGNE","")&amp;IF($V758&lt;&gt;"",CHAR(10)&amp;$V758,"")</f>
        <v/>
      </c>
      <c r="AF758" s="65" t="inlineStr"/>
      <c r="AG758" s="65" t="inlineStr">
        <is>
          <t>— généré —</t>
        </is>
      </c>
    </row>
    <row r="759" ht="15" customHeight="1">
      <c r="A759" s="74" t="inlineStr">
        <is>
          <t>S7</t>
        </is>
      </c>
      <c r="B759" s="75" t="inlineStr">
        <is>
          <t>du 26 octobre au 1er novembre 2026</t>
        </is>
      </c>
      <c r="C759" s="74" t="inlineStr">
        <is>
          <t>A</t>
        </is>
      </c>
      <c r="D759" s="76" t="n">
        <v>46322</v>
      </c>
      <c r="E759" s="74" t="inlineStr">
        <is>
          <t>Mardi</t>
        </is>
      </c>
      <c r="F759" s="77" t="n">
        <v>0.8125</v>
      </c>
      <c r="G759" s="77" t="n">
        <v>0.875</v>
      </c>
      <c r="H759" s="78">
        <f>IF(OR($F759="",$G759=""),"",($G759-$F759)*24)</f>
        <v/>
      </c>
      <c r="I759" s="74" t="inlineStr">
        <is>
          <t>Secondaire</t>
        </is>
      </c>
      <c r="J759" s="75" t="inlineStr">
        <is>
          <t>1ére (B)</t>
        </is>
      </c>
      <c r="K759" s="79" t="inlineStr">
        <is>
          <t>Math</t>
        </is>
      </c>
      <c r="L759" s="79" t="inlineStr">
        <is>
          <t>Math</t>
        </is>
      </c>
      <c r="M759" s="75" t="inlineStr">
        <is>
          <t>Haythem</t>
        </is>
      </c>
      <c r="N759" s="74" t="n"/>
      <c r="O759" s="74" t="n"/>
      <c r="P759" s="74" t="inlineStr">
        <is>
          <t>Hebdomadaire</t>
        </is>
      </c>
      <c r="Q759" s="75" t="inlineStr"/>
      <c r="R759" s="74" t="n">
        <v>1</v>
      </c>
      <c r="S759" s="74" t="inlineStr">
        <is>
          <t>Oui</t>
        </is>
      </c>
      <c r="T759" s="74" t="inlineStr">
        <is>
          <t>S7-016</t>
        </is>
      </c>
      <c r="U759" s="75" t="inlineStr">
        <is>
          <t>Généré (octobre)</t>
        </is>
      </c>
      <c r="V759" s="75" t="inlineStr"/>
      <c r="W759" s="10" t="n"/>
      <c r="X759" s="10" t="inlineStr"/>
      <c r="Y759" s="64">
        <f>IF($M759="","",IF(SUMPRODUCT(($D$4:$D$863=$D759)*($M$4:$M$863=$M759)*($T$4:$T$863&lt;&gt;$T759)*($F$4:$F$863&lt;$G759)*($G$4:$G$863&gt;$F759))&gt;0,"⚠ CONFLIT",""))</f>
        <v/>
      </c>
      <c r="Z759" s="64">
        <f>IF($J759="","",IF(SUMPRODUCT(($D$4:$D$863=$D759)*($J$4:$J$863=$J759)*($T$4:$T$863&lt;&gt;$T759)*($F$4:$F$863&lt;$G759)*($G$4:$G$863&gt;$F759)*(1-($X$4:$X$863="Oui")*($X759="Oui")))&gt;0,"⚠ CONFLIT",""))</f>
        <v/>
      </c>
      <c r="AA759" s="64">
        <f>IF(COUNTIFS($D$4:$D$863,$D759,$J$4:$J$863,$J759,$F$4:$F$863,$F759,$K$4:$K$863,$K759)&gt;1,"⚠ DOUBLON","")</f>
        <v/>
      </c>
      <c r="AB759" s="64">
        <f>IF(COUNTIF($T$4:$T$863,$T759)&lt;&gt;COUNTIFS($T$4:$T$863,$T759,$D$4:$D$863,$D759,$F$4:$F$863,$F759,$G$4:$G$863,$G759,$K$4:$K$863,$K759,$M$4:$M$863,$M759),"⚠ INCOHÉRENT","")</f>
        <v/>
      </c>
      <c r="AC759" s="64">
        <f>COUNTIFS($A$4:$A759,$A759,$J$4:$J759,$J759,$E$4:$E759,$E759)</f>
        <v/>
      </c>
      <c r="AD759" s="65">
        <f>$A759&amp;"|"&amp;$J759&amp;"|"&amp;$E759&amp;"|"&amp;$AC759</f>
        <v/>
      </c>
      <c r="AE759" s="66">
        <f>IF($W759&lt;&gt;"","⚑ "&amp;$W759&amp;CHAR(10),"")&amp;TEXT($F759,"hh:mm")&amp;"-"&amp;TEXT($G759,"hh:mm")&amp;IF(OR($P759="Quinzaine A",AND($P759="Hebdo · groupes alternés",$C759="A"))," Q-A",IF(OR($P759="Quinzaine B",AND($P759="Hebdo · groupes alternés",$C759="B"))," Q-B",IF($P759="Exception"," PONCT.","")))&amp;IF($X759="Oui"," OPT","")&amp;CHAR(10)&amp;$K759&amp;CHAR(10)&amp;$M759&amp;IF($N759&lt;&gt;"",CHAR(10)&amp;"Salle "&amp;$N759,"")&amp;IF($O759="En ligne",CHAR(10)&amp;"EN LIGNE","")&amp;IF($V759&lt;&gt;"",CHAR(10)&amp;$V759,"")</f>
        <v/>
      </c>
      <c r="AF759" s="65" t="inlineStr"/>
      <c r="AG759" s="65" t="inlineStr">
        <is>
          <t>— généré —</t>
        </is>
      </c>
    </row>
    <row r="760" ht="15" customHeight="1">
      <c r="A760" s="74" t="inlineStr">
        <is>
          <t>S7</t>
        </is>
      </c>
      <c r="B760" s="75" t="inlineStr">
        <is>
          <t>du 26 octobre au 1er novembre 2026</t>
        </is>
      </c>
      <c r="C760" s="74" t="inlineStr">
        <is>
          <t>A</t>
        </is>
      </c>
      <c r="D760" s="76" t="n">
        <v>46322</v>
      </c>
      <c r="E760" s="74" t="inlineStr">
        <is>
          <t>Mardi</t>
        </is>
      </c>
      <c r="F760" s="77" t="n">
        <v>0.8020833333333334</v>
      </c>
      <c r="G760" s="77" t="n">
        <v>0.8645833333333334</v>
      </c>
      <c r="H760" s="78">
        <f>IF(OR($F760="",$G760=""),"",($G760-$F760)*24)</f>
        <v/>
      </c>
      <c r="I760" s="74" t="inlineStr">
        <is>
          <t>Secondaire</t>
        </is>
      </c>
      <c r="J760" s="75" t="inlineStr">
        <is>
          <t>2éme Eco</t>
        </is>
      </c>
      <c r="K760" s="87" t="inlineStr">
        <is>
          <t>Anglais</t>
        </is>
      </c>
      <c r="L760" s="87" t="inlineStr">
        <is>
          <t>Anglais</t>
        </is>
      </c>
      <c r="M760" s="75" t="inlineStr">
        <is>
          <t>Imen Bennour</t>
        </is>
      </c>
      <c r="N760" s="74" t="n"/>
      <c r="O760" s="74" t="n"/>
      <c r="P760" s="74" t="inlineStr">
        <is>
          <t>Quinzaine A</t>
        </is>
      </c>
      <c r="Q760" s="75" t="inlineStr">
        <is>
          <t>2éme Eco + 2éme SCE + 2éme INFO</t>
        </is>
      </c>
      <c r="R760" s="74" t="n">
        <v>3</v>
      </c>
      <c r="S760" s="74" t="inlineStr">
        <is>
          <t>Oui</t>
        </is>
      </c>
      <c r="T760" s="74" t="inlineStr">
        <is>
          <t>S7-095</t>
        </is>
      </c>
      <c r="U760" s="75" t="inlineStr">
        <is>
          <t>Généré (octobre)</t>
        </is>
      </c>
      <c r="V760" s="75" t="inlineStr"/>
      <c r="W760" s="10" t="n"/>
      <c r="X760" s="10" t="inlineStr"/>
      <c r="Y760" s="64">
        <f>IF($M760="","",IF(SUMPRODUCT(($D$4:$D$863=$D760)*($M$4:$M$863=$M760)*($T$4:$T$863&lt;&gt;$T760)*($F$4:$F$863&lt;$G760)*($G$4:$G$863&gt;$F760))&gt;0,"⚠ CONFLIT",""))</f>
        <v/>
      </c>
      <c r="Z760" s="64">
        <f>IF($J760="","",IF(SUMPRODUCT(($D$4:$D$863=$D760)*($J$4:$J$863=$J760)*($T$4:$T$863&lt;&gt;$T760)*($F$4:$F$863&lt;$G760)*($G$4:$G$863&gt;$F760)*(1-($X$4:$X$863="Oui")*($X760="Oui")))&gt;0,"⚠ CONFLIT",""))</f>
        <v/>
      </c>
      <c r="AA760" s="64">
        <f>IF(COUNTIFS($D$4:$D$863,$D760,$J$4:$J$863,$J760,$F$4:$F$863,$F760,$K$4:$K$863,$K760)&gt;1,"⚠ DOUBLON","")</f>
        <v/>
      </c>
      <c r="AB760" s="64">
        <f>IF(COUNTIF($T$4:$T$863,$T760)&lt;&gt;COUNTIFS($T$4:$T$863,$T760,$D$4:$D$863,$D760,$F$4:$F$863,$F760,$G$4:$G$863,$G760,$K$4:$K$863,$K760,$M$4:$M$863,$M760),"⚠ INCOHÉRENT","")</f>
        <v/>
      </c>
      <c r="AC760" s="64">
        <f>COUNTIFS($A$4:$A760,$A760,$J$4:$J760,$J760,$E$4:$E760,$E760)</f>
        <v/>
      </c>
      <c r="AD760" s="65">
        <f>$A760&amp;"|"&amp;$J760&amp;"|"&amp;$E760&amp;"|"&amp;$AC760</f>
        <v/>
      </c>
      <c r="AE760" s="66">
        <f>IF($W760&lt;&gt;"","⚑ "&amp;$W760&amp;CHAR(10),"")&amp;TEXT($F760,"hh:mm")&amp;"-"&amp;TEXT($G760,"hh:mm")&amp;IF(OR($P760="Quinzaine A",AND($P760="Hebdo · groupes alternés",$C760="A"))," Q-A",IF(OR($P760="Quinzaine B",AND($P760="Hebdo · groupes alternés",$C760="B"))," Q-B",IF($P760="Exception"," PONCT.","")))&amp;IF($X760="Oui"," OPT","")&amp;CHAR(10)&amp;$K760&amp;CHAR(10)&amp;$M760&amp;IF($N760&lt;&gt;"",CHAR(10)&amp;"Salle "&amp;$N760,"")&amp;IF($O760="En ligne",CHAR(10)&amp;"EN LIGNE","")&amp;IF($V760&lt;&gt;"",CHAR(10)&amp;$V760,"")</f>
        <v/>
      </c>
      <c r="AF760" s="65" t="inlineStr"/>
      <c r="AG760" s="65" t="inlineStr">
        <is>
          <t>— généré —</t>
        </is>
      </c>
    </row>
    <row r="761" ht="15" customHeight="1">
      <c r="A761" s="74" t="inlineStr">
        <is>
          <t>S7</t>
        </is>
      </c>
      <c r="B761" s="75" t="inlineStr">
        <is>
          <t>du 26 octobre au 1er novembre 2026</t>
        </is>
      </c>
      <c r="C761" s="74" t="inlineStr">
        <is>
          <t>A</t>
        </is>
      </c>
      <c r="D761" s="76" t="n">
        <v>46322</v>
      </c>
      <c r="E761" s="74" t="inlineStr">
        <is>
          <t>Mardi</t>
        </is>
      </c>
      <c r="F761" s="77" t="n">
        <v>0.8020833333333334</v>
      </c>
      <c r="G761" s="77" t="n">
        <v>0.8645833333333334</v>
      </c>
      <c r="H761" s="78">
        <f>IF(OR($F761="",$G761=""),"",($G761-$F761)*24)</f>
        <v/>
      </c>
      <c r="I761" s="74" t="inlineStr">
        <is>
          <t>Secondaire</t>
        </is>
      </c>
      <c r="J761" s="75" t="inlineStr">
        <is>
          <t>2éme SCE</t>
        </is>
      </c>
      <c r="K761" s="87" t="inlineStr">
        <is>
          <t>Anglais</t>
        </is>
      </c>
      <c r="L761" s="87" t="inlineStr">
        <is>
          <t>Anglais</t>
        </is>
      </c>
      <c r="M761" s="75" t="inlineStr">
        <is>
          <t>Imen Bennour</t>
        </is>
      </c>
      <c r="N761" s="74" t="n"/>
      <c r="O761" s="74" t="n"/>
      <c r="P761" s="74" t="inlineStr">
        <is>
          <t>Quinzaine A</t>
        </is>
      </c>
      <c r="Q761" s="75" t="inlineStr">
        <is>
          <t>2éme Eco + 2éme SCE + 2éme INFO</t>
        </is>
      </c>
      <c r="R761" s="74" t="n">
        <v>3</v>
      </c>
      <c r="S761" s="74" t="inlineStr"/>
      <c r="T761" s="74" t="inlineStr">
        <is>
          <t>S7-095</t>
        </is>
      </c>
      <c r="U761" s="75" t="inlineStr">
        <is>
          <t>Généré (octobre)</t>
        </is>
      </c>
      <c r="V761" s="75" t="inlineStr"/>
      <c r="W761" s="10" t="n"/>
      <c r="X761" s="10" t="inlineStr"/>
      <c r="Y761" s="64">
        <f>IF($M761="","",IF(SUMPRODUCT(($D$4:$D$863=$D761)*($M$4:$M$863=$M761)*($T$4:$T$863&lt;&gt;$T761)*($F$4:$F$863&lt;$G761)*($G$4:$G$863&gt;$F761))&gt;0,"⚠ CONFLIT",""))</f>
        <v/>
      </c>
      <c r="Z761" s="64">
        <f>IF($J761="","",IF(SUMPRODUCT(($D$4:$D$863=$D761)*($J$4:$J$863=$J761)*($T$4:$T$863&lt;&gt;$T761)*($F$4:$F$863&lt;$G761)*($G$4:$G$863&gt;$F761)*(1-($X$4:$X$863="Oui")*($X761="Oui")))&gt;0,"⚠ CONFLIT",""))</f>
        <v/>
      </c>
      <c r="AA761" s="64">
        <f>IF(COUNTIFS($D$4:$D$863,$D761,$J$4:$J$863,$J761,$F$4:$F$863,$F761,$K$4:$K$863,$K761)&gt;1,"⚠ DOUBLON","")</f>
        <v/>
      </c>
      <c r="AB761" s="64">
        <f>IF(COUNTIF($T$4:$T$863,$T761)&lt;&gt;COUNTIFS($T$4:$T$863,$T761,$D$4:$D$863,$D761,$F$4:$F$863,$F761,$G$4:$G$863,$G761,$K$4:$K$863,$K761,$M$4:$M$863,$M761),"⚠ INCOHÉRENT","")</f>
        <v/>
      </c>
      <c r="AC761" s="64">
        <f>COUNTIFS($A$4:$A761,$A761,$J$4:$J761,$J761,$E$4:$E761,$E761)</f>
        <v/>
      </c>
      <c r="AD761" s="65">
        <f>$A761&amp;"|"&amp;$J761&amp;"|"&amp;$E761&amp;"|"&amp;$AC761</f>
        <v/>
      </c>
      <c r="AE761" s="66">
        <f>IF($W761&lt;&gt;"","⚑ "&amp;$W761&amp;CHAR(10),"")&amp;TEXT($F761,"hh:mm")&amp;"-"&amp;TEXT($G761,"hh:mm")&amp;IF(OR($P761="Quinzaine A",AND($P761="Hebdo · groupes alternés",$C761="A"))," Q-A",IF(OR($P761="Quinzaine B",AND($P761="Hebdo · groupes alternés",$C761="B"))," Q-B",IF($P761="Exception"," PONCT.","")))&amp;IF($X761="Oui"," OPT","")&amp;CHAR(10)&amp;$K761&amp;CHAR(10)&amp;$M761&amp;IF($N761&lt;&gt;"",CHAR(10)&amp;"Salle "&amp;$N761,"")&amp;IF($O761="En ligne",CHAR(10)&amp;"EN LIGNE","")&amp;IF($V761&lt;&gt;"",CHAR(10)&amp;$V761,"")</f>
        <v/>
      </c>
      <c r="AF761" s="65" t="inlineStr"/>
      <c r="AG761" s="65" t="inlineStr">
        <is>
          <t>— généré —</t>
        </is>
      </c>
    </row>
    <row r="762" ht="15" customHeight="1">
      <c r="A762" s="74" t="inlineStr">
        <is>
          <t>S7</t>
        </is>
      </c>
      <c r="B762" s="75" t="inlineStr">
        <is>
          <t>du 26 octobre au 1er novembre 2026</t>
        </is>
      </c>
      <c r="C762" s="74" t="inlineStr">
        <is>
          <t>A</t>
        </is>
      </c>
      <c r="D762" s="76" t="n">
        <v>46322</v>
      </c>
      <c r="E762" s="74" t="inlineStr">
        <is>
          <t>Mardi</t>
        </is>
      </c>
      <c r="F762" s="77" t="n">
        <v>0.8020833333333334</v>
      </c>
      <c r="G762" s="77" t="n">
        <v>0.8645833333333334</v>
      </c>
      <c r="H762" s="78">
        <f>IF(OR($F762="",$G762=""),"",($G762-$F762)*24)</f>
        <v/>
      </c>
      <c r="I762" s="74" t="inlineStr">
        <is>
          <t>Secondaire</t>
        </is>
      </c>
      <c r="J762" s="75" t="inlineStr">
        <is>
          <t>2éme INFO</t>
        </is>
      </c>
      <c r="K762" s="87" t="inlineStr">
        <is>
          <t>Anglais</t>
        </is>
      </c>
      <c r="L762" s="87" t="inlineStr">
        <is>
          <t>Anglais</t>
        </is>
      </c>
      <c r="M762" s="75" t="inlineStr">
        <is>
          <t>Imen Bennour</t>
        </is>
      </c>
      <c r="N762" s="74" t="n"/>
      <c r="O762" s="74" t="n"/>
      <c r="P762" s="74" t="inlineStr">
        <is>
          <t>Quinzaine A</t>
        </is>
      </c>
      <c r="Q762" s="75" t="inlineStr">
        <is>
          <t>2éme Eco + 2éme SCE + 2éme INFO</t>
        </is>
      </c>
      <c r="R762" s="74" t="n">
        <v>3</v>
      </c>
      <c r="S762" s="74" t="inlineStr"/>
      <c r="T762" s="74" t="inlineStr">
        <is>
          <t>S7-095</t>
        </is>
      </c>
      <c r="U762" s="75" t="inlineStr">
        <is>
          <t>Généré (octobre)</t>
        </is>
      </c>
      <c r="V762" s="75" t="inlineStr"/>
      <c r="W762" s="10" t="n"/>
      <c r="X762" s="10" t="inlineStr"/>
      <c r="Y762" s="64">
        <f>IF($M762="","",IF(SUMPRODUCT(($D$4:$D$863=$D762)*($M$4:$M$863=$M762)*($T$4:$T$863&lt;&gt;$T762)*($F$4:$F$863&lt;$G762)*($G$4:$G$863&gt;$F762))&gt;0,"⚠ CONFLIT",""))</f>
        <v/>
      </c>
      <c r="Z762" s="64">
        <f>IF($J762="","",IF(SUMPRODUCT(($D$4:$D$863=$D762)*($J$4:$J$863=$J762)*($T$4:$T$863&lt;&gt;$T762)*($F$4:$F$863&lt;$G762)*($G$4:$G$863&gt;$F762)*(1-($X$4:$X$863="Oui")*($X762="Oui")))&gt;0,"⚠ CONFLIT",""))</f>
        <v/>
      </c>
      <c r="AA762" s="64">
        <f>IF(COUNTIFS($D$4:$D$863,$D762,$J$4:$J$863,$J762,$F$4:$F$863,$F762,$K$4:$K$863,$K762)&gt;1,"⚠ DOUBLON","")</f>
        <v/>
      </c>
      <c r="AB762" s="64">
        <f>IF(COUNTIF($T$4:$T$863,$T762)&lt;&gt;COUNTIFS($T$4:$T$863,$T762,$D$4:$D$863,$D762,$F$4:$F$863,$F762,$G$4:$G$863,$G762,$K$4:$K$863,$K762,$M$4:$M$863,$M762),"⚠ INCOHÉRENT","")</f>
        <v/>
      </c>
      <c r="AC762" s="64">
        <f>COUNTIFS($A$4:$A762,$A762,$J$4:$J762,$J762,$E$4:$E762,$E762)</f>
        <v/>
      </c>
      <c r="AD762" s="65">
        <f>$A762&amp;"|"&amp;$J762&amp;"|"&amp;$E762&amp;"|"&amp;$AC762</f>
        <v/>
      </c>
      <c r="AE762" s="66">
        <f>IF($W762&lt;&gt;"","⚑ "&amp;$W762&amp;CHAR(10),"")&amp;TEXT($F762,"hh:mm")&amp;"-"&amp;TEXT($G762,"hh:mm")&amp;IF(OR($P762="Quinzaine A",AND($P762="Hebdo · groupes alternés",$C762="A"))," Q-A",IF(OR($P762="Quinzaine B",AND($P762="Hebdo · groupes alternés",$C762="B"))," Q-B",IF($P762="Exception"," PONCT.","")))&amp;IF($X762="Oui"," OPT","")&amp;CHAR(10)&amp;$K762&amp;CHAR(10)&amp;$M762&amp;IF($N762&lt;&gt;"",CHAR(10)&amp;"Salle "&amp;$N762,"")&amp;IF($O762="En ligne",CHAR(10)&amp;"EN LIGNE","")&amp;IF($V762&lt;&gt;"",CHAR(10)&amp;$V762,"")</f>
        <v/>
      </c>
      <c r="AF762" s="65" t="inlineStr"/>
      <c r="AG762" s="65" t="inlineStr">
        <is>
          <t>— généré —</t>
        </is>
      </c>
    </row>
    <row r="763" ht="15" customHeight="1">
      <c r="A763" s="81" t="inlineStr">
        <is>
          <t>S7</t>
        </is>
      </c>
      <c r="B763" s="82" t="inlineStr">
        <is>
          <t>du 26 octobre au 1er novembre 2026</t>
        </is>
      </c>
      <c r="C763" s="81" t="inlineStr">
        <is>
          <t>A</t>
        </is>
      </c>
      <c r="D763" s="83" t="n">
        <v>46322</v>
      </c>
      <c r="E763" s="81" t="inlineStr">
        <is>
          <t>Mardi</t>
        </is>
      </c>
      <c r="F763" s="84" t="n">
        <v>0.8020833333333334</v>
      </c>
      <c r="G763" s="84" t="n">
        <v>0.8645833333333334</v>
      </c>
      <c r="H763" s="85">
        <f>IF(OR($F763="",$G763=""),"",($G763-$F763)*24)</f>
        <v/>
      </c>
      <c r="I763" s="81" t="inlineStr">
        <is>
          <t>Bac</t>
        </is>
      </c>
      <c r="J763" s="82" t="inlineStr">
        <is>
          <t>Bac Eco</t>
        </is>
      </c>
      <c r="K763" s="89" t="inlineStr">
        <is>
          <t>Espagnol</t>
        </is>
      </c>
      <c r="L763" s="89" t="inlineStr">
        <is>
          <t>Espagnol</t>
        </is>
      </c>
      <c r="M763" s="82" t="inlineStr">
        <is>
          <t>Imen</t>
        </is>
      </c>
      <c r="N763" s="81" t="n"/>
      <c r="O763" s="81" t="n"/>
      <c r="P763" s="81" t="inlineStr">
        <is>
          <t>Hebdo · groupes alternés</t>
        </is>
      </c>
      <c r="Q763" s="82" t="inlineStr">
        <is>
          <t>Bac Eco + Bac SCE</t>
        </is>
      </c>
      <c r="R763" s="81" t="n">
        <v>2</v>
      </c>
      <c r="S763" s="81" t="inlineStr">
        <is>
          <t>Oui</t>
        </is>
      </c>
      <c r="T763" s="81" t="inlineStr">
        <is>
          <t>S7-017</t>
        </is>
      </c>
      <c r="U763" s="82" t="inlineStr">
        <is>
          <t>Généré (octobre)</t>
        </is>
      </c>
      <c r="V763" s="82" t="inlineStr"/>
      <c r="W763" s="10" t="n"/>
      <c r="X763" s="10" t="inlineStr">
        <is>
          <t>Oui</t>
        </is>
      </c>
      <c r="Y763" s="64">
        <f>IF($M763="","",IF(SUMPRODUCT(($D$4:$D$863=$D763)*($M$4:$M$863=$M763)*($T$4:$T$863&lt;&gt;$T763)*($F$4:$F$863&lt;$G763)*($G$4:$G$863&gt;$F763))&gt;0,"⚠ CONFLIT",""))</f>
        <v/>
      </c>
      <c r="Z763" s="64">
        <f>IF($J763="","",IF(SUMPRODUCT(($D$4:$D$863=$D763)*($J$4:$J$863=$J763)*($T$4:$T$863&lt;&gt;$T763)*($F$4:$F$863&lt;$G763)*($G$4:$G$863&gt;$F763)*(1-($X$4:$X$863="Oui")*($X763="Oui")))&gt;0,"⚠ CONFLIT",""))</f>
        <v/>
      </c>
      <c r="AA763" s="64">
        <f>IF(COUNTIFS($D$4:$D$863,$D763,$J$4:$J$863,$J763,$F$4:$F$863,$F763,$K$4:$K$863,$K763)&gt;1,"⚠ DOUBLON","")</f>
        <v/>
      </c>
      <c r="AB763" s="64">
        <f>IF(COUNTIF($T$4:$T$863,$T763)&lt;&gt;COUNTIFS($T$4:$T$863,$T763,$D$4:$D$863,$D763,$F$4:$F$863,$F763,$G$4:$G$863,$G763,$K$4:$K$863,$K763,$M$4:$M$863,$M763),"⚠ INCOHÉRENT","")</f>
        <v/>
      </c>
      <c r="AC763" s="64">
        <f>COUNTIFS($A$4:$A763,$A763,$J$4:$J763,$J763,$E$4:$E763,$E763)</f>
        <v/>
      </c>
      <c r="AD763" s="65">
        <f>$A763&amp;"|"&amp;$J763&amp;"|"&amp;$E763&amp;"|"&amp;$AC763</f>
        <v/>
      </c>
      <c r="AE763" s="66">
        <f>IF($W763&lt;&gt;"","⚑ "&amp;$W763&amp;CHAR(10),"")&amp;TEXT($F763,"hh:mm")&amp;"-"&amp;TEXT($G763,"hh:mm")&amp;IF(OR($P763="Quinzaine A",AND($P763="Hebdo · groupes alternés",$C763="A"))," Q-A",IF(OR($P763="Quinzaine B",AND($P763="Hebdo · groupes alternés",$C763="B"))," Q-B",IF($P763="Exception"," PONCT.","")))&amp;IF($X763="Oui"," OPT","")&amp;CHAR(10)&amp;$K763&amp;CHAR(10)&amp;$M763&amp;IF($N763&lt;&gt;"",CHAR(10)&amp;"Salle "&amp;$N763,"")&amp;IF($O763="En ligne",CHAR(10)&amp;"EN LIGNE","")&amp;IF($V763&lt;&gt;"",CHAR(10)&amp;$V763,"")</f>
        <v/>
      </c>
      <c r="AF763" s="65" t="inlineStr"/>
      <c r="AG763" s="65" t="inlineStr">
        <is>
          <t>— généré —</t>
        </is>
      </c>
    </row>
    <row r="764" ht="15" customHeight="1">
      <c r="A764" s="81" t="inlineStr">
        <is>
          <t>S7</t>
        </is>
      </c>
      <c r="B764" s="82" t="inlineStr">
        <is>
          <t>du 26 octobre au 1er novembre 2026</t>
        </is>
      </c>
      <c r="C764" s="81" t="inlineStr">
        <is>
          <t>A</t>
        </is>
      </c>
      <c r="D764" s="83" t="n">
        <v>46322</v>
      </c>
      <c r="E764" s="81" t="inlineStr">
        <is>
          <t>Mardi</t>
        </is>
      </c>
      <c r="F764" s="84" t="n">
        <v>0.8020833333333334</v>
      </c>
      <c r="G764" s="84" t="n">
        <v>0.8645833333333334</v>
      </c>
      <c r="H764" s="85">
        <f>IF(OR($F764="",$G764=""),"",($G764-$F764)*24)</f>
        <v/>
      </c>
      <c r="I764" s="81" t="inlineStr">
        <is>
          <t>Bac</t>
        </is>
      </c>
      <c r="J764" s="82" t="inlineStr">
        <is>
          <t>Bac SCE</t>
        </is>
      </c>
      <c r="K764" s="89" t="inlineStr">
        <is>
          <t>Espagnol</t>
        </is>
      </c>
      <c r="L764" s="89" t="inlineStr">
        <is>
          <t>Espagnol</t>
        </is>
      </c>
      <c r="M764" s="82" t="inlineStr">
        <is>
          <t>Imen</t>
        </is>
      </c>
      <c r="N764" s="81" t="n"/>
      <c r="O764" s="81" t="n"/>
      <c r="P764" s="81" t="inlineStr">
        <is>
          <t>Hebdo · groupes alternés</t>
        </is>
      </c>
      <c r="Q764" s="82" t="inlineStr">
        <is>
          <t>Bac Eco + Bac SCE</t>
        </is>
      </c>
      <c r="R764" s="81" t="n">
        <v>2</v>
      </c>
      <c r="S764" s="81" t="inlineStr"/>
      <c r="T764" s="81" t="inlineStr">
        <is>
          <t>S7-017</t>
        </is>
      </c>
      <c r="U764" s="82" t="inlineStr">
        <is>
          <t>Généré (octobre)</t>
        </is>
      </c>
      <c r="V764" s="82" t="inlineStr"/>
      <c r="W764" s="10" t="n"/>
      <c r="X764" s="10" t="inlineStr">
        <is>
          <t>Oui</t>
        </is>
      </c>
      <c r="Y764" s="64">
        <f>IF($M764="","",IF(SUMPRODUCT(($D$4:$D$863=$D764)*($M$4:$M$863=$M764)*($T$4:$T$863&lt;&gt;$T764)*($F$4:$F$863&lt;$G764)*($G$4:$G$863&gt;$F764))&gt;0,"⚠ CONFLIT",""))</f>
        <v/>
      </c>
      <c r="Z764" s="64">
        <f>IF($J764="","",IF(SUMPRODUCT(($D$4:$D$863=$D764)*($J$4:$J$863=$J764)*($T$4:$T$863&lt;&gt;$T764)*($F$4:$F$863&lt;$G764)*($G$4:$G$863&gt;$F764)*(1-($X$4:$X$863="Oui")*($X764="Oui")))&gt;0,"⚠ CONFLIT",""))</f>
        <v/>
      </c>
      <c r="AA764" s="64">
        <f>IF(COUNTIFS($D$4:$D$863,$D764,$J$4:$J$863,$J764,$F$4:$F$863,$F764,$K$4:$K$863,$K764)&gt;1,"⚠ DOUBLON","")</f>
        <v/>
      </c>
      <c r="AB764" s="64">
        <f>IF(COUNTIF($T$4:$T$863,$T764)&lt;&gt;COUNTIFS($T$4:$T$863,$T764,$D$4:$D$863,$D764,$F$4:$F$863,$F764,$G$4:$G$863,$G764,$K$4:$K$863,$K764,$M$4:$M$863,$M764),"⚠ INCOHÉRENT","")</f>
        <v/>
      </c>
      <c r="AC764" s="64">
        <f>COUNTIFS($A$4:$A764,$A764,$J$4:$J764,$J764,$E$4:$E764,$E764)</f>
        <v/>
      </c>
      <c r="AD764" s="65">
        <f>$A764&amp;"|"&amp;$J764&amp;"|"&amp;$E764&amp;"|"&amp;$AC764</f>
        <v/>
      </c>
      <c r="AE764" s="66">
        <f>IF($W764&lt;&gt;"","⚑ "&amp;$W764&amp;CHAR(10),"")&amp;TEXT($F764,"hh:mm")&amp;"-"&amp;TEXT($G764,"hh:mm")&amp;IF(OR($P764="Quinzaine A",AND($P764="Hebdo · groupes alternés",$C764="A"))," Q-A",IF(OR($P764="Quinzaine B",AND($P764="Hebdo · groupes alternés",$C764="B"))," Q-B",IF($P764="Exception"," PONCT.","")))&amp;IF($X764="Oui"," OPT","")&amp;CHAR(10)&amp;$K764&amp;CHAR(10)&amp;$M764&amp;IF($N764&lt;&gt;"",CHAR(10)&amp;"Salle "&amp;$N764,"")&amp;IF($O764="En ligne",CHAR(10)&amp;"EN LIGNE","")&amp;IF($V764&lt;&gt;"",CHAR(10)&amp;$V764,"")</f>
        <v/>
      </c>
      <c r="AF764" s="65" t="inlineStr"/>
      <c r="AG764" s="65" t="inlineStr">
        <is>
          <t>— généré —</t>
        </is>
      </c>
    </row>
    <row r="765" ht="15" customHeight="1">
      <c r="A765" s="81" t="inlineStr">
        <is>
          <t>S7</t>
        </is>
      </c>
      <c r="B765" s="82" t="inlineStr">
        <is>
          <t>du 26 octobre au 1er novembre 2026</t>
        </is>
      </c>
      <c r="C765" s="81" t="inlineStr">
        <is>
          <t>A</t>
        </is>
      </c>
      <c r="D765" s="83" t="n">
        <v>46322</v>
      </c>
      <c r="E765" s="81" t="inlineStr">
        <is>
          <t>Mardi</t>
        </is>
      </c>
      <c r="F765" s="84" t="n">
        <v>0.8020833333333334</v>
      </c>
      <c r="G765" s="84" t="n">
        <v>0.8645833333333334</v>
      </c>
      <c r="H765" s="85">
        <f>IF(OR($F765="",$G765=""),"",($G765-$F765)*24)</f>
        <v/>
      </c>
      <c r="I765" s="81" t="inlineStr">
        <is>
          <t>Bac</t>
        </is>
      </c>
      <c r="J765" s="82" t="inlineStr">
        <is>
          <t>Bac SCE</t>
        </is>
      </c>
      <c r="K765" s="90" t="inlineStr">
        <is>
          <t>Italien</t>
        </is>
      </c>
      <c r="L765" s="90" t="inlineStr">
        <is>
          <t>Italien</t>
        </is>
      </c>
      <c r="M765" s="82" t="inlineStr">
        <is>
          <t>Amel</t>
        </is>
      </c>
      <c r="N765" s="81" t="n"/>
      <c r="O765" s="81" t="n"/>
      <c r="P765" s="81" t="inlineStr">
        <is>
          <t>Hebdo · groupes alternés</t>
        </is>
      </c>
      <c r="Q765" s="82" t="inlineStr">
        <is>
          <t>Bac SCE + Bac INFO</t>
        </is>
      </c>
      <c r="R765" s="81" t="n">
        <v>2</v>
      </c>
      <c r="S765" s="81" t="inlineStr">
        <is>
          <t>Oui</t>
        </is>
      </c>
      <c r="T765" s="81" t="inlineStr">
        <is>
          <t>S7-018</t>
        </is>
      </c>
      <c r="U765" s="82" t="inlineStr">
        <is>
          <t>Généré (octobre)</t>
        </is>
      </c>
      <c r="V765" s="82" t="inlineStr"/>
      <c r="W765" s="10" t="n"/>
      <c r="X765" s="10" t="inlineStr">
        <is>
          <t>Oui</t>
        </is>
      </c>
      <c r="Y765" s="64">
        <f>IF($M765="","",IF(SUMPRODUCT(($D$4:$D$863=$D765)*($M$4:$M$863=$M765)*($T$4:$T$863&lt;&gt;$T765)*($F$4:$F$863&lt;$G765)*($G$4:$G$863&gt;$F765))&gt;0,"⚠ CONFLIT",""))</f>
        <v/>
      </c>
      <c r="Z765" s="64">
        <f>IF($J765="","",IF(SUMPRODUCT(($D$4:$D$863=$D765)*($J$4:$J$863=$J765)*($T$4:$T$863&lt;&gt;$T765)*($F$4:$F$863&lt;$G765)*($G$4:$G$863&gt;$F765)*(1-($X$4:$X$863="Oui")*($X765="Oui")))&gt;0,"⚠ CONFLIT",""))</f>
        <v/>
      </c>
      <c r="AA765" s="64">
        <f>IF(COUNTIFS($D$4:$D$863,$D765,$J$4:$J$863,$J765,$F$4:$F$863,$F765,$K$4:$K$863,$K765)&gt;1,"⚠ DOUBLON","")</f>
        <v/>
      </c>
      <c r="AB765" s="64">
        <f>IF(COUNTIF($T$4:$T$863,$T765)&lt;&gt;COUNTIFS($T$4:$T$863,$T765,$D$4:$D$863,$D765,$F$4:$F$863,$F765,$G$4:$G$863,$G765,$K$4:$K$863,$K765,$M$4:$M$863,$M765),"⚠ INCOHÉRENT","")</f>
        <v/>
      </c>
      <c r="AC765" s="64">
        <f>COUNTIFS($A$4:$A765,$A765,$J$4:$J765,$J765,$E$4:$E765,$E765)</f>
        <v/>
      </c>
      <c r="AD765" s="65">
        <f>$A765&amp;"|"&amp;$J765&amp;"|"&amp;$E765&amp;"|"&amp;$AC765</f>
        <v/>
      </c>
      <c r="AE765" s="66">
        <f>IF($W765&lt;&gt;"","⚑ "&amp;$W765&amp;CHAR(10),"")&amp;TEXT($F765,"hh:mm")&amp;"-"&amp;TEXT($G765,"hh:mm")&amp;IF(OR($P765="Quinzaine A",AND($P765="Hebdo · groupes alternés",$C765="A"))," Q-A",IF(OR($P765="Quinzaine B",AND($P765="Hebdo · groupes alternés",$C765="B"))," Q-B",IF($P765="Exception"," PONCT.","")))&amp;IF($X765="Oui"," OPT","")&amp;CHAR(10)&amp;$K765&amp;CHAR(10)&amp;$M765&amp;IF($N765&lt;&gt;"",CHAR(10)&amp;"Salle "&amp;$N765,"")&amp;IF($O765="En ligne",CHAR(10)&amp;"EN LIGNE","")&amp;IF($V765&lt;&gt;"",CHAR(10)&amp;$V765,"")</f>
        <v/>
      </c>
      <c r="AF765" s="65" t="inlineStr"/>
      <c r="AG765" s="65" t="inlineStr">
        <is>
          <t>— généré —</t>
        </is>
      </c>
    </row>
    <row r="766" ht="15" customHeight="1">
      <c r="A766" s="81" t="inlineStr">
        <is>
          <t>S7</t>
        </is>
      </c>
      <c r="B766" s="82" t="inlineStr">
        <is>
          <t>du 26 octobre au 1er novembre 2026</t>
        </is>
      </c>
      <c r="C766" s="81" t="inlineStr">
        <is>
          <t>A</t>
        </is>
      </c>
      <c r="D766" s="83" t="n">
        <v>46322</v>
      </c>
      <c r="E766" s="81" t="inlineStr">
        <is>
          <t>Mardi</t>
        </is>
      </c>
      <c r="F766" s="84" t="n">
        <v>0.8020833333333334</v>
      </c>
      <c r="G766" s="84" t="n">
        <v>0.8645833333333334</v>
      </c>
      <c r="H766" s="85">
        <f>IF(OR($F766="",$G766=""),"",($G766-$F766)*24)</f>
        <v/>
      </c>
      <c r="I766" s="81" t="inlineStr">
        <is>
          <t>Bac</t>
        </is>
      </c>
      <c r="J766" s="82" t="inlineStr">
        <is>
          <t>Bac INFO</t>
        </is>
      </c>
      <c r="K766" s="90" t="inlineStr">
        <is>
          <t>Italien</t>
        </is>
      </c>
      <c r="L766" s="90" t="inlineStr">
        <is>
          <t>Italien</t>
        </is>
      </c>
      <c r="M766" s="82" t="inlineStr">
        <is>
          <t>Amel</t>
        </is>
      </c>
      <c r="N766" s="81" t="n"/>
      <c r="O766" s="81" t="n"/>
      <c r="P766" s="81" t="inlineStr">
        <is>
          <t>Hebdo · groupes alternés</t>
        </is>
      </c>
      <c r="Q766" s="82" t="inlineStr">
        <is>
          <t>Bac SCE + Bac INFO</t>
        </is>
      </c>
      <c r="R766" s="81" t="n">
        <v>2</v>
      </c>
      <c r="S766" s="81" t="inlineStr"/>
      <c r="T766" s="81" t="inlineStr">
        <is>
          <t>S7-018</t>
        </is>
      </c>
      <c r="U766" s="82" t="inlineStr">
        <is>
          <t>Généré (octobre)</t>
        </is>
      </c>
      <c r="V766" s="82" t="inlineStr"/>
      <c r="W766" s="10" t="n"/>
      <c r="X766" s="10" t="inlineStr">
        <is>
          <t>Oui</t>
        </is>
      </c>
      <c r="Y766" s="64">
        <f>IF($M766="","",IF(SUMPRODUCT(($D$4:$D$863=$D766)*($M$4:$M$863=$M766)*($T$4:$T$863&lt;&gt;$T766)*($F$4:$F$863&lt;$G766)*($G$4:$G$863&gt;$F766))&gt;0,"⚠ CONFLIT",""))</f>
        <v/>
      </c>
      <c r="Z766" s="64">
        <f>IF($J766="","",IF(SUMPRODUCT(($D$4:$D$863=$D766)*($J$4:$J$863=$J766)*($T$4:$T$863&lt;&gt;$T766)*($F$4:$F$863&lt;$G766)*($G$4:$G$863&gt;$F766)*(1-($X$4:$X$863="Oui")*($X766="Oui")))&gt;0,"⚠ CONFLIT",""))</f>
        <v/>
      </c>
      <c r="AA766" s="64">
        <f>IF(COUNTIFS($D$4:$D$863,$D766,$J$4:$J$863,$J766,$F$4:$F$863,$F766,$K$4:$K$863,$K766)&gt;1,"⚠ DOUBLON","")</f>
        <v/>
      </c>
      <c r="AB766" s="64">
        <f>IF(COUNTIF($T$4:$T$863,$T766)&lt;&gt;COUNTIFS($T$4:$T$863,$T766,$D$4:$D$863,$D766,$F$4:$F$863,$F766,$G$4:$G$863,$G766,$K$4:$K$863,$K766,$M$4:$M$863,$M766),"⚠ INCOHÉRENT","")</f>
        <v/>
      </c>
      <c r="AC766" s="64">
        <f>COUNTIFS($A$4:$A766,$A766,$J$4:$J766,$J766,$E$4:$E766,$E766)</f>
        <v/>
      </c>
      <c r="AD766" s="65">
        <f>$A766&amp;"|"&amp;$J766&amp;"|"&amp;$E766&amp;"|"&amp;$AC766</f>
        <v/>
      </c>
      <c r="AE766" s="66">
        <f>IF($W766&lt;&gt;"","⚑ "&amp;$W766&amp;CHAR(10),"")&amp;TEXT($F766,"hh:mm")&amp;"-"&amp;TEXT($G766,"hh:mm")&amp;IF(OR($P766="Quinzaine A",AND($P766="Hebdo · groupes alternés",$C766="A"))," Q-A",IF(OR($P766="Quinzaine B",AND($P766="Hebdo · groupes alternés",$C766="B"))," Q-B",IF($P766="Exception"," PONCT.","")))&amp;IF($X766="Oui"," OPT","")&amp;CHAR(10)&amp;$K766&amp;CHAR(10)&amp;$M766&amp;IF($N766&lt;&gt;"",CHAR(10)&amp;"Salle "&amp;$N766,"")&amp;IF($O766="En ligne",CHAR(10)&amp;"EN LIGNE","")&amp;IF($V766&lt;&gt;"",CHAR(10)&amp;$V766,"")</f>
        <v/>
      </c>
      <c r="AF766" s="65" t="inlineStr"/>
      <c r="AG766" s="65" t="inlineStr">
        <is>
          <t>— généré —</t>
        </is>
      </c>
    </row>
    <row r="767" ht="15" customHeight="1">
      <c r="A767" s="58" t="inlineStr">
        <is>
          <t>S7</t>
        </is>
      </c>
      <c r="B767" s="59" t="inlineStr">
        <is>
          <t>du 26 octobre au 1er novembre 2026</t>
        </is>
      </c>
      <c r="C767" s="58" t="inlineStr">
        <is>
          <t>A</t>
        </is>
      </c>
      <c r="D767" s="60" t="n">
        <v>46323</v>
      </c>
      <c r="E767" s="58" t="inlineStr">
        <is>
          <t>Mercredi</t>
        </is>
      </c>
      <c r="F767" s="61" t="n">
        <v>0.7916666666666666</v>
      </c>
      <c r="G767" s="61" t="n">
        <v>0.875</v>
      </c>
      <c r="H767" s="62">
        <f>IF(OR($F767="",$G767=""),"",($G767-$F767)*24)</f>
        <v/>
      </c>
      <c r="I767" s="58" t="inlineStr">
        <is>
          <t>Primaire</t>
        </is>
      </c>
      <c r="J767" s="59" t="inlineStr">
        <is>
          <t>4éme</t>
        </is>
      </c>
      <c r="K767" s="79" t="inlineStr">
        <is>
          <t>رياضيات</t>
        </is>
      </c>
      <c r="L767" s="79" t="inlineStr">
        <is>
          <t>Math</t>
        </is>
      </c>
      <c r="M767" s="59" t="inlineStr">
        <is>
          <t>Bassma</t>
        </is>
      </c>
      <c r="N767" s="58" t="n"/>
      <c r="O767" s="58" t="n"/>
      <c r="P767" s="58" t="inlineStr">
        <is>
          <t>Hebdomadaire</t>
        </is>
      </c>
      <c r="Q767" s="59" t="inlineStr"/>
      <c r="R767" s="58" t="n">
        <v>1</v>
      </c>
      <c r="S767" s="58" t="inlineStr">
        <is>
          <t>Oui</t>
        </is>
      </c>
      <c r="T767" s="58" t="inlineStr">
        <is>
          <t>S7-019</t>
        </is>
      </c>
      <c r="U767" s="59" t="inlineStr">
        <is>
          <t>Généré (octobre)</t>
        </is>
      </c>
      <c r="V767" s="59" t="inlineStr"/>
      <c r="W767" s="10" t="n"/>
      <c r="X767" s="10" t="inlineStr"/>
      <c r="Y767" s="64">
        <f>IF($M767="","",IF(SUMPRODUCT(($D$4:$D$863=$D767)*($M$4:$M$863=$M767)*($T$4:$T$863&lt;&gt;$T767)*($F$4:$F$863&lt;$G767)*($G$4:$G$863&gt;$F767))&gt;0,"⚠ CONFLIT",""))</f>
        <v/>
      </c>
      <c r="Z767" s="64">
        <f>IF($J767="","",IF(SUMPRODUCT(($D$4:$D$863=$D767)*($J$4:$J$863=$J767)*($T$4:$T$863&lt;&gt;$T767)*($F$4:$F$863&lt;$G767)*($G$4:$G$863&gt;$F767)*(1-($X$4:$X$863="Oui")*($X767="Oui")))&gt;0,"⚠ CONFLIT",""))</f>
        <v/>
      </c>
      <c r="AA767" s="64">
        <f>IF(COUNTIFS($D$4:$D$863,$D767,$J$4:$J$863,$J767,$F$4:$F$863,$F767,$K$4:$K$863,$K767)&gt;1,"⚠ DOUBLON","")</f>
        <v/>
      </c>
      <c r="AB767" s="64">
        <f>IF(COUNTIF($T$4:$T$863,$T767)&lt;&gt;COUNTIFS($T$4:$T$863,$T767,$D$4:$D$863,$D767,$F$4:$F$863,$F767,$G$4:$G$863,$G767,$K$4:$K$863,$K767,$M$4:$M$863,$M767),"⚠ INCOHÉRENT","")</f>
        <v/>
      </c>
      <c r="AC767" s="64">
        <f>COUNTIFS($A$4:$A767,$A767,$J$4:$J767,$J767,$E$4:$E767,$E767)</f>
        <v/>
      </c>
      <c r="AD767" s="65">
        <f>$A767&amp;"|"&amp;$J767&amp;"|"&amp;$E767&amp;"|"&amp;$AC767</f>
        <v/>
      </c>
      <c r="AE767" s="66">
        <f>IF($W767&lt;&gt;"","⚑ "&amp;$W767&amp;CHAR(10),"")&amp;TEXT($F767,"hh:mm")&amp;"-"&amp;TEXT($G767,"hh:mm")&amp;IF(OR($P767="Quinzaine A",AND($P767="Hebdo · groupes alternés",$C767="A"))," Q-A",IF(OR($P767="Quinzaine B",AND($P767="Hebdo · groupes alternés",$C767="B"))," Q-B",IF($P767="Exception"," PONCT.","")))&amp;IF($X767="Oui"," OPT","")&amp;CHAR(10)&amp;$K767&amp;CHAR(10)&amp;$M767&amp;IF($N767&lt;&gt;"",CHAR(10)&amp;"Salle "&amp;$N767,"")&amp;IF($O767="En ligne",CHAR(10)&amp;"EN LIGNE","")&amp;IF($V767&lt;&gt;"",CHAR(10)&amp;$V767,"")</f>
        <v/>
      </c>
      <c r="AF767" s="65" t="inlineStr"/>
      <c r="AG767" s="65" t="inlineStr">
        <is>
          <t>— généré —</t>
        </is>
      </c>
    </row>
    <row r="768" ht="15" customHeight="1">
      <c r="A768" s="58" t="inlineStr">
        <is>
          <t>S7</t>
        </is>
      </c>
      <c r="B768" s="59" t="inlineStr">
        <is>
          <t>du 26 octobre au 1er novembre 2026</t>
        </is>
      </c>
      <c r="C768" s="58" t="inlineStr">
        <is>
          <t>A</t>
        </is>
      </c>
      <c r="D768" s="60" t="n">
        <v>46323</v>
      </c>
      <c r="E768" s="58" t="inlineStr">
        <is>
          <t>Mercredi</t>
        </is>
      </c>
      <c r="F768" s="61" t="n">
        <v>0.7916666666666666</v>
      </c>
      <c r="G768" s="61" t="n">
        <v>0.875</v>
      </c>
      <c r="H768" s="62">
        <f>IF(OR($F768="",$G768=""),"",($G768-$F768)*24)</f>
        <v/>
      </c>
      <c r="I768" s="58" t="inlineStr">
        <is>
          <t>Primaire</t>
        </is>
      </c>
      <c r="J768" s="59" t="inlineStr">
        <is>
          <t>6éme Pilote (A)</t>
        </is>
      </c>
      <c r="K768" s="79" t="inlineStr">
        <is>
          <t>رياضيات</t>
        </is>
      </c>
      <c r="L768" s="79" t="inlineStr">
        <is>
          <t>Math</t>
        </is>
      </c>
      <c r="M768" s="59" t="inlineStr">
        <is>
          <t>Noura</t>
        </is>
      </c>
      <c r="N768" s="58" t="n"/>
      <c r="O768" s="58" t="n"/>
      <c r="P768" s="58" t="inlineStr">
        <is>
          <t>Hebdomadaire</t>
        </is>
      </c>
      <c r="Q768" s="59" t="inlineStr"/>
      <c r="R768" s="58" t="n">
        <v>1</v>
      </c>
      <c r="S768" s="58" t="inlineStr">
        <is>
          <t>Oui</t>
        </is>
      </c>
      <c r="T768" s="58" t="inlineStr">
        <is>
          <t>S7-020</t>
        </is>
      </c>
      <c r="U768" s="59" t="inlineStr">
        <is>
          <t>Généré (octobre)</t>
        </is>
      </c>
      <c r="V768" s="59" t="inlineStr"/>
      <c r="W768" s="10" t="n"/>
      <c r="X768" s="10" t="inlineStr"/>
      <c r="Y768" s="64">
        <f>IF($M768="","",IF(SUMPRODUCT(($D$4:$D$863=$D768)*($M$4:$M$863=$M768)*($T$4:$T$863&lt;&gt;$T768)*($F$4:$F$863&lt;$G768)*($G$4:$G$863&gt;$F768))&gt;0,"⚠ CONFLIT",""))</f>
        <v/>
      </c>
      <c r="Z768" s="64">
        <f>IF($J768="","",IF(SUMPRODUCT(($D$4:$D$863=$D768)*($J$4:$J$863=$J768)*($T$4:$T$863&lt;&gt;$T768)*($F$4:$F$863&lt;$G768)*($G$4:$G$863&gt;$F768)*(1-($X$4:$X$863="Oui")*($X768="Oui")))&gt;0,"⚠ CONFLIT",""))</f>
        <v/>
      </c>
      <c r="AA768" s="64">
        <f>IF(COUNTIFS($D$4:$D$863,$D768,$J$4:$J$863,$J768,$F$4:$F$863,$F768,$K$4:$K$863,$K768)&gt;1,"⚠ DOUBLON","")</f>
        <v/>
      </c>
      <c r="AB768" s="64">
        <f>IF(COUNTIF($T$4:$T$863,$T768)&lt;&gt;COUNTIFS($T$4:$T$863,$T768,$D$4:$D$863,$D768,$F$4:$F$863,$F768,$G$4:$G$863,$G768,$K$4:$K$863,$K768,$M$4:$M$863,$M768),"⚠ INCOHÉRENT","")</f>
        <v/>
      </c>
      <c r="AC768" s="64">
        <f>COUNTIFS($A$4:$A768,$A768,$J$4:$J768,$J768,$E$4:$E768,$E768)</f>
        <v/>
      </c>
      <c r="AD768" s="65">
        <f>$A768&amp;"|"&amp;$J768&amp;"|"&amp;$E768&amp;"|"&amp;$AC768</f>
        <v/>
      </c>
      <c r="AE768" s="66">
        <f>IF($W768&lt;&gt;"","⚑ "&amp;$W768&amp;CHAR(10),"")&amp;TEXT($F768,"hh:mm")&amp;"-"&amp;TEXT($G768,"hh:mm")&amp;IF(OR($P768="Quinzaine A",AND($P768="Hebdo · groupes alternés",$C768="A"))," Q-A",IF(OR($P768="Quinzaine B",AND($P768="Hebdo · groupes alternés",$C768="B"))," Q-B",IF($P768="Exception"," PONCT.","")))&amp;IF($X768="Oui"," OPT","")&amp;CHAR(10)&amp;$K768&amp;CHAR(10)&amp;$M768&amp;IF($N768&lt;&gt;"",CHAR(10)&amp;"Salle "&amp;$N768,"")&amp;IF($O768="En ligne",CHAR(10)&amp;"EN LIGNE","")&amp;IF($V768&lt;&gt;"",CHAR(10)&amp;$V768,"")</f>
        <v/>
      </c>
      <c r="AF768" s="65" t="inlineStr"/>
      <c r="AG768" s="65" t="inlineStr">
        <is>
          <t>— généré —</t>
        </is>
      </c>
    </row>
    <row r="769" ht="15" customHeight="1">
      <c r="A769" s="68" t="inlineStr">
        <is>
          <t>S7</t>
        </is>
      </c>
      <c r="B769" s="69" t="inlineStr">
        <is>
          <t>du 26 octobre au 1er novembre 2026</t>
        </is>
      </c>
      <c r="C769" s="68" t="inlineStr">
        <is>
          <t>A</t>
        </is>
      </c>
      <c r="D769" s="70" t="n">
        <v>46323</v>
      </c>
      <c r="E769" s="68" t="inlineStr">
        <is>
          <t>Mercredi</t>
        </is>
      </c>
      <c r="F769" s="71" t="n">
        <v>0.8125</v>
      </c>
      <c r="G769" s="71" t="n">
        <v>0.875</v>
      </c>
      <c r="H769" s="72">
        <f>IF(OR($F769="",$G769=""),"",($G769-$F769)*24)</f>
        <v/>
      </c>
      <c r="I769" s="68" t="inlineStr">
        <is>
          <t>Collège</t>
        </is>
      </c>
      <c r="J769" s="69" t="inlineStr">
        <is>
          <t>7éme (A)</t>
        </is>
      </c>
      <c r="K769" s="73" t="inlineStr">
        <is>
          <t>فيزياء</t>
        </is>
      </c>
      <c r="L769" s="73" t="inlineStr">
        <is>
          <t>Physique</t>
        </is>
      </c>
      <c r="M769" s="69" t="inlineStr">
        <is>
          <t>Melek</t>
        </is>
      </c>
      <c r="N769" s="68" t="n"/>
      <c r="O769" s="68" t="n"/>
      <c r="P769" s="68" t="inlineStr">
        <is>
          <t>Hebdomadaire</t>
        </is>
      </c>
      <c r="Q769" s="69" t="inlineStr">
        <is>
          <t>7éme (A) + 7éme (B)</t>
        </is>
      </c>
      <c r="R769" s="68" t="n">
        <v>2</v>
      </c>
      <c r="S769" s="68" t="inlineStr">
        <is>
          <t>Oui</t>
        </is>
      </c>
      <c r="T769" s="68" t="inlineStr">
        <is>
          <t>S7-021</t>
        </is>
      </c>
      <c r="U769" s="69" t="inlineStr">
        <is>
          <t>Généré (octobre)</t>
        </is>
      </c>
      <c r="V769" s="69" t="inlineStr"/>
      <c r="W769" s="10" t="n"/>
      <c r="X769" s="10" t="inlineStr"/>
      <c r="Y769" s="64">
        <f>IF($M769="","",IF(SUMPRODUCT(($D$4:$D$863=$D769)*($M$4:$M$863=$M769)*($T$4:$T$863&lt;&gt;$T769)*($F$4:$F$863&lt;$G769)*($G$4:$G$863&gt;$F769))&gt;0,"⚠ CONFLIT",""))</f>
        <v/>
      </c>
      <c r="Z769" s="64">
        <f>IF($J769="","",IF(SUMPRODUCT(($D$4:$D$863=$D769)*($J$4:$J$863=$J769)*($T$4:$T$863&lt;&gt;$T769)*($F$4:$F$863&lt;$G769)*($G$4:$G$863&gt;$F769)*(1-($X$4:$X$863="Oui")*($X769="Oui")))&gt;0,"⚠ CONFLIT",""))</f>
        <v/>
      </c>
      <c r="AA769" s="64">
        <f>IF(COUNTIFS($D$4:$D$863,$D769,$J$4:$J$863,$J769,$F$4:$F$863,$F769,$K$4:$K$863,$K769)&gt;1,"⚠ DOUBLON","")</f>
        <v/>
      </c>
      <c r="AB769" s="64">
        <f>IF(COUNTIF($T$4:$T$863,$T769)&lt;&gt;COUNTIFS($T$4:$T$863,$T769,$D$4:$D$863,$D769,$F$4:$F$863,$F769,$G$4:$G$863,$G769,$K$4:$K$863,$K769,$M$4:$M$863,$M769),"⚠ INCOHÉRENT","")</f>
        <v/>
      </c>
      <c r="AC769" s="64">
        <f>COUNTIFS($A$4:$A769,$A769,$J$4:$J769,$J769,$E$4:$E769,$E769)</f>
        <v/>
      </c>
      <c r="AD769" s="65">
        <f>$A769&amp;"|"&amp;$J769&amp;"|"&amp;$E769&amp;"|"&amp;$AC769</f>
        <v/>
      </c>
      <c r="AE769" s="66">
        <f>IF($W769&lt;&gt;"","⚑ "&amp;$W769&amp;CHAR(10),"")&amp;TEXT($F769,"hh:mm")&amp;"-"&amp;TEXT($G769,"hh:mm")&amp;IF(OR($P769="Quinzaine A",AND($P769="Hebdo · groupes alternés",$C769="A"))," Q-A",IF(OR($P769="Quinzaine B",AND($P769="Hebdo · groupes alternés",$C769="B"))," Q-B",IF($P769="Exception"," PONCT.","")))&amp;IF($X769="Oui"," OPT","")&amp;CHAR(10)&amp;$K769&amp;CHAR(10)&amp;$M769&amp;IF($N769&lt;&gt;"",CHAR(10)&amp;"Salle "&amp;$N769,"")&amp;IF($O769="En ligne",CHAR(10)&amp;"EN LIGNE","")&amp;IF($V769&lt;&gt;"",CHAR(10)&amp;$V769,"")</f>
        <v/>
      </c>
      <c r="AF769" s="65" t="inlineStr"/>
      <c r="AG769" s="65" t="inlineStr">
        <is>
          <t>— généré —</t>
        </is>
      </c>
    </row>
    <row r="770" ht="15" customHeight="1">
      <c r="A770" s="68" t="inlineStr">
        <is>
          <t>S7</t>
        </is>
      </c>
      <c r="B770" s="69" t="inlineStr">
        <is>
          <t>du 26 octobre au 1er novembre 2026</t>
        </is>
      </c>
      <c r="C770" s="68" t="inlineStr">
        <is>
          <t>A</t>
        </is>
      </c>
      <c r="D770" s="70" t="n">
        <v>46323</v>
      </c>
      <c r="E770" s="68" t="inlineStr">
        <is>
          <t>Mercredi</t>
        </is>
      </c>
      <c r="F770" s="71" t="n">
        <v>0.8125</v>
      </c>
      <c r="G770" s="71" t="n">
        <v>0.875</v>
      </c>
      <c r="H770" s="72">
        <f>IF(OR($F770="",$G770=""),"",($G770-$F770)*24)</f>
        <v/>
      </c>
      <c r="I770" s="68" t="inlineStr">
        <is>
          <t>Collège</t>
        </is>
      </c>
      <c r="J770" s="69" t="inlineStr">
        <is>
          <t>7éme (B)</t>
        </is>
      </c>
      <c r="K770" s="73" t="inlineStr">
        <is>
          <t>فيزياء</t>
        </is>
      </c>
      <c r="L770" s="73" t="inlineStr">
        <is>
          <t>Physique</t>
        </is>
      </c>
      <c r="M770" s="69" t="inlineStr">
        <is>
          <t>Melek</t>
        </is>
      </c>
      <c r="N770" s="68" t="n"/>
      <c r="O770" s="68" t="n"/>
      <c r="P770" s="68" t="inlineStr">
        <is>
          <t>Hebdomadaire</t>
        </is>
      </c>
      <c r="Q770" s="69" t="inlineStr">
        <is>
          <t>7éme (A) + 7éme (B)</t>
        </is>
      </c>
      <c r="R770" s="68" t="n">
        <v>2</v>
      </c>
      <c r="S770" s="68" t="inlineStr"/>
      <c r="T770" s="68" t="inlineStr">
        <is>
          <t>S7-021</t>
        </is>
      </c>
      <c r="U770" s="69" t="inlineStr">
        <is>
          <t>Généré (octobre)</t>
        </is>
      </c>
      <c r="V770" s="69" t="inlineStr"/>
      <c r="W770" s="10" t="n"/>
      <c r="X770" s="10" t="inlineStr"/>
      <c r="Y770" s="64">
        <f>IF($M770="","",IF(SUMPRODUCT(($D$4:$D$863=$D770)*($M$4:$M$863=$M770)*($T$4:$T$863&lt;&gt;$T770)*($F$4:$F$863&lt;$G770)*($G$4:$G$863&gt;$F770))&gt;0,"⚠ CONFLIT",""))</f>
        <v/>
      </c>
      <c r="Z770" s="64">
        <f>IF($J770="","",IF(SUMPRODUCT(($D$4:$D$863=$D770)*($J$4:$J$863=$J770)*($T$4:$T$863&lt;&gt;$T770)*($F$4:$F$863&lt;$G770)*($G$4:$G$863&gt;$F770)*(1-($X$4:$X$863="Oui")*($X770="Oui")))&gt;0,"⚠ CONFLIT",""))</f>
        <v/>
      </c>
      <c r="AA770" s="64">
        <f>IF(COUNTIFS($D$4:$D$863,$D770,$J$4:$J$863,$J770,$F$4:$F$863,$F770,$K$4:$K$863,$K770)&gt;1,"⚠ DOUBLON","")</f>
        <v/>
      </c>
      <c r="AB770" s="64">
        <f>IF(COUNTIF($T$4:$T$863,$T770)&lt;&gt;COUNTIFS($T$4:$T$863,$T770,$D$4:$D$863,$D770,$F$4:$F$863,$F770,$G$4:$G$863,$G770,$K$4:$K$863,$K770,$M$4:$M$863,$M770),"⚠ INCOHÉRENT","")</f>
        <v/>
      </c>
      <c r="AC770" s="64">
        <f>COUNTIFS($A$4:$A770,$A770,$J$4:$J770,$J770,$E$4:$E770,$E770)</f>
        <v/>
      </c>
      <c r="AD770" s="65">
        <f>$A770&amp;"|"&amp;$J770&amp;"|"&amp;$E770&amp;"|"&amp;$AC770</f>
        <v/>
      </c>
      <c r="AE770" s="66">
        <f>IF($W770&lt;&gt;"","⚑ "&amp;$W770&amp;CHAR(10),"")&amp;TEXT($F770,"hh:mm")&amp;"-"&amp;TEXT($G770,"hh:mm")&amp;IF(OR($P770="Quinzaine A",AND($P770="Hebdo · groupes alternés",$C770="A"))," Q-A",IF(OR($P770="Quinzaine B",AND($P770="Hebdo · groupes alternés",$C770="B"))," Q-B",IF($P770="Exception"," PONCT.","")))&amp;IF($X770="Oui"," OPT","")&amp;CHAR(10)&amp;$K770&amp;CHAR(10)&amp;$M770&amp;IF($N770&lt;&gt;"",CHAR(10)&amp;"Salle "&amp;$N770,"")&amp;IF($O770="En ligne",CHAR(10)&amp;"EN LIGNE","")&amp;IF($V770&lt;&gt;"",CHAR(10)&amp;$V770,"")</f>
        <v/>
      </c>
      <c r="AF770" s="65" t="inlineStr"/>
      <c r="AG770" s="65" t="inlineStr">
        <is>
          <t>— généré —</t>
        </is>
      </c>
    </row>
    <row r="771" ht="15" customHeight="1">
      <c r="A771" s="68" t="inlineStr">
        <is>
          <t>S7</t>
        </is>
      </c>
      <c r="B771" s="69" t="inlineStr">
        <is>
          <t>du 26 octobre au 1er novembre 2026</t>
        </is>
      </c>
      <c r="C771" s="68" t="inlineStr">
        <is>
          <t>A</t>
        </is>
      </c>
      <c r="D771" s="70" t="n">
        <v>46323</v>
      </c>
      <c r="E771" s="68" t="inlineStr">
        <is>
          <t>Mercredi</t>
        </is>
      </c>
      <c r="F771" s="71" t="n">
        <v>0.7916666666666666</v>
      </c>
      <c r="G771" s="71" t="n">
        <v>0.8541666666666666</v>
      </c>
      <c r="H771" s="72">
        <f>IF(OR($F771="",$G771=""),"",($G771-$F771)*24)</f>
        <v/>
      </c>
      <c r="I771" s="68" t="inlineStr">
        <is>
          <t>Collège</t>
        </is>
      </c>
      <c r="J771" s="69" t="inlineStr">
        <is>
          <t>8éme (A)</t>
        </is>
      </c>
      <c r="K771" s="63" t="inlineStr">
        <is>
          <t>Arabe</t>
        </is>
      </c>
      <c r="L771" s="63" t="inlineStr">
        <is>
          <t>Arabe</t>
        </is>
      </c>
      <c r="M771" s="69" t="inlineStr">
        <is>
          <t>Awatef</t>
        </is>
      </c>
      <c r="N771" s="68" t="n"/>
      <c r="O771" s="68" t="n"/>
      <c r="P771" s="68" t="inlineStr">
        <is>
          <t>Hebdomadaire</t>
        </is>
      </c>
      <c r="Q771" s="69" t="inlineStr"/>
      <c r="R771" s="68" t="n">
        <v>1</v>
      </c>
      <c r="S771" s="68" t="inlineStr">
        <is>
          <t>Oui</t>
        </is>
      </c>
      <c r="T771" s="68" t="inlineStr">
        <is>
          <t>S7-022</t>
        </is>
      </c>
      <c r="U771" s="69" t="inlineStr">
        <is>
          <t>Généré (octobre)</t>
        </is>
      </c>
      <c r="V771" s="69" t="inlineStr"/>
      <c r="W771" s="10" t="n"/>
      <c r="X771" s="10" t="inlineStr"/>
      <c r="Y771" s="64">
        <f>IF($M771="","",IF(SUMPRODUCT(($D$4:$D$863=$D771)*($M$4:$M$863=$M771)*($T$4:$T$863&lt;&gt;$T771)*($F$4:$F$863&lt;$G771)*($G$4:$G$863&gt;$F771))&gt;0,"⚠ CONFLIT",""))</f>
        <v/>
      </c>
      <c r="Z771" s="64">
        <f>IF($J771="","",IF(SUMPRODUCT(($D$4:$D$863=$D771)*($J$4:$J$863=$J771)*($T$4:$T$863&lt;&gt;$T771)*($F$4:$F$863&lt;$G771)*($G$4:$G$863&gt;$F771)*(1-($X$4:$X$863="Oui")*($X771="Oui")))&gt;0,"⚠ CONFLIT",""))</f>
        <v/>
      </c>
      <c r="AA771" s="64">
        <f>IF(COUNTIFS($D$4:$D$863,$D771,$J$4:$J$863,$J771,$F$4:$F$863,$F771,$K$4:$K$863,$K771)&gt;1,"⚠ DOUBLON","")</f>
        <v/>
      </c>
      <c r="AB771" s="64">
        <f>IF(COUNTIF($T$4:$T$863,$T771)&lt;&gt;COUNTIFS($T$4:$T$863,$T771,$D$4:$D$863,$D771,$F$4:$F$863,$F771,$G$4:$G$863,$G771,$K$4:$K$863,$K771,$M$4:$M$863,$M771),"⚠ INCOHÉRENT","")</f>
        <v/>
      </c>
      <c r="AC771" s="64">
        <f>COUNTIFS($A$4:$A771,$A771,$J$4:$J771,$J771,$E$4:$E771,$E771)</f>
        <v/>
      </c>
      <c r="AD771" s="65">
        <f>$A771&amp;"|"&amp;$J771&amp;"|"&amp;$E771&amp;"|"&amp;$AC771</f>
        <v/>
      </c>
      <c r="AE771" s="66">
        <f>IF($W771&lt;&gt;"","⚑ "&amp;$W771&amp;CHAR(10),"")&amp;TEXT($F771,"hh:mm")&amp;"-"&amp;TEXT($G771,"hh:mm")&amp;IF(OR($P771="Quinzaine A",AND($P771="Hebdo · groupes alternés",$C771="A"))," Q-A",IF(OR($P771="Quinzaine B",AND($P771="Hebdo · groupes alternés",$C771="B"))," Q-B",IF($P771="Exception"," PONCT.","")))&amp;IF($X771="Oui"," OPT","")&amp;CHAR(10)&amp;$K771&amp;CHAR(10)&amp;$M771&amp;IF($N771&lt;&gt;"",CHAR(10)&amp;"Salle "&amp;$N771,"")&amp;IF($O771="En ligne",CHAR(10)&amp;"EN LIGNE","")&amp;IF($V771&lt;&gt;"",CHAR(10)&amp;$V771,"")</f>
        <v/>
      </c>
      <c r="AF771" s="65" t="inlineStr"/>
      <c r="AG771" s="65" t="inlineStr">
        <is>
          <t>— généré —</t>
        </is>
      </c>
    </row>
    <row r="772" ht="15" customHeight="1">
      <c r="A772" s="68" t="inlineStr">
        <is>
          <t>S7</t>
        </is>
      </c>
      <c r="B772" s="69" t="inlineStr">
        <is>
          <t>du 26 octobre au 1er novembre 2026</t>
        </is>
      </c>
      <c r="C772" s="68" t="inlineStr">
        <is>
          <t>A</t>
        </is>
      </c>
      <c r="D772" s="70" t="n">
        <v>46323</v>
      </c>
      <c r="E772" s="68" t="inlineStr">
        <is>
          <t>Mercredi</t>
        </is>
      </c>
      <c r="F772" s="71" t="n">
        <v>0.8020833333333334</v>
      </c>
      <c r="G772" s="71" t="n">
        <v>0.8645833333333334</v>
      </c>
      <c r="H772" s="72">
        <f>IF(OR($F772="",$G772=""),"",($G772-$F772)*24)</f>
        <v/>
      </c>
      <c r="I772" s="68" t="inlineStr">
        <is>
          <t>Collège</t>
        </is>
      </c>
      <c r="J772" s="69" t="inlineStr">
        <is>
          <t>8éme (B)</t>
        </is>
      </c>
      <c r="K772" s="79" t="inlineStr">
        <is>
          <t>Math</t>
        </is>
      </c>
      <c r="L772" s="79" t="inlineStr">
        <is>
          <t>Math</t>
        </is>
      </c>
      <c r="M772" s="69" t="inlineStr">
        <is>
          <t>Khouloud</t>
        </is>
      </c>
      <c r="N772" s="68" t="n"/>
      <c r="O772" s="68" t="n"/>
      <c r="P772" s="68" t="inlineStr">
        <is>
          <t>Hebdomadaire</t>
        </is>
      </c>
      <c r="Q772" s="69" t="inlineStr"/>
      <c r="R772" s="68" t="n">
        <v>1</v>
      </c>
      <c r="S772" s="68" t="inlineStr">
        <is>
          <t>Oui</t>
        </is>
      </c>
      <c r="T772" s="68" t="inlineStr">
        <is>
          <t>S7-023</t>
        </is>
      </c>
      <c r="U772" s="69" t="inlineStr">
        <is>
          <t>Généré (octobre)</t>
        </is>
      </c>
      <c r="V772" s="69" t="inlineStr"/>
      <c r="W772" s="10" t="n"/>
      <c r="X772" s="10" t="inlineStr"/>
      <c r="Y772" s="64">
        <f>IF($M772="","",IF(SUMPRODUCT(($D$4:$D$863=$D772)*($M$4:$M$863=$M772)*($T$4:$T$863&lt;&gt;$T772)*($F$4:$F$863&lt;$G772)*($G$4:$G$863&gt;$F772))&gt;0,"⚠ CONFLIT",""))</f>
        <v/>
      </c>
      <c r="Z772" s="64">
        <f>IF($J772="","",IF(SUMPRODUCT(($D$4:$D$863=$D772)*($J$4:$J$863=$J772)*($T$4:$T$863&lt;&gt;$T772)*($F$4:$F$863&lt;$G772)*($G$4:$G$863&gt;$F772)*(1-($X$4:$X$863="Oui")*($X772="Oui")))&gt;0,"⚠ CONFLIT",""))</f>
        <v/>
      </c>
      <c r="AA772" s="64">
        <f>IF(COUNTIFS($D$4:$D$863,$D772,$J$4:$J$863,$J772,$F$4:$F$863,$F772,$K$4:$K$863,$K772)&gt;1,"⚠ DOUBLON","")</f>
        <v/>
      </c>
      <c r="AB772" s="64">
        <f>IF(COUNTIF($T$4:$T$863,$T772)&lt;&gt;COUNTIFS($T$4:$T$863,$T772,$D$4:$D$863,$D772,$F$4:$F$863,$F772,$G$4:$G$863,$G772,$K$4:$K$863,$K772,$M$4:$M$863,$M772),"⚠ INCOHÉRENT","")</f>
        <v/>
      </c>
      <c r="AC772" s="64">
        <f>COUNTIFS($A$4:$A772,$A772,$J$4:$J772,$J772,$E$4:$E772,$E772)</f>
        <v/>
      </c>
      <c r="AD772" s="65">
        <f>$A772&amp;"|"&amp;$J772&amp;"|"&amp;$E772&amp;"|"&amp;$AC772</f>
        <v/>
      </c>
      <c r="AE772" s="66">
        <f>IF($W772&lt;&gt;"","⚑ "&amp;$W772&amp;CHAR(10),"")&amp;TEXT($F772,"hh:mm")&amp;"-"&amp;TEXT($G772,"hh:mm")&amp;IF(OR($P772="Quinzaine A",AND($P772="Hebdo · groupes alternés",$C772="A"))," Q-A",IF(OR($P772="Quinzaine B",AND($P772="Hebdo · groupes alternés",$C772="B"))," Q-B",IF($P772="Exception"," PONCT.","")))&amp;IF($X772="Oui"," OPT","")&amp;CHAR(10)&amp;$K772&amp;CHAR(10)&amp;$M772&amp;IF($N772&lt;&gt;"",CHAR(10)&amp;"Salle "&amp;$N772,"")&amp;IF($O772="En ligne",CHAR(10)&amp;"EN LIGNE","")&amp;IF($V772&lt;&gt;"",CHAR(10)&amp;$V772,"")</f>
        <v/>
      </c>
      <c r="AF772" s="65" t="inlineStr"/>
      <c r="AG772" s="65" t="inlineStr">
        <is>
          <t>— généré —</t>
        </is>
      </c>
    </row>
    <row r="773" ht="15" customHeight="1">
      <c r="A773" s="68" t="inlineStr">
        <is>
          <t>S7</t>
        </is>
      </c>
      <c r="B773" s="69" t="inlineStr">
        <is>
          <t>du 26 octobre au 1er novembre 2026</t>
        </is>
      </c>
      <c r="C773" s="68" t="inlineStr">
        <is>
          <t>A</t>
        </is>
      </c>
      <c r="D773" s="70" t="n">
        <v>46323</v>
      </c>
      <c r="E773" s="68" t="inlineStr">
        <is>
          <t>Mercredi</t>
        </is>
      </c>
      <c r="F773" s="71" t="n">
        <v>0.8125</v>
      </c>
      <c r="G773" s="71" t="n">
        <v>0.875</v>
      </c>
      <c r="H773" s="72">
        <f>IF(OR($F773="",$G773=""),"",($G773-$F773)*24)</f>
        <v/>
      </c>
      <c r="I773" s="68" t="inlineStr">
        <is>
          <t>Collège</t>
        </is>
      </c>
      <c r="J773" s="69" t="inlineStr">
        <is>
          <t>8éme (C)</t>
        </is>
      </c>
      <c r="K773" s="67" t="inlineStr">
        <is>
          <t>Français</t>
        </is>
      </c>
      <c r="L773" s="67" t="inlineStr">
        <is>
          <t>Français</t>
        </is>
      </c>
      <c r="M773" s="69" t="inlineStr">
        <is>
          <t>Nabil</t>
        </is>
      </c>
      <c r="N773" s="68" t="n"/>
      <c r="O773" s="68" t="n"/>
      <c r="P773" s="68" t="inlineStr">
        <is>
          <t>Hebdomadaire</t>
        </is>
      </c>
      <c r="Q773" s="69" t="inlineStr"/>
      <c r="R773" s="68" t="n">
        <v>1</v>
      </c>
      <c r="S773" s="68" t="inlineStr">
        <is>
          <t>Oui</t>
        </is>
      </c>
      <c r="T773" s="68" t="inlineStr">
        <is>
          <t>S7-024</t>
        </is>
      </c>
      <c r="U773" s="69" t="inlineStr">
        <is>
          <t>Généré (octobre)</t>
        </is>
      </c>
      <c r="V773" s="69" t="inlineStr"/>
      <c r="W773" s="10" t="n"/>
      <c r="X773" s="10" t="inlineStr"/>
      <c r="Y773" s="64">
        <f>IF($M773="","",IF(SUMPRODUCT(($D$4:$D$863=$D773)*($M$4:$M$863=$M773)*($T$4:$T$863&lt;&gt;$T773)*($F$4:$F$863&lt;$G773)*($G$4:$G$863&gt;$F773))&gt;0,"⚠ CONFLIT",""))</f>
        <v/>
      </c>
      <c r="Z773" s="64">
        <f>IF($J773="","",IF(SUMPRODUCT(($D$4:$D$863=$D773)*($J$4:$J$863=$J773)*($T$4:$T$863&lt;&gt;$T773)*($F$4:$F$863&lt;$G773)*($G$4:$G$863&gt;$F773)*(1-($X$4:$X$863="Oui")*($X773="Oui")))&gt;0,"⚠ CONFLIT",""))</f>
        <v/>
      </c>
      <c r="AA773" s="64">
        <f>IF(COUNTIFS($D$4:$D$863,$D773,$J$4:$J$863,$J773,$F$4:$F$863,$F773,$K$4:$K$863,$K773)&gt;1,"⚠ DOUBLON","")</f>
        <v/>
      </c>
      <c r="AB773" s="64">
        <f>IF(COUNTIF($T$4:$T$863,$T773)&lt;&gt;COUNTIFS($T$4:$T$863,$T773,$D$4:$D$863,$D773,$F$4:$F$863,$F773,$G$4:$G$863,$G773,$K$4:$K$863,$K773,$M$4:$M$863,$M773),"⚠ INCOHÉRENT","")</f>
        <v/>
      </c>
      <c r="AC773" s="64">
        <f>COUNTIFS($A$4:$A773,$A773,$J$4:$J773,$J773,$E$4:$E773,$E773)</f>
        <v/>
      </c>
      <c r="AD773" s="65">
        <f>$A773&amp;"|"&amp;$J773&amp;"|"&amp;$E773&amp;"|"&amp;$AC773</f>
        <v/>
      </c>
      <c r="AE773" s="66">
        <f>IF($W773&lt;&gt;"","⚑ "&amp;$W773&amp;CHAR(10),"")&amp;TEXT($F773,"hh:mm")&amp;"-"&amp;TEXT($G773,"hh:mm")&amp;IF(OR($P773="Quinzaine A",AND($P773="Hebdo · groupes alternés",$C773="A"))," Q-A",IF(OR($P773="Quinzaine B",AND($P773="Hebdo · groupes alternés",$C773="B"))," Q-B",IF($P773="Exception"," PONCT.","")))&amp;IF($X773="Oui"," OPT","")&amp;CHAR(10)&amp;$K773&amp;CHAR(10)&amp;$M773&amp;IF($N773&lt;&gt;"",CHAR(10)&amp;"Salle "&amp;$N773,"")&amp;IF($O773="En ligne",CHAR(10)&amp;"EN LIGNE","")&amp;IF($V773&lt;&gt;"",CHAR(10)&amp;$V773,"")</f>
        <v/>
      </c>
      <c r="AF773" s="65" t="inlineStr"/>
      <c r="AG773" s="65" t="inlineStr">
        <is>
          <t>— généré —</t>
        </is>
      </c>
    </row>
    <row r="774" ht="15" customHeight="1">
      <c r="A774" s="68" t="inlineStr">
        <is>
          <t>S7</t>
        </is>
      </c>
      <c r="B774" s="69" t="inlineStr">
        <is>
          <t>du 26 octobre au 1er novembre 2026</t>
        </is>
      </c>
      <c r="C774" s="68" t="inlineStr">
        <is>
          <t>A</t>
        </is>
      </c>
      <c r="D774" s="70" t="n">
        <v>46323</v>
      </c>
      <c r="E774" s="68" t="inlineStr">
        <is>
          <t>Mercredi</t>
        </is>
      </c>
      <c r="F774" s="71" t="n">
        <v>0.8125</v>
      </c>
      <c r="G774" s="71" t="n">
        <v>0.875</v>
      </c>
      <c r="H774" s="72">
        <f>IF(OR($F774="",$G774=""),"",($G774-$F774)*24)</f>
        <v/>
      </c>
      <c r="I774" s="68" t="inlineStr">
        <is>
          <t>Collège</t>
        </is>
      </c>
      <c r="J774" s="69" t="inlineStr">
        <is>
          <t>9éme (B)</t>
        </is>
      </c>
      <c r="K774" s="63" t="inlineStr">
        <is>
          <t>Arabe</t>
        </is>
      </c>
      <c r="L774" s="63" t="inlineStr">
        <is>
          <t>Arabe</t>
        </is>
      </c>
      <c r="M774" s="69" t="inlineStr">
        <is>
          <t>Yahya</t>
        </is>
      </c>
      <c r="N774" s="68" t="n"/>
      <c r="O774" s="68" t="n"/>
      <c r="P774" s="68" t="inlineStr">
        <is>
          <t>Hebdomadaire</t>
        </is>
      </c>
      <c r="Q774" s="69" t="inlineStr"/>
      <c r="R774" s="68" t="n">
        <v>1</v>
      </c>
      <c r="S774" s="68" t="inlineStr">
        <is>
          <t>Oui</t>
        </is>
      </c>
      <c r="T774" s="68" t="inlineStr">
        <is>
          <t>S7-025</t>
        </is>
      </c>
      <c r="U774" s="69" t="inlineStr">
        <is>
          <t>Généré (octobre)</t>
        </is>
      </c>
      <c r="V774" s="69" t="inlineStr"/>
      <c r="W774" s="10" t="n"/>
      <c r="X774" s="10" t="inlineStr"/>
      <c r="Y774" s="64">
        <f>IF($M774="","",IF(SUMPRODUCT(($D$4:$D$863=$D774)*($M$4:$M$863=$M774)*($T$4:$T$863&lt;&gt;$T774)*($F$4:$F$863&lt;$G774)*($G$4:$G$863&gt;$F774))&gt;0,"⚠ CONFLIT",""))</f>
        <v/>
      </c>
      <c r="Z774" s="64">
        <f>IF($J774="","",IF(SUMPRODUCT(($D$4:$D$863=$D774)*($J$4:$J$863=$J774)*($T$4:$T$863&lt;&gt;$T774)*($F$4:$F$863&lt;$G774)*($G$4:$G$863&gt;$F774)*(1-($X$4:$X$863="Oui")*($X774="Oui")))&gt;0,"⚠ CONFLIT",""))</f>
        <v/>
      </c>
      <c r="AA774" s="64">
        <f>IF(COUNTIFS($D$4:$D$863,$D774,$J$4:$J$863,$J774,$F$4:$F$863,$F774,$K$4:$K$863,$K774)&gt;1,"⚠ DOUBLON","")</f>
        <v/>
      </c>
      <c r="AB774" s="64">
        <f>IF(COUNTIF($T$4:$T$863,$T774)&lt;&gt;COUNTIFS($T$4:$T$863,$T774,$D$4:$D$863,$D774,$F$4:$F$863,$F774,$G$4:$G$863,$G774,$K$4:$K$863,$K774,$M$4:$M$863,$M774),"⚠ INCOHÉRENT","")</f>
        <v/>
      </c>
      <c r="AC774" s="64">
        <f>COUNTIFS($A$4:$A774,$A774,$J$4:$J774,$J774,$E$4:$E774,$E774)</f>
        <v/>
      </c>
      <c r="AD774" s="65">
        <f>$A774&amp;"|"&amp;$J774&amp;"|"&amp;$E774&amp;"|"&amp;$AC774</f>
        <v/>
      </c>
      <c r="AE774" s="66">
        <f>IF($W774&lt;&gt;"","⚑ "&amp;$W774&amp;CHAR(10),"")&amp;TEXT($F774,"hh:mm")&amp;"-"&amp;TEXT($G774,"hh:mm")&amp;IF(OR($P774="Quinzaine A",AND($P774="Hebdo · groupes alternés",$C774="A"))," Q-A",IF(OR($P774="Quinzaine B",AND($P774="Hebdo · groupes alternés",$C774="B"))," Q-B",IF($P774="Exception"," PONCT.","")))&amp;IF($X774="Oui"," OPT","")&amp;CHAR(10)&amp;$K774&amp;CHAR(10)&amp;$M774&amp;IF($N774&lt;&gt;"",CHAR(10)&amp;"Salle "&amp;$N774,"")&amp;IF($O774="En ligne",CHAR(10)&amp;"EN LIGNE","")&amp;IF($V774&lt;&gt;"",CHAR(10)&amp;$V774,"")</f>
        <v/>
      </c>
      <c r="AF774" s="65" t="inlineStr"/>
      <c r="AG774" s="65" t="inlineStr">
        <is>
          <t>— généré —</t>
        </is>
      </c>
    </row>
    <row r="775" ht="15" customHeight="1">
      <c r="A775" s="68" t="inlineStr">
        <is>
          <t>S7</t>
        </is>
      </c>
      <c r="B775" s="69" t="inlineStr">
        <is>
          <t>du 26 octobre au 1er novembre 2026</t>
        </is>
      </c>
      <c r="C775" s="68" t="inlineStr">
        <is>
          <t>A</t>
        </is>
      </c>
      <c r="D775" s="70" t="n">
        <v>46323</v>
      </c>
      <c r="E775" s="68" t="inlineStr">
        <is>
          <t>Mercredi</t>
        </is>
      </c>
      <c r="F775" s="71" t="n">
        <v>0.8020833333333334</v>
      </c>
      <c r="G775" s="71" t="n">
        <v>0.8645833333333334</v>
      </c>
      <c r="H775" s="72">
        <f>IF(OR($F775="",$G775=""),"",($G775-$F775)*24)</f>
        <v/>
      </c>
      <c r="I775" s="68" t="inlineStr">
        <is>
          <t>Collège</t>
        </is>
      </c>
      <c r="J775" s="69" t="inlineStr">
        <is>
          <t>9éme (C)</t>
        </is>
      </c>
      <c r="K775" s="88" t="inlineStr">
        <is>
          <t>SVT</t>
        </is>
      </c>
      <c r="L775" s="88" t="inlineStr">
        <is>
          <t>SVT</t>
        </is>
      </c>
      <c r="M775" s="69" t="inlineStr">
        <is>
          <t>Imen Jribi</t>
        </is>
      </c>
      <c r="N775" s="68" t="n"/>
      <c r="O775" s="68" t="n"/>
      <c r="P775" s="68" t="inlineStr">
        <is>
          <t>Hebdomadaire</t>
        </is>
      </c>
      <c r="Q775" s="69" t="inlineStr"/>
      <c r="R775" s="68" t="n">
        <v>1</v>
      </c>
      <c r="S775" s="68" t="inlineStr">
        <is>
          <t>Oui</t>
        </is>
      </c>
      <c r="T775" s="68" t="inlineStr">
        <is>
          <t>S7-026</t>
        </is>
      </c>
      <c r="U775" s="69" t="inlineStr">
        <is>
          <t>Généré (octobre)</t>
        </is>
      </c>
      <c r="V775" s="69" t="inlineStr"/>
      <c r="W775" s="10" t="n"/>
      <c r="X775" s="10" t="inlineStr"/>
      <c r="Y775" s="64">
        <f>IF($M775="","",IF(SUMPRODUCT(($D$4:$D$863=$D775)*($M$4:$M$863=$M775)*($T$4:$T$863&lt;&gt;$T775)*($F$4:$F$863&lt;$G775)*($G$4:$G$863&gt;$F775))&gt;0,"⚠ CONFLIT",""))</f>
        <v/>
      </c>
      <c r="Z775" s="64">
        <f>IF($J775="","",IF(SUMPRODUCT(($D$4:$D$863=$D775)*($J$4:$J$863=$J775)*($T$4:$T$863&lt;&gt;$T775)*($F$4:$F$863&lt;$G775)*($G$4:$G$863&gt;$F775)*(1-($X$4:$X$863="Oui")*($X775="Oui")))&gt;0,"⚠ CONFLIT",""))</f>
        <v/>
      </c>
      <c r="AA775" s="64">
        <f>IF(COUNTIFS($D$4:$D$863,$D775,$J$4:$J$863,$J775,$F$4:$F$863,$F775,$K$4:$K$863,$K775)&gt;1,"⚠ DOUBLON","")</f>
        <v/>
      </c>
      <c r="AB775" s="64">
        <f>IF(COUNTIF($T$4:$T$863,$T775)&lt;&gt;COUNTIFS($T$4:$T$863,$T775,$D$4:$D$863,$D775,$F$4:$F$863,$F775,$G$4:$G$863,$G775,$K$4:$K$863,$K775,$M$4:$M$863,$M775),"⚠ INCOHÉRENT","")</f>
        <v/>
      </c>
      <c r="AC775" s="64">
        <f>COUNTIFS($A$4:$A775,$A775,$J$4:$J775,$J775,$E$4:$E775,$E775)</f>
        <v/>
      </c>
      <c r="AD775" s="65">
        <f>$A775&amp;"|"&amp;$J775&amp;"|"&amp;$E775&amp;"|"&amp;$AC775</f>
        <v/>
      </c>
      <c r="AE775" s="66">
        <f>IF($W775&lt;&gt;"","⚑ "&amp;$W775&amp;CHAR(10),"")&amp;TEXT($F775,"hh:mm")&amp;"-"&amp;TEXT($G775,"hh:mm")&amp;IF(OR($P775="Quinzaine A",AND($P775="Hebdo · groupes alternés",$C775="A"))," Q-A",IF(OR($P775="Quinzaine B",AND($P775="Hebdo · groupes alternés",$C775="B"))," Q-B",IF($P775="Exception"," PONCT.","")))&amp;IF($X775="Oui"," OPT","")&amp;CHAR(10)&amp;$K775&amp;CHAR(10)&amp;$M775&amp;IF($N775&lt;&gt;"",CHAR(10)&amp;"Salle "&amp;$N775,"")&amp;IF($O775="En ligne",CHAR(10)&amp;"EN LIGNE","")&amp;IF($V775&lt;&gt;"",CHAR(10)&amp;$V775,"")</f>
        <v/>
      </c>
      <c r="AF775" s="65" t="inlineStr"/>
      <c r="AG775" s="65" t="inlineStr">
        <is>
          <t>— généré —</t>
        </is>
      </c>
    </row>
    <row r="776" ht="15" customHeight="1">
      <c r="A776" s="74" t="inlineStr">
        <is>
          <t>S7</t>
        </is>
      </c>
      <c r="B776" s="75" t="inlineStr">
        <is>
          <t>du 26 octobre au 1er novembre 2026</t>
        </is>
      </c>
      <c r="C776" s="74" t="inlineStr">
        <is>
          <t>A</t>
        </is>
      </c>
      <c r="D776" s="76" t="n">
        <v>46323</v>
      </c>
      <c r="E776" s="74" t="inlineStr">
        <is>
          <t>Mercredi</t>
        </is>
      </c>
      <c r="F776" s="77" t="n">
        <v>0.8020833333333334</v>
      </c>
      <c r="G776" s="77" t="n">
        <v>0.8645833333333334</v>
      </c>
      <c r="H776" s="78">
        <f>IF(OR($F776="",$G776=""),"",($G776-$F776)*24)</f>
        <v/>
      </c>
      <c r="I776" s="74" t="inlineStr">
        <is>
          <t>Secondaire</t>
        </is>
      </c>
      <c r="J776" s="75" t="inlineStr">
        <is>
          <t>1ére (B)</t>
        </is>
      </c>
      <c r="K776" s="67" t="inlineStr">
        <is>
          <t>Français</t>
        </is>
      </c>
      <c r="L776" s="67" t="inlineStr">
        <is>
          <t>Français</t>
        </is>
      </c>
      <c r="M776" s="75" t="inlineStr">
        <is>
          <t>Nassima</t>
        </is>
      </c>
      <c r="N776" s="74" t="n"/>
      <c r="O776" s="74" t="n"/>
      <c r="P776" s="74" t="inlineStr">
        <is>
          <t>Hebdomadaire</t>
        </is>
      </c>
      <c r="Q776" s="75" t="inlineStr"/>
      <c r="R776" s="74" t="n">
        <v>1</v>
      </c>
      <c r="S776" s="74" t="inlineStr">
        <is>
          <t>Oui</t>
        </is>
      </c>
      <c r="T776" s="74" t="inlineStr">
        <is>
          <t>S7-027</t>
        </is>
      </c>
      <c r="U776" s="75" t="inlineStr">
        <is>
          <t>Généré (octobre)</t>
        </is>
      </c>
      <c r="V776" s="75" t="inlineStr"/>
      <c r="W776" s="10" t="n"/>
      <c r="X776" s="10" t="inlineStr"/>
      <c r="Y776" s="64">
        <f>IF($M776="","",IF(SUMPRODUCT(($D$4:$D$863=$D776)*($M$4:$M$863=$M776)*($T$4:$T$863&lt;&gt;$T776)*($F$4:$F$863&lt;$G776)*($G$4:$G$863&gt;$F776))&gt;0,"⚠ CONFLIT",""))</f>
        <v/>
      </c>
      <c r="Z776" s="64">
        <f>IF($J776="","",IF(SUMPRODUCT(($D$4:$D$863=$D776)*($J$4:$J$863=$J776)*($T$4:$T$863&lt;&gt;$T776)*($F$4:$F$863&lt;$G776)*($G$4:$G$863&gt;$F776)*(1-($X$4:$X$863="Oui")*($X776="Oui")))&gt;0,"⚠ CONFLIT",""))</f>
        <v/>
      </c>
      <c r="AA776" s="64">
        <f>IF(COUNTIFS($D$4:$D$863,$D776,$J$4:$J$863,$J776,$F$4:$F$863,$F776,$K$4:$K$863,$K776)&gt;1,"⚠ DOUBLON","")</f>
        <v/>
      </c>
      <c r="AB776" s="64">
        <f>IF(COUNTIF($T$4:$T$863,$T776)&lt;&gt;COUNTIFS($T$4:$T$863,$T776,$D$4:$D$863,$D776,$F$4:$F$863,$F776,$G$4:$G$863,$G776,$K$4:$K$863,$K776,$M$4:$M$863,$M776),"⚠ INCOHÉRENT","")</f>
        <v/>
      </c>
      <c r="AC776" s="64">
        <f>COUNTIFS($A$4:$A776,$A776,$J$4:$J776,$J776,$E$4:$E776,$E776)</f>
        <v/>
      </c>
      <c r="AD776" s="65">
        <f>$A776&amp;"|"&amp;$J776&amp;"|"&amp;$E776&amp;"|"&amp;$AC776</f>
        <v/>
      </c>
      <c r="AE776" s="66">
        <f>IF($W776&lt;&gt;"","⚑ "&amp;$W776&amp;CHAR(10),"")&amp;TEXT($F776,"hh:mm")&amp;"-"&amp;TEXT($G776,"hh:mm")&amp;IF(OR($P776="Quinzaine A",AND($P776="Hebdo · groupes alternés",$C776="A"))," Q-A",IF(OR($P776="Quinzaine B",AND($P776="Hebdo · groupes alternés",$C776="B"))," Q-B",IF($P776="Exception"," PONCT.","")))&amp;IF($X776="Oui"," OPT","")&amp;CHAR(10)&amp;$K776&amp;CHAR(10)&amp;$M776&amp;IF($N776&lt;&gt;"",CHAR(10)&amp;"Salle "&amp;$N776,"")&amp;IF($O776="En ligne",CHAR(10)&amp;"EN LIGNE","")&amp;IF($V776&lt;&gt;"",CHAR(10)&amp;$V776,"")</f>
        <v/>
      </c>
      <c r="AF776" s="65" t="inlineStr"/>
      <c r="AG776" s="65" t="inlineStr">
        <is>
          <t>— généré —</t>
        </is>
      </c>
    </row>
    <row r="777" ht="15" customHeight="1">
      <c r="A777" s="74" t="inlineStr">
        <is>
          <t>S7</t>
        </is>
      </c>
      <c r="B777" s="75" t="inlineStr">
        <is>
          <t>du 26 octobre au 1er novembre 2026</t>
        </is>
      </c>
      <c r="C777" s="74" t="inlineStr">
        <is>
          <t>A</t>
        </is>
      </c>
      <c r="D777" s="76" t="n">
        <v>46323</v>
      </c>
      <c r="E777" s="74" t="inlineStr">
        <is>
          <t>Mercredi</t>
        </is>
      </c>
      <c r="F777" s="77" t="n">
        <v>0.8125</v>
      </c>
      <c r="G777" s="77" t="n">
        <v>0.875</v>
      </c>
      <c r="H777" s="78">
        <f>IF(OR($F777="",$G777=""),"",($G777-$F777)*24)</f>
        <v/>
      </c>
      <c r="I777" s="74" t="inlineStr">
        <is>
          <t>Secondaire</t>
        </is>
      </c>
      <c r="J777" s="75" t="inlineStr">
        <is>
          <t>2éme Eco</t>
        </is>
      </c>
      <c r="K777" s="79" t="inlineStr">
        <is>
          <t>Math</t>
        </is>
      </c>
      <c r="L777" s="79" t="inlineStr">
        <is>
          <t>Math</t>
        </is>
      </c>
      <c r="M777" s="75" t="inlineStr">
        <is>
          <t>Haythem</t>
        </is>
      </c>
      <c r="N777" s="74" t="n"/>
      <c r="O777" s="74" t="n"/>
      <c r="P777" s="74" t="inlineStr">
        <is>
          <t>Hebdomadaire</t>
        </is>
      </c>
      <c r="Q777" s="75" t="inlineStr"/>
      <c r="R777" s="74" t="n">
        <v>1</v>
      </c>
      <c r="S777" s="74" t="inlineStr">
        <is>
          <t>Oui</t>
        </is>
      </c>
      <c r="T777" s="74" t="inlineStr">
        <is>
          <t>S7-028</t>
        </is>
      </c>
      <c r="U777" s="75" t="inlineStr">
        <is>
          <t>Généré (octobre)</t>
        </is>
      </c>
      <c r="V777" s="75" t="inlineStr"/>
      <c r="W777" s="10" t="n"/>
      <c r="X777" s="10" t="inlineStr"/>
      <c r="Y777" s="64">
        <f>IF($M777="","",IF(SUMPRODUCT(($D$4:$D$863=$D777)*($M$4:$M$863=$M777)*($T$4:$T$863&lt;&gt;$T777)*($F$4:$F$863&lt;$G777)*($G$4:$G$863&gt;$F777))&gt;0,"⚠ CONFLIT",""))</f>
        <v/>
      </c>
      <c r="Z777" s="64">
        <f>IF($J777="","",IF(SUMPRODUCT(($D$4:$D$863=$D777)*($J$4:$J$863=$J777)*($T$4:$T$863&lt;&gt;$T777)*($F$4:$F$863&lt;$G777)*($G$4:$G$863&gt;$F777)*(1-($X$4:$X$863="Oui")*($X777="Oui")))&gt;0,"⚠ CONFLIT",""))</f>
        <v/>
      </c>
      <c r="AA777" s="64">
        <f>IF(COUNTIFS($D$4:$D$863,$D777,$J$4:$J$863,$J777,$F$4:$F$863,$F777,$K$4:$K$863,$K777)&gt;1,"⚠ DOUBLON","")</f>
        <v/>
      </c>
      <c r="AB777" s="64">
        <f>IF(COUNTIF($T$4:$T$863,$T777)&lt;&gt;COUNTIFS($T$4:$T$863,$T777,$D$4:$D$863,$D777,$F$4:$F$863,$F777,$G$4:$G$863,$G777,$K$4:$K$863,$K777,$M$4:$M$863,$M777),"⚠ INCOHÉRENT","")</f>
        <v/>
      </c>
      <c r="AC777" s="64">
        <f>COUNTIFS($A$4:$A777,$A777,$J$4:$J777,$J777,$E$4:$E777,$E777)</f>
        <v/>
      </c>
      <c r="AD777" s="65">
        <f>$A777&amp;"|"&amp;$J777&amp;"|"&amp;$E777&amp;"|"&amp;$AC777</f>
        <v/>
      </c>
      <c r="AE777" s="66">
        <f>IF($W777&lt;&gt;"","⚑ "&amp;$W777&amp;CHAR(10),"")&amp;TEXT($F777,"hh:mm")&amp;"-"&amp;TEXT($G777,"hh:mm")&amp;IF(OR($P777="Quinzaine A",AND($P777="Hebdo · groupes alternés",$C777="A"))," Q-A",IF(OR($P777="Quinzaine B",AND($P777="Hebdo · groupes alternés",$C777="B"))," Q-B",IF($P777="Exception"," PONCT.","")))&amp;IF($X777="Oui"," OPT","")&amp;CHAR(10)&amp;$K777&amp;CHAR(10)&amp;$M777&amp;IF($N777&lt;&gt;"",CHAR(10)&amp;"Salle "&amp;$N777,"")&amp;IF($O777="En ligne",CHAR(10)&amp;"EN LIGNE","")&amp;IF($V777&lt;&gt;"",CHAR(10)&amp;$V777,"")</f>
        <v/>
      </c>
      <c r="AF777" s="65" t="inlineStr"/>
      <c r="AG777" s="65" t="inlineStr">
        <is>
          <t>— généré —</t>
        </is>
      </c>
    </row>
    <row r="778" ht="15" customHeight="1">
      <c r="A778" s="74" t="inlineStr">
        <is>
          <t>S7</t>
        </is>
      </c>
      <c r="B778" s="75" t="inlineStr">
        <is>
          <t>du 26 octobre au 1er novembre 2026</t>
        </is>
      </c>
      <c r="C778" s="74" t="inlineStr">
        <is>
          <t>A</t>
        </is>
      </c>
      <c r="D778" s="76" t="n">
        <v>46323</v>
      </c>
      <c r="E778" s="74" t="inlineStr">
        <is>
          <t>Mercredi</t>
        </is>
      </c>
      <c r="F778" s="77" t="n">
        <v>0.7916666666666666</v>
      </c>
      <c r="G778" s="77" t="n">
        <v>0.8541666666666666</v>
      </c>
      <c r="H778" s="78">
        <f>IF(OR($F778="",$G778=""),"",($G778-$F778)*24)</f>
        <v/>
      </c>
      <c r="I778" s="74" t="inlineStr">
        <is>
          <t>Secondaire</t>
        </is>
      </c>
      <c r="J778" s="75" t="inlineStr">
        <is>
          <t>3éme Eco</t>
        </is>
      </c>
      <c r="K778" s="86" t="inlineStr">
        <is>
          <t>Gestion</t>
        </is>
      </c>
      <c r="L778" s="86" t="inlineStr">
        <is>
          <t>Gestion</t>
        </is>
      </c>
      <c r="M778" s="75" t="inlineStr">
        <is>
          <t>Yassine</t>
        </is>
      </c>
      <c r="N778" s="74" t="n"/>
      <c r="O778" s="74" t="n"/>
      <c r="P778" s="74" t="inlineStr">
        <is>
          <t>Hebdomadaire</t>
        </is>
      </c>
      <c r="Q778" s="75" t="inlineStr"/>
      <c r="R778" s="74" t="n">
        <v>1</v>
      </c>
      <c r="S778" s="74" t="inlineStr">
        <is>
          <t>Oui</t>
        </is>
      </c>
      <c r="T778" s="74" t="inlineStr">
        <is>
          <t>S7-029</t>
        </is>
      </c>
      <c r="U778" s="75" t="inlineStr">
        <is>
          <t>Généré (octobre)</t>
        </is>
      </c>
      <c r="V778" s="75" t="inlineStr"/>
      <c r="W778" s="10" t="n"/>
      <c r="X778" s="10" t="inlineStr"/>
      <c r="Y778" s="64">
        <f>IF($M778="","",IF(SUMPRODUCT(($D$4:$D$863=$D778)*($M$4:$M$863=$M778)*($T$4:$T$863&lt;&gt;$T778)*($F$4:$F$863&lt;$G778)*($G$4:$G$863&gt;$F778))&gt;0,"⚠ CONFLIT",""))</f>
        <v/>
      </c>
      <c r="Z778" s="64">
        <f>IF($J778="","",IF(SUMPRODUCT(($D$4:$D$863=$D778)*($J$4:$J$863=$J778)*($T$4:$T$863&lt;&gt;$T778)*($F$4:$F$863&lt;$G778)*($G$4:$G$863&gt;$F778)*(1-($X$4:$X$863="Oui")*($X778="Oui")))&gt;0,"⚠ CONFLIT",""))</f>
        <v/>
      </c>
      <c r="AA778" s="64">
        <f>IF(COUNTIFS($D$4:$D$863,$D778,$J$4:$J$863,$J778,$F$4:$F$863,$F778,$K$4:$K$863,$K778)&gt;1,"⚠ DOUBLON","")</f>
        <v/>
      </c>
      <c r="AB778" s="64">
        <f>IF(COUNTIF($T$4:$T$863,$T778)&lt;&gt;COUNTIFS($T$4:$T$863,$T778,$D$4:$D$863,$D778,$F$4:$F$863,$F778,$G$4:$G$863,$G778,$K$4:$K$863,$K778,$M$4:$M$863,$M778),"⚠ INCOHÉRENT","")</f>
        <v/>
      </c>
      <c r="AC778" s="64">
        <f>COUNTIFS($A$4:$A778,$A778,$J$4:$J778,$J778,$E$4:$E778,$E778)</f>
        <v/>
      </c>
      <c r="AD778" s="65">
        <f>$A778&amp;"|"&amp;$J778&amp;"|"&amp;$E778&amp;"|"&amp;$AC778</f>
        <v/>
      </c>
      <c r="AE778" s="66">
        <f>IF($W778&lt;&gt;"","⚑ "&amp;$W778&amp;CHAR(10),"")&amp;TEXT($F778,"hh:mm")&amp;"-"&amp;TEXT($G778,"hh:mm")&amp;IF(OR($P778="Quinzaine A",AND($P778="Hebdo · groupes alternés",$C778="A"))," Q-A",IF(OR($P778="Quinzaine B",AND($P778="Hebdo · groupes alternés",$C778="B"))," Q-B",IF($P778="Exception"," PONCT.","")))&amp;IF($X778="Oui"," OPT","")&amp;CHAR(10)&amp;$K778&amp;CHAR(10)&amp;$M778&amp;IF($N778&lt;&gt;"",CHAR(10)&amp;"Salle "&amp;$N778,"")&amp;IF($O778="En ligne",CHAR(10)&amp;"EN LIGNE","")&amp;IF($V778&lt;&gt;"",CHAR(10)&amp;$V778,"")</f>
        <v/>
      </c>
      <c r="AF778" s="65" t="inlineStr"/>
      <c r="AG778" s="65" t="inlineStr">
        <is>
          <t>— généré —</t>
        </is>
      </c>
    </row>
    <row r="779" ht="15" customHeight="1">
      <c r="A779" s="74" t="inlineStr">
        <is>
          <t>S7</t>
        </is>
      </c>
      <c r="B779" s="75" t="inlineStr">
        <is>
          <t>du 26 octobre au 1er novembre 2026</t>
        </is>
      </c>
      <c r="C779" s="74" t="inlineStr">
        <is>
          <t>A</t>
        </is>
      </c>
      <c r="D779" s="76" t="n">
        <v>46323</v>
      </c>
      <c r="E779" s="74" t="inlineStr">
        <is>
          <t>Mercredi</t>
        </is>
      </c>
      <c r="F779" s="77" t="n">
        <v>0.8125</v>
      </c>
      <c r="G779" s="77" t="n">
        <v>0.875</v>
      </c>
      <c r="H779" s="78">
        <f>IF(OR($F779="",$G779=""),"",($G779-$F779)*24)</f>
        <v/>
      </c>
      <c r="I779" s="74" t="inlineStr">
        <is>
          <t>Secondaire</t>
        </is>
      </c>
      <c r="J779" s="75" t="inlineStr">
        <is>
          <t>3éme INFO</t>
        </is>
      </c>
      <c r="K779" s="73" t="inlineStr">
        <is>
          <t>Physique</t>
        </is>
      </c>
      <c r="L779" s="73" t="inlineStr">
        <is>
          <t>Physique</t>
        </is>
      </c>
      <c r="M779" s="75" t="inlineStr">
        <is>
          <t>Samia</t>
        </is>
      </c>
      <c r="N779" s="74" t="n"/>
      <c r="O779" s="74" t="n"/>
      <c r="P779" s="74" t="inlineStr">
        <is>
          <t>Hebdomadaire</t>
        </is>
      </c>
      <c r="Q779" s="75" t="inlineStr"/>
      <c r="R779" s="74" t="n">
        <v>1</v>
      </c>
      <c r="S779" s="74" t="inlineStr">
        <is>
          <t>Oui</t>
        </is>
      </c>
      <c r="T779" s="74" t="inlineStr">
        <is>
          <t>S7-030</t>
        </is>
      </c>
      <c r="U779" s="75" t="inlineStr">
        <is>
          <t>Généré (octobre)</t>
        </is>
      </c>
      <c r="V779" s="75" t="inlineStr"/>
      <c r="W779" s="10" t="n"/>
      <c r="X779" s="10" t="inlineStr"/>
      <c r="Y779" s="64">
        <f>IF($M779="","",IF(SUMPRODUCT(($D$4:$D$863=$D779)*($M$4:$M$863=$M779)*($T$4:$T$863&lt;&gt;$T779)*($F$4:$F$863&lt;$G779)*($G$4:$G$863&gt;$F779))&gt;0,"⚠ CONFLIT",""))</f>
        <v/>
      </c>
      <c r="Z779" s="64">
        <f>IF($J779="","",IF(SUMPRODUCT(($D$4:$D$863=$D779)*($J$4:$J$863=$J779)*($T$4:$T$863&lt;&gt;$T779)*($F$4:$F$863&lt;$G779)*($G$4:$G$863&gt;$F779)*(1-($X$4:$X$863="Oui")*($X779="Oui")))&gt;0,"⚠ CONFLIT",""))</f>
        <v/>
      </c>
      <c r="AA779" s="64">
        <f>IF(COUNTIFS($D$4:$D$863,$D779,$J$4:$J$863,$J779,$F$4:$F$863,$F779,$K$4:$K$863,$K779)&gt;1,"⚠ DOUBLON","")</f>
        <v/>
      </c>
      <c r="AB779" s="64">
        <f>IF(COUNTIF($T$4:$T$863,$T779)&lt;&gt;COUNTIFS($T$4:$T$863,$T779,$D$4:$D$863,$D779,$F$4:$F$863,$F779,$G$4:$G$863,$G779,$K$4:$K$863,$K779,$M$4:$M$863,$M779),"⚠ INCOHÉRENT","")</f>
        <v/>
      </c>
      <c r="AC779" s="64">
        <f>COUNTIFS($A$4:$A779,$A779,$J$4:$J779,$J779,$E$4:$E779,$E779)</f>
        <v/>
      </c>
      <c r="AD779" s="65">
        <f>$A779&amp;"|"&amp;$J779&amp;"|"&amp;$E779&amp;"|"&amp;$AC779</f>
        <v/>
      </c>
      <c r="AE779" s="66">
        <f>IF($W779&lt;&gt;"","⚑ "&amp;$W779&amp;CHAR(10),"")&amp;TEXT($F779,"hh:mm")&amp;"-"&amp;TEXT($G779,"hh:mm")&amp;IF(OR($P779="Quinzaine A",AND($P779="Hebdo · groupes alternés",$C779="A"))," Q-A",IF(OR($P779="Quinzaine B",AND($P779="Hebdo · groupes alternés",$C779="B"))," Q-B",IF($P779="Exception"," PONCT.","")))&amp;IF($X779="Oui"," OPT","")&amp;CHAR(10)&amp;$K779&amp;CHAR(10)&amp;$M779&amp;IF($N779&lt;&gt;"",CHAR(10)&amp;"Salle "&amp;$N779,"")&amp;IF($O779="En ligne",CHAR(10)&amp;"EN LIGNE","")&amp;IF($V779&lt;&gt;"",CHAR(10)&amp;$V779,"")</f>
        <v/>
      </c>
      <c r="AF779" s="65" t="inlineStr"/>
      <c r="AG779" s="65" t="inlineStr">
        <is>
          <t>— généré —</t>
        </is>
      </c>
    </row>
    <row r="780" ht="15" customHeight="1">
      <c r="A780" s="81" t="inlineStr">
        <is>
          <t>S7</t>
        </is>
      </c>
      <c r="B780" s="82" t="inlineStr">
        <is>
          <t>du 26 octobre au 1er novembre 2026</t>
        </is>
      </c>
      <c r="C780" s="81" t="inlineStr">
        <is>
          <t>A</t>
        </is>
      </c>
      <c r="D780" s="83" t="n">
        <v>46323</v>
      </c>
      <c r="E780" s="81" t="inlineStr">
        <is>
          <t>Mercredi</t>
        </is>
      </c>
      <c r="F780" s="84" t="n">
        <v>0.7916666666666666</v>
      </c>
      <c r="G780" s="84" t="n">
        <v>0.875</v>
      </c>
      <c r="H780" s="85">
        <f>IF(OR($F780="",$G780=""),"",($G780-$F780)*24)</f>
        <v/>
      </c>
      <c r="I780" s="81" t="inlineStr">
        <is>
          <t>Bac</t>
        </is>
      </c>
      <c r="J780" s="82" t="inlineStr">
        <is>
          <t>Bac SCE</t>
        </is>
      </c>
      <c r="K780" s="79" t="inlineStr">
        <is>
          <t>Math</t>
        </is>
      </c>
      <c r="L780" s="79" t="inlineStr">
        <is>
          <t>Math</t>
        </is>
      </c>
      <c r="M780" s="82" t="inlineStr">
        <is>
          <t>Ahmed</t>
        </is>
      </c>
      <c r="N780" s="81" t="n"/>
      <c r="O780" s="81" t="n"/>
      <c r="P780" s="81" t="inlineStr">
        <is>
          <t>Hebdomadaire</t>
        </is>
      </c>
      <c r="Q780" s="82" t="inlineStr"/>
      <c r="R780" s="81" t="n">
        <v>1</v>
      </c>
      <c r="S780" s="81" t="inlineStr">
        <is>
          <t>Oui</t>
        </is>
      </c>
      <c r="T780" s="81" t="inlineStr">
        <is>
          <t>S7-031</t>
        </is>
      </c>
      <c r="U780" s="82" t="inlineStr">
        <is>
          <t>Généré (octobre)</t>
        </is>
      </c>
      <c r="V780" s="82" t="inlineStr"/>
      <c r="W780" s="10" t="n"/>
      <c r="X780" s="10" t="inlineStr"/>
      <c r="Y780" s="64">
        <f>IF($M780="","",IF(SUMPRODUCT(($D$4:$D$863=$D780)*($M$4:$M$863=$M780)*($T$4:$T$863&lt;&gt;$T780)*($F$4:$F$863&lt;$G780)*($G$4:$G$863&gt;$F780))&gt;0,"⚠ CONFLIT",""))</f>
        <v/>
      </c>
      <c r="Z780" s="64">
        <f>IF($J780="","",IF(SUMPRODUCT(($D$4:$D$863=$D780)*($J$4:$J$863=$J780)*($T$4:$T$863&lt;&gt;$T780)*($F$4:$F$863&lt;$G780)*($G$4:$G$863&gt;$F780)*(1-($X$4:$X$863="Oui")*($X780="Oui")))&gt;0,"⚠ CONFLIT",""))</f>
        <v/>
      </c>
      <c r="AA780" s="64">
        <f>IF(COUNTIFS($D$4:$D$863,$D780,$J$4:$J$863,$J780,$F$4:$F$863,$F780,$K$4:$K$863,$K780)&gt;1,"⚠ DOUBLON","")</f>
        <v/>
      </c>
      <c r="AB780" s="64">
        <f>IF(COUNTIF($T$4:$T$863,$T780)&lt;&gt;COUNTIFS($T$4:$T$863,$T780,$D$4:$D$863,$D780,$F$4:$F$863,$F780,$G$4:$G$863,$G780,$K$4:$K$863,$K780,$M$4:$M$863,$M780),"⚠ INCOHÉRENT","")</f>
        <v/>
      </c>
      <c r="AC780" s="64">
        <f>COUNTIFS($A$4:$A780,$A780,$J$4:$J780,$J780,$E$4:$E780,$E780)</f>
        <v/>
      </c>
      <c r="AD780" s="65">
        <f>$A780&amp;"|"&amp;$J780&amp;"|"&amp;$E780&amp;"|"&amp;$AC780</f>
        <v/>
      </c>
      <c r="AE780" s="66">
        <f>IF($W780&lt;&gt;"","⚑ "&amp;$W780&amp;CHAR(10),"")&amp;TEXT($F780,"hh:mm")&amp;"-"&amp;TEXT($G780,"hh:mm")&amp;IF(OR($P780="Quinzaine A",AND($P780="Hebdo · groupes alternés",$C780="A"))," Q-A",IF(OR($P780="Quinzaine B",AND($P780="Hebdo · groupes alternés",$C780="B"))," Q-B",IF($P780="Exception"," PONCT.","")))&amp;IF($X780="Oui"," OPT","")&amp;CHAR(10)&amp;$K780&amp;CHAR(10)&amp;$M780&amp;IF($N780&lt;&gt;"",CHAR(10)&amp;"Salle "&amp;$N780,"")&amp;IF($O780="En ligne",CHAR(10)&amp;"EN LIGNE","")&amp;IF($V780&lt;&gt;"",CHAR(10)&amp;$V780,"")</f>
        <v/>
      </c>
      <c r="AF780" s="65" t="inlineStr"/>
      <c r="AG780" s="65" t="inlineStr">
        <is>
          <t>— généré —</t>
        </is>
      </c>
    </row>
    <row r="781" ht="15" customHeight="1">
      <c r="A781" s="81" t="inlineStr">
        <is>
          <t>S7</t>
        </is>
      </c>
      <c r="B781" s="82" t="inlineStr">
        <is>
          <t>du 26 octobre au 1er novembre 2026</t>
        </is>
      </c>
      <c r="C781" s="81" t="inlineStr">
        <is>
          <t>A</t>
        </is>
      </c>
      <c r="D781" s="83" t="n">
        <v>46323</v>
      </c>
      <c r="E781" s="81" t="inlineStr">
        <is>
          <t>Mercredi</t>
        </is>
      </c>
      <c r="F781" s="84" t="n">
        <v>0.7916666666666666</v>
      </c>
      <c r="G781" s="84" t="n">
        <v>0.875</v>
      </c>
      <c r="H781" s="85">
        <f>IF(OR($F781="",$G781=""),"",($G781-$F781)*24)</f>
        <v/>
      </c>
      <c r="I781" s="81" t="inlineStr">
        <is>
          <t>Bac</t>
        </is>
      </c>
      <c r="J781" s="82" t="inlineStr">
        <is>
          <t>Bac INFO</t>
        </is>
      </c>
      <c r="K781" s="96" t="inlineStr">
        <is>
          <t>STI</t>
        </is>
      </c>
      <c r="L781" s="96" t="inlineStr">
        <is>
          <t>STI</t>
        </is>
      </c>
      <c r="M781" s="82" t="inlineStr">
        <is>
          <t>Aymen</t>
        </is>
      </c>
      <c r="N781" s="81" t="n"/>
      <c r="O781" s="81" t="n"/>
      <c r="P781" s="81" t="inlineStr">
        <is>
          <t>Hebdomadaire</t>
        </is>
      </c>
      <c r="Q781" s="82" t="inlineStr"/>
      <c r="R781" s="81" t="n">
        <v>1</v>
      </c>
      <c r="S781" s="81" t="inlineStr">
        <is>
          <t>Oui</t>
        </is>
      </c>
      <c r="T781" s="81" t="inlineStr">
        <is>
          <t>S7-091</t>
        </is>
      </c>
      <c r="U781" s="82" t="inlineStr">
        <is>
          <t>Généré (octobre)</t>
        </is>
      </c>
      <c r="V781" s="82" t="inlineStr"/>
      <c r="W781" s="10" t="n"/>
      <c r="X781" s="10" t="inlineStr"/>
      <c r="Y781" s="64">
        <f>IF($M781="","",IF(SUMPRODUCT(($D$4:$D$863=$D781)*($M$4:$M$863=$M781)*($T$4:$T$863&lt;&gt;$T781)*($F$4:$F$863&lt;$G781)*($G$4:$G$863&gt;$F781))&gt;0,"⚠ CONFLIT",""))</f>
        <v/>
      </c>
      <c r="Z781" s="64">
        <f>IF($J781="","",IF(SUMPRODUCT(($D$4:$D$863=$D781)*($J$4:$J$863=$J781)*($T$4:$T$863&lt;&gt;$T781)*($F$4:$F$863&lt;$G781)*($G$4:$G$863&gt;$F781)*(1-($X$4:$X$863="Oui")*($X781="Oui")))&gt;0,"⚠ CONFLIT",""))</f>
        <v/>
      </c>
      <c r="AA781" s="64">
        <f>IF(COUNTIFS($D$4:$D$863,$D781,$J$4:$J$863,$J781,$F$4:$F$863,$F781,$K$4:$K$863,$K781)&gt;1,"⚠ DOUBLON","")</f>
        <v/>
      </c>
      <c r="AB781" s="64">
        <f>IF(COUNTIF($T$4:$T$863,$T781)&lt;&gt;COUNTIFS($T$4:$T$863,$T781,$D$4:$D$863,$D781,$F$4:$F$863,$F781,$G$4:$G$863,$G781,$K$4:$K$863,$K781,$M$4:$M$863,$M781),"⚠ INCOHÉRENT","")</f>
        <v/>
      </c>
      <c r="AC781" s="64">
        <f>COUNTIFS($A$4:$A781,$A781,$J$4:$J781,$J781,$E$4:$E781,$E781)</f>
        <v/>
      </c>
      <c r="AD781" s="65">
        <f>$A781&amp;"|"&amp;$J781&amp;"|"&amp;$E781&amp;"|"&amp;$AC781</f>
        <v/>
      </c>
      <c r="AE781" s="66">
        <f>IF($W781&lt;&gt;"","⚑ "&amp;$W781&amp;CHAR(10),"")&amp;TEXT($F781,"hh:mm")&amp;"-"&amp;TEXT($G781,"hh:mm")&amp;IF(OR($P781="Quinzaine A",AND($P781="Hebdo · groupes alternés",$C781="A"))," Q-A",IF(OR($P781="Quinzaine B",AND($P781="Hebdo · groupes alternés",$C781="B"))," Q-B",IF($P781="Exception"," PONCT.","")))&amp;IF($X781="Oui"," OPT","")&amp;CHAR(10)&amp;$K781&amp;CHAR(10)&amp;$M781&amp;IF($N781&lt;&gt;"",CHAR(10)&amp;"Salle "&amp;$N781,"")&amp;IF($O781="En ligne",CHAR(10)&amp;"EN LIGNE","")&amp;IF($V781&lt;&gt;"",CHAR(10)&amp;$V781,"")</f>
        <v/>
      </c>
      <c r="AF781" s="65" t="inlineStr"/>
      <c r="AG781" s="65" t="inlineStr">
        <is>
          <t>— généré —</t>
        </is>
      </c>
    </row>
    <row r="782" ht="15" customHeight="1">
      <c r="A782" s="58" t="inlineStr">
        <is>
          <t>S7</t>
        </is>
      </c>
      <c r="B782" s="59" t="inlineStr">
        <is>
          <t>du 26 octobre au 1er novembre 2026</t>
        </is>
      </c>
      <c r="C782" s="58" t="inlineStr">
        <is>
          <t>A</t>
        </is>
      </c>
      <c r="D782" s="60" t="n">
        <v>46324</v>
      </c>
      <c r="E782" s="58" t="inlineStr">
        <is>
          <t>Jeudi</t>
        </is>
      </c>
      <c r="F782" s="61" t="n">
        <v>0.7916666666666666</v>
      </c>
      <c r="G782" s="61" t="n">
        <v>0.875</v>
      </c>
      <c r="H782" s="62">
        <f>IF(OR($F782="",$G782=""),"",($G782-$F782)*24)</f>
        <v/>
      </c>
      <c r="I782" s="58" t="inlineStr">
        <is>
          <t>Primaire</t>
        </is>
      </c>
      <c r="J782" s="59" t="inlineStr">
        <is>
          <t>5éme</t>
        </is>
      </c>
      <c r="K782" s="79" t="inlineStr">
        <is>
          <t>رياضيات</t>
        </is>
      </c>
      <c r="L782" s="79" t="inlineStr">
        <is>
          <t>Math</t>
        </is>
      </c>
      <c r="M782" s="59" t="inlineStr">
        <is>
          <t>Bassma</t>
        </is>
      </c>
      <c r="N782" s="58" t="n"/>
      <c r="O782" s="58" t="n"/>
      <c r="P782" s="58" t="inlineStr">
        <is>
          <t>Hebdomadaire</t>
        </is>
      </c>
      <c r="Q782" s="59" t="inlineStr"/>
      <c r="R782" s="58" t="n">
        <v>1</v>
      </c>
      <c r="S782" s="58" t="inlineStr">
        <is>
          <t>Oui</t>
        </is>
      </c>
      <c r="T782" s="58" t="inlineStr">
        <is>
          <t>S7-032</t>
        </is>
      </c>
      <c r="U782" s="59" t="inlineStr">
        <is>
          <t>Généré (octobre)</t>
        </is>
      </c>
      <c r="V782" s="59" t="inlineStr"/>
      <c r="W782" s="10" t="n"/>
      <c r="X782" s="10" t="inlineStr"/>
      <c r="Y782" s="64">
        <f>IF($M782="","",IF(SUMPRODUCT(($D$4:$D$863=$D782)*($M$4:$M$863=$M782)*($T$4:$T$863&lt;&gt;$T782)*($F$4:$F$863&lt;$G782)*($G$4:$G$863&gt;$F782))&gt;0,"⚠ CONFLIT",""))</f>
        <v/>
      </c>
      <c r="Z782" s="64">
        <f>IF($J782="","",IF(SUMPRODUCT(($D$4:$D$863=$D782)*($J$4:$J$863=$J782)*($T$4:$T$863&lt;&gt;$T782)*($F$4:$F$863&lt;$G782)*($G$4:$G$863&gt;$F782)*(1-($X$4:$X$863="Oui")*($X782="Oui")))&gt;0,"⚠ CONFLIT",""))</f>
        <v/>
      </c>
      <c r="AA782" s="64">
        <f>IF(COUNTIFS($D$4:$D$863,$D782,$J$4:$J$863,$J782,$F$4:$F$863,$F782,$K$4:$K$863,$K782)&gt;1,"⚠ DOUBLON","")</f>
        <v/>
      </c>
      <c r="AB782" s="64">
        <f>IF(COUNTIF($T$4:$T$863,$T782)&lt;&gt;COUNTIFS($T$4:$T$863,$T782,$D$4:$D$863,$D782,$F$4:$F$863,$F782,$G$4:$G$863,$G782,$K$4:$K$863,$K782,$M$4:$M$863,$M782),"⚠ INCOHÉRENT","")</f>
        <v/>
      </c>
      <c r="AC782" s="64">
        <f>COUNTIFS($A$4:$A782,$A782,$J$4:$J782,$J782,$E$4:$E782,$E782)</f>
        <v/>
      </c>
      <c r="AD782" s="65">
        <f>$A782&amp;"|"&amp;$J782&amp;"|"&amp;$E782&amp;"|"&amp;$AC782</f>
        <v/>
      </c>
      <c r="AE782" s="66">
        <f>IF($W782&lt;&gt;"","⚑ "&amp;$W782&amp;CHAR(10),"")&amp;TEXT($F782,"hh:mm")&amp;"-"&amp;TEXT($G782,"hh:mm")&amp;IF(OR($P782="Quinzaine A",AND($P782="Hebdo · groupes alternés",$C782="A"))," Q-A",IF(OR($P782="Quinzaine B",AND($P782="Hebdo · groupes alternés",$C782="B"))," Q-B",IF($P782="Exception"," PONCT.","")))&amp;IF($X782="Oui"," OPT","")&amp;CHAR(10)&amp;$K782&amp;CHAR(10)&amp;$M782&amp;IF($N782&lt;&gt;"",CHAR(10)&amp;"Salle "&amp;$N782,"")&amp;IF($O782="En ligne",CHAR(10)&amp;"EN LIGNE","")&amp;IF($V782&lt;&gt;"",CHAR(10)&amp;$V782,"")</f>
        <v/>
      </c>
      <c r="AF782" s="65" t="inlineStr"/>
      <c r="AG782" s="65" t="inlineStr">
        <is>
          <t>— généré —</t>
        </is>
      </c>
    </row>
    <row r="783" ht="15" customHeight="1">
      <c r="A783" s="58" t="inlineStr">
        <is>
          <t>S7</t>
        </is>
      </c>
      <c r="B783" s="59" t="inlineStr">
        <is>
          <t>du 26 octobre au 1er novembre 2026</t>
        </is>
      </c>
      <c r="C783" s="58" t="inlineStr">
        <is>
          <t>A</t>
        </is>
      </c>
      <c r="D783" s="60" t="n">
        <v>46324</v>
      </c>
      <c r="E783" s="58" t="inlineStr">
        <is>
          <t>Jeudi</t>
        </is>
      </c>
      <c r="F783" s="61" t="n">
        <v>0.7916666666666666</v>
      </c>
      <c r="G783" s="61" t="n">
        <v>0.875</v>
      </c>
      <c r="H783" s="62">
        <f>IF(OR($F783="",$G783=""),"",($G783-$F783)*24)</f>
        <v/>
      </c>
      <c r="I783" s="58" t="inlineStr">
        <is>
          <t>Primaire</t>
        </is>
      </c>
      <c r="J783" s="59" t="inlineStr">
        <is>
          <t>6éme (B)</t>
        </is>
      </c>
      <c r="K783" s="79" t="inlineStr">
        <is>
          <t>رياضيات</t>
        </is>
      </c>
      <c r="L783" s="79" t="inlineStr">
        <is>
          <t>Math</t>
        </is>
      </c>
      <c r="M783" s="59" t="inlineStr">
        <is>
          <t>Noura</t>
        </is>
      </c>
      <c r="N783" s="58" t="n"/>
      <c r="O783" s="58" t="n"/>
      <c r="P783" s="58" t="inlineStr">
        <is>
          <t>Hebdomadaire</t>
        </is>
      </c>
      <c r="Q783" s="59" t="inlineStr"/>
      <c r="R783" s="58" t="n">
        <v>1</v>
      </c>
      <c r="S783" s="58" t="inlineStr">
        <is>
          <t>Oui</t>
        </is>
      </c>
      <c r="T783" s="58" t="inlineStr">
        <is>
          <t>S7-033</t>
        </is>
      </c>
      <c r="U783" s="59" t="inlineStr">
        <is>
          <t>Généré (octobre)</t>
        </is>
      </c>
      <c r="V783" s="59" t="inlineStr"/>
      <c r="W783" s="10" t="n"/>
      <c r="X783" s="10" t="inlineStr"/>
      <c r="Y783" s="64">
        <f>IF($M783="","",IF(SUMPRODUCT(($D$4:$D$863=$D783)*($M$4:$M$863=$M783)*($T$4:$T$863&lt;&gt;$T783)*($F$4:$F$863&lt;$G783)*($G$4:$G$863&gt;$F783))&gt;0,"⚠ CONFLIT",""))</f>
        <v/>
      </c>
      <c r="Z783" s="64">
        <f>IF($J783="","",IF(SUMPRODUCT(($D$4:$D$863=$D783)*($J$4:$J$863=$J783)*($T$4:$T$863&lt;&gt;$T783)*($F$4:$F$863&lt;$G783)*($G$4:$G$863&gt;$F783)*(1-($X$4:$X$863="Oui")*($X783="Oui")))&gt;0,"⚠ CONFLIT",""))</f>
        <v/>
      </c>
      <c r="AA783" s="64">
        <f>IF(COUNTIFS($D$4:$D$863,$D783,$J$4:$J$863,$J783,$F$4:$F$863,$F783,$K$4:$K$863,$K783)&gt;1,"⚠ DOUBLON","")</f>
        <v/>
      </c>
      <c r="AB783" s="64">
        <f>IF(COUNTIF($T$4:$T$863,$T783)&lt;&gt;COUNTIFS($T$4:$T$863,$T783,$D$4:$D$863,$D783,$F$4:$F$863,$F783,$G$4:$G$863,$G783,$K$4:$K$863,$K783,$M$4:$M$863,$M783),"⚠ INCOHÉRENT","")</f>
        <v/>
      </c>
      <c r="AC783" s="64">
        <f>COUNTIFS($A$4:$A783,$A783,$J$4:$J783,$J783,$E$4:$E783,$E783)</f>
        <v/>
      </c>
      <c r="AD783" s="65">
        <f>$A783&amp;"|"&amp;$J783&amp;"|"&amp;$E783&amp;"|"&amp;$AC783</f>
        <v/>
      </c>
      <c r="AE783" s="66">
        <f>IF($W783&lt;&gt;"","⚑ "&amp;$W783&amp;CHAR(10),"")&amp;TEXT($F783,"hh:mm")&amp;"-"&amp;TEXT($G783,"hh:mm")&amp;IF(OR($P783="Quinzaine A",AND($P783="Hebdo · groupes alternés",$C783="A"))," Q-A",IF(OR($P783="Quinzaine B",AND($P783="Hebdo · groupes alternés",$C783="B"))," Q-B",IF($P783="Exception"," PONCT.","")))&amp;IF($X783="Oui"," OPT","")&amp;CHAR(10)&amp;$K783&amp;CHAR(10)&amp;$M783&amp;IF($N783&lt;&gt;"",CHAR(10)&amp;"Salle "&amp;$N783,"")&amp;IF($O783="En ligne",CHAR(10)&amp;"EN LIGNE","")&amp;IF($V783&lt;&gt;"",CHAR(10)&amp;$V783,"")</f>
        <v/>
      </c>
      <c r="AF783" s="65" t="inlineStr"/>
      <c r="AG783" s="65" t="inlineStr">
        <is>
          <t>— généré —</t>
        </is>
      </c>
    </row>
    <row r="784" ht="15" customHeight="1">
      <c r="A784" s="68" t="inlineStr">
        <is>
          <t>S7</t>
        </is>
      </c>
      <c r="B784" s="69" t="inlineStr">
        <is>
          <t>du 26 octobre au 1er novembre 2026</t>
        </is>
      </c>
      <c r="C784" s="68" t="inlineStr">
        <is>
          <t>A</t>
        </is>
      </c>
      <c r="D784" s="70" t="n">
        <v>46324</v>
      </c>
      <c r="E784" s="68" t="inlineStr">
        <is>
          <t>Jeudi</t>
        </is>
      </c>
      <c r="F784" s="71" t="n">
        <v>0.8020833333333334</v>
      </c>
      <c r="G784" s="71" t="n">
        <v>0.8645833333333334</v>
      </c>
      <c r="H784" s="72">
        <f>IF(OR($F784="",$G784=""),"",($G784-$F784)*24)</f>
        <v/>
      </c>
      <c r="I784" s="68" t="inlineStr">
        <is>
          <t>Collège</t>
        </is>
      </c>
      <c r="J784" s="69" t="inlineStr">
        <is>
          <t>8éme (A)</t>
        </is>
      </c>
      <c r="K784" s="67" t="inlineStr">
        <is>
          <t>Français</t>
        </is>
      </c>
      <c r="L784" s="67" t="inlineStr">
        <is>
          <t>Français</t>
        </is>
      </c>
      <c r="M784" s="69" t="inlineStr">
        <is>
          <t>Nassima</t>
        </is>
      </c>
      <c r="N784" s="68" t="n"/>
      <c r="O784" s="68" t="n"/>
      <c r="P784" s="68" t="inlineStr">
        <is>
          <t>Hebdomadaire</t>
        </is>
      </c>
      <c r="Q784" s="69" t="inlineStr"/>
      <c r="R784" s="68" t="n">
        <v>1</v>
      </c>
      <c r="S784" s="68" t="inlineStr">
        <is>
          <t>Oui</t>
        </is>
      </c>
      <c r="T784" s="68" t="inlineStr">
        <is>
          <t>S7-034</t>
        </is>
      </c>
      <c r="U784" s="69" t="inlineStr">
        <is>
          <t>Généré (octobre)</t>
        </is>
      </c>
      <c r="V784" s="69" t="inlineStr"/>
      <c r="W784" s="10" t="n"/>
      <c r="X784" s="10" t="inlineStr"/>
      <c r="Y784" s="64">
        <f>IF($M784="","",IF(SUMPRODUCT(($D$4:$D$863=$D784)*($M$4:$M$863=$M784)*($T$4:$T$863&lt;&gt;$T784)*($F$4:$F$863&lt;$G784)*($G$4:$G$863&gt;$F784))&gt;0,"⚠ CONFLIT",""))</f>
        <v/>
      </c>
      <c r="Z784" s="64">
        <f>IF($J784="","",IF(SUMPRODUCT(($D$4:$D$863=$D784)*($J$4:$J$863=$J784)*($T$4:$T$863&lt;&gt;$T784)*($F$4:$F$863&lt;$G784)*($G$4:$G$863&gt;$F784)*(1-($X$4:$X$863="Oui")*($X784="Oui")))&gt;0,"⚠ CONFLIT",""))</f>
        <v/>
      </c>
      <c r="AA784" s="64">
        <f>IF(COUNTIFS($D$4:$D$863,$D784,$J$4:$J$863,$J784,$F$4:$F$863,$F784,$K$4:$K$863,$K784)&gt;1,"⚠ DOUBLON","")</f>
        <v/>
      </c>
      <c r="AB784" s="64">
        <f>IF(COUNTIF($T$4:$T$863,$T784)&lt;&gt;COUNTIFS($T$4:$T$863,$T784,$D$4:$D$863,$D784,$F$4:$F$863,$F784,$G$4:$G$863,$G784,$K$4:$K$863,$K784,$M$4:$M$863,$M784),"⚠ INCOHÉRENT","")</f>
        <v/>
      </c>
      <c r="AC784" s="64">
        <f>COUNTIFS($A$4:$A784,$A784,$J$4:$J784,$J784,$E$4:$E784,$E784)</f>
        <v/>
      </c>
      <c r="AD784" s="65">
        <f>$A784&amp;"|"&amp;$J784&amp;"|"&amp;$E784&amp;"|"&amp;$AC784</f>
        <v/>
      </c>
      <c r="AE784" s="66">
        <f>IF($W784&lt;&gt;"","⚑ "&amp;$W784&amp;CHAR(10),"")&amp;TEXT($F784,"hh:mm")&amp;"-"&amp;TEXT($G784,"hh:mm")&amp;IF(OR($P784="Quinzaine A",AND($P784="Hebdo · groupes alternés",$C784="A"))," Q-A",IF(OR($P784="Quinzaine B",AND($P784="Hebdo · groupes alternés",$C784="B"))," Q-B",IF($P784="Exception"," PONCT.","")))&amp;IF($X784="Oui"," OPT","")&amp;CHAR(10)&amp;$K784&amp;CHAR(10)&amp;$M784&amp;IF($N784&lt;&gt;"",CHAR(10)&amp;"Salle "&amp;$N784,"")&amp;IF($O784="En ligne",CHAR(10)&amp;"EN LIGNE","")&amp;IF($V784&lt;&gt;"",CHAR(10)&amp;$V784,"")</f>
        <v/>
      </c>
      <c r="AF784" s="65" t="inlineStr"/>
      <c r="AG784" s="65" t="inlineStr">
        <is>
          <t>— généré —</t>
        </is>
      </c>
    </row>
    <row r="785" ht="15" customHeight="1">
      <c r="A785" s="68" t="inlineStr">
        <is>
          <t>S7</t>
        </is>
      </c>
      <c r="B785" s="69" t="inlineStr">
        <is>
          <t>du 26 octobre au 1er novembre 2026</t>
        </is>
      </c>
      <c r="C785" s="68" t="inlineStr">
        <is>
          <t>A</t>
        </is>
      </c>
      <c r="D785" s="70" t="n">
        <v>46324</v>
      </c>
      <c r="E785" s="68" t="inlineStr">
        <is>
          <t>Jeudi</t>
        </is>
      </c>
      <c r="F785" s="71" t="n">
        <v>0.8020833333333334</v>
      </c>
      <c r="G785" s="71" t="n">
        <v>0.8645833333333334</v>
      </c>
      <c r="H785" s="72">
        <f>IF(OR($F785="",$G785=""),"",($G785-$F785)*24)</f>
        <v/>
      </c>
      <c r="I785" s="68" t="inlineStr">
        <is>
          <t>Collège</t>
        </is>
      </c>
      <c r="J785" s="69" t="inlineStr">
        <is>
          <t>8éme (C)</t>
        </is>
      </c>
      <c r="K785" s="79" t="inlineStr">
        <is>
          <t>Math</t>
        </is>
      </c>
      <c r="L785" s="79" t="inlineStr">
        <is>
          <t>Math</t>
        </is>
      </c>
      <c r="M785" s="69" t="inlineStr">
        <is>
          <t>Khouloud</t>
        </is>
      </c>
      <c r="N785" s="68" t="n"/>
      <c r="O785" s="68" t="n"/>
      <c r="P785" s="68" t="inlineStr">
        <is>
          <t>Hebdomadaire</t>
        </is>
      </c>
      <c r="Q785" s="69" t="inlineStr"/>
      <c r="R785" s="68" t="n">
        <v>1</v>
      </c>
      <c r="S785" s="68" t="inlineStr">
        <is>
          <t>Oui</t>
        </is>
      </c>
      <c r="T785" s="68" t="inlineStr">
        <is>
          <t>S7-035</t>
        </is>
      </c>
      <c r="U785" s="69" t="inlineStr">
        <is>
          <t>Généré (octobre)</t>
        </is>
      </c>
      <c r="V785" s="69" t="inlineStr"/>
      <c r="W785" s="10" t="n"/>
      <c r="X785" s="10" t="inlineStr"/>
      <c r="Y785" s="64">
        <f>IF($M785="","",IF(SUMPRODUCT(($D$4:$D$863=$D785)*($M$4:$M$863=$M785)*($T$4:$T$863&lt;&gt;$T785)*($F$4:$F$863&lt;$G785)*($G$4:$G$863&gt;$F785))&gt;0,"⚠ CONFLIT",""))</f>
        <v/>
      </c>
      <c r="Z785" s="64">
        <f>IF($J785="","",IF(SUMPRODUCT(($D$4:$D$863=$D785)*($J$4:$J$863=$J785)*($T$4:$T$863&lt;&gt;$T785)*($F$4:$F$863&lt;$G785)*($G$4:$G$863&gt;$F785)*(1-($X$4:$X$863="Oui")*($X785="Oui")))&gt;0,"⚠ CONFLIT",""))</f>
        <v/>
      </c>
      <c r="AA785" s="64">
        <f>IF(COUNTIFS($D$4:$D$863,$D785,$J$4:$J$863,$J785,$F$4:$F$863,$F785,$K$4:$K$863,$K785)&gt;1,"⚠ DOUBLON","")</f>
        <v/>
      </c>
      <c r="AB785" s="64">
        <f>IF(COUNTIF($T$4:$T$863,$T785)&lt;&gt;COUNTIFS($T$4:$T$863,$T785,$D$4:$D$863,$D785,$F$4:$F$863,$F785,$G$4:$G$863,$G785,$K$4:$K$863,$K785,$M$4:$M$863,$M785),"⚠ INCOHÉRENT","")</f>
        <v/>
      </c>
      <c r="AC785" s="64">
        <f>COUNTIFS($A$4:$A785,$A785,$J$4:$J785,$J785,$E$4:$E785,$E785)</f>
        <v/>
      </c>
      <c r="AD785" s="65">
        <f>$A785&amp;"|"&amp;$J785&amp;"|"&amp;$E785&amp;"|"&amp;$AC785</f>
        <v/>
      </c>
      <c r="AE785" s="66">
        <f>IF($W785&lt;&gt;"","⚑ "&amp;$W785&amp;CHAR(10),"")&amp;TEXT($F785,"hh:mm")&amp;"-"&amp;TEXT($G785,"hh:mm")&amp;IF(OR($P785="Quinzaine A",AND($P785="Hebdo · groupes alternés",$C785="A"))," Q-A",IF(OR($P785="Quinzaine B",AND($P785="Hebdo · groupes alternés",$C785="B"))," Q-B",IF($P785="Exception"," PONCT.","")))&amp;IF($X785="Oui"," OPT","")&amp;CHAR(10)&amp;$K785&amp;CHAR(10)&amp;$M785&amp;IF($N785&lt;&gt;"",CHAR(10)&amp;"Salle "&amp;$N785,"")&amp;IF($O785="En ligne",CHAR(10)&amp;"EN LIGNE","")&amp;IF($V785&lt;&gt;"",CHAR(10)&amp;$V785,"")</f>
        <v/>
      </c>
      <c r="AF785" s="65" t="inlineStr"/>
      <c r="AG785" s="65" t="inlineStr">
        <is>
          <t>— généré —</t>
        </is>
      </c>
    </row>
    <row r="786" ht="15" customHeight="1">
      <c r="A786" s="68" t="inlineStr">
        <is>
          <t>S7</t>
        </is>
      </c>
      <c r="B786" s="69" t="inlineStr">
        <is>
          <t>du 26 octobre au 1er novembre 2026</t>
        </is>
      </c>
      <c r="C786" s="68" t="inlineStr">
        <is>
          <t>A</t>
        </is>
      </c>
      <c r="D786" s="70" t="n">
        <v>46324</v>
      </c>
      <c r="E786" s="68" t="inlineStr">
        <is>
          <t>Jeudi</t>
        </is>
      </c>
      <c r="F786" s="71" t="n">
        <v>0.8020833333333334</v>
      </c>
      <c r="G786" s="71" t="n">
        <v>0.8645833333333334</v>
      </c>
      <c r="H786" s="72">
        <f>IF(OR($F786="",$G786=""),"",($G786-$F786)*24)</f>
        <v/>
      </c>
      <c r="I786" s="68" t="inlineStr">
        <is>
          <t>Collège</t>
        </is>
      </c>
      <c r="J786" s="69" t="inlineStr">
        <is>
          <t>9éme (A)</t>
        </is>
      </c>
      <c r="K786" s="88" t="inlineStr">
        <is>
          <t>SVT</t>
        </is>
      </c>
      <c r="L786" s="88" t="inlineStr">
        <is>
          <t>SVT</t>
        </is>
      </c>
      <c r="M786" s="69" t="inlineStr">
        <is>
          <t>Imen Jribi</t>
        </is>
      </c>
      <c r="N786" s="68" t="n"/>
      <c r="O786" s="68" t="n"/>
      <c r="P786" s="68" t="inlineStr">
        <is>
          <t>Hebdomadaire</t>
        </is>
      </c>
      <c r="Q786" s="69" t="inlineStr"/>
      <c r="R786" s="68" t="n">
        <v>1</v>
      </c>
      <c r="S786" s="68" t="inlineStr">
        <is>
          <t>Oui</t>
        </is>
      </c>
      <c r="T786" s="68" t="inlineStr">
        <is>
          <t>S7-036</t>
        </is>
      </c>
      <c r="U786" s="69" t="inlineStr">
        <is>
          <t>Généré (octobre)</t>
        </is>
      </c>
      <c r="V786" s="69" t="inlineStr"/>
      <c r="W786" s="10" t="n"/>
      <c r="X786" s="10" t="inlineStr"/>
      <c r="Y786" s="64">
        <f>IF($M786="","",IF(SUMPRODUCT(($D$4:$D$863=$D786)*($M$4:$M$863=$M786)*($T$4:$T$863&lt;&gt;$T786)*($F$4:$F$863&lt;$G786)*($G$4:$G$863&gt;$F786))&gt;0,"⚠ CONFLIT",""))</f>
        <v/>
      </c>
      <c r="Z786" s="64">
        <f>IF($J786="","",IF(SUMPRODUCT(($D$4:$D$863=$D786)*($J$4:$J$863=$J786)*($T$4:$T$863&lt;&gt;$T786)*($F$4:$F$863&lt;$G786)*($G$4:$G$863&gt;$F786)*(1-($X$4:$X$863="Oui")*($X786="Oui")))&gt;0,"⚠ CONFLIT",""))</f>
        <v/>
      </c>
      <c r="AA786" s="64">
        <f>IF(COUNTIFS($D$4:$D$863,$D786,$J$4:$J$863,$J786,$F$4:$F$863,$F786,$K$4:$K$863,$K786)&gt;1,"⚠ DOUBLON","")</f>
        <v/>
      </c>
      <c r="AB786" s="64">
        <f>IF(COUNTIF($T$4:$T$863,$T786)&lt;&gt;COUNTIFS($T$4:$T$863,$T786,$D$4:$D$863,$D786,$F$4:$F$863,$F786,$G$4:$G$863,$G786,$K$4:$K$863,$K786,$M$4:$M$863,$M786),"⚠ INCOHÉRENT","")</f>
        <v/>
      </c>
      <c r="AC786" s="64">
        <f>COUNTIFS($A$4:$A786,$A786,$J$4:$J786,$J786,$E$4:$E786,$E786)</f>
        <v/>
      </c>
      <c r="AD786" s="65">
        <f>$A786&amp;"|"&amp;$J786&amp;"|"&amp;$E786&amp;"|"&amp;$AC786</f>
        <v/>
      </c>
      <c r="AE786" s="66">
        <f>IF($W786&lt;&gt;"","⚑ "&amp;$W786&amp;CHAR(10),"")&amp;TEXT($F786,"hh:mm")&amp;"-"&amp;TEXT($G786,"hh:mm")&amp;IF(OR($P786="Quinzaine A",AND($P786="Hebdo · groupes alternés",$C786="A"))," Q-A",IF(OR($P786="Quinzaine B",AND($P786="Hebdo · groupes alternés",$C786="B"))," Q-B",IF($P786="Exception"," PONCT.","")))&amp;IF($X786="Oui"," OPT","")&amp;CHAR(10)&amp;$K786&amp;CHAR(10)&amp;$M786&amp;IF($N786&lt;&gt;"",CHAR(10)&amp;"Salle "&amp;$N786,"")&amp;IF($O786="En ligne",CHAR(10)&amp;"EN LIGNE","")&amp;IF($V786&lt;&gt;"",CHAR(10)&amp;$V786,"")</f>
        <v/>
      </c>
      <c r="AF786" s="65" t="inlineStr"/>
      <c r="AG786" s="65" t="inlineStr">
        <is>
          <t>— généré —</t>
        </is>
      </c>
    </row>
    <row r="787" ht="15" customHeight="1">
      <c r="A787" s="68" t="inlineStr">
        <is>
          <t>S7</t>
        </is>
      </c>
      <c r="B787" s="69" t="inlineStr">
        <is>
          <t>du 26 octobre au 1er novembre 2026</t>
        </is>
      </c>
      <c r="C787" s="68" t="inlineStr">
        <is>
          <t>A</t>
        </is>
      </c>
      <c r="D787" s="70" t="n">
        <v>46324</v>
      </c>
      <c r="E787" s="68" t="inlineStr">
        <is>
          <t>Jeudi</t>
        </is>
      </c>
      <c r="F787" s="71" t="n">
        <v>0.8125</v>
      </c>
      <c r="G787" s="71" t="n">
        <v>0.875</v>
      </c>
      <c r="H787" s="72">
        <f>IF(OR($F787="",$G787=""),"",($G787-$F787)*24)</f>
        <v/>
      </c>
      <c r="I787" s="68" t="inlineStr">
        <is>
          <t>Collège</t>
        </is>
      </c>
      <c r="J787" s="69" t="inlineStr">
        <is>
          <t>9éme (C)</t>
        </is>
      </c>
      <c r="K787" s="87" t="inlineStr">
        <is>
          <t>Anglais</t>
        </is>
      </c>
      <c r="L787" s="87" t="inlineStr">
        <is>
          <t>Anglais</t>
        </is>
      </c>
      <c r="M787" s="69" t="inlineStr">
        <is>
          <t>Saber</t>
        </is>
      </c>
      <c r="N787" s="68" t="n"/>
      <c r="O787" s="68" t="n"/>
      <c r="P787" s="68" t="inlineStr">
        <is>
          <t>Hebdomadaire</t>
        </is>
      </c>
      <c r="Q787" s="69" t="inlineStr"/>
      <c r="R787" s="68" t="n">
        <v>1</v>
      </c>
      <c r="S787" s="68" t="inlineStr">
        <is>
          <t>Oui</t>
        </is>
      </c>
      <c r="T787" s="68" t="inlineStr">
        <is>
          <t>S7-037</t>
        </is>
      </c>
      <c r="U787" s="69" t="inlineStr">
        <is>
          <t>Généré (octobre)</t>
        </is>
      </c>
      <c r="V787" s="69" t="inlineStr"/>
      <c r="W787" s="10" t="n"/>
      <c r="X787" s="10" t="inlineStr"/>
      <c r="Y787" s="64">
        <f>IF($M787="","",IF(SUMPRODUCT(($D$4:$D$863=$D787)*($M$4:$M$863=$M787)*($T$4:$T$863&lt;&gt;$T787)*($F$4:$F$863&lt;$G787)*($G$4:$G$863&gt;$F787))&gt;0,"⚠ CONFLIT",""))</f>
        <v/>
      </c>
      <c r="Z787" s="64">
        <f>IF($J787="","",IF(SUMPRODUCT(($D$4:$D$863=$D787)*($J$4:$J$863=$J787)*($T$4:$T$863&lt;&gt;$T787)*($F$4:$F$863&lt;$G787)*($G$4:$G$863&gt;$F787)*(1-($X$4:$X$863="Oui")*($X787="Oui")))&gt;0,"⚠ CONFLIT",""))</f>
        <v/>
      </c>
      <c r="AA787" s="64">
        <f>IF(COUNTIFS($D$4:$D$863,$D787,$J$4:$J$863,$J787,$F$4:$F$863,$F787,$K$4:$K$863,$K787)&gt;1,"⚠ DOUBLON","")</f>
        <v/>
      </c>
      <c r="AB787" s="64">
        <f>IF(COUNTIF($T$4:$T$863,$T787)&lt;&gt;COUNTIFS($T$4:$T$863,$T787,$D$4:$D$863,$D787,$F$4:$F$863,$F787,$G$4:$G$863,$G787,$K$4:$K$863,$K787,$M$4:$M$863,$M787),"⚠ INCOHÉRENT","")</f>
        <v/>
      </c>
      <c r="AC787" s="64">
        <f>COUNTIFS($A$4:$A787,$A787,$J$4:$J787,$J787,$E$4:$E787,$E787)</f>
        <v/>
      </c>
      <c r="AD787" s="65">
        <f>$A787&amp;"|"&amp;$J787&amp;"|"&amp;$E787&amp;"|"&amp;$AC787</f>
        <v/>
      </c>
      <c r="AE787" s="66">
        <f>IF($W787&lt;&gt;"","⚑ "&amp;$W787&amp;CHAR(10),"")&amp;TEXT($F787,"hh:mm")&amp;"-"&amp;TEXT($G787,"hh:mm")&amp;IF(OR($P787="Quinzaine A",AND($P787="Hebdo · groupes alternés",$C787="A"))," Q-A",IF(OR($P787="Quinzaine B",AND($P787="Hebdo · groupes alternés",$C787="B"))," Q-B",IF($P787="Exception"," PONCT.","")))&amp;IF($X787="Oui"," OPT","")&amp;CHAR(10)&amp;$K787&amp;CHAR(10)&amp;$M787&amp;IF($N787&lt;&gt;"",CHAR(10)&amp;"Salle "&amp;$N787,"")&amp;IF($O787="En ligne",CHAR(10)&amp;"EN LIGNE","")&amp;IF($V787&lt;&gt;"",CHAR(10)&amp;$V787,"")</f>
        <v/>
      </c>
      <c r="AF787" s="65" t="inlineStr"/>
      <c r="AG787" s="65" t="inlineStr">
        <is>
          <t>— généré —</t>
        </is>
      </c>
    </row>
    <row r="788" ht="15" customHeight="1">
      <c r="A788" s="74" t="inlineStr">
        <is>
          <t>S7</t>
        </is>
      </c>
      <c r="B788" s="75" t="inlineStr">
        <is>
          <t>du 26 octobre au 1er novembre 2026</t>
        </is>
      </c>
      <c r="C788" s="74" t="inlineStr">
        <is>
          <t>A</t>
        </is>
      </c>
      <c r="D788" s="76" t="n">
        <v>46324</v>
      </c>
      <c r="E788" s="74" t="inlineStr">
        <is>
          <t>Jeudi</t>
        </is>
      </c>
      <c r="F788" s="77" t="n">
        <v>0.8020833333333334</v>
      </c>
      <c r="G788" s="77" t="n">
        <v>0.8645833333333334</v>
      </c>
      <c r="H788" s="78">
        <f>IF(OR($F788="",$G788=""),"",($G788-$F788)*24)</f>
        <v/>
      </c>
      <c r="I788" s="74" t="inlineStr">
        <is>
          <t>Secondaire</t>
        </is>
      </c>
      <c r="J788" s="75" t="inlineStr">
        <is>
          <t>1ére (A)</t>
        </is>
      </c>
      <c r="K788" s="87" t="inlineStr">
        <is>
          <t>Anglais</t>
        </is>
      </c>
      <c r="L788" s="87" t="inlineStr">
        <is>
          <t>Anglais</t>
        </is>
      </c>
      <c r="M788" s="75" t="inlineStr">
        <is>
          <t>Imen Bennour</t>
        </is>
      </c>
      <c r="N788" s="74" t="n"/>
      <c r="O788" s="74" t="n"/>
      <c r="P788" s="74" t="inlineStr">
        <is>
          <t>Hebdo · groupes alternés</t>
        </is>
      </c>
      <c r="Q788" s="75" t="inlineStr"/>
      <c r="R788" s="74" t="n">
        <v>1</v>
      </c>
      <c r="S788" s="74" t="inlineStr">
        <is>
          <t>Oui</t>
        </is>
      </c>
      <c r="T788" s="74" t="inlineStr">
        <is>
          <t>S7-038</t>
        </is>
      </c>
      <c r="U788" s="75" t="inlineStr">
        <is>
          <t>Généré (octobre)</t>
        </is>
      </c>
      <c r="V788" s="75" t="inlineStr"/>
      <c r="W788" s="10" t="n"/>
      <c r="X788" s="10" t="inlineStr"/>
      <c r="Y788" s="64">
        <f>IF($M788="","",IF(SUMPRODUCT(($D$4:$D$863=$D788)*($M$4:$M$863=$M788)*($T$4:$T$863&lt;&gt;$T788)*($F$4:$F$863&lt;$G788)*($G$4:$G$863&gt;$F788))&gt;0,"⚠ CONFLIT",""))</f>
        <v/>
      </c>
      <c r="Z788" s="64">
        <f>IF($J788="","",IF(SUMPRODUCT(($D$4:$D$863=$D788)*($J$4:$J$863=$J788)*($T$4:$T$863&lt;&gt;$T788)*($F$4:$F$863&lt;$G788)*($G$4:$G$863&gt;$F788)*(1-($X$4:$X$863="Oui")*($X788="Oui")))&gt;0,"⚠ CONFLIT",""))</f>
        <v/>
      </c>
      <c r="AA788" s="64">
        <f>IF(COUNTIFS($D$4:$D$863,$D788,$J$4:$J$863,$J788,$F$4:$F$863,$F788,$K$4:$K$863,$K788)&gt;1,"⚠ DOUBLON","")</f>
        <v/>
      </c>
      <c r="AB788" s="64">
        <f>IF(COUNTIF($T$4:$T$863,$T788)&lt;&gt;COUNTIFS($T$4:$T$863,$T788,$D$4:$D$863,$D788,$F$4:$F$863,$F788,$G$4:$G$863,$G788,$K$4:$K$863,$K788,$M$4:$M$863,$M788),"⚠ INCOHÉRENT","")</f>
        <v/>
      </c>
      <c r="AC788" s="64">
        <f>COUNTIFS($A$4:$A788,$A788,$J$4:$J788,$J788,$E$4:$E788,$E788)</f>
        <v/>
      </c>
      <c r="AD788" s="65">
        <f>$A788&amp;"|"&amp;$J788&amp;"|"&amp;$E788&amp;"|"&amp;$AC788</f>
        <v/>
      </c>
      <c r="AE788" s="66">
        <f>IF($W788&lt;&gt;"","⚑ "&amp;$W788&amp;CHAR(10),"")&amp;TEXT($F788,"hh:mm")&amp;"-"&amp;TEXT($G788,"hh:mm")&amp;IF(OR($P788="Quinzaine A",AND($P788="Hebdo · groupes alternés",$C788="A"))," Q-A",IF(OR($P788="Quinzaine B",AND($P788="Hebdo · groupes alternés",$C788="B"))," Q-B",IF($P788="Exception"," PONCT.","")))&amp;IF($X788="Oui"," OPT","")&amp;CHAR(10)&amp;$K788&amp;CHAR(10)&amp;$M788&amp;IF($N788&lt;&gt;"",CHAR(10)&amp;"Salle "&amp;$N788,"")&amp;IF($O788="En ligne",CHAR(10)&amp;"EN LIGNE","")&amp;IF($V788&lt;&gt;"",CHAR(10)&amp;$V788,"")</f>
        <v/>
      </c>
      <c r="AF788" s="65" t="inlineStr"/>
      <c r="AG788" s="65" t="inlineStr">
        <is>
          <t>— généré —</t>
        </is>
      </c>
    </row>
    <row r="789" ht="15" customHeight="1">
      <c r="A789" s="74" t="inlineStr">
        <is>
          <t>S7</t>
        </is>
      </c>
      <c r="B789" s="75" t="inlineStr">
        <is>
          <t>du 26 octobre au 1er novembre 2026</t>
        </is>
      </c>
      <c r="C789" s="74" t="inlineStr">
        <is>
          <t>A</t>
        </is>
      </c>
      <c r="D789" s="76" t="n">
        <v>46324</v>
      </c>
      <c r="E789" s="74" t="inlineStr">
        <is>
          <t>Jeudi</t>
        </is>
      </c>
      <c r="F789" s="77" t="n">
        <v>0.7916666666666666</v>
      </c>
      <c r="G789" s="77" t="n">
        <v>0.8541666666666666</v>
      </c>
      <c r="H789" s="78">
        <f>IF(OR($F789="",$G789=""),"",($G789-$F789)*24)</f>
        <v/>
      </c>
      <c r="I789" s="74" t="inlineStr">
        <is>
          <t>Secondaire</t>
        </is>
      </c>
      <c r="J789" s="75" t="inlineStr">
        <is>
          <t>2éme Eco</t>
        </is>
      </c>
      <c r="K789" s="86" t="inlineStr">
        <is>
          <t>Gestion</t>
        </is>
      </c>
      <c r="L789" s="86" t="inlineStr">
        <is>
          <t>Gestion</t>
        </is>
      </c>
      <c r="M789" s="75" t="inlineStr">
        <is>
          <t>Yassine</t>
        </is>
      </c>
      <c r="N789" s="74" t="n"/>
      <c r="O789" s="74" t="n"/>
      <c r="P789" s="74" t="inlineStr">
        <is>
          <t>Hebdomadaire</t>
        </is>
      </c>
      <c r="Q789" s="75" t="inlineStr"/>
      <c r="R789" s="74" t="n">
        <v>1</v>
      </c>
      <c r="S789" s="74" t="inlineStr">
        <is>
          <t>Oui</t>
        </is>
      </c>
      <c r="T789" s="74" t="inlineStr">
        <is>
          <t>S7-039</t>
        </is>
      </c>
      <c r="U789" s="75" t="inlineStr">
        <is>
          <t>Généré (octobre)</t>
        </is>
      </c>
      <c r="V789" s="75" t="inlineStr"/>
      <c r="W789" s="10" t="n"/>
      <c r="X789" s="10" t="inlineStr"/>
      <c r="Y789" s="64">
        <f>IF($M789="","",IF(SUMPRODUCT(($D$4:$D$863=$D789)*($M$4:$M$863=$M789)*($T$4:$T$863&lt;&gt;$T789)*($F$4:$F$863&lt;$G789)*($G$4:$G$863&gt;$F789))&gt;0,"⚠ CONFLIT",""))</f>
        <v/>
      </c>
      <c r="Z789" s="64">
        <f>IF($J789="","",IF(SUMPRODUCT(($D$4:$D$863=$D789)*($J$4:$J$863=$J789)*($T$4:$T$863&lt;&gt;$T789)*($F$4:$F$863&lt;$G789)*($G$4:$G$863&gt;$F789)*(1-($X$4:$X$863="Oui")*($X789="Oui")))&gt;0,"⚠ CONFLIT",""))</f>
        <v/>
      </c>
      <c r="AA789" s="64">
        <f>IF(COUNTIFS($D$4:$D$863,$D789,$J$4:$J$863,$J789,$F$4:$F$863,$F789,$K$4:$K$863,$K789)&gt;1,"⚠ DOUBLON","")</f>
        <v/>
      </c>
      <c r="AB789" s="64">
        <f>IF(COUNTIF($T$4:$T$863,$T789)&lt;&gt;COUNTIFS($T$4:$T$863,$T789,$D$4:$D$863,$D789,$F$4:$F$863,$F789,$G$4:$G$863,$G789,$K$4:$K$863,$K789,$M$4:$M$863,$M789),"⚠ INCOHÉRENT","")</f>
        <v/>
      </c>
      <c r="AC789" s="64">
        <f>COUNTIFS($A$4:$A789,$A789,$J$4:$J789,$J789,$E$4:$E789,$E789)</f>
        <v/>
      </c>
      <c r="AD789" s="65">
        <f>$A789&amp;"|"&amp;$J789&amp;"|"&amp;$E789&amp;"|"&amp;$AC789</f>
        <v/>
      </c>
      <c r="AE789" s="66">
        <f>IF($W789&lt;&gt;"","⚑ "&amp;$W789&amp;CHAR(10),"")&amp;TEXT($F789,"hh:mm")&amp;"-"&amp;TEXT($G789,"hh:mm")&amp;IF(OR($P789="Quinzaine A",AND($P789="Hebdo · groupes alternés",$C789="A"))," Q-A",IF(OR($P789="Quinzaine B",AND($P789="Hebdo · groupes alternés",$C789="B"))," Q-B",IF($P789="Exception"," PONCT.","")))&amp;IF($X789="Oui"," OPT","")&amp;CHAR(10)&amp;$K789&amp;CHAR(10)&amp;$M789&amp;IF($N789&lt;&gt;"",CHAR(10)&amp;"Salle "&amp;$N789,"")&amp;IF($O789="En ligne",CHAR(10)&amp;"EN LIGNE","")&amp;IF($V789&lt;&gt;"",CHAR(10)&amp;$V789,"")</f>
        <v/>
      </c>
      <c r="AF789" s="65" t="inlineStr"/>
      <c r="AG789" s="65" t="inlineStr">
        <is>
          <t>— généré —</t>
        </is>
      </c>
    </row>
    <row r="790" ht="15" customHeight="1">
      <c r="A790" s="74" t="inlineStr">
        <is>
          <t>S7</t>
        </is>
      </c>
      <c r="B790" s="75" t="inlineStr">
        <is>
          <t>du 26 octobre au 1er novembre 2026</t>
        </is>
      </c>
      <c r="C790" s="74" t="inlineStr">
        <is>
          <t>A</t>
        </is>
      </c>
      <c r="D790" s="76" t="n">
        <v>46324</v>
      </c>
      <c r="E790" s="74" t="inlineStr">
        <is>
          <t>Jeudi</t>
        </is>
      </c>
      <c r="F790" s="77" t="n">
        <v>0.8125</v>
      </c>
      <c r="G790" s="77" t="n">
        <v>0.875</v>
      </c>
      <c r="H790" s="78">
        <f>IF(OR($F790="",$G790=""),"",($G790-$F790)*24)</f>
        <v/>
      </c>
      <c r="I790" s="74" t="inlineStr">
        <is>
          <t>Secondaire</t>
        </is>
      </c>
      <c r="J790" s="75" t="inlineStr">
        <is>
          <t>2éme SCE</t>
        </is>
      </c>
      <c r="K790" s="79" t="inlineStr">
        <is>
          <t>Math</t>
        </is>
      </c>
      <c r="L790" s="79" t="inlineStr">
        <is>
          <t>Math</t>
        </is>
      </c>
      <c r="M790" s="75" t="inlineStr">
        <is>
          <t>Haythem</t>
        </is>
      </c>
      <c r="N790" s="74" t="n"/>
      <c r="O790" s="74" t="n"/>
      <c r="P790" s="74" t="inlineStr">
        <is>
          <t>Hebdomadaire</t>
        </is>
      </c>
      <c r="Q790" s="75" t="inlineStr"/>
      <c r="R790" s="74" t="n">
        <v>1</v>
      </c>
      <c r="S790" s="74" t="inlineStr">
        <is>
          <t>Oui</t>
        </is>
      </c>
      <c r="T790" s="74" t="inlineStr">
        <is>
          <t>S7-040</t>
        </is>
      </c>
      <c r="U790" s="75" t="inlineStr">
        <is>
          <t>Généré (octobre)</t>
        </is>
      </c>
      <c r="V790" s="75" t="inlineStr"/>
      <c r="W790" s="10" t="n"/>
      <c r="X790" s="10" t="inlineStr"/>
      <c r="Y790" s="64">
        <f>IF($M790="","",IF(SUMPRODUCT(($D$4:$D$863=$D790)*($M$4:$M$863=$M790)*($T$4:$T$863&lt;&gt;$T790)*($F$4:$F$863&lt;$G790)*($G$4:$G$863&gt;$F790))&gt;0,"⚠ CONFLIT",""))</f>
        <v/>
      </c>
      <c r="Z790" s="64">
        <f>IF($J790="","",IF(SUMPRODUCT(($D$4:$D$863=$D790)*($J$4:$J$863=$J790)*($T$4:$T$863&lt;&gt;$T790)*($F$4:$F$863&lt;$G790)*($G$4:$G$863&gt;$F790)*(1-($X$4:$X$863="Oui")*($X790="Oui")))&gt;0,"⚠ CONFLIT",""))</f>
        <v/>
      </c>
      <c r="AA790" s="64">
        <f>IF(COUNTIFS($D$4:$D$863,$D790,$J$4:$J$863,$J790,$F$4:$F$863,$F790,$K$4:$K$863,$K790)&gt;1,"⚠ DOUBLON","")</f>
        <v/>
      </c>
      <c r="AB790" s="64">
        <f>IF(COUNTIF($T$4:$T$863,$T790)&lt;&gt;COUNTIFS($T$4:$T$863,$T790,$D$4:$D$863,$D790,$F$4:$F$863,$F790,$G$4:$G$863,$G790,$K$4:$K$863,$K790,$M$4:$M$863,$M790),"⚠ INCOHÉRENT","")</f>
        <v/>
      </c>
      <c r="AC790" s="64">
        <f>COUNTIFS($A$4:$A790,$A790,$J$4:$J790,$J790,$E$4:$E790,$E790)</f>
        <v/>
      </c>
      <c r="AD790" s="65">
        <f>$A790&amp;"|"&amp;$J790&amp;"|"&amp;$E790&amp;"|"&amp;$AC790</f>
        <v/>
      </c>
      <c r="AE790" s="66">
        <f>IF($W790&lt;&gt;"","⚑ "&amp;$W790&amp;CHAR(10),"")&amp;TEXT($F790,"hh:mm")&amp;"-"&amp;TEXT($G790,"hh:mm")&amp;IF(OR($P790="Quinzaine A",AND($P790="Hebdo · groupes alternés",$C790="A"))," Q-A",IF(OR($P790="Quinzaine B",AND($P790="Hebdo · groupes alternés",$C790="B"))," Q-B",IF($P790="Exception"," PONCT.","")))&amp;IF($X790="Oui"," OPT","")&amp;CHAR(10)&amp;$K790&amp;CHAR(10)&amp;$M790&amp;IF($N790&lt;&gt;"",CHAR(10)&amp;"Salle "&amp;$N790,"")&amp;IF($O790="En ligne",CHAR(10)&amp;"EN LIGNE","")&amp;IF($V790&lt;&gt;"",CHAR(10)&amp;$V790,"")</f>
        <v/>
      </c>
      <c r="AF790" s="65" t="inlineStr"/>
      <c r="AG790" s="65" t="inlineStr">
        <is>
          <t>— généré —</t>
        </is>
      </c>
    </row>
    <row r="791" ht="15" customHeight="1">
      <c r="A791" s="74" t="inlineStr">
        <is>
          <t>S7</t>
        </is>
      </c>
      <c r="B791" s="75" t="inlineStr">
        <is>
          <t>du 26 octobre au 1er novembre 2026</t>
        </is>
      </c>
      <c r="C791" s="74" t="inlineStr">
        <is>
          <t>A</t>
        </is>
      </c>
      <c r="D791" s="76" t="n">
        <v>46324</v>
      </c>
      <c r="E791" s="74" t="inlineStr">
        <is>
          <t>Jeudi</t>
        </is>
      </c>
      <c r="F791" s="77" t="n">
        <v>0.8125</v>
      </c>
      <c r="G791" s="77" t="n">
        <v>0.875</v>
      </c>
      <c r="H791" s="78">
        <f>IF(OR($F791="",$G791=""),"",($G791-$F791)*24)</f>
        <v/>
      </c>
      <c r="I791" s="74" t="inlineStr">
        <is>
          <t>Secondaire</t>
        </is>
      </c>
      <c r="J791" s="75" t="inlineStr">
        <is>
          <t>2éme INFO</t>
        </is>
      </c>
      <c r="K791" s="73" t="inlineStr">
        <is>
          <t>Physique</t>
        </is>
      </c>
      <c r="L791" s="73" t="inlineStr">
        <is>
          <t>Physique</t>
        </is>
      </c>
      <c r="M791" s="75" t="inlineStr">
        <is>
          <t>Samia</t>
        </is>
      </c>
      <c r="N791" s="74" t="n"/>
      <c r="O791" s="74" t="n"/>
      <c r="P791" s="74" t="inlineStr">
        <is>
          <t>Hebdomadaire</t>
        </is>
      </c>
      <c r="Q791" s="75" t="inlineStr"/>
      <c r="R791" s="74" t="n">
        <v>1</v>
      </c>
      <c r="S791" s="74" t="inlineStr">
        <is>
          <t>Oui</t>
        </is>
      </c>
      <c r="T791" s="74" t="inlineStr">
        <is>
          <t>S7-041</t>
        </is>
      </c>
      <c r="U791" s="75" t="inlineStr">
        <is>
          <t>Généré (octobre)</t>
        </is>
      </c>
      <c r="V791" s="75" t="inlineStr"/>
      <c r="W791" s="10" t="n"/>
      <c r="X791" s="10" t="inlineStr"/>
      <c r="Y791" s="64">
        <f>IF($M791="","",IF(SUMPRODUCT(($D$4:$D$863=$D791)*($M$4:$M$863=$M791)*($T$4:$T$863&lt;&gt;$T791)*($F$4:$F$863&lt;$G791)*($G$4:$G$863&gt;$F791))&gt;0,"⚠ CONFLIT",""))</f>
        <v/>
      </c>
      <c r="Z791" s="64">
        <f>IF($J791="","",IF(SUMPRODUCT(($D$4:$D$863=$D791)*($J$4:$J$863=$J791)*($T$4:$T$863&lt;&gt;$T791)*($F$4:$F$863&lt;$G791)*($G$4:$G$863&gt;$F791)*(1-($X$4:$X$863="Oui")*($X791="Oui")))&gt;0,"⚠ CONFLIT",""))</f>
        <v/>
      </c>
      <c r="AA791" s="64">
        <f>IF(COUNTIFS($D$4:$D$863,$D791,$J$4:$J$863,$J791,$F$4:$F$863,$F791,$K$4:$K$863,$K791)&gt;1,"⚠ DOUBLON","")</f>
        <v/>
      </c>
      <c r="AB791" s="64">
        <f>IF(COUNTIF($T$4:$T$863,$T791)&lt;&gt;COUNTIFS($T$4:$T$863,$T791,$D$4:$D$863,$D791,$F$4:$F$863,$F791,$G$4:$G$863,$G791,$K$4:$K$863,$K791,$M$4:$M$863,$M791),"⚠ INCOHÉRENT","")</f>
        <v/>
      </c>
      <c r="AC791" s="64">
        <f>COUNTIFS($A$4:$A791,$A791,$J$4:$J791,$J791,$E$4:$E791,$E791)</f>
        <v/>
      </c>
      <c r="AD791" s="65">
        <f>$A791&amp;"|"&amp;$J791&amp;"|"&amp;$E791&amp;"|"&amp;$AC791</f>
        <v/>
      </c>
      <c r="AE791" s="66">
        <f>IF($W791&lt;&gt;"","⚑ "&amp;$W791&amp;CHAR(10),"")&amp;TEXT($F791,"hh:mm")&amp;"-"&amp;TEXT($G791,"hh:mm")&amp;IF(OR($P791="Quinzaine A",AND($P791="Hebdo · groupes alternés",$C791="A"))," Q-A",IF(OR($P791="Quinzaine B",AND($P791="Hebdo · groupes alternés",$C791="B"))," Q-B",IF($P791="Exception"," PONCT.","")))&amp;IF($X791="Oui"," OPT","")&amp;CHAR(10)&amp;$K791&amp;CHAR(10)&amp;$M791&amp;IF($N791&lt;&gt;"",CHAR(10)&amp;"Salle "&amp;$N791,"")&amp;IF($O791="En ligne",CHAR(10)&amp;"EN LIGNE","")&amp;IF($V791&lt;&gt;"",CHAR(10)&amp;$V791,"")</f>
        <v/>
      </c>
      <c r="AF791" s="65" t="inlineStr"/>
      <c r="AG791" s="65" t="inlineStr">
        <is>
          <t>— généré —</t>
        </is>
      </c>
    </row>
    <row r="792" ht="15" customHeight="1">
      <c r="A792" s="74" t="inlineStr">
        <is>
          <t>S7</t>
        </is>
      </c>
      <c r="B792" s="75" t="inlineStr">
        <is>
          <t>du 26 octobre au 1er novembre 2026</t>
        </is>
      </c>
      <c r="C792" s="74" t="inlineStr">
        <is>
          <t>A</t>
        </is>
      </c>
      <c r="D792" s="76" t="n">
        <v>46324</v>
      </c>
      <c r="E792" s="74" t="inlineStr">
        <is>
          <t>Jeudi</t>
        </is>
      </c>
      <c r="F792" s="77" t="n">
        <v>0.8125</v>
      </c>
      <c r="G792" s="77" t="n">
        <v>0.875</v>
      </c>
      <c r="H792" s="78">
        <f>IF(OR($F792="",$G792=""),"",($G792-$F792)*24)</f>
        <v/>
      </c>
      <c r="I792" s="74" t="inlineStr">
        <is>
          <t>Secondaire</t>
        </is>
      </c>
      <c r="J792" s="75" t="inlineStr">
        <is>
          <t>3éme Eco</t>
        </is>
      </c>
      <c r="K792" s="63" t="inlineStr">
        <is>
          <t>Arabe</t>
        </is>
      </c>
      <c r="L792" s="63" t="inlineStr">
        <is>
          <t>Arabe</t>
        </is>
      </c>
      <c r="M792" s="75" t="inlineStr">
        <is>
          <t>Najet</t>
        </is>
      </c>
      <c r="N792" s="74" t="n"/>
      <c r="O792" s="74" t="n"/>
      <c r="P792" s="74" t="inlineStr">
        <is>
          <t>Hebdo · groupes alternés</t>
        </is>
      </c>
      <c r="Q792" s="75" t="inlineStr">
        <is>
          <t>3éme Eco + 3éme INFO + 3éme SCE</t>
        </is>
      </c>
      <c r="R792" s="74" t="n">
        <v>3</v>
      </c>
      <c r="S792" s="74" t="inlineStr">
        <is>
          <t>Oui</t>
        </is>
      </c>
      <c r="T792" s="74" t="inlineStr">
        <is>
          <t>S7-042</t>
        </is>
      </c>
      <c r="U792" s="75" t="inlineStr">
        <is>
          <t>Généré (octobre)</t>
        </is>
      </c>
      <c r="V792" s="75" t="inlineStr"/>
      <c r="W792" s="10" t="n"/>
      <c r="X792" s="10" t="inlineStr"/>
      <c r="Y792" s="64">
        <f>IF($M792="","",IF(SUMPRODUCT(($D$4:$D$863=$D792)*($M$4:$M$863=$M792)*($T$4:$T$863&lt;&gt;$T792)*($F$4:$F$863&lt;$G792)*($G$4:$G$863&gt;$F792))&gt;0,"⚠ CONFLIT",""))</f>
        <v/>
      </c>
      <c r="Z792" s="64">
        <f>IF($J792="","",IF(SUMPRODUCT(($D$4:$D$863=$D792)*($J$4:$J$863=$J792)*($T$4:$T$863&lt;&gt;$T792)*($F$4:$F$863&lt;$G792)*($G$4:$G$863&gt;$F792)*(1-($X$4:$X$863="Oui")*($X792="Oui")))&gt;0,"⚠ CONFLIT",""))</f>
        <v/>
      </c>
      <c r="AA792" s="64">
        <f>IF(COUNTIFS($D$4:$D$863,$D792,$J$4:$J$863,$J792,$F$4:$F$863,$F792,$K$4:$K$863,$K792)&gt;1,"⚠ DOUBLON","")</f>
        <v/>
      </c>
      <c r="AB792" s="64">
        <f>IF(COUNTIF($T$4:$T$863,$T792)&lt;&gt;COUNTIFS($T$4:$T$863,$T792,$D$4:$D$863,$D792,$F$4:$F$863,$F792,$G$4:$G$863,$G792,$K$4:$K$863,$K792,$M$4:$M$863,$M792),"⚠ INCOHÉRENT","")</f>
        <v/>
      </c>
      <c r="AC792" s="64">
        <f>COUNTIFS($A$4:$A792,$A792,$J$4:$J792,$J792,$E$4:$E792,$E792)</f>
        <v/>
      </c>
      <c r="AD792" s="65">
        <f>$A792&amp;"|"&amp;$J792&amp;"|"&amp;$E792&amp;"|"&amp;$AC792</f>
        <v/>
      </c>
      <c r="AE792" s="66">
        <f>IF($W792&lt;&gt;"","⚑ "&amp;$W792&amp;CHAR(10),"")&amp;TEXT($F792,"hh:mm")&amp;"-"&amp;TEXT($G792,"hh:mm")&amp;IF(OR($P792="Quinzaine A",AND($P792="Hebdo · groupes alternés",$C792="A"))," Q-A",IF(OR($P792="Quinzaine B",AND($P792="Hebdo · groupes alternés",$C792="B"))," Q-B",IF($P792="Exception"," PONCT.","")))&amp;IF($X792="Oui"," OPT","")&amp;CHAR(10)&amp;$K792&amp;CHAR(10)&amp;$M792&amp;IF($N792&lt;&gt;"",CHAR(10)&amp;"Salle "&amp;$N792,"")&amp;IF($O792="En ligne",CHAR(10)&amp;"EN LIGNE","")&amp;IF($V792&lt;&gt;"",CHAR(10)&amp;$V792,"")</f>
        <v/>
      </c>
      <c r="AF792" s="65" t="inlineStr"/>
      <c r="AG792" s="65" t="inlineStr">
        <is>
          <t>— généré —</t>
        </is>
      </c>
    </row>
    <row r="793" ht="15" customHeight="1">
      <c r="A793" s="74" t="inlineStr">
        <is>
          <t>S7</t>
        </is>
      </c>
      <c r="B793" s="75" t="inlineStr">
        <is>
          <t>du 26 octobre au 1er novembre 2026</t>
        </is>
      </c>
      <c r="C793" s="74" t="inlineStr">
        <is>
          <t>A</t>
        </is>
      </c>
      <c r="D793" s="76" t="n">
        <v>46324</v>
      </c>
      <c r="E793" s="74" t="inlineStr">
        <is>
          <t>Jeudi</t>
        </is>
      </c>
      <c r="F793" s="77" t="n">
        <v>0.8125</v>
      </c>
      <c r="G793" s="77" t="n">
        <v>0.875</v>
      </c>
      <c r="H793" s="78">
        <f>IF(OR($F793="",$G793=""),"",($G793-$F793)*24)</f>
        <v/>
      </c>
      <c r="I793" s="74" t="inlineStr">
        <is>
          <t>Secondaire</t>
        </is>
      </c>
      <c r="J793" s="75" t="inlineStr">
        <is>
          <t>3éme INFO</t>
        </is>
      </c>
      <c r="K793" s="63" t="inlineStr">
        <is>
          <t>Arabe</t>
        </is>
      </c>
      <c r="L793" s="63" t="inlineStr">
        <is>
          <t>Arabe</t>
        </is>
      </c>
      <c r="M793" s="75" t="inlineStr">
        <is>
          <t>Najet</t>
        </is>
      </c>
      <c r="N793" s="74" t="n"/>
      <c r="O793" s="74" t="n"/>
      <c r="P793" s="74" t="inlineStr">
        <is>
          <t>Hebdo · groupes alternés</t>
        </is>
      </c>
      <c r="Q793" s="75" t="inlineStr">
        <is>
          <t>3éme Eco + 3éme INFO + 3éme SCE</t>
        </is>
      </c>
      <c r="R793" s="74" t="n">
        <v>3</v>
      </c>
      <c r="S793" s="74" t="inlineStr"/>
      <c r="T793" s="74" t="inlineStr">
        <is>
          <t>S7-042</t>
        </is>
      </c>
      <c r="U793" s="75" t="inlineStr">
        <is>
          <t>Généré (octobre)</t>
        </is>
      </c>
      <c r="V793" s="75" t="inlineStr"/>
      <c r="W793" s="10" t="n"/>
      <c r="X793" s="10" t="inlineStr"/>
      <c r="Y793" s="64">
        <f>IF($M793="","",IF(SUMPRODUCT(($D$4:$D$863=$D793)*($M$4:$M$863=$M793)*($T$4:$T$863&lt;&gt;$T793)*($F$4:$F$863&lt;$G793)*($G$4:$G$863&gt;$F793))&gt;0,"⚠ CONFLIT",""))</f>
        <v/>
      </c>
      <c r="Z793" s="64">
        <f>IF($J793="","",IF(SUMPRODUCT(($D$4:$D$863=$D793)*($J$4:$J$863=$J793)*($T$4:$T$863&lt;&gt;$T793)*($F$4:$F$863&lt;$G793)*($G$4:$G$863&gt;$F793)*(1-($X$4:$X$863="Oui")*($X793="Oui")))&gt;0,"⚠ CONFLIT",""))</f>
        <v/>
      </c>
      <c r="AA793" s="64">
        <f>IF(COUNTIFS($D$4:$D$863,$D793,$J$4:$J$863,$J793,$F$4:$F$863,$F793,$K$4:$K$863,$K793)&gt;1,"⚠ DOUBLON","")</f>
        <v/>
      </c>
      <c r="AB793" s="64">
        <f>IF(COUNTIF($T$4:$T$863,$T793)&lt;&gt;COUNTIFS($T$4:$T$863,$T793,$D$4:$D$863,$D793,$F$4:$F$863,$F793,$G$4:$G$863,$G793,$K$4:$K$863,$K793,$M$4:$M$863,$M793),"⚠ INCOHÉRENT","")</f>
        <v/>
      </c>
      <c r="AC793" s="64">
        <f>COUNTIFS($A$4:$A793,$A793,$J$4:$J793,$J793,$E$4:$E793,$E793)</f>
        <v/>
      </c>
      <c r="AD793" s="65">
        <f>$A793&amp;"|"&amp;$J793&amp;"|"&amp;$E793&amp;"|"&amp;$AC793</f>
        <v/>
      </c>
      <c r="AE793" s="66">
        <f>IF($W793&lt;&gt;"","⚑ "&amp;$W793&amp;CHAR(10),"")&amp;TEXT($F793,"hh:mm")&amp;"-"&amp;TEXT($G793,"hh:mm")&amp;IF(OR($P793="Quinzaine A",AND($P793="Hebdo · groupes alternés",$C793="A"))," Q-A",IF(OR($P793="Quinzaine B",AND($P793="Hebdo · groupes alternés",$C793="B"))," Q-B",IF($P793="Exception"," PONCT.","")))&amp;IF($X793="Oui"," OPT","")&amp;CHAR(10)&amp;$K793&amp;CHAR(10)&amp;$M793&amp;IF($N793&lt;&gt;"",CHAR(10)&amp;"Salle "&amp;$N793,"")&amp;IF($O793="En ligne",CHAR(10)&amp;"EN LIGNE","")&amp;IF($V793&lt;&gt;"",CHAR(10)&amp;$V793,"")</f>
        <v/>
      </c>
      <c r="AF793" s="65" t="inlineStr"/>
      <c r="AG793" s="65" t="inlineStr">
        <is>
          <t>— généré —</t>
        </is>
      </c>
    </row>
    <row r="794" ht="15" customHeight="1">
      <c r="A794" s="74" t="inlineStr">
        <is>
          <t>S7</t>
        </is>
      </c>
      <c r="B794" s="75" t="inlineStr">
        <is>
          <t>du 26 octobre au 1er novembre 2026</t>
        </is>
      </c>
      <c r="C794" s="74" t="inlineStr">
        <is>
          <t>A</t>
        </is>
      </c>
      <c r="D794" s="76" t="n">
        <v>46324</v>
      </c>
      <c r="E794" s="74" t="inlineStr">
        <is>
          <t>Jeudi</t>
        </is>
      </c>
      <c r="F794" s="77" t="n">
        <v>0.8125</v>
      </c>
      <c r="G794" s="77" t="n">
        <v>0.875</v>
      </c>
      <c r="H794" s="78">
        <f>IF(OR($F794="",$G794=""),"",($G794-$F794)*24)</f>
        <v/>
      </c>
      <c r="I794" s="74" t="inlineStr">
        <is>
          <t>Secondaire</t>
        </is>
      </c>
      <c r="J794" s="75" t="inlineStr">
        <is>
          <t>3éme SCE</t>
        </is>
      </c>
      <c r="K794" s="63" t="inlineStr">
        <is>
          <t>Arabe</t>
        </is>
      </c>
      <c r="L794" s="63" t="inlineStr">
        <is>
          <t>Arabe</t>
        </is>
      </c>
      <c r="M794" s="75" t="inlineStr">
        <is>
          <t>Najet</t>
        </is>
      </c>
      <c r="N794" s="74" t="n"/>
      <c r="O794" s="74" t="n"/>
      <c r="P794" s="74" t="inlineStr">
        <is>
          <t>Hebdo · groupes alternés</t>
        </is>
      </c>
      <c r="Q794" s="75" t="inlineStr">
        <is>
          <t>3éme Eco + 3éme INFO + 3éme SCE</t>
        </is>
      </c>
      <c r="R794" s="74" t="n">
        <v>3</v>
      </c>
      <c r="S794" s="74" t="inlineStr"/>
      <c r="T794" s="74" t="inlineStr">
        <is>
          <t>S7-042</t>
        </is>
      </c>
      <c r="U794" s="75" t="inlineStr">
        <is>
          <t>Généré (octobre)</t>
        </is>
      </c>
      <c r="V794" s="75" t="inlineStr"/>
      <c r="W794" s="10" t="n"/>
      <c r="X794" s="10" t="inlineStr"/>
      <c r="Y794" s="64">
        <f>IF($M794="","",IF(SUMPRODUCT(($D$4:$D$863=$D794)*($M$4:$M$863=$M794)*($T$4:$T$863&lt;&gt;$T794)*($F$4:$F$863&lt;$G794)*($G$4:$G$863&gt;$F794))&gt;0,"⚠ CONFLIT",""))</f>
        <v/>
      </c>
      <c r="Z794" s="64">
        <f>IF($J794="","",IF(SUMPRODUCT(($D$4:$D$863=$D794)*($J$4:$J$863=$J794)*($T$4:$T$863&lt;&gt;$T794)*($F$4:$F$863&lt;$G794)*($G$4:$G$863&gt;$F794)*(1-($X$4:$X$863="Oui")*($X794="Oui")))&gt;0,"⚠ CONFLIT",""))</f>
        <v/>
      </c>
      <c r="AA794" s="64">
        <f>IF(COUNTIFS($D$4:$D$863,$D794,$J$4:$J$863,$J794,$F$4:$F$863,$F794,$K$4:$K$863,$K794)&gt;1,"⚠ DOUBLON","")</f>
        <v/>
      </c>
      <c r="AB794" s="64">
        <f>IF(COUNTIF($T$4:$T$863,$T794)&lt;&gt;COUNTIFS($T$4:$T$863,$T794,$D$4:$D$863,$D794,$F$4:$F$863,$F794,$G$4:$G$863,$G794,$K$4:$K$863,$K794,$M$4:$M$863,$M794),"⚠ INCOHÉRENT","")</f>
        <v/>
      </c>
      <c r="AC794" s="64">
        <f>COUNTIFS($A$4:$A794,$A794,$J$4:$J794,$J794,$E$4:$E794,$E794)</f>
        <v/>
      </c>
      <c r="AD794" s="65">
        <f>$A794&amp;"|"&amp;$J794&amp;"|"&amp;$E794&amp;"|"&amp;$AC794</f>
        <v/>
      </c>
      <c r="AE794" s="66">
        <f>IF($W794&lt;&gt;"","⚑ "&amp;$W794&amp;CHAR(10),"")&amp;TEXT($F794,"hh:mm")&amp;"-"&amp;TEXT($G794,"hh:mm")&amp;IF(OR($P794="Quinzaine A",AND($P794="Hebdo · groupes alternés",$C794="A"))," Q-A",IF(OR($P794="Quinzaine B",AND($P794="Hebdo · groupes alternés",$C794="B"))," Q-B",IF($P794="Exception"," PONCT.","")))&amp;IF($X794="Oui"," OPT","")&amp;CHAR(10)&amp;$K794&amp;CHAR(10)&amp;$M794&amp;IF($N794&lt;&gt;"",CHAR(10)&amp;"Salle "&amp;$N794,"")&amp;IF($O794="En ligne",CHAR(10)&amp;"EN LIGNE","")&amp;IF($V794&lt;&gt;"",CHAR(10)&amp;$V794,"")</f>
        <v/>
      </c>
      <c r="AF794" s="65" t="inlineStr"/>
      <c r="AG794" s="65" t="inlineStr">
        <is>
          <t>— généré —</t>
        </is>
      </c>
    </row>
    <row r="795" ht="15" customHeight="1">
      <c r="A795" s="81" t="inlineStr">
        <is>
          <t>S7</t>
        </is>
      </c>
      <c r="B795" s="82" t="inlineStr">
        <is>
          <t>du 26 octobre au 1er novembre 2026</t>
        </is>
      </c>
      <c r="C795" s="81" t="inlineStr">
        <is>
          <t>A</t>
        </is>
      </c>
      <c r="D795" s="83" t="n">
        <v>46324</v>
      </c>
      <c r="E795" s="81" t="inlineStr">
        <is>
          <t>Jeudi</t>
        </is>
      </c>
      <c r="F795" s="84" t="n">
        <v>0.7916666666666666</v>
      </c>
      <c r="G795" s="84" t="n">
        <v>0.8541666666666666</v>
      </c>
      <c r="H795" s="85">
        <f>IF(OR($F795="",$G795=""),"",($G795-$F795)*24)</f>
        <v/>
      </c>
      <c r="I795" s="81" t="inlineStr">
        <is>
          <t>Bac</t>
        </is>
      </c>
      <c r="J795" s="82" t="inlineStr">
        <is>
          <t>Bac Eco</t>
        </is>
      </c>
      <c r="K795" s="91" t="inlineStr">
        <is>
          <t>Philo</t>
        </is>
      </c>
      <c r="L795" s="91" t="inlineStr">
        <is>
          <t>Philo</t>
        </is>
      </c>
      <c r="M795" s="82" t="inlineStr">
        <is>
          <t>Fayssel</t>
        </is>
      </c>
      <c r="N795" s="81" t="n"/>
      <c r="O795" s="81" t="n"/>
      <c r="P795" s="81" t="inlineStr">
        <is>
          <t>Hebdo · groupes alternés</t>
        </is>
      </c>
      <c r="Q795" s="82" t="inlineStr">
        <is>
          <t>Bac Eco + Bac SCE + Bac INFO</t>
        </is>
      </c>
      <c r="R795" s="81" t="n">
        <v>3</v>
      </c>
      <c r="S795" s="81" t="inlineStr">
        <is>
          <t>Oui</t>
        </is>
      </c>
      <c r="T795" s="81" t="inlineStr">
        <is>
          <t>S7-043</t>
        </is>
      </c>
      <c r="U795" s="82" t="inlineStr">
        <is>
          <t>Généré (octobre)</t>
        </is>
      </c>
      <c r="V795" s="82" t="inlineStr"/>
      <c r="W795" s="10" t="n"/>
      <c r="X795" s="10" t="inlineStr"/>
      <c r="Y795" s="64">
        <f>IF($M795="","",IF(SUMPRODUCT(($D$4:$D$863=$D795)*($M$4:$M$863=$M795)*($T$4:$T$863&lt;&gt;$T795)*($F$4:$F$863&lt;$G795)*($G$4:$G$863&gt;$F795))&gt;0,"⚠ CONFLIT",""))</f>
        <v/>
      </c>
      <c r="Z795" s="64">
        <f>IF($J795="","",IF(SUMPRODUCT(($D$4:$D$863=$D795)*($J$4:$J$863=$J795)*($T$4:$T$863&lt;&gt;$T795)*($F$4:$F$863&lt;$G795)*($G$4:$G$863&gt;$F795)*(1-($X$4:$X$863="Oui")*($X795="Oui")))&gt;0,"⚠ CONFLIT",""))</f>
        <v/>
      </c>
      <c r="AA795" s="64">
        <f>IF(COUNTIFS($D$4:$D$863,$D795,$J$4:$J$863,$J795,$F$4:$F$863,$F795,$K$4:$K$863,$K795)&gt;1,"⚠ DOUBLON","")</f>
        <v/>
      </c>
      <c r="AB795" s="64">
        <f>IF(COUNTIF($T$4:$T$863,$T795)&lt;&gt;COUNTIFS($T$4:$T$863,$T795,$D$4:$D$863,$D795,$F$4:$F$863,$F795,$G$4:$G$863,$G795,$K$4:$K$863,$K795,$M$4:$M$863,$M795),"⚠ INCOHÉRENT","")</f>
        <v/>
      </c>
      <c r="AC795" s="64">
        <f>COUNTIFS($A$4:$A795,$A795,$J$4:$J795,$J795,$E$4:$E795,$E795)</f>
        <v/>
      </c>
      <c r="AD795" s="65">
        <f>$A795&amp;"|"&amp;$J795&amp;"|"&amp;$E795&amp;"|"&amp;$AC795</f>
        <v/>
      </c>
      <c r="AE795" s="66">
        <f>IF($W795&lt;&gt;"","⚑ "&amp;$W795&amp;CHAR(10),"")&amp;TEXT($F795,"hh:mm")&amp;"-"&amp;TEXT($G795,"hh:mm")&amp;IF(OR($P795="Quinzaine A",AND($P795="Hebdo · groupes alternés",$C795="A"))," Q-A",IF(OR($P795="Quinzaine B",AND($P795="Hebdo · groupes alternés",$C795="B"))," Q-B",IF($P795="Exception"," PONCT.","")))&amp;IF($X795="Oui"," OPT","")&amp;CHAR(10)&amp;$K795&amp;CHAR(10)&amp;$M795&amp;IF($N795&lt;&gt;"",CHAR(10)&amp;"Salle "&amp;$N795,"")&amp;IF($O795="En ligne",CHAR(10)&amp;"EN LIGNE","")&amp;IF($V795&lt;&gt;"",CHAR(10)&amp;$V795,"")</f>
        <v/>
      </c>
      <c r="AF795" s="65" t="inlineStr"/>
      <c r="AG795" s="65" t="inlineStr">
        <is>
          <t>— généré —</t>
        </is>
      </c>
    </row>
    <row r="796" ht="15" customHeight="1">
      <c r="A796" s="81" t="inlineStr">
        <is>
          <t>S7</t>
        </is>
      </c>
      <c r="B796" s="82" t="inlineStr">
        <is>
          <t>du 26 octobre au 1er novembre 2026</t>
        </is>
      </c>
      <c r="C796" s="81" t="inlineStr">
        <is>
          <t>A</t>
        </is>
      </c>
      <c r="D796" s="83" t="n">
        <v>46324</v>
      </c>
      <c r="E796" s="81" t="inlineStr">
        <is>
          <t>Jeudi</t>
        </is>
      </c>
      <c r="F796" s="84" t="n">
        <v>0.7916666666666666</v>
      </c>
      <c r="G796" s="84" t="n">
        <v>0.8541666666666666</v>
      </c>
      <c r="H796" s="85">
        <f>IF(OR($F796="",$G796=""),"",($G796-$F796)*24)</f>
        <v/>
      </c>
      <c r="I796" s="81" t="inlineStr">
        <is>
          <t>Bac</t>
        </is>
      </c>
      <c r="J796" s="82" t="inlineStr">
        <is>
          <t>Bac SCE</t>
        </is>
      </c>
      <c r="K796" s="91" t="inlineStr">
        <is>
          <t>Philo</t>
        </is>
      </c>
      <c r="L796" s="91" t="inlineStr">
        <is>
          <t>Philo</t>
        </is>
      </c>
      <c r="M796" s="82" t="inlineStr">
        <is>
          <t>Fayssel</t>
        </is>
      </c>
      <c r="N796" s="81" t="n"/>
      <c r="O796" s="81" t="n"/>
      <c r="P796" s="81" t="inlineStr">
        <is>
          <t>Hebdo · groupes alternés</t>
        </is>
      </c>
      <c r="Q796" s="82" t="inlineStr">
        <is>
          <t>Bac Eco + Bac SCE + Bac INFO</t>
        </is>
      </c>
      <c r="R796" s="81" t="n">
        <v>3</v>
      </c>
      <c r="S796" s="81" t="inlineStr"/>
      <c r="T796" s="81" t="inlineStr">
        <is>
          <t>S7-043</t>
        </is>
      </c>
      <c r="U796" s="82" t="inlineStr">
        <is>
          <t>Généré (octobre)</t>
        </is>
      </c>
      <c r="V796" s="82" t="inlineStr"/>
      <c r="W796" s="10" t="n"/>
      <c r="X796" s="10" t="inlineStr"/>
      <c r="Y796" s="64">
        <f>IF($M796="","",IF(SUMPRODUCT(($D$4:$D$863=$D796)*($M$4:$M$863=$M796)*($T$4:$T$863&lt;&gt;$T796)*($F$4:$F$863&lt;$G796)*($G$4:$G$863&gt;$F796))&gt;0,"⚠ CONFLIT",""))</f>
        <v/>
      </c>
      <c r="Z796" s="64">
        <f>IF($J796="","",IF(SUMPRODUCT(($D$4:$D$863=$D796)*($J$4:$J$863=$J796)*($T$4:$T$863&lt;&gt;$T796)*($F$4:$F$863&lt;$G796)*($G$4:$G$863&gt;$F796)*(1-($X$4:$X$863="Oui")*($X796="Oui")))&gt;0,"⚠ CONFLIT",""))</f>
        <v/>
      </c>
      <c r="AA796" s="64">
        <f>IF(COUNTIFS($D$4:$D$863,$D796,$J$4:$J$863,$J796,$F$4:$F$863,$F796,$K$4:$K$863,$K796)&gt;1,"⚠ DOUBLON","")</f>
        <v/>
      </c>
      <c r="AB796" s="64">
        <f>IF(COUNTIF($T$4:$T$863,$T796)&lt;&gt;COUNTIFS($T$4:$T$863,$T796,$D$4:$D$863,$D796,$F$4:$F$863,$F796,$G$4:$G$863,$G796,$K$4:$K$863,$K796,$M$4:$M$863,$M796),"⚠ INCOHÉRENT","")</f>
        <v/>
      </c>
      <c r="AC796" s="64">
        <f>COUNTIFS($A$4:$A796,$A796,$J$4:$J796,$J796,$E$4:$E796,$E796)</f>
        <v/>
      </c>
      <c r="AD796" s="65">
        <f>$A796&amp;"|"&amp;$J796&amp;"|"&amp;$E796&amp;"|"&amp;$AC796</f>
        <v/>
      </c>
      <c r="AE796" s="66">
        <f>IF($W796&lt;&gt;"","⚑ "&amp;$W796&amp;CHAR(10),"")&amp;TEXT($F796,"hh:mm")&amp;"-"&amp;TEXT($G796,"hh:mm")&amp;IF(OR($P796="Quinzaine A",AND($P796="Hebdo · groupes alternés",$C796="A"))," Q-A",IF(OR($P796="Quinzaine B",AND($P796="Hebdo · groupes alternés",$C796="B"))," Q-B",IF($P796="Exception"," PONCT.","")))&amp;IF($X796="Oui"," OPT","")&amp;CHAR(10)&amp;$K796&amp;CHAR(10)&amp;$M796&amp;IF($N796&lt;&gt;"",CHAR(10)&amp;"Salle "&amp;$N796,"")&amp;IF($O796="En ligne",CHAR(10)&amp;"EN LIGNE","")&amp;IF($V796&lt;&gt;"",CHAR(10)&amp;$V796,"")</f>
        <v/>
      </c>
      <c r="AF796" s="65" t="inlineStr"/>
      <c r="AG796" s="65" t="inlineStr">
        <is>
          <t>— généré —</t>
        </is>
      </c>
    </row>
    <row r="797" ht="15" customHeight="1">
      <c r="A797" s="81" t="inlineStr">
        <is>
          <t>S7</t>
        </is>
      </c>
      <c r="B797" s="82" t="inlineStr">
        <is>
          <t>du 26 octobre au 1er novembre 2026</t>
        </is>
      </c>
      <c r="C797" s="81" t="inlineStr">
        <is>
          <t>A</t>
        </is>
      </c>
      <c r="D797" s="83" t="n">
        <v>46324</v>
      </c>
      <c r="E797" s="81" t="inlineStr">
        <is>
          <t>Jeudi</t>
        </is>
      </c>
      <c r="F797" s="84" t="n">
        <v>0.7916666666666666</v>
      </c>
      <c r="G797" s="84" t="n">
        <v>0.8541666666666666</v>
      </c>
      <c r="H797" s="85">
        <f>IF(OR($F797="",$G797=""),"",($G797-$F797)*24)</f>
        <v/>
      </c>
      <c r="I797" s="81" t="inlineStr">
        <is>
          <t>Bac</t>
        </is>
      </c>
      <c r="J797" s="82" t="inlineStr">
        <is>
          <t>Bac INFO</t>
        </is>
      </c>
      <c r="K797" s="91" t="inlineStr">
        <is>
          <t>Philo</t>
        </is>
      </c>
      <c r="L797" s="91" t="inlineStr">
        <is>
          <t>Philo</t>
        </is>
      </c>
      <c r="M797" s="82" t="inlineStr">
        <is>
          <t>Fayssel</t>
        </is>
      </c>
      <c r="N797" s="81" t="n"/>
      <c r="O797" s="81" t="n"/>
      <c r="P797" s="81" t="inlineStr">
        <is>
          <t>Hebdo · groupes alternés</t>
        </is>
      </c>
      <c r="Q797" s="82" t="inlineStr">
        <is>
          <t>Bac Eco + Bac SCE + Bac INFO</t>
        </is>
      </c>
      <c r="R797" s="81" t="n">
        <v>3</v>
      </c>
      <c r="S797" s="81" t="inlineStr"/>
      <c r="T797" s="81" t="inlineStr">
        <is>
          <t>S7-043</t>
        </is>
      </c>
      <c r="U797" s="82" t="inlineStr">
        <is>
          <t>Généré (octobre)</t>
        </is>
      </c>
      <c r="V797" s="82" t="inlineStr"/>
      <c r="W797" s="10" t="n"/>
      <c r="X797" s="10" t="inlineStr"/>
      <c r="Y797" s="64">
        <f>IF($M797="","",IF(SUMPRODUCT(($D$4:$D$863=$D797)*($M$4:$M$863=$M797)*($T$4:$T$863&lt;&gt;$T797)*($F$4:$F$863&lt;$G797)*($G$4:$G$863&gt;$F797))&gt;0,"⚠ CONFLIT",""))</f>
        <v/>
      </c>
      <c r="Z797" s="64">
        <f>IF($J797="","",IF(SUMPRODUCT(($D$4:$D$863=$D797)*($J$4:$J$863=$J797)*($T$4:$T$863&lt;&gt;$T797)*($F$4:$F$863&lt;$G797)*($G$4:$G$863&gt;$F797)*(1-($X$4:$X$863="Oui")*($X797="Oui")))&gt;0,"⚠ CONFLIT",""))</f>
        <v/>
      </c>
      <c r="AA797" s="64">
        <f>IF(COUNTIFS($D$4:$D$863,$D797,$J$4:$J$863,$J797,$F$4:$F$863,$F797,$K$4:$K$863,$K797)&gt;1,"⚠ DOUBLON","")</f>
        <v/>
      </c>
      <c r="AB797" s="64">
        <f>IF(COUNTIF($T$4:$T$863,$T797)&lt;&gt;COUNTIFS($T$4:$T$863,$T797,$D$4:$D$863,$D797,$F$4:$F$863,$F797,$G$4:$G$863,$G797,$K$4:$K$863,$K797,$M$4:$M$863,$M797),"⚠ INCOHÉRENT","")</f>
        <v/>
      </c>
      <c r="AC797" s="64">
        <f>COUNTIFS($A$4:$A797,$A797,$J$4:$J797,$J797,$E$4:$E797,$E797)</f>
        <v/>
      </c>
      <c r="AD797" s="65">
        <f>$A797&amp;"|"&amp;$J797&amp;"|"&amp;$E797&amp;"|"&amp;$AC797</f>
        <v/>
      </c>
      <c r="AE797" s="66">
        <f>IF($W797&lt;&gt;"","⚑ "&amp;$W797&amp;CHAR(10),"")&amp;TEXT($F797,"hh:mm")&amp;"-"&amp;TEXT($G797,"hh:mm")&amp;IF(OR($P797="Quinzaine A",AND($P797="Hebdo · groupes alternés",$C797="A"))," Q-A",IF(OR($P797="Quinzaine B",AND($P797="Hebdo · groupes alternés",$C797="B"))," Q-B",IF($P797="Exception"," PONCT.","")))&amp;IF($X797="Oui"," OPT","")&amp;CHAR(10)&amp;$K797&amp;CHAR(10)&amp;$M797&amp;IF($N797&lt;&gt;"",CHAR(10)&amp;"Salle "&amp;$N797,"")&amp;IF($O797="En ligne",CHAR(10)&amp;"EN LIGNE","")&amp;IF($V797&lt;&gt;"",CHAR(10)&amp;$V797,"")</f>
        <v/>
      </c>
      <c r="AF797" s="65" t="inlineStr"/>
      <c r="AG797" s="65" t="inlineStr">
        <is>
          <t>— généré —</t>
        </is>
      </c>
    </row>
    <row r="798" ht="15" customHeight="1">
      <c r="A798" s="58" t="inlineStr">
        <is>
          <t>S7</t>
        </is>
      </c>
      <c r="B798" s="59" t="inlineStr">
        <is>
          <t>du 26 octobre au 1er novembre 2026</t>
        </is>
      </c>
      <c r="C798" s="58" t="inlineStr">
        <is>
          <t>A</t>
        </is>
      </c>
      <c r="D798" s="60" t="n">
        <v>46325</v>
      </c>
      <c r="E798" s="58" t="inlineStr">
        <is>
          <t>Vendredi</t>
        </is>
      </c>
      <c r="F798" s="61" t="n">
        <v>0.7916666666666666</v>
      </c>
      <c r="G798" s="61" t="n">
        <v>0.8541666666666666</v>
      </c>
      <c r="H798" s="62">
        <f>IF(OR($F798="",$G798=""),"",($G798-$F798)*24)</f>
        <v/>
      </c>
      <c r="I798" s="58" t="inlineStr">
        <is>
          <t>Primaire</t>
        </is>
      </c>
      <c r="J798" s="59" t="inlineStr">
        <is>
          <t>4éme</t>
        </is>
      </c>
      <c r="K798" s="92" t="inlineStr">
        <is>
          <t>إيقاظ علمي</t>
        </is>
      </c>
      <c r="L798" s="92" t="inlineStr">
        <is>
          <t>Éveil scientifique</t>
        </is>
      </c>
      <c r="M798" s="59" t="inlineStr">
        <is>
          <t>Bassma</t>
        </is>
      </c>
      <c r="N798" s="58" t="n"/>
      <c r="O798" s="58" t="n"/>
      <c r="P798" s="58" t="inlineStr">
        <is>
          <t>Hebdo · groupes alternés</t>
        </is>
      </c>
      <c r="Q798" s="59" t="inlineStr"/>
      <c r="R798" s="58" t="n">
        <v>1</v>
      </c>
      <c r="S798" s="58" t="inlineStr">
        <is>
          <t>Oui</t>
        </is>
      </c>
      <c r="T798" s="58" t="inlineStr">
        <is>
          <t>S7-044</t>
        </is>
      </c>
      <c r="U798" s="59" t="inlineStr">
        <is>
          <t>Généré (octobre)</t>
        </is>
      </c>
      <c r="V798" s="59" t="inlineStr"/>
      <c r="W798" s="10" t="n"/>
      <c r="X798" s="10" t="inlineStr"/>
      <c r="Y798" s="64">
        <f>IF($M798="","",IF(SUMPRODUCT(($D$4:$D$863=$D798)*($M$4:$M$863=$M798)*($T$4:$T$863&lt;&gt;$T798)*($F$4:$F$863&lt;$G798)*($G$4:$G$863&gt;$F798))&gt;0,"⚠ CONFLIT",""))</f>
        <v/>
      </c>
      <c r="Z798" s="64">
        <f>IF($J798="","",IF(SUMPRODUCT(($D$4:$D$863=$D798)*($J$4:$J$863=$J798)*($T$4:$T$863&lt;&gt;$T798)*($F$4:$F$863&lt;$G798)*($G$4:$G$863&gt;$F798)*(1-($X$4:$X$863="Oui")*($X798="Oui")))&gt;0,"⚠ CONFLIT",""))</f>
        <v/>
      </c>
      <c r="AA798" s="64">
        <f>IF(COUNTIFS($D$4:$D$863,$D798,$J$4:$J$863,$J798,$F$4:$F$863,$F798,$K$4:$K$863,$K798)&gt;1,"⚠ DOUBLON","")</f>
        <v/>
      </c>
      <c r="AB798" s="64">
        <f>IF(COUNTIF($T$4:$T$863,$T798)&lt;&gt;COUNTIFS($T$4:$T$863,$T798,$D$4:$D$863,$D798,$F$4:$F$863,$F798,$G$4:$G$863,$G798,$K$4:$K$863,$K798,$M$4:$M$863,$M798),"⚠ INCOHÉRENT","")</f>
        <v/>
      </c>
      <c r="AC798" s="64">
        <f>COUNTIFS($A$4:$A798,$A798,$J$4:$J798,$J798,$E$4:$E798,$E798)</f>
        <v/>
      </c>
      <c r="AD798" s="65">
        <f>$A798&amp;"|"&amp;$J798&amp;"|"&amp;$E798&amp;"|"&amp;$AC798</f>
        <v/>
      </c>
      <c r="AE798" s="66">
        <f>IF($W798&lt;&gt;"","⚑ "&amp;$W798&amp;CHAR(10),"")&amp;TEXT($F798,"hh:mm")&amp;"-"&amp;TEXT($G798,"hh:mm")&amp;IF(OR($P798="Quinzaine A",AND($P798="Hebdo · groupes alternés",$C798="A"))," Q-A",IF(OR($P798="Quinzaine B",AND($P798="Hebdo · groupes alternés",$C798="B"))," Q-B",IF($P798="Exception"," PONCT.","")))&amp;IF($X798="Oui"," OPT","")&amp;CHAR(10)&amp;$K798&amp;CHAR(10)&amp;$M798&amp;IF($N798&lt;&gt;"",CHAR(10)&amp;"Salle "&amp;$N798,"")&amp;IF($O798="En ligne",CHAR(10)&amp;"EN LIGNE","")&amp;IF($V798&lt;&gt;"",CHAR(10)&amp;$V798,"")</f>
        <v/>
      </c>
      <c r="AF798" s="65" t="inlineStr"/>
      <c r="AG798" s="65" t="inlineStr">
        <is>
          <t>— généré —</t>
        </is>
      </c>
    </row>
    <row r="799" ht="15" customHeight="1">
      <c r="A799" s="58" t="inlineStr">
        <is>
          <t>S7</t>
        </is>
      </c>
      <c r="B799" s="59" t="inlineStr">
        <is>
          <t>du 26 octobre au 1er novembre 2026</t>
        </is>
      </c>
      <c r="C799" s="58" t="inlineStr">
        <is>
          <t>A</t>
        </is>
      </c>
      <c r="D799" s="60" t="n">
        <v>46325</v>
      </c>
      <c r="E799" s="58" t="inlineStr">
        <is>
          <t>Vendredi</t>
        </is>
      </c>
      <c r="F799" s="61" t="n">
        <v>0.8125</v>
      </c>
      <c r="G799" s="61" t="n">
        <v>0.875</v>
      </c>
      <c r="H799" s="62">
        <f>IF(OR($F799="",$G799=""),"",($G799-$F799)*24)</f>
        <v/>
      </c>
      <c r="I799" s="58" t="inlineStr">
        <is>
          <t>Primaire</t>
        </is>
      </c>
      <c r="J799" s="59" t="inlineStr">
        <is>
          <t>6éme Pilote (A)</t>
        </is>
      </c>
      <c r="K799" s="92" t="inlineStr">
        <is>
          <t>إيقاظ علمي</t>
        </is>
      </c>
      <c r="L799" s="92" t="inlineStr">
        <is>
          <t>Éveil scientifique</t>
        </is>
      </c>
      <c r="M799" s="59" t="inlineStr">
        <is>
          <t>Noura</t>
        </is>
      </c>
      <c r="N799" s="58" t="n"/>
      <c r="O799" s="58" t="n"/>
      <c r="P799" s="58" t="inlineStr">
        <is>
          <t>Hebdomadaire</t>
        </is>
      </c>
      <c r="Q799" s="59" t="inlineStr">
        <is>
          <t>6éme Pilote (A) + 6éme (B)</t>
        </is>
      </c>
      <c r="R799" s="58" t="n">
        <v>2</v>
      </c>
      <c r="S799" s="58" t="inlineStr">
        <is>
          <t>Oui</t>
        </is>
      </c>
      <c r="T799" s="58" t="inlineStr">
        <is>
          <t>S7-045</t>
        </is>
      </c>
      <c r="U799" s="59" t="inlineStr">
        <is>
          <t>Généré (octobre)</t>
        </is>
      </c>
      <c r="V799" s="59" t="inlineStr"/>
      <c r="W799" s="10" t="n"/>
      <c r="X799" s="10" t="inlineStr"/>
      <c r="Y799" s="64">
        <f>IF($M799="","",IF(SUMPRODUCT(($D$4:$D$863=$D799)*($M$4:$M$863=$M799)*($T$4:$T$863&lt;&gt;$T799)*($F$4:$F$863&lt;$G799)*($G$4:$G$863&gt;$F799))&gt;0,"⚠ CONFLIT",""))</f>
        <v/>
      </c>
      <c r="Z799" s="64">
        <f>IF($J799="","",IF(SUMPRODUCT(($D$4:$D$863=$D799)*($J$4:$J$863=$J799)*($T$4:$T$863&lt;&gt;$T799)*($F$4:$F$863&lt;$G799)*($G$4:$G$863&gt;$F799)*(1-($X$4:$X$863="Oui")*($X799="Oui")))&gt;0,"⚠ CONFLIT",""))</f>
        <v/>
      </c>
      <c r="AA799" s="64">
        <f>IF(COUNTIFS($D$4:$D$863,$D799,$J$4:$J$863,$J799,$F$4:$F$863,$F799,$K$4:$K$863,$K799)&gt;1,"⚠ DOUBLON","")</f>
        <v/>
      </c>
      <c r="AB799" s="64">
        <f>IF(COUNTIF($T$4:$T$863,$T799)&lt;&gt;COUNTIFS($T$4:$T$863,$T799,$D$4:$D$863,$D799,$F$4:$F$863,$F799,$G$4:$G$863,$G799,$K$4:$K$863,$K799,$M$4:$M$863,$M799),"⚠ INCOHÉRENT","")</f>
        <v/>
      </c>
      <c r="AC799" s="64">
        <f>COUNTIFS($A$4:$A799,$A799,$J$4:$J799,$J799,$E$4:$E799,$E799)</f>
        <v/>
      </c>
      <c r="AD799" s="65">
        <f>$A799&amp;"|"&amp;$J799&amp;"|"&amp;$E799&amp;"|"&amp;$AC799</f>
        <v/>
      </c>
      <c r="AE799" s="66">
        <f>IF($W799&lt;&gt;"","⚑ "&amp;$W799&amp;CHAR(10),"")&amp;TEXT($F799,"hh:mm")&amp;"-"&amp;TEXT($G799,"hh:mm")&amp;IF(OR($P799="Quinzaine A",AND($P799="Hebdo · groupes alternés",$C799="A"))," Q-A",IF(OR($P799="Quinzaine B",AND($P799="Hebdo · groupes alternés",$C799="B"))," Q-B",IF($P799="Exception"," PONCT.","")))&amp;IF($X799="Oui"," OPT","")&amp;CHAR(10)&amp;$K799&amp;CHAR(10)&amp;$M799&amp;IF($N799&lt;&gt;"",CHAR(10)&amp;"Salle "&amp;$N799,"")&amp;IF($O799="En ligne",CHAR(10)&amp;"EN LIGNE","")&amp;IF($V799&lt;&gt;"",CHAR(10)&amp;$V799,"")</f>
        <v/>
      </c>
      <c r="AF799" s="65" t="inlineStr"/>
      <c r="AG799" s="65" t="inlineStr">
        <is>
          <t>— généré —</t>
        </is>
      </c>
    </row>
    <row r="800" ht="15" customHeight="1">
      <c r="A800" s="58" t="inlineStr">
        <is>
          <t>S7</t>
        </is>
      </c>
      <c r="B800" s="59" t="inlineStr">
        <is>
          <t>du 26 octobre au 1er novembre 2026</t>
        </is>
      </c>
      <c r="C800" s="58" t="inlineStr">
        <is>
          <t>A</t>
        </is>
      </c>
      <c r="D800" s="60" t="n">
        <v>46325</v>
      </c>
      <c r="E800" s="58" t="inlineStr">
        <is>
          <t>Vendredi</t>
        </is>
      </c>
      <c r="F800" s="61" t="n">
        <v>0.8125</v>
      </c>
      <c r="G800" s="61" t="n">
        <v>0.875</v>
      </c>
      <c r="H800" s="62">
        <f>IF(OR($F800="",$G800=""),"",($G800-$F800)*24)</f>
        <v/>
      </c>
      <c r="I800" s="58" t="inlineStr">
        <is>
          <t>Primaire</t>
        </is>
      </c>
      <c r="J800" s="59" t="inlineStr">
        <is>
          <t>6éme (B)</t>
        </is>
      </c>
      <c r="K800" s="92" t="inlineStr">
        <is>
          <t>إيقاظ علمي</t>
        </is>
      </c>
      <c r="L800" s="92" t="inlineStr">
        <is>
          <t>Éveil scientifique</t>
        </is>
      </c>
      <c r="M800" s="59" t="inlineStr">
        <is>
          <t>Noura</t>
        </is>
      </c>
      <c r="N800" s="58" t="n"/>
      <c r="O800" s="58" t="n"/>
      <c r="P800" s="58" t="inlineStr">
        <is>
          <t>Hebdomadaire</t>
        </is>
      </c>
      <c r="Q800" s="59" t="inlineStr">
        <is>
          <t>6éme Pilote (A) + 6éme (B)</t>
        </is>
      </c>
      <c r="R800" s="58" t="n">
        <v>2</v>
      </c>
      <c r="S800" s="58" t="inlineStr"/>
      <c r="T800" s="58" t="inlineStr">
        <is>
          <t>S7-045</t>
        </is>
      </c>
      <c r="U800" s="59" t="inlineStr">
        <is>
          <t>Généré (octobre)</t>
        </is>
      </c>
      <c r="V800" s="59" t="inlineStr"/>
      <c r="W800" s="10" t="n"/>
      <c r="X800" s="10" t="inlineStr"/>
      <c r="Y800" s="64">
        <f>IF($M800="","",IF(SUMPRODUCT(($D$4:$D$863=$D800)*($M$4:$M$863=$M800)*($T$4:$T$863&lt;&gt;$T800)*($F$4:$F$863&lt;$G800)*($G$4:$G$863&gt;$F800))&gt;0,"⚠ CONFLIT",""))</f>
        <v/>
      </c>
      <c r="Z800" s="64">
        <f>IF($J800="","",IF(SUMPRODUCT(($D$4:$D$863=$D800)*($J$4:$J$863=$J800)*($T$4:$T$863&lt;&gt;$T800)*($F$4:$F$863&lt;$G800)*($G$4:$G$863&gt;$F800)*(1-($X$4:$X$863="Oui")*($X800="Oui")))&gt;0,"⚠ CONFLIT",""))</f>
        <v/>
      </c>
      <c r="AA800" s="64">
        <f>IF(COUNTIFS($D$4:$D$863,$D800,$J$4:$J$863,$J800,$F$4:$F$863,$F800,$K$4:$K$863,$K800)&gt;1,"⚠ DOUBLON","")</f>
        <v/>
      </c>
      <c r="AB800" s="64">
        <f>IF(COUNTIF($T$4:$T$863,$T800)&lt;&gt;COUNTIFS($T$4:$T$863,$T800,$D$4:$D$863,$D800,$F$4:$F$863,$F800,$G$4:$G$863,$G800,$K$4:$K$863,$K800,$M$4:$M$863,$M800),"⚠ INCOHÉRENT","")</f>
        <v/>
      </c>
      <c r="AC800" s="64">
        <f>COUNTIFS($A$4:$A800,$A800,$J$4:$J800,$J800,$E$4:$E800,$E800)</f>
        <v/>
      </c>
      <c r="AD800" s="65">
        <f>$A800&amp;"|"&amp;$J800&amp;"|"&amp;$E800&amp;"|"&amp;$AC800</f>
        <v/>
      </c>
      <c r="AE800" s="66">
        <f>IF($W800&lt;&gt;"","⚑ "&amp;$W800&amp;CHAR(10),"")&amp;TEXT($F800,"hh:mm")&amp;"-"&amp;TEXT($G800,"hh:mm")&amp;IF(OR($P800="Quinzaine A",AND($P800="Hebdo · groupes alternés",$C800="A"))," Q-A",IF(OR($P800="Quinzaine B",AND($P800="Hebdo · groupes alternés",$C800="B"))," Q-B",IF($P800="Exception"," PONCT.","")))&amp;IF($X800="Oui"," OPT","")&amp;CHAR(10)&amp;$K800&amp;CHAR(10)&amp;$M800&amp;IF($N800&lt;&gt;"",CHAR(10)&amp;"Salle "&amp;$N800,"")&amp;IF($O800="En ligne",CHAR(10)&amp;"EN LIGNE","")&amp;IF($V800&lt;&gt;"",CHAR(10)&amp;$V800,"")</f>
        <v/>
      </c>
      <c r="AF800" s="65" t="inlineStr"/>
      <c r="AG800" s="65" t="inlineStr">
        <is>
          <t>— généré —</t>
        </is>
      </c>
    </row>
    <row r="801" ht="15" customHeight="1">
      <c r="A801" s="68" t="inlineStr">
        <is>
          <t>S7</t>
        </is>
      </c>
      <c r="B801" s="69" t="inlineStr">
        <is>
          <t>du 26 octobre au 1er novembre 2026</t>
        </is>
      </c>
      <c r="C801" s="68" t="inlineStr">
        <is>
          <t>A</t>
        </is>
      </c>
      <c r="D801" s="70" t="n">
        <v>46325</v>
      </c>
      <c r="E801" s="68" t="inlineStr">
        <is>
          <t>Vendredi</t>
        </is>
      </c>
      <c r="F801" s="71" t="n">
        <v>0.75</v>
      </c>
      <c r="G801" s="71" t="n">
        <v>0.8125</v>
      </c>
      <c r="H801" s="72">
        <f>IF(OR($F801="",$G801=""),"",($G801-$F801)*24)</f>
        <v/>
      </c>
      <c r="I801" s="68" t="inlineStr">
        <is>
          <t>Collège</t>
        </is>
      </c>
      <c r="J801" s="69" t="inlineStr">
        <is>
          <t>7éme (A)</t>
        </is>
      </c>
      <c r="K801" s="79" t="inlineStr">
        <is>
          <t>Math</t>
        </is>
      </c>
      <c r="L801" s="79" t="inlineStr">
        <is>
          <t>Math</t>
        </is>
      </c>
      <c r="M801" s="69" t="inlineStr">
        <is>
          <t>Khouloud</t>
        </is>
      </c>
      <c r="N801" s="68" t="n"/>
      <c r="O801" s="68" t="n"/>
      <c r="P801" s="68" t="inlineStr">
        <is>
          <t>Hebdomadaire</t>
        </is>
      </c>
      <c r="Q801" s="69" t="inlineStr"/>
      <c r="R801" s="68" t="n">
        <v>1</v>
      </c>
      <c r="S801" s="68" t="inlineStr">
        <is>
          <t>Oui</t>
        </is>
      </c>
      <c r="T801" s="68" t="inlineStr">
        <is>
          <t>S7-046</t>
        </is>
      </c>
      <c r="U801" s="69" t="inlineStr">
        <is>
          <t>Généré (octobre)</t>
        </is>
      </c>
      <c r="V801" s="69" t="inlineStr"/>
      <c r="W801" s="10" t="n"/>
      <c r="X801" s="10" t="inlineStr"/>
      <c r="Y801" s="64">
        <f>IF($M801="","",IF(SUMPRODUCT(($D$4:$D$863=$D801)*($M$4:$M$863=$M801)*($T$4:$T$863&lt;&gt;$T801)*($F$4:$F$863&lt;$G801)*($G$4:$G$863&gt;$F801))&gt;0,"⚠ CONFLIT",""))</f>
        <v/>
      </c>
      <c r="Z801" s="64">
        <f>IF($J801="","",IF(SUMPRODUCT(($D$4:$D$863=$D801)*($J$4:$J$863=$J801)*($T$4:$T$863&lt;&gt;$T801)*($F$4:$F$863&lt;$G801)*($G$4:$G$863&gt;$F801)*(1-($X$4:$X$863="Oui")*($X801="Oui")))&gt;0,"⚠ CONFLIT",""))</f>
        <v/>
      </c>
      <c r="AA801" s="64">
        <f>IF(COUNTIFS($D$4:$D$863,$D801,$J$4:$J$863,$J801,$F$4:$F$863,$F801,$K$4:$K$863,$K801)&gt;1,"⚠ DOUBLON","")</f>
        <v/>
      </c>
      <c r="AB801" s="64">
        <f>IF(COUNTIF($T$4:$T$863,$T801)&lt;&gt;COUNTIFS($T$4:$T$863,$T801,$D$4:$D$863,$D801,$F$4:$F$863,$F801,$G$4:$G$863,$G801,$K$4:$K$863,$K801,$M$4:$M$863,$M801),"⚠ INCOHÉRENT","")</f>
        <v/>
      </c>
      <c r="AC801" s="64">
        <f>COUNTIFS($A$4:$A801,$A801,$J$4:$J801,$J801,$E$4:$E801,$E801)</f>
        <v/>
      </c>
      <c r="AD801" s="65">
        <f>$A801&amp;"|"&amp;$J801&amp;"|"&amp;$E801&amp;"|"&amp;$AC801</f>
        <v/>
      </c>
      <c r="AE801" s="66">
        <f>IF($W801&lt;&gt;"","⚑ "&amp;$W801&amp;CHAR(10),"")&amp;TEXT($F801,"hh:mm")&amp;"-"&amp;TEXT($G801,"hh:mm")&amp;IF(OR($P801="Quinzaine A",AND($P801="Hebdo · groupes alternés",$C801="A"))," Q-A",IF(OR($P801="Quinzaine B",AND($P801="Hebdo · groupes alternés",$C801="B"))," Q-B",IF($P801="Exception"," PONCT.","")))&amp;IF($X801="Oui"," OPT","")&amp;CHAR(10)&amp;$K801&amp;CHAR(10)&amp;$M801&amp;IF($N801&lt;&gt;"",CHAR(10)&amp;"Salle "&amp;$N801,"")&amp;IF($O801="En ligne",CHAR(10)&amp;"EN LIGNE","")&amp;IF($V801&lt;&gt;"",CHAR(10)&amp;$V801,"")</f>
        <v/>
      </c>
      <c r="AF801" s="65" t="inlineStr"/>
      <c r="AG801" s="65" t="inlineStr">
        <is>
          <t>— généré —</t>
        </is>
      </c>
    </row>
    <row r="802" ht="15" customHeight="1">
      <c r="A802" s="68" t="inlineStr">
        <is>
          <t>S7</t>
        </is>
      </c>
      <c r="B802" s="69" t="inlineStr">
        <is>
          <t>du 26 octobre au 1er novembre 2026</t>
        </is>
      </c>
      <c r="C802" s="68" t="inlineStr">
        <is>
          <t>A</t>
        </is>
      </c>
      <c r="D802" s="70" t="n">
        <v>46325</v>
      </c>
      <c r="E802" s="68" t="inlineStr">
        <is>
          <t>Vendredi</t>
        </is>
      </c>
      <c r="F802" s="71" t="n">
        <v>0.8125</v>
      </c>
      <c r="G802" s="71" t="n">
        <v>0.875</v>
      </c>
      <c r="H802" s="72">
        <f>IF(OR($F802="",$G802=""),"",($G802-$F802)*24)</f>
        <v/>
      </c>
      <c r="I802" s="68" t="inlineStr">
        <is>
          <t>Collège</t>
        </is>
      </c>
      <c r="J802" s="69" t="inlineStr">
        <is>
          <t>7éme (B)</t>
        </is>
      </c>
      <c r="K802" s="79" t="inlineStr">
        <is>
          <t>Math</t>
        </is>
      </c>
      <c r="L802" s="79" t="inlineStr">
        <is>
          <t>Math</t>
        </is>
      </c>
      <c r="M802" s="69" t="inlineStr">
        <is>
          <t>Khouloud</t>
        </is>
      </c>
      <c r="N802" s="68" t="n"/>
      <c r="O802" s="68" t="n"/>
      <c r="P802" s="68" t="inlineStr">
        <is>
          <t>Hebdomadaire</t>
        </is>
      </c>
      <c r="Q802" s="69" t="inlineStr"/>
      <c r="R802" s="68" t="n">
        <v>1</v>
      </c>
      <c r="S802" s="68" t="inlineStr">
        <is>
          <t>Oui</t>
        </is>
      </c>
      <c r="T802" s="68" t="inlineStr">
        <is>
          <t>S7-047</t>
        </is>
      </c>
      <c r="U802" s="69" t="inlineStr">
        <is>
          <t>Généré (octobre)</t>
        </is>
      </c>
      <c r="V802" s="69" t="inlineStr"/>
      <c r="W802" s="10" t="n"/>
      <c r="X802" s="10" t="inlineStr"/>
      <c r="Y802" s="64">
        <f>IF($M802="","",IF(SUMPRODUCT(($D$4:$D$863=$D802)*($M$4:$M$863=$M802)*($T$4:$T$863&lt;&gt;$T802)*($F$4:$F$863&lt;$G802)*($G$4:$G$863&gt;$F802))&gt;0,"⚠ CONFLIT",""))</f>
        <v/>
      </c>
      <c r="Z802" s="64">
        <f>IF($J802="","",IF(SUMPRODUCT(($D$4:$D$863=$D802)*($J$4:$J$863=$J802)*($T$4:$T$863&lt;&gt;$T802)*($F$4:$F$863&lt;$G802)*($G$4:$G$863&gt;$F802)*(1-($X$4:$X$863="Oui")*($X802="Oui")))&gt;0,"⚠ CONFLIT",""))</f>
        <v/>
      </c>
      <c r="AA802" s="64">
        <f>IF(COUNTIFS($D$4:$D$863,$D802,$J$4:$J$863,$J802,$F$4:$F$863,$F802,$K$4:$K$863,$K802)&gt;1,"⚠ DOUBLON","")</f>
        <v/>
      </c>
      <c r="AB802" s="64">
        <f>IF(COUNTIF($T$4:$T$863,$T802)&lt;&gt;COUNTIFS($T$4:$T$863,$T802,$D$4:$D$863,$D802,$F$4:$F$863,$F802,$G$4:$G$863,$G802,$K$4:$K$863,$K802,$M$4:$M$863,$M802),"⚠ INCOHÉRENT","")</f>
        <v/>
      </c>
      <c r="AC802" s="64">
        <f>COUNTIFS($A$4:$A802,$A802,$J$4:$J802,$J802,$E$4:$E802,$E802)</f>
        <v/>
      </c>
      <c r="AD802" s="65">
        <f>$A802&amp;"|"&amp;$J802&amp;"|"&amp;$E802&amp;"|"&amp;$AC802</f>
        <v/>
      </c>
      <c r="AE802" s="66">
        <f>IF($W802&lt;&gt;"","⚑ "&amp;$W802&amp;CHAR(10),"")&amp;TEXT($F802,"hh:mm")&amp;"-"&amp;TEXT($G802,"hh:mm")&amp;IF(OR($P802="Quinzaine A",AND($P802="Hebdo · groupes alternés",$C802="A"))," Q-A",IF(OR($P802="Quinzaine B",AND($P802="Hebdo · groupes alternés",$C802="B"))," Q-B",IF($P802="Exception"," PONCT.","")))&amp;IF($X802="Oui"," OPT","")&amp;CHAR(10)&amp;$K802&amp;CHAR(10)&amp;$M802&amp;IF($N802&lt;&gt;"",CHAR(10)&amp;"Salle "&amp;$N802,"")&amp;IF($O802="En ligne",CHAR(10)&amp;"EN LIGNE","")&amp;IF($V802&lt;&gt;"",CHAR(10)&amp;$V802,"")</f>
        <v/>
      </c>
      <c r="AF802" s="65" t="inlineStr"/>
      <c r="AG802" s="65" t="inlineStr">
        <is>
          <t>— généré —</t>
        </is>
      </c>
    </row>
    <row r="803" ht="15" customHeight="1">
      <c r="A803" s="68" t="inlineStr">
        <is>
          <t>S7</t>
        </is>
      </c>
      <c r="B803" s="69" t="inlineStr">
        <is>
          <t>du 26 octobre au 1er novembre 2026</t>
        </is>
      </c>
      <c r="C803" s="68" t="inlineStr">
        <is>
          <t>A</t>
        </is>
      </c>
      <c r="D803" s="70" t="n">
        <v>46325</v>
      </c>
      <c r="E803" s="68" t="inlineStr">
        <is>
          <t>Vendredi</t>
        </is>
      </c>
      <c r="F803" s="71" t="n">
        <v>0.8125</v>
      </c>
      <c r="G803" s="71" t="n">
        <v>0.875</v>
      </c>
      <c r="H803" s="72">
        <f>IF(OR($F803="",$G803=""),"",($G803-$F803)*24)</f>
        <v/>
      </c>
      <c r="I803" s="68" t="inlineStr">
        <is>
          <t>Collège</t>
        </is>
      </c>
      <c r="J803" s="69" t="inlineStr">
        <is>
          <t>8éme (A)</t>
        </is>
      </c>
      <c r="K803" s="73" t="inlineStr">
        <is>
          <t>فيزياء</t>
        </is>
      </c>
      <c r="L803" s="73" t="inlineStr">
        <is>
          <t>Physique</t>
        </is>
      </c>
      <c r="M803" s="69" t="inlineStr">
        <is>
          <t>Melek</t>
        </is>
      </c>
      <c r="N803" s="68" t="n"/>
      <c r="O803" s="68" t="n"/>
      <c r="P803" s="68" t="inlineStr">
        <is>
          <t>Hebdomadaire</t>
        </is>
      </c>
      <c r="Q803" s="69" t="inlineStr">
        <is>
          <t>8éme (A) + 8éme (B) + 8éme (C)</t>
        </is>
      </c>
      <c r="R803" s="68" t="n">
        <v>3</v>
      </c>
      <c r="S803" s="68" t="inlineStr">
        <is>
          <t>Oui</t>
        </is>
      </c>
      <c r="T803" s="68" t="inlineStr">
        <is>
          <t>S7-048</t>
        </is>
      </c>
      <c r="U803" s="69" t="inlineStr">
        <is>
          <t>Généré (octobre)</t>
        </is>
      </c>
      <c r="V803" s="69" t="inlineStr"/>
      <c r="W803" s="10" t="n"/>
      <c r="X803" s="10" t="inlineStr"/>
      <c r="Y803" s="64">
        <f>IF($M803="","",IF(SUMPRODUCT(($D$4:$D$863=$D803)*($M$4:$M$863=$M803)*($T$4:$T$863&lt;&gt;$T803)*($F$4:$F$863&lt;$G803)*($G$4:$G$863&gt;$F803))&gt;0,"⚠ CONFLIT",""))</f>
        <v/>
      </c>
      <c r="Z803" s="64">
        <f>IF($J803="","",IF(SUMPRODUCT(($D$4:$D$863=$D803)*($J$4:$J$863=$J803)*($T$4:$T$863&lt;&gt;$T803)*($F$4:$F$863&lt;$G803)*($G$4:$G$863&gt;$F803)*(1-($X$4:$X$863="Oui")*($X803="Oui")))&gt;0,"⚠ CONFLIT",""))</f>
        <v/>
      </c>
      <c r="AA803" s="64">
        <f>IF(COUNTIFS($D$4:$D$863,$D803,$J$4:$J$863,$J803,$F$4:$F$863,$F803,$K$4:$K$863,$K803)&gt;1,"⚠ DOUBLON","")</f>
        <v/>
      </c>
      <c r="AB803" s="64">
        <f>IF(COUNTIF($T$4:$T$863,$T803)&lt;&gt;COUNTIFS($T$4:$T$863,$T803,$D$4:$D$863,$D803,$F$4:$F$863,$F803,$G$4:$G$863,$G803,$K$4:$K$863,$K803,$M$4:$M$863,$M803),"⚠ INCOHÉRENT","")</f>
        <v/>
      </c>
      <c r="AC803" s="64">
        <f>COUNTIFS($A$4:$A803,$A803,$J$4:$J803,$J803,$E$4:$E803,$E803)</f>
        <v/>
      </c>
      <c r="AD803" s="65">
        <f>$A803&amp;"|"&amp;$J803&amp;"|"&amp;$E803&amp;"|"&amp;$AC803</f>
        <v/>
      </c>
      <c r="AE803" s="66">
        <f>IF($W803&lt;&gt;"","⚑ "&amp;$W803&amp;CHAR(10),"")&amp;TEXT($F803,"hh:mm")&amp;"-"&amp;TEXT($G803,"hh:mm")&amp;IF(OR($P803="Quinzaine A",AND($P803="Hebdo · groupes alternés",$C803="A"))," Q-A",IF(OR($P803="Quinzaine B",AND($P803="Hebdo · groupes alternés",$C803="B"))," Q-B",IF($P803="Exception"," PONCT.","")))&amp;IF($X803="Oui"," OPT","")&amp;CHAR(10)&amp;$K803&amp;CHAR(10)&amp;$M803&amp;IF($N803&lt;&gt;"",CHAR(10)&amp;"Salle "&amp;$N803,"")&amp;IF($O803="En ligne",CHAR(10)&amp;"EN LIGNE","")&amp;IF($V803&lt;&gt;"",CHAR(10)&amp;$V803,"")</f>
        <v/>
      </c>
      <c r="AF803" s="65" t="inlineStr"/>
      <c r="AG803" s="65" t="inlineStr">
        <is>
          <t>— généré —</t>
        </is>
      </c>
    </row>
    <row r="804" ht="15" customHeight="1">
      <c r="A804" s="68" t="inlineStr">
        <is>
          <t>S7</t>
        </is>
      </c>
      <c r="B804" s="69" t="inlineStr">
        <is>
          <t>du 26 octobre au 1er novembre 2026</t>
        </is>
      </c>
      <c r="C804" s="68" t="inlineStr">
        <is>
          <t>A</t>
        </is>
      </c>
      <c r="D804" s="70" t="n">
        <v>46325</v>
      </c>
      <c r="E804" s="68" t="inlineStr">
        <is>
          <t>Vendredi</t>
        </is>
      </c>
      <c r="F804" s="71" t="n">
        <v>0.8125</v>
      </c>
      <c r="G804" s="71" t="n">
        <v>0.875</v>
      </c>
      <c r="H804" s="72">
        <f>IF(OR($F804="",$G804=""),"",($G804-$F804)*24)</f>
        <v/>
      </c>
      <c r="I804" s="68" t="inlineStr">
        <is>
          <t>Collège</t>
        </is>
      </c>
      <c r="J804" s="69" t="inlineStr">
        <is>
          <t>8éme (B)</t>
        </is>
      </c>
      <c r="K804" s="73" t="inlineStr">
        <is>
          <t>فيزياء</t>
        </is>
      </c>
      <c r="L804" s="73" t="inlineStr">
        <is>
          <t>Physique</t>
        </is>
      </c>
      <c r="M804" s="69" t="inlineStr">
        <is>
          <t>Melek</t>
        </is>
      </c>
      <c r="N804" s="68" t="n"/>
      <c r="O804" s="68" t="n"/>
      <c r="P804" s="68" t="inlineStr">
        <is>
          <t>Hebdomadaire</t>
        </is>
      </c>
      <c r="Q804" s="69" t="inlineStr">
        <is>
          <t>8éme (A) + 8éme (B) + 8éme (C)</t>
        </is>
      </c>
      <c r="R804" s="68" t="n">
        <v>3</v>
      </c>
      <c r="S804" s="68" t="inlineStr"/>
      <c r="T804" s="68" t="inlineStr">
        <is>
          <t>S7-048</t>
        </is>
      </c>
      <c r="U804" s="69" t="inlineStr">
        <is>
          <t>Généré (octobre)</t>
        </is>
      </c>
      <c r="V804" s="69" t="inlineStr"/>
      <c r="W804" s="10" t="n"/>
      <c r="X804" s="10" t="inlineStr"/>
      <c r="Y804" s="64">
        <f>IF($M804="","",IF(SUMPRODUCT(($D$4:$D$863=$D804)*($M$4:$M$863=$M804)*($T$4:$T$863&lt;&gt;$T804)*($F$4:$F$863&lt;$G804)*($G$4:$G$863&gt;$F804))&gt;0,"⚠ CONFLIT",""))</f>
        <v/>
      </c>
      <c r="Z804" s="64">
        <f>IF($J804="","",IF(SUMPRODUCT(($D$4:$D$863=$D804)*($J$4:$J$863=$J804)*($T$4:$T$863&lt;&gt;$T804)*($F$4:$F$863&lt;$G804)*($G$4:$G$863&gt;$F804)*(1-($X$4:$X$863="Oui")*($X804="Oui")))&gt;0,"⚠ CONFLIT",""))</f>
        <v/>
      </c>
      <c r="AA804" s="64">
        <f>IF(COUNTIFS($D$4:$D$863,$D804,$J$4:$J$863,$J804,$F$4:$F$863,$F804,$K$4:$K$863,$K804)&gt;1,"⚠ DOUBLON","")</f>
        <v/>
      </c>
      <c r="AB804" s="64">
        <f>IF(COUNTIF($T$4:$T$863,$T804)&lt;&gt;COUNTIFS($T$4:$T$863,$T804,$D$4:$D$863,$D804,$F$4:$F$863,$F804,$G$4:$G$863,$G804,$K$4:$K$863,$K804,$M$4:$M$863,$M804),"⚠ INCOHÉRENT","")</f>
        <v/>
      </c>
      <c r="AC804" s="64">
        <f>COUNTIFS($A$4:$A804,$A804,$J$4:$J804,$J804,$E$4:$E804,$E804)</f>
        <v/>
      </c>
      <c r="AD804" s="65">
        <f>$A804&amp;"|"&amp;$J804&amp;"|"&amp;$E804&amp;"|"&amp;$AC804</f>
        <v/>
      </c>
      <c r="AE804" s="66">
        <f>IF($W804&lt;&gt;"","⚑ "&amp;$W804&amp;CHAR(10),"")&amp;TEXT($F804,"hh:mm")&amp;"-"&amp;TEXT($G804,"hh:mm")&amp;IF(OR($P804="Quinzaine A",AND($P804="Hebdo · groupes alternés",$C804="A"))," Q-A",IF(OR($P804="Quinzaine B",AND($P804="Hebdo · groupes alternés",$C804="B"))," Q-B",IF($P804="Exception"," PONCT.","")))&amp;IF($X804="Oui"," OPT","")&amp;CHAR(10)&amp;$K804&amp;CHAR(10)&amp;$M804&amp;IF($N804&lt;&gt;"",CHAR(10)&amp;"Salle "&amp;$N804,"")&amp;IF($O804="En ligne",CHAR(10)&amp;"EN LIGNE","")&amp;IF($V804&lt;&gt;"",CHAR(10)&amp;$V804,"")</f>
        <v/>
      </c>
      <c r="AF804" s="65" t="inlineStr"/>
      <c r="AG804" s="65" t="inlineStr">
        <is>
          <t>— généré —</t>
        </is>
      </c>
    </row>
    <row r="805" ht="15" customHeight="1">
      <c r="A805" s="68" t="inlineStr">
        <is>
          <t>S7</t>
        </is>
      </c>
      <c r="B805" s="69" t="inlineStr">
        <is>
          <t>du 26 octobre au 1er novembre 2026</t>
        </is>
      </c>
      <c r="C805" s="68" t="inlineStr">
        <is>
          <t>A</t>
        </is>
      </c>
      <c r="D805" s="70" t="n">
        <v>46325</v>
      </c>
      <c r="E805" s="68" t="inlineStr">
        <is>
          <t>Vendredi</t>
        </is>
      </c>
      <c r="F805" s="71" t="n">
        <v>0.8125</v>
      </c>
      <c r="G805" s="71" t="n">
        <v>0.875</v>
      </c>
      <c r="H805" s="72">
        <f>IF(OR($F805="",$G805=""),"",($G805-$F805)*24)</f>
        <v/>
      </c>
      <c r="I805" s="68" t="inlineStr">
        <is>
          <t>Collège</t>
        </is>
      </c>
      <c r="J805" s="69" t="inlineStr">
        <is>
          <t>8éme (C)</t>
        </is>
      </c>
      <c r="K805" s="73" t="inlineStr">
        <is>
          <t>فيزياء</t>
        </is>
      </c>
      <c r="L805" s="73" t="inlineStr">
        <is>
          <t>Physique</t>
        </is>
      </c>
      <c r="M805" s="69" t="inlineStr">
        <is>
          <t>Melek</t>
        </is>
      </c>
      <c r="N805" s="68" t="n"/>
      <c r="O805" s="68" t="n"/>
      <c r="P805" s="68" t="inlineStr">
        <is>
          <t>Hebdomadaire</t>
        </is>
      </c>
      <c r="Q805" s="69" t="inlineStr">
        <is>
          <t>8éme (A) + 8éme (B) + 8éme (C)</t>
        </is>
      </c>
      <c r="R805" s="68" t="n">
        <v>3</v>
      </c>
      <c r="S805" s="68" t="inlineStr"/>
      <c r="T805" s="68" t="inlineStr">
        <is>
          <t>S7-048</t>
        </is>
      </c>
      <c r="U805" s="69" t="inlineStr">
        <is>
          <t>Généré (octobre)</t>
        </is>
      </c>
      <c r="V805" s="69" t="inlineStr"/>
      <c r="W805" s="10" t="n"/>
      <c r="X805" s="10" t="inlineStr"/>
      <c r="Y805" s="64">
        <f>IF($M805="","",IF(SUMPRODUCT(($D$4:$D$863=$D805)*($M$4:$M$863=$M805)*($T$4:$T$863&lt;&gt;$T805)*($F$4:$F$863&lt;$G805)*($G$4:$G$863&gt;$F805))&gt;0,"⚠ CONFLIT",""))</f>
        <v/>
      </c>
      <c r="Z805" s="64">
        <f>IF($J805="","",IF(SUMPRODUCT(($D$4:$D$863=$D805)*($J$4:$J$863=$J805)*($T$4:$T$863&lt;&gt;$T805)*($F$4:$F$863&lt;$G805)*($G$4:$G$863&gt;$F805)*(1-($X$4:$X$863="Oui")*($X805="Oui")))&gt;0,"⚠ CONFLIT",""))</f>
        <v/>
      </c>
      <c r="AA805" s="64">
        <f>IF(COUNTIFS($D$4:$D$863,$D805,$J$4:$J$863,$J805,$F$4:$F$863,$F805,$K$4:$K$863,$K805)&gt;1,"⚠ DOUBLON","")</f>
        <v/>
      </c>
      <c r="AB805" s="64">
        <f>IF(COUNTIF($T$4:$T$863,$T805)&lt;&gt;COUNTIFS($T$4:$T$863,$T805,$D$4:$D$863,$D805,$F$4:$F$863,$F805,$G$4:$G$863,$G805,$K$4:$K$863,$K805,$M$4:$M$863,$M805),"⚠ INCOHÉRENT","")</f>
        <v/>
      </c>
      <c r="AC805" s="64">
        <f>COUNTIFS($A$4:$A805,$A805,$J$4:$J805,$J805,$E$4:$E805,$E805)</f>
        <v/>
      </c>
      <c r="AD805" s="65">
        <f>$A805&amp;"|"&amp;$J805&amp;"|"&amp;$E805&amp;"|"&amp;$AC805</f>
        <v/>
      </c>
      <c r="AE805" s="66">
        <f>IF($W805&lt;&gt;"","⚑ "&amp;$W805&amp;CHAR(10),"")&amp;TEXT($F805,"hh:mm")&amp;"-"&amp;TEXT($G805,"hh:mm")&amp;IF(OR($P805="Quinzaine A",AND($P805="Hebdo · groupes alternés",$C805="A"))," Q-A",IF(OR($P805="Quinzaine B",AND($P805="Hebdo · groupes alternés",$C805="B"))," Q-B",IF($P805="Exception"," PONCT.","")))&amp;IF($X805="Oui"," OPT","")&amp;CHAR(10)&amp;$K805&amp;CHAR(10)&amp;$M805&amp;IF($N805&lt;&gt;"",CHAR(10)&amp;"Salle "&amp;$N805,"")&amp;IF($O805="En ligne",CHAR(10)&amp;"EN LIGNE","")&amp;IF($V805&lt;&gt;"",CHAR(10)&amp;$V805,"")</f>
        <v/>
      </c>
      <c r="AF805" s="65" t="inlineStr"/>
      <c r="AG805" s="65" t="inlineStr">
        <is>
          <t>— généré —</t>
        </is>
      </c>
    </row>
    <row r="806" ht="15" customHeight="1">
      <c r="A806" s="68" t="inlineStr">
        <is>
          <t>S7</t>
        </is>
      </c>
      <c r="B806" s="69" t="inlineStr">
        <is>
          <t>du 26 octobre au 1er novembre 2026</t>
        </is>
      </c>
      <c r="C806" s="68" t="inlineStr">
        <is>
          <t>A</t>
        </is>
      </c>
      <c r="D806" s="70" t="n">
        <v>46325</v>
      </c>
      <c r="E806" s="68" t="inlineStr">
        <is>
          <t>Vendredi</t>
        </is>
      </c>
      <c r="F806" s="71" t="n">
        <v>0.8125</v>
      </c>
      <c r="G806" s="71" t="n">
        <v>0.875</v>
      </c>
      <c r="H806" s="72">
        <f>IF(OR($F806="",$G806=""),"",($G806-$F806)*24)</f>
        <v/>
      </c>
      <c r="I806" s="68" t="inlineStr">
        <is>
          <t>Collège</t>
        </is>
      </c>
      <c r="J806" s="69" t="inlineStr">
        <is>
          <t>9éme (C)</t>
        </is>
      </c>
      <c r="K806" s="63" t="inlineStr">
        <is>
          <t>Arabe</t>
        </is>
      </c>
      <c r="L806" s="63" t="inlineStr">
        <is>
          <t>Arabe</t>
        </is>
      </c>
      <c r="M806" s="69" t="inlineStr">
        <is>
          <t>Yahya</t>
        </is>
      </c>
      <c r="N806" s="68" t="n"/>
      <c r="O806" s="68" t="n"/>
      <c r="P806" s="68" t="inlineStr">
        <is>
          <t>Hebdomadaire</t>
        </is>
      </c>
      <c r="Q806" s="69" t="inlineStr"/>
      <c r="R806" s="68" t="n">
        <v>1</v>
      </c>
      <c r="S806" s="68" t="inlineStr">
        <is>
          <t>Oui</t>
        </is>
      </c>
      <c r="T806" s="68" t="inlineStr">
        <is>
          <t>S7-049</t>
        </is>
      </c>
      <c r="U806" s="69" t="inlineStr">
        <is>
          <t>Généré (octobre)</t>
        </is>
      </c>
      <c r="V806" s="69" t="inlineStr"/>
      <c r="W806" s="10" t="n"/>
      <c r="X806" s="10" t="inlineStr"/>
      <c r="Y806" s="64">
        <f>IF($M806="","",IF(SUMPRODUCT(($D$4:$D$863=$D806)*($M$4:$M$863=$M806)*($T$4:$T$863&lt;&gt;$T806)*($F$4:$F$863&lt;$G806)*($G$4:$G$863&gt;$F806))&gt;0,"⚠ CONFLIT",""))</f>
        <v/>
      </c>
      <c r="Z806" s="64">
        <f>IF($J806="","",IF(SUMPRODUCT(($D$4:$D$863=$D806)*($J$4:$J$863=$J806)*($T$4:$T$863&lt;&gt;$T806)*($F$4:$F$863&lt;$G806)*($G$4:$G$863&gt;$F806)*(1-($X$4:$X$863="Oui")*($X806="Oui")))&gt;0,"⚠ CONFLIT",""))</f>
        <v/>
      </c>
      <c r="AA806" s="64">
        <f>IF(COUNTIFS($D$4:$D$863,$D806,$J$4:$J$863,$J806,$F$4:$F$863,$F806,$K$4:$K$863,$K806)&gt;1,"⚠ DOUBLON","")</f>
        <v/>
      </c>
      <c r="AB806" s="64">
        <f>IF(COUNTIF($T$4:$T$863,$T806)&lt;&gt;COUNTIFS($T$4:$T$863,$T806,$D$4:$D$863,$D806,$F$4:$F$863,$F806,$G$4:$G$863,$G806,$K$4:$K$863,$K806,$M$4:$M$863,$M806),"⚠ INCOHÉRENT","")</f>
        <v/>
      </c>
      <c r="AC806" s="64">
        <f>COUNTIFS($A$4:$A806,$A806,$J$4:$J806,$J806,$E$4:$E806,$E806)</f>
        <v/>
      </c>
      <c r="AD806" s="65">
        <f>$A806&amp;"|"&amp;$J806&amp;"|"&amp;$E806&amp;"|"&amp;$AC806</f>
        <v/>
      </c>
      <c r="AE806" s="66">
        <f>IF($W806&lt;&gt;"","⚑ "&amp;$W806&amp;CHAR(10),"")&amp;TEXT($F806,"hh:mm")&amp;"-"&amp;TEXT($G806,"hh:mm")&amp;IF(OR($P806="Quinzaine A",AND($P806="Hebdo · groupes alternés",$C806="A"))," Q-A",IF(OR($P806="Quinzaine B",AND($P806="Hebdo · groupes alternés",$C806="B"))," Q-B",IF($P806="Exception"," PONCT.","")))&amp;IF($X806="Oui"," OPT","")&amp;CHAR(10)&amp;$K806&amp;CHAR(10)&amp;$M806&amp;IF($N806&lt;&gt;"",CHAR(10)&amp;"Salle "&amp;$N806,"")&amp;IF($O806="En ligne",CHAR(10)&amp;"EN LIGNE","")&amp;IF($V806&lt;&gt;"",CHAR(10)&amp;$V806,"")</f>
        <v/>
      </c>
      <c r="AF806" s="65" t="inlineStr"/>
      <c r="AG806" s="65" t="inlineStr">
        <is>
          <t>— généré —</t>
        </is>
      </c>
    </row>
    <row r="807" ht="15" customHeight="1">
      <c r="A807" s="74" t="inlineStr">
        <is>
          <t>S7</t>
        </is>
      </c>
      <c r="B807" s="75" t="inlineStr">
        <is>
          <t>du 26 octobre au 1er novembre 2026</t>
        </is>
      </c>
      <c r="C807" s="74" t="inlineStr">
        <is>
          <t>A</t>
        </is>
      </c>
      <c r="D807" s="76" t="n">
        <v>46325</v>
      </c>
      <c r="E807" s="74" t="inlineStr">
        <is>
          <t>Vendredi</t>
        </is>
      </c>
      <c r="F807" s="77" t="n">
        <v>0.7291666666666666</v>
      </c>
      <c r="G807" s="77" t="n">
        <v>0.7916666666666666</v>
      </c>
      <c r="H807" s="78">
        <f>IF(OR($F807="",$G807=""),"",($G807-$F807)*24)</f>
        <v/>
      </c>
      <c r="I807" s="74" t="inlineStr">
        <is>
          <t>Secondaire</t>
        </is>
      </c>
      <c r="J807" s="75" t="inlineStr">
        <is>
          <t>1ére (A)</t>
        </is>
      </c>
      <c r="K807" s="63" t="inlineStr">
        <is>
          <t>Arabe</t>
        </is>
      </c>
      <c r="L807" s="63" t="inlineStr">
        <is>
          <t>Arabe</t>
        </is>
      </c>
      <c r="M807" s="75" t="inlineStr">
        <is>
          <t>Najet</t>
        </is>
      </c>
      <c r="N807" s="74" t="n"/>
      <c r="O807" s="74" t="n"/>
      <c r="P807" s="74" t="inlineStr">
        <is>
          <t>Hebdomadaire</t>
        </is>
      </c>
      <c r="Q807" s="75" t="inlineStr"/>
      <c r="R807" s="74" t="n">
        <v>1</v>
      </c>
      <c r="S807" s="74" t="inlineStr">
        <is>
          <t>Oui</t>
        </is>
      </c>
      <c r="T807" s="74" t="inlineStr">
        <is>
          <t>S7-050</t>
        </is>
      </c>
      <c r="U807" s="75" t="inlineStr">
        <is>
          <t>Généré (octobre)</t>
        </is>
      </c>
      <c r="V807" s="75" t="inlineStr"/>
      <c r="W807" s="10" t="n"/>
      <c r="X807" s="10" t="inlineStr"/>
      <c r="Y807" s="64">
        <f>IF($M807="","",IF(SUMPRODUCT(($D$4:$D$863=$D807)*($M$4:$M$863=$M807)*($T$4:$T$863&lt;&gt;$T807)*($F$4:$F$863&lt;$G807)*($G$4:$G$863&gt;$F807))&gt;0,"⚠ CONFLIT",""))</f>
        <v/>
      </c>
      <c r="Z807" s="64">
        <f>IF($J807="","",IF(SUMPRODUCT(($D$4:$D$863=$D807)*($J$4:$J$863=$J807)*($T$4:$T$863&lt;&gt;$T807)*($F$4:$F$863&lt;$G807)*($G$4:$G$863&gt;$F807)*(1-($X$4:$X$863="Oui")*($X807="Oui")))&gt;0,"⚠ CONFLIT",""))</f>
        <v/>
      </c>
      <c r="AA807" s="64">
        <f>IF(COUNTIFS($D$4:$D$863,$D807,$J$4:$J$863,$J807,$F$4:$F$863,$F807,$K$4:$K$863,$K807)&gt;1,"⚠ DOUBLON","")</f>
        <v/>
      </c>
      <c r="AB807" s="64">
        <f>IF(COUNTIF($T$4:$T$863,$T807)&lt;&gt;COUNTIFS($T$4:$T$863,$T807,$D$4:$D$863,$D807,$F$4:$F$863,$F807,$G$4:$G$863,$G807,$K$4:$K$863,$K807,$M$4:$M$863,$M807),"⚠ INCOHÉRENT","")</f>
        <v/>
      </c>
      <c r="AC807" s="64">
        <f>COUNTIFS($A$4:$A807,$A807,$J$4:$J807,$J807,$E$4:$E807,$E807)</f>
        <v/>
      </c>
      <c r="AD807" s="65">
        <f>$A807&amp;"|"&amp;$J807&amp;"|"&amp;$E807&amp;"|"&amp;$AC807</f>
        <v/>
      </c>
      <c r="AE807" s="66">
        <f>IF($W807&lt;&gt;"","⚑ "&amp;$W807&amp;CHAR(10),"")&amp;TEXT($F807,"hh:mm")&amp;"-"&amp;TEXT($G807,"hh:mm")&amp;IF(OR($P807="Quinzaine A",AND($P807="Hebdo · groupes alternés",$C807="A"))," Q-A",IF(OR($P807="Quinzaine B",AND($P807="Hebdo · groupes alternés",$C807="B"))," Q-B",IF($P807="Exception"," PONCT.","")))&amp;IF($X807="Oui"," OPT","")&amp;CHAR(10)&amp;$K807&amp;CHAR(10)&amp;$M807&amp;IF($N807&lt;&gt;"",CHAR(10)&amp;"Salle "&amp;$N807,"")&amp;IF($O807="En ligne",CHAR(10)&amp;"EN LIGNE","")&amp;IF($V807&lt;&gt;"",CHAR(10)&amp;$V807,"")</f>
        <v/>
      </c>
      <c r="AF807" s="65" t="inlineStr"/>
      <c r="AG807" s="65" t="inlineStr">
        <is>
          <t>— généré —</t>
        </is>
      </c>
    </row>
    <row r="808" ht="15" customHeight="1">
      <c r="A808" s="74" t="inlineStr">
        <is>
          <t>S7</t>
        </is>
      </c>
      <c r="B808" s="75" t="inlineStr">
        <is>
          <t>du 26 octobre au 1er novembre 2026</t>
        </is>
      </c>
      <c r="C808" s="74" t="inlineStr">
        <is>
          <t>A</t>
        </is>
      </c>
      <c r="D808" s="76" t="n">
        <v>46325</v>
      </c>
      <c r="E808" s="74" t="inlineStr">
        <is>
          <t>Vendredi</t>
        </is>
      </c>
      <c r="F808" s="77" t="n">
        <v>0.7916666666666666</v>
      </c>
      <c r="G808" s="77" t="n">
        <v>0.8541666666666666</v>
      </c>
      <c r="H808" s="78">
        <f>IF(OR($F808="",$G808=""),"",($G808-$F808)*24)</f>
        <v/>
      </c>
      <c r="I808" s="74" t="inlineStr">
        <is>
          <t>Secondaire</t>
        </is>
      </c>
      <c r="J808" s="75" t="inlineStr">
        <is>
          <t>1ére (B)</t>
        </is>
      </c>
      <c r="K808" s="63" t="inlineStr">
        <is>
          <t>Arabe</t>
        </is>
      </c>
      <c r="L808" s="63" t="inlineStr">
        <is>
          <t>Arabe</t>
        </is>
      </c>
      <c r="M808" s="75" t="inlineStr">
        <is>
          <t>Najet</t>
        </is>
      </c>
      <c r="N808" s="74" t="n"/>
      <c r="O808" s="74" t="n"/>
      <c r="P808" s="74" t="inlineStr">
        <is>
          <t>Hebdomadaire</t>
        </is>
      </c>
      <c r="Q808" s="75" t="inlineStr"/>
      <c r="R808" s="74" t="n">
        <v>1</v>
      </c>
      <c r="S808" s="74" t="inlineStr">
        <is>
          <t>Oui</t>
        </is>
      </c>
      <c r="T808" s="74" t="inlineStr">
        <is>
          <t>S7-051</t>
        </is>
      </c>
      <c r="U808" s="75" t="inlineStr">
        <is>
          <t>Généré (octobre)</t>
        </is>
      </c>
      <c r="V808" s="75" t="inlineStr"/>
      <c r="W808" s="10" t="n"/>
      <c r="X808" s="10" t="inlineStr"/>
      <c r="Y808" s="64">
        <f>IF($M808="","",IF(SUMPRODUCT(($D$4:$D$863=$D808)*($M$4:$M$863=$M808)*($T$4:$T$863&lt;&gt;$T808)*($F$4:$F$863&lt;$G808)*($G$4:$G$863&gt;$F808))&gt;0,"⚠ CONFLIT",""))</f>
        <v/>
      </c>
      <c r="Z808" s="64">
        <f>IF($J808="","",IF(SUMPRODUCT(($D$4:$D$863=$D808)*($J$4:$J$863=$J808)*($T$4:$T$863&lt;&gt;$T808)*($F$4:$F$863&lt;$G808)*($G$4:$G$863&gt;$F808)*(1-($X$4:$X$863="Oui")*($X808="Oui")))&gt;0,"⚠ CONFLIT",""))</f>
        <v/>
      </c>
      <c r="AA808" s="64">
        <f>IF(COUNTIFS($D$4:$D$863,$D808,$J$4:$J$863,$J808,$F$4:$F$863,$F808,$K$4:$K$863,$K808)&gt;1,"⚠ DOUBLON","")</f>
        <v/>
      </c>
      <c r="AB808" s="64">
        <f>IF(COUNTIF($T$4:$T$863,$T808)&lt;&gt;COUNTIFS($T$4:$T$863,$T808,$D$4:$D$863,$D808,$F$4:$F$863,$F808,$G$4:$G$863,$G808,$K$4:$K$863,$K808,$M$4:$M$863,$M808),"⚠ INCOHÉRENT","")</f>
        <v/>
      </c>
      <c r="AC808" s="64">
        <f>COUNTIFS($A$4:$A808,$A808,$J$4:$J808,$J808,$E$4:$E808,$E808)</f>
        <v/>
      </c>
      <c r="AD808" s="65">
        <f>$A808&amp;"|"&amp;$J808&amp;"|"&amp;$E808&amp;"|"&amp;$AC808</f>
        <v/>
      </c>
      <c r="AE808" s="66">
        <f>IF($W808&lt;&gt;"","⚑ "&amp;$W808&amp;CHAR(10),"")&amp;TEXT($F808,"hh:mm")&amp;"-"&amp;TEXT($G808,"hh:mm")&amp;IF(OR($P808="Quinzaine A",AND($P808="Hebdo · groupes alternés",$C808="A"))," Q-A",IF(OR($P808="Quinzaine B",AND($P808="Hebdo · groupes alternés",$C808="B"))," Q-B",IF($P808="Exception"," PONCT.","")))&amp;IF($X808="Oui"," OPT","")&amp;CHAR(10)&amp;$K808&amp;CHAR(10)&amp;$M808&amp;IF($N808&lt;&gt;"",CHAR(10)&amp;"Salle "&amp;$N808,"")&amp;IF($O808="En ligne",CHAR(10)&amp;"EN LIGNE","")&amp;IF($V808&lt;&gt;"",CHAR(10)&amp;$V808,"")</f>
        <v/>
      </c>
      <c r="AF808" s="65" t="inlineStr"/>
      <c r="AG808" s="65" t="inlineStr">
        <is>
          <t>— généré —</t>
        </is>
      </c>
    </row>
    <row r="809" ht="15" customHeight="1">
      <c r="A809" s="74" t="inlineStr">
        <is>
          <t>S7</t>
        </is>
      </c>
      <c r="B809" s="75" t="inlineStr">
        <is>
          <t>du 26 octobre au 1er novembre 2026</t>
        </is>
      </c>
      <c r="C809" s="74" t="inlineStr">
        <is>
          <t>A</t>
        </is>
      </c>
      <c r="D809" s="76" t="n">
        <v>46325</v>
      </c>
      <c r="E809" s="74" t="inlineStr">
        <is>
          <t>Vendredi</t>
        </is>
      </c>
      <c r="F809" s="77" t="n">
        <v>0.7291666666666666</v>
      </c>
      <c r="G809" s="77" t="n">
        <v>0.7916666666666666</v>
      </c>
      <c r="H809" s="78">
        <f>IF(OR($F809="",$G809=""),"",($G809-$F809)*24)</f>
        <v/>
      </c>
      <c r="I809" s="74" t="inlineStr">
        <is>
          <t>Secondaire</t>
        </is>
      </c>
      <c r="J809" s="75" t="inlineStr">
        <is>
          <t>2éme Eco</t>
        </is>
      </c>
      <c r="K809" s="67" t="inlineStr">
        <is>
          <t>Français</t>
        </is>
      </c>
      <c r="L809" s="67" t="inlineStr">
        <is>
          <t>Français</t>
        </is>
      </c>
      <c r="M809" s="75" t="inlineStr">
        <is>
          <t>Nabil</t>
        </is>
      </c>
      <c r="N809" s="74" t="n"/>
      <c r="O809" s="74" t="n"/>
      <c r="P809" s="74" t="inlineStr">
        <is>
          <t>Hebdo · groupes alternés</t>
        </is>
      </c>
      <c r="Q809" s="75" t="inlineStr">
        <is>
          <t>2éme Eco + 2éme SCE + 2éme INFO</t>
        </is>
      </c>
      <c r="R809" s="74" t="n">
        <v>3</v>
      </c>
      <c r="S809" s="74" t="inlineStr">
        <is>
          <t>Oui</t>
        </is>
      </c>
      <c r="T809" s="74" t="inlineStr">
        <is>
          <t>S7-052</t>
        </is>
      </c>
      <c r="U809" s="75" t="inlineStr">
        <is>
          <t>Généré (octobre)</t>
        </is>
      </c>
      <c r="V809" s="75" t="inlineStr"/>
      <c r="W809" s="10" t="n"/>
      <c r="X809" s="10" t="inlineStr"/>
      <c r="Y809" s="64">
        <f>IF($M809="","",IF(SUMPRODUCT(($D$4:$D$863=$D809)*($M$4:$M$863=$M809)*($T$4:$T$863&lt;&gt;$T809)*($F$4:$F$863&lt;$G809)*($G$4:$G$863&gt;$F809))&gt;0,"⚠ CONFLIT",""))</f>
        <v/>
      </c>
      <c r="Z809" s="64">
        <f>IF($J809="","",IF(SUMPRODUCT(($D$4:$D$863=$D809)*($J$4:$J$863=$J809)*($T$4:$T$863&lt;&gt;$T809)*($F$4:$F$863&lt;$G809)*($G$4:$G$863&gt;$F809)*(1-($X$4:$X$863="Oui")*($X809="Oui")))&gt;0,"⚠ CONFLIT",""))</f>
        <v/>
      </c>
      <c r="AA809" s="64">
        <f>IF(COUNTIFS($D$4:$D$863,$D809,$J$4:$J$863,$J809,$F$4:$F$863,$F809,$K$4:$K$863,$K809)&gt;1,"⚠ DOUBLON","")</f>
        <v/>
      </c>
      <c r="AB809" s="64">
        <f>IF(COUNTIF($T$4:$T$863,$T809)&lt;&gt;COUNTIFS($T$4:$T$863,$T809,$D$4:$D$863,$D809,$F$4:$F$863,$F809,$G$4:$G$863,$G809,$K$4:$K$863,$K809,$M$4:$M$863,$M809),"⚠ INCOHÉRENT","")</f>
        <v/>
      </c>
      <c r="AC809" s="64">
        <f>COUNTIFS($A$4:$A809,$A809,$J$4:$J809,$J809,$E$4:$E809,$E809)</f>
        <v/>
      </c>
      <c r="AD809" s="65">
        <f>$A809&amp;"|"&amp;$J809&amp;"|"&amp;$E809&amp;"|"&amp;$AC809</f>
        <v/>
      </c>
      <c r="AE809" s="66">
        <f>IF($W809&lt;&gt;"","⚑ "&amp;$W809&amp;CHAR(10),"")&amp;TEXT($F809,"hh:mm")&amp;"-"&amp;TEXT($G809,"hh:mm")&amp;IF(OR($P809="Quinzaine A",AND($P809="Hebdo · groupes alternés",$C809="A"))," Q-A",IF(OR($P809="Quinzaine B",AND($P809="Hebdo · groupes alternés",$C809="B"))," Q-B",IF($P809="Exception"," PONCT.","")))&amp;IF($X809="Oui"," OPT","")&amp;CHAR(10)&amp;$K809&amp;CHAR(10)&amp;$M809&amp;IF($N809&lt;&gt;"",CHAR(10)&amp;"Salle "&amp;$N809,"")&amp;IF($O809="En ligne",CHAR(10)&amp;"EN LIGNE","")&amp;IF($V809&lt;&gt;"",CHAR(10)&amp;$V809,"")</f>
        <v/>
      </c>
      <c r="AF809" s="65" t="inlineStr"/>
      <c r="AG809" s="65" t="inlineStr">
        <is>
          <t>— généré —</t>
        </is>
      </c>
    </row>
    <row r="810" ht="15" customHeight="1">
      <c r="A810" s="74" t="inlineStr">
        <is>
          <t>S7</t>
        </is>
      </c>
      <c r="B810" s="75" t="inlineStr">
        <is>
          <t>du 26 octobre au 1er novembre 2026</t>
        </is>
      </c>
      <c r="C810" s="74" t="inlineStr">
        <is>
          <t>A</t>
        </is>
      </c>
      <c r="D810" s="76" t="n">
        <v>46325</v>
      </c>
      <c r="E810" s="74" t="inlineStr">
        <is>
          <t>Vendredi</t>
        </is>
      </c>
      <c r="F810" s="77" t="n">
        <v>0.7291666666666666</v>
      </c>
      <c r="G810" s="77" t="n">
        <v>0.7916666666666666</v>
      </c>
      <c r="H810" s="78">
        <f>IF(OR($F810="",$G810=""),"",($G810-$F810)*24)</f>
        <v/>
      </c>
      <c r="I810" s="74" t="inlineStr">
        <is>
          <t>Secondaire</t>
        </is>
      </c>
      <c r="J810" s="75" t="inlineStr">
        <is>
          <t>2éme SCE</t>
        </is>
      </c>
      <c r="K810" s="67" t="inlineStr">
        <is>
          <t>Français</t>
        </is>
      </c>
      <c r="L810" s="67" t="inlineStr">
        <is>
          <t>Français</t>
        </is>
      </c>
      <c r="M810" s="75" t="inlineStr">
        <is>
          <t>Nabil</t>
        </is>
      </c>
      <c r="N810" s="74" t="n"/>
      <c r="O810" s="74" t="n"/>
      <c r="P810" s="74" t="inlineStr">
        <is>
          <t>Hebdo · groupes alternés</t>
        </is>
      </c>
      <c r="Q810" s="75" t="inlineStr">
        <is>
          <t>2éme Eco + 2éme SCE + 2éme INFO</t>
        </is>
      </c>
      <c r="R810" s="74" t="n">
        <v>3</v>
      </c>
      <c r="S810" s="74" t="inlineStr"/>
      <c r="T810" s="74" t="inlineStr">
        <is>
          <t>S7-052</t>
        </is>
      </c>
      <c r="U810" s="75" t="inlineStr">
        <is>
          <t>Généré (octobre)</t>
        </is>
      </c>
      <c r="V810" s="75" t="inlineStr"/>
      <c r="W810" s="10" t="n"/>
      <c r="X810" s="10" t="inlineStr"/>
      <c r="Y810" s="64">
        <f>IF($M810="","",IF(SUMPRODUCT(($D$4:$D$863=$D810)*($M$4:$M$863=$M810)*($T$4:$T$863&lt;&gt;$T810)*($F$4:$F$863&lt;$G810)*($G$4:$G$863&gt;$F810))&gt;0,"⚠ CONFLIT",""))</f>
        <v/>
      </c>
      <c r="Z810" s="64">
        <f>IF($J810="","",IF(SUMPRODUCT(($D$4:$D$863=$D810)*($J$4:$J$863=$J810)*($T$4:$T$863&lt;&gt;$T810)*($F$4:$F$863&lt;$G810)*($G$4:$G$863&gt;$F810)*(1-($X$4:$X$863="Oui")*($X810="Oui")))&gt;0,"⚠ CONFLIT",""))</f>
        <v/>
      </c>
      <c r="AA810" s="64">
        <f>IF(COUNTIFS($D$4:$D$863,$D810,$J$4:$J$863,$J810,$F$4:$F$863,$F810,$K$4:$K$863,$K810)&gt;1,"⚠ DOUBLON","")</f>
        <v/>
      </c>
      <c r="AB810" s="64">
        <f>IF(COUNTIF($T$4:$T$863,$T810)&lt;&gt;COUNTIFS($T$4:$T$863,$T810,$D$4:$D$863,$D810,$F$4:$F$863,$F810,$G$4:$G$863,$G810,$K$4:$K$863,$K810,$M$4:$M$863,$M810),"⚠ INCOHÉRENT","")</f>
        <v/>
      </c>
      <c r="AC810" s="64">
        <f>COUNTIFS($A$4:$A810,$A810,$J$4:$J810,$J810,$E$4:$E810,$E810)</f>
        <v/>
      </c>
      <c r="AD810" s="65">
        <f>$A810&amp;"|"&amp;$J810&amp;"|"&amp;$E810&amp;"|"&amp;$AC810</f>
        <v/>
      </c>
      <c r="AE810" s="66">
        <f>IF($W810&lt;&gt;"","⚑ "&amp;$W810&amp;CHAR(10),"")&amp;TEXT($F810,"hh:mm")&amp;"-"&amp;TEXT($G810,"hh:mm")&amp;IF(OR($P810="Quinzaine A",AND($P810="Hebdo · groupes alternés",$C810="A"))," Q-A",IF(OR($P810="Quinzaine B",AND($P810="Hebdo · groupes alternés",$C810="B"))," Q-B",IF($P810="Exception"," PONCT.","")))&amp;IF($X810="Oui"," OPT","")&amp;CHAR(10)&amp;$K810&amp;CHAR(10)&amp;$M810&amp;IF($N810&lt;&gt;"",CHAR(10)&amp;"Salle "&amp;$N810,"")&amp;IF($O810="En ligne",CHAR(10)&amp;"EN LIGNE","")&amp;IF($V810&lt;&gt;"",CHAR(10)&amp;$V810,"")</f>
        <v/>
      </c>
      <c r="AF810" s="65" t="inlineStr"/>
      <c r="AG810" s="65" t="inlineStr">
        <is>
          <t>— généré —</t>
        </is>
      </c>
    </row>
    <row r="811" ht="15" customHeight="1">
      <c r="A811" s="74" t="inlineStr">
        <is>
          <t>S7</t>
        </is>
      </c>
      <c r="B811" s="75" t="inlineStr">
        <is>
          <t>du 26 octobre au 1er novembre 2026</t>
        </is>
      </c>
      <c r="C811" s="74" t="inlineStr">
        <is>
          <t>A</t>
        </is>
      </c>
      <c r="D811" s="76" t="n">
        <v>46325</v>
      </c>
      <c r="E811" s="74" t="inlineStr">
        <is>
          <t>Vendredi</t>
        </is>
      </c>
      <c r="F811" s="77" t="n">
        <v>0.7291666666666666</v>
      </c>
      <c r="G811" s="77" t="n">
        <v>0.7916666666666666</v>
      </c>
      <c r="H811" s="78">
        <f>IF(OR($F811="",$G811=""),"",($G811-$F811)*24)</f>
        <v/>
      </c>
      <c r="I811" s="74" t="inlineStr">
        <is>
          <t>Secondaire</t>
        </is>
      </c>
      <c r="J811" s="75" t="inlineStr">
        <is>
          <t>2éme INFO</t>
        </is>
      </c>
      <c r="K811" s="67" t="inlineStr">
        <is>
          <t>Français</t>
        </is>
      </c>
      <c r="L811" s="67" t="inlineStr">
        <is>
          <t>Français</t>
        </is>
      </c>
      <c r="M811" s="75" t="inlineStr">
        <is>
          <t>Nabil</t>
        </is>
      </c>
      <c r="N811" s="74" t="n"/>
      <c r="O811" s="74" t="n"/>
      <c r="P811" s="74" t="inlineStr">
        <is>
          <t>Hebdo · groupes alternés</t>
        </is>
      </c>
      <c r="Q811" s="75" t="inlineStr">
        <is>
          <t>2éme Eco + 2éme SCE + 2éme INFO</t>
        </is>
      </c>
      <c r="R811" s="74" t="n">
        <v>3</v>
      </c>
      <c r="S811" s="74" t="inlineStr"/>
      <c r="T811" s="74" t="inlineStr">
        <is>
          <t>S7-052</t>
        </is>
      </c>
      <c r="U811" s="75" t="inlineStr">
        <is>
          <t>Généré (octobre)</t>
        </is>
      </c>
      <c r="V811" s="75" t="inlineStr"/>
      <c r="W811" s="10" t="n"/>
      <c r="X811" s="10" t="inlineStr"/>
      <c r="Y811" s="64">
        <f>IF($M811="","",IF(SUMPRODUCT(($D$4:$D$863=$D811)*($M$4:$M$863=$M811)*($T$4:$T$863&lt;&gt;$T811)*($F$4:$F$863&lt;$G811)*($G$4:$G$863&gt;$F811))&gt;0,"⚠ CONFLIT",""))</f>
        <v/>
      </c>
      <c r="Z811" s="64">
        <f>IF($J811="","",IF(SUMPRODUCT(($D$4:$D$863=$D811)*($J$4:$J$863=$J811)*($T$4:$T$863&lt;&gt;$T811)*($F$4:$F$863&lt;$G811)*($G$4:$G$863&gt;$F811)*(1-($X$4:$X$863="Oui")*($X811="Oui")))&gt;0,"⚠ CONFLIT",""))</f>
        <v/>
      </c>
      <c r="AA811" s="64">
        <f>IF(COUNTIFS($D$4:$D$863,$D811,$J$4:$J$863,$J811,$F$4:$F$863,$F811,$K$4:$K$863,$K811)&gt;1,"⚠ DOUBLON","")</f>
        <v/>
      </c>
      <c r="AB811" s="64">
        <f>IF(COUNTIF($T$4:$T$863,$T811)&lt;&gt;COUNTIFS($T$4:$T$863,$T811,$D$4:$D$863,$D811,$F$4:$F$863,$F811,$G$4:$G$863,$G811,$K$4:$K$863,$K811,$M$4:$M$863,$M811),"⚠ INCOHÉRENT","")</f>
        <v/>
      </c>
      <c r="AC811" s="64">
        <f>COUNTIFS($A$4:$A811,$A811,$J$4:$J811,$J811,$E$4:$E811,$E811)</f>
        <v/>
      </c>
      <c r="AD811" s="65">
        <f>$A811&amp;"|"&amp;$J811&amp;"|"&amp;$E811&amp;"|"&amp;$AC811</f>
        <v/>
      </c>
      <c r="AE811" s="66">
        <f>IF($W811&lt;&gt;"","⚑ "&amp;$W811&amp;CHAR(10),"")&amp;TEXT($F811,"hh:mm")&amp;"-"&amp;TEXT($G811,"hh:mm")&amp;IF(OR($P811="Quinzaine A",AND($P811="Hebdo · groupes alternés",$C811="A"))," Q-A",IF(OR($P811="Quinzaine B",AND($P811="Hebdo · groupes alternés",$C811="B"))," Q-B",IF($P811="Exception"," PONCT.","")))&amp;IF($X811="Oui"," OPT","")&amp;CHAR(10)&amp;$K811&amp;CHAR(10)&amp;$M811&amp;IF($N811&lt;&gt;"",CHAR(10)&amp;"Salle "&amp;$N811,"")&amp;IF($O811="En ligne",CHAR(10)&amp;"EN LIGNE","")&amp;IF($V811&lt;&gt;"",CHAR(10)&amp;$V811,"")</f>
        <v/>
      </c>
      <c r="AF811" s="65" t="inlineStr"/>
      <c r="AG811" s="65" t="inlineStr">
        <is>
          <t>— généré —</t>
        </is>
      </c>
    </row>
    <row r="812" ht="15" customHeight="1">
      <c r="A812" s="74" t="inlineStr">
        <is>
          <t>S7</t>
        </is>
      </c>
      <c r="B812" s="75" t="inlineStr">
        <is>
          <t>du 26 octobre au 1er novembre 2026</t>
        </is>
      </c>
      <c r="C812" s="74" t="inlineStr">
        <is>
          <t>A</t>
        </is>
      </c>
      <c r="D812" s="76" t="n">
        <v>46325</v>
      </c>
      <c r="E812" s="74" t="inlineStr">
        <is>
          <t>Vendredi</t>
        </is>
      </c>
      <c r="F812" s="77" t="n">
        <v>0.8125</v>
      </c>
      <c r="G812" s="77" t="n">
        <v>0.875</v>
      </c>
      <c r="H812" s="78">
        <f>IF(OR($F812="",$G812=""),"",($G812-$F812)*24)</f>
        <v/>
      </c>
      <c r="I812" s="74" t="inlineStr">
        <is>
          <t>Secondaire</t>
        </is>
      </c>
      <c r="J812" s="75" t="inlineStr">
        <is>
          <t>2éme INFO</t>
        </is>
      </c>
      <c r="K812" s="79" t="inlineStr">
        <is>
          <t>Math</t>
        </is>
      </c>
      <c r="L812" s="79" t="inlineStr">
        <is>
          <t>Math</t>
        </is>
      </c>
      <c r="M812" s="75" t="inlineStr">
        <is>
          <t>Haythem</t>
        </is>
      </c>
      <c r="N812" s="74" t="n"/>
      <c r="O812" s="74" t="n"/>
      <c r="P812" s="74" t="inlineStr">
        <is>
          <t>Hebdomadaire</t>
        </is>
      </c>
      <c r="Q812" s="75" t="inlineStr"/>
      <c r="R812" s="74" t="n">
        <v>1</v>
      </c>
      <c r="S812" s="74" t="inlineStr">
        <is>
          <t>Oui</t>
        </is>
      </c>
      <c r="T812" s="74" t="inlineStr">
        <is>
          <t>S7-053</t>
        </is>
      </c>
      <c r="U812" s="75" t="inlineStr">
        <is>
          <t>Généré (octobre)</t>
        </is>
      </c>
      <c r="V812" s="75" t="inlineStr"/>
      <c r="W812" s="10" t="n"/>
      <c r="X812" s="10" t="inlineStr"/>
      <c r="Y812" s="64">
        <f>IF($M812="","",IF(SUMPRODUCT(($D$4:$D$863=$D812)*($M$4:$M$863=$M812)*($T$4:$T$863&lt;&gt;$T812)*($F$4:$F$863&lt;$G812)*($G$4:$G$863&gt;$F812))&gt;0,"⚠ CONFLIT",""))</f>
        <v/>
      </c>
      <c r="Z812" s="64">
        <f>IF($J812="","",IF(SUMPRODUCT(($D$4:$D$863=$D812)*($J$4:$J$863=$J812)*($T$4:$T$863&lt;&gt;$T812)*($F$4:$F$863&lt;$G812)*($G$4:$G$863&gt;$F812)*(1-($X$4:$X$863="Oui")*($X812="Oui")))&gt;0,"⚠ CONFLIT",""))</f>
        <v/>
      </c>
      <c r="AA812" s="64">
        <f>IF(COUNTIFS($D$4:$D$863,$D812,$J$4:$J$863,$J812,$F$4:$F$863,$F812,$K$4:$K$863,$K812)&gt;1,"⚠ DOUBLON","")</f>
        <v/>
      </c>
      <c r="AB812" s="64">
        <f>IF(COUNTIF($T$4:$T$863,$T812)&lt;&gt;COUNTIFS($T$4:$T$863,$T812,$D$4:$D$863,$D812,$F$4:$F$863,$F812,$G$4:$G$863,$G812,$K$4:$K$863,$K812,$M$4:$M$863,$M812),"⚠ INCOHÉRENT","")</f>
        <v/>
      </c>
      <c r="AC812" s="64">
        <f>COUNTIFS($A$4:$A812,$A812,$J$4:$J812,$J812,$E$4:$E812,$E812)</f>
        <v/>
      </c>
      <c r="AD812" s="65">
        <f>$A812&amp;"|"&amp;$J812&amp;"|"&amp;$E812&amp;"|"&amp;$AC812</f>
        <v/>
      </c>
      <c r="AE812" s="66">
        <f>IF($W812&lt;&gt;"","⚑ "&amp;$W812&amp;CHAR(10),"")&amp;TEXT($F812,"hh:mm")&amp;"-"&amp;TEXT($G812,"hh:mm")&amp;IF(OR($P812="Quinzaine A",AND($P812="Hebdo · groupes alternés",$C812="A"))," Q-A",IF(OR($P812="Quinzaine B",AND($P812="Hebdo · groupes alternés",$C812="B"))," Q-B",IF($P812="Exception"," PONCT.","")))&amp;IF($X812="Oui"," OPT","")&amp;CHAR(10)&amp;$K812&amp;CHAR(10)&amp;$M812&amp;IF($N812&lt;&gt;"",CHAR(10)&amp;"Salle "&amp;$N812,"")&amp;IF($O812="En ligne",CHAR(10)&amp;"EN LIGNE","")&amp;IF($V812&lt;&gt;"",CHAR(10)&amp;$V812,"")</f>
        <v/>
      </c>
      <c r="AF812" s="65" t="inlineStr"/>
      <c r="AG812" s="65" t="inlineStr">
        <is>
          <t>— généré —</t>
        </is>
      </c>
    </row>
    <row r="813" ht="15" customHeight="1">
      <c r="A813" s="74" t="inlineStr">
        <is>
          <t>S7</t>
        </is>
      </c>
      <c r="B813" s="75" t="inlineStr">
        <is>
          <t>du 26 octobre au 1er novembre 2026</t>
        </is>
      </c>
      <c r="C813" s="74" t="inlineStr">
        <is>
          <t>A</t>
        </is>
      </c>
      <c r="D813" s="76" t="n">
        <v>46325</v>
      </c>
      <c r="E813" s="74" t="inlineStr">
        <is>
          <t>Vendredi</t>
        </is>
      </c>
      <c r="F813" s="77" t="n">
        <v>0.7916666666666666</v>
      </c>
      <c r="G813" s="77" t="n">
        <v>0.8541666666666666</v>
      </c>
      <c r="H813" s="78">
        <f>IF(OR($F813="",$G813=""),"",($G813-$F813)*24)</f>
        <v/>
      </c>
      <c r="I813" s="74" t="inlineStr">
        <is>
          <t>Secondaire</t>
        </is>
      </c>
      <c r="J813" s="75" t="inlineStr">
        <is>
          <t>3éme Eco</t>
        </is>
      </c>
      <c r="K813" s="67" t="inlineStr">
        <is>
          <t>Français</t>
        </is>
      </c>
      <c r="L813" s="67" t="inlineStr">
        <is>
          <t>Français</t>
        </is>
      </c>
      <c r="M813" s="75" t="inlineStr">
        <is>
          <t>Nabil</t>
        </is>
      </c>
      <c r="N813" s="74" t="n"/>
      <c r="O813" s="74" t="n"/>
      <c r="P813" s="74" t="inlineStr">
        <is>
          <t>Quinzaine A</t>
        </is>
      </c>
      <c r="Q813" s="75" t="inlineStr">
        <is>
          <t>3éme Eco + 3éme INFO + 3éme SCE</t>
        </is>
      </c>
      <c r="R813" s="74" t="n">
        <v>3</v>
      </c>
      <c r="S813" s="74" t="inlineStr">
        <is>
          <t>Oui</t>
        </is>
      </c>
      <c r="T813" s="74" t="inlineStr">
        <is>
          <t>S7-096</t>
        </is>
      </c>
      <c r="U813" s="75" t="inlineStr">
        <is>
          <t>Généré (octobre)</t>
        </is>
      </c>
      <c r="V813" s="75" t="inlineStr"/>
      <c r="W813" s="10" t="n"/>
      <c r="X813" s="10" t="inlineStr"/>
      <c r="Y813" s="64">
        <f>IF($M813="","",IF(SUMPRODUCT(($D$4:$D$863=$D813)*($M$4:$M$863=$M813)*($T$4:$T$863&lt;&gt;$T813)*($F$4:$F$863&lt;$G813)*($G$4:$G$863&gt;$F813))&gt;0,"⚠ CONFLIT",""))</f>
        <v/>
      </c>
      <c r="Z813" s="64">
        <f>IF($J813="","",IF(SUMPRODUCT(($D$4:$D$863=$D813)*($J$4:$J$863=$J813)*($T$4:$T$863&lt;&gt;$T813)*($F$4:$F$863&lt;$G813)*($G$4:$G$863&gt;$F813)*(1-($X$4:$X$863="Oui")*($X813="Oui")))&gt;0,"⚠ CONFLIT",""))</f>
        <v/>
      </c>
      <c r="AA813" s="64">
        <f>IF(COUNTIFS($D$4:$D$863,$D813,$J$4:$J$863,$J813,$F$4:$F$863,$F813,$K$4:$K$863,$K813)&gt;1,"⚠ DOUBLON","")</f>
        <v/>
      </c>
      <c r="AB813" s="64">
        <f>IF(COUNTIF($T$4:$T$863,$T813)&lt;&gt;COUNTIFS($T$4:$T$863,$T813,$D$4:$D$863,$D813,$F$4:$F$863,$F813,$G$4:$G$863,$G813,$K$4:$K$863,$K813,$M$4:$M$863,$M813),"⚠ INCOHÉRENT","")</f>
        <v/>
      </c>
      <c r="AC813" s="64">
        <f>COUNTIFS($A$4:$A813,$A813,$J$4:$J813,$J813,$E$4:$E813,$E813)</f>
        <v/>
      </c>
      <c r="AD813" s="65">
        <f>$A813&amp;"|"&amp;$J813&amp;"|"&amp;$E813&amp;"|"&amp;$AC813</f>
        <v/>
      </c>
      <c r="AE813" s="66">
        <f>IF($W813&lt;&gt;"","⚑ "&amp;$W813&amp;CHAR(10),"")&amp;TEXT($F813,"hh:mm")&amp;"-"&amp;TEXT($G813,"hh:mm")&amp;IF(OR($P813="Quinzaine A",AND($P813="Hebdo · groupes alternés",$C813="A"))," Q-A",IF(OR($P813="Quinzaine B",AND($P813="Hebdo · groupes alternés",$C813="B"))," Q-B",IF($P813="Exception"," PONCT.","")))&amp;IF($X813="Oui"," OPT","")&amp;CHAR(10)&amp;$K813&amp;CHAR(10)&amp;$M813&amp;IF($N813&lt;&gt;"",CHAR(10)&amp;"Salle "&amp;$N813,"")&amp;IF($O813="En ligne",CHAR(10)&amp;"EN LIGNE","")&amp;IF($V813&lt;&gt;"",CHAR(10)&amp;$V813,"")</f>
        <v/>
      </c>
      <c r="AF813" s="65" t="inlineStr"/>
      <c r="AG813" s="65" t="inlineStr">
        <is>
          <t>— généré —</t>
        </is>
      </c>
    </row>
    <row r="814" ht="15" customHeight="1">
      <c r="A814" s="74" t="inlineStr">
        <is>
          <t>S7</t>
        </is>
      </c>
      <c r="B814" s="75" t="inlineStr">
        <is>
          <t>du 26 octobre au 1er novembre 2026</t>
        </is>
      </c>
      <c r="C814" s="74" t="inlineStr">
        <is>
          <t>A</t>
        </is>
      </c>
      <c r="D814" s="76" t="n">
        <v>46325</v>
      </c>
      <c r="E814" s="74" t="inlineStr">
        <is>
          <t>Vendredi</t>
        </is>
      </c>
      <c r="F814" s="77" t="n">
        <v>0.7916666666666666</v>
      </c>
      <c r="G814" s="77" t="n">
        <v>0.8541666666666666</v>
      </c>
      <c r="H814" s="78">
        <f>IF(OR($F814="",$G814=""),"",($G814-$F814)*24)</f>
        <v/>
      </c>
      <c r="I814" s="74" t="inlineStr">
        <is>
          <t>Secondaire</t>
        </is>
      </c>
      <c r="J814" s="75" t="inlineStr">
        <is>
          <t>3éme INFO</t>
        </is>
      </c>
      <c r="K814" s="67" t="inlineStr">
        <is>
          <t>Français</t>
        </is>
      </c>
      <c r="L814" s="67" t="inlineStr">
        <is>
          <t>Français</t>
        </is>
      </c>
      <c r="M814" s="75" t="inlineStr">
        <is>
          <t>Nabil</t>
        </is>
      </c>
      <c r="N814" s="74" t="n"/>
      <c r="O814" s="74" t="n"/>
      <c r="P814" s="74" t="inlineStr">
        <is>
          <t>Quinzaine A</t>
        </is>
      </c>
      <c r="Q814" s="75" t="inlineStr">
        <is>
          <t>3éme Eco + 3éme INFO + 3éme SCE</t>
        </is>
      </c>
      <c r="R814" s="74" t="n">
        <v>3</v>
      </c>
      <c r="S814" s="74" t="inlineStr"/>
      <c r="T814" s="74" t="inlineStr">
        <is>
          <t>S7-096</t>
        </is>
      </c>
      <c r="U814" s="75" t="inlineStr">
        <is>
          <t>Généré (octobre)</t>
        </is>
      </c>
      <c r="V814" s="75" t="inlineStr"/>
      <c r="W814" s="10" t="n"/>
      <c r="X814" s="10" t="inlineStr"/>
      <c r="Y814" s="64">
        <f>IF($M814="","",IF(SUMPRODUCT(($D$4:$D$863=$D814)*($M$4:$M$863=$M814)*($T$4:$T$863&lt;&gt;$T814)*($F$4:$F$863&lt;$G814)*($G$4:$G$863&gt;$F814))&gt;0,"⚠ CONFLIT",""))</f>
        <v/>
      </c>
      <c r="Z814" s="64">
        <f>IF($J814="","",IF(SUMPRODUCT(($D$4:$D$863=$D814)*($J$4:$J$863=$J814)*($T$4:$T$863&lt;&gt;$T814)*($F$4:$F$863&lt;$G814)*($G$4:$G$863&gt;$F814)*(1-($X$4:$X$863="Oui")*($X814="Oui")))&gt;0,"⚠ CONFLIT",""))</f>
        <v/>
      </c>
      <c r="AA814" s="64">
        <f>IF(COUNTIFS($D$4:$D$863,$D814,$J$4:$J$863,$J814,$F$4:$F$863,$F814,$K$4:$K$863,$K814)&gt;1,"⚠ DOUBLON","")</f>
        <v/>
      </c>
      <c r="AB814" s="64">
        <f>IF(COUNTIF($T$4:$T$863,$T814)&lt;&gt;COUNTIFS($T$4:$T$863,$T814,$D$4:$D$863,$D814,$F$4:$F$863,$F814,$G$4:$G$863,$G814,$K$4:$K$863,$K814,$M$4:$M$863,$M814),"⚠ INCOHÉRENT","")</f>
        <v/>
      </c>
      <c r="AC814" s="64">
        <f>COUNTIFS($A$4:$A814,$A814,$J$4:$J814,$J814,$E$4:$E814,$E814)</f>
        <v/>
      </c>
      <c r="AD814" s="65">
        <f>$A814&amp;"|"&amp;$J814&amp;"|"&amp;$E814&amp;"|"&amp;$AC814</f>
        <v/>
      </c>
      <c r="AE814" s="66">
        <f>IF($W814&lt;&gt;"","⚑ "&amp;$W814&amp;CHAR(10),"")&amp;TEXT($F814,"hh:mm")&amp;"-"&amp;TEXT($G814,"hh:mm")&amp;IF(OR($P814="Quinzaine A",AND($P814="Hebdo · groupes alternés",$C814="A"))," Q-A",IF(OR($P814="Quinzaine B",AND($P814="Hebdo · groupes alternés",$C814="B"))," Q-B",IF($P814="Exception"," PONCT.","")))&amp;IF($X814="Oui"," OPT","")&amp;CHAR(10)&amp;$K814&amp;CHAR(10)&amp;$M814&amp;IF($N814&lt;&gt;"",CHAR(10)&amp;"Salle "&amp;$N814,"")&amp;IF($O814="En ligne",CHAR(10)&amp;"EN LIGNE","")&amp;IF($V814&lt;&gt;"",CHAR(10)&amp;$V814,"")</f>
        <v/>
      </c>
      <c r="AF814" s="65" t="inlineStr"/>
      <c r="AG814" s="65" t="inlineStr">
        <is>
          <t>— généré —</t>
        </is>
      </c>
    </row>
    <row r="815" ht="15" customHeight="1">
      <c r="A815" s="74" t="inlineStr">
        <is>
          <t>S7</t>
        </is>
      </c>
      <c r="B815" s="75" t="inlineStr">
        <is>
          <t>du 26 octobre au 1er novembre 2026</t>
        </is>
      </c>
      <c r="C815" s="74" t="inlineStr">
        <is>
          <t>A</t>
        </is>
      </c>
      <c r="D815" s="76" t="n">
        <v>46325</v>
      </c>
      <c r="E815" s="74" t="inlineStr">
        <is>
          <t>Vendredi</t>
        </is>
      </c>
      <c r="F815" s="77" t="n">
        <v>0.7916666666666666</v>
      </c>
      <c r="G815" s="77" t="n">
        <v>0.8541666666666666</v>
      </c>
      <c r="H815" s="78">
        <f>IF(OR($F815="",$G815=""),"",($G815-$F815)*24)</f>
        <v/>
      </c>
      <c r="I815" s="74" t="inlineStr">
        <is>
          <t>Secondaire</t>
        </is>
      </c>
      <c r="J815" s="75" t="inlineStr">
        <is>
          <t>3éme SCE</t>
        </is>
      </c>
      <c r="K815" s="67" t="inlineStr">
        <is>
          <t>Français</t>
        </is>
      </c>
      <c r="L815" s="67" t="inlineStr">
        <is>
          <t>Français</t>
        </is>
      </c>
      <c r="M815" s="75" t="inlineStr">
        <is>
          <t>Nabil</t>
        </is>
      </c>
      <c r="N815" s="74" t="n"/>
      <c r="O815" s="74" t="n"/>
      <c r="P815" s="74" t="inlineStr">
        <is>
          <t>Quinzaine A</t>
        </is>
      </c>
      <c r="Q815" s="75" t="inlineStr">
        <is>
          <t>3éme Eco + 3éme INFO + 3éme SCE</t>
        </is>
      </c>
      <c r="R815" s="74" t="n">
        <v>3</v>
      </c>
      <c r="S815" s="74" t="inlineStr"/>
      <c r="T815" s="74" t="inlineStr">
        <is>
          <t>S7-096</t>
        </is>
      </c>
      <c r="U815" s="75" t="inlineStr">
        <is>
          <t>Généré (octobre)</t>
        </is>
      </c>
      <c r="V815" s="75" t="inlineStr"/>
      <c r="W815" s="10" t="n"/>
      <c r="X815" s="10" t="inlineStr"/>
      <c r="Y815" s="64">
        <f>IF($M815="","",IF(SUMPRODUCT(($D$4:$D$863=$D815)*($M$4:$M$863=$M815)*($T$4:$T$863&lt;&gt;$T815)*($F$4:$F$863&lt;$G815)*($G$4:$G$863&gt;$F815))&gt;0,"⚠ CONFLIT",""))</f>
        <v/>
      </c>
      <c r="Z815" s="64">
        <f>IF($J815="","",IF(SUMPRODUCT(($D$4:$D$863=$D815)*($J$4:$J$863=$J815)*($T$4:$T$863&lt;&gt;$T815)*($F$4:$F$863&lt;$G815)*($G$4:$G$863&gt;$F815)*(1-($X$4:$X$863="Oui")*($X815="Oui")))&gt;0,"⚠ CONFLIT",""))</f>
        <v/>
      </c>
      <c r="AA815" s="64">
        <f>IF(COUNTIFS($D$4:$D$863,$D815,$J$4:$J$863,$J815,$F$4:$F$863,$F815,$K$4:$K$863,$K815)&gt;1,"⚠ DOUBLON","")</f>
        <v/>
      </c>
      <c r="AB815" s="64">
        <f>IF(COUNTIF($T$4:$T$863,$T815)&lt;&gt;COUNTIFS($T$4:$T$863,$T815,$D$4:$D$863,$D815,$F$4:$F$863,$F815,$G$4:$G$863,$G815,$K$4:$K$863,$K815,$M$4:$M$863,$M815),"⚠ INCOHÉRENT","")</f>
        <v/>
      </c>
      <c r="AC815" s="64">
        <f>COUNTIFS($A$4:$A815,$A815,$J$4:$J815,$J815,$E$4:$E815,$E815)</f>
        <v/>
      </c>
      <c r="AD815" s="65">
        <f>$A815&amp;"|"&amp;$J815&amp;"|"&amp;$E815&amp;"|"&amp;$AC815</f>
        <v/>
      </c>
      <c r="AE815" s="66">
        <f>IF($W815&lt;&gt;"","⚑ "&amp;$W815&amp;CHAR(10),"")&amp;TEXT($F815,"hh:mm")&amp;"-"&amp;TEXT($G815,"hh:mm")&amp;IF(OR($P815="Quinzaine A",AND($P815="Hebdo · groupes alternés",$C815="A"))," Q-A",IF(OR($P815="Quinzaine B",AND($P815="Hebdo · groupes alternés",$C815="B"))," Q-B",IF($P815="Exception"," PONCT.","")))&amp;IF($X815="Oui"," OPT","")&amp;CHAR(10)&amp;$K815&amp;CHAR(10)&amp;$M815&amp;IF($N815&lt;&gt;"",CHAR(10)&amp;"Salle "&amp;$N815,"")&amp;IF($O815="En ligne",CHAR(10)&amp;"EN LIGNE","")&amp;IF($V815&lt;&gt;"",CHAR(10)&amp;$V815,"")</f>
        <v/>
      </c>
      <c r="AF815" s="65" t="inlineStr"/>
      <c r="AG815" s="65" t="inlineStr">
        <is>
          <t>— généré —</t>
        </is>
      </c>
    </row>
    <row r="816" ht="15" customHeight="1">
      <c r="A816" s="81" t="inlineStr">
        <is>
          <t>S7</t>
        </is>
      </c>
      <c r="B816" s="82" t="inlineStr">
        <is>
          <t>du 26 octobre au 1er novembre 2026</t>
        </is>
      </c>
      <c r="C816" s="81" t="inlineStr">
        <is>
          <t>A</t>
        </is>
      </c>
      <c r="D816" s="83" t="n">
        <v>46325</v>
      </c>
      <c r="E816" s="81" t="inlineStr">
        <is>
          <t>Vendredi</t>
        </is>
      </c>
      <c r="F816" s="84" t="n">
        <v>0.7291666666666666</v>
      </c>
      <c r="G816" s="84" t="n">
        <v>0.7916666666666666</v>
      </c>
      <c r="H816" s="85">
        <f>IF(OR($F816="",$G816=""),"",($G816-$F816)*24)</f>
        <v/>
      </c>
      <c r="I816" s="81" t="inlineStr">
        <is>
          <t>Bac</t>
        </is>
      </c>
      <c r="J816" s="82" t="inlineStr">
        <is>
          <t>Bac Eco</t>
        </is>
      </c>
      <c r="K816" s="87" t="inlineStr">
        <is>
          <t>Anglais</t>
        </is>
      </c>
      <c r="L816" s="87" t="inlineStr">
        <is>
          <t>Anglais</t>
        </is>
      </c>
      <c r="M816" s="82" t="inlineStr">
        <is>
          <t>Khaled</t>
        </is>
      </c>
      <c r="N816" s="81" t="n"/>
      <c r="O816" s="81" t="n"/>
      <c r="P816" s="81" t="inlineStr">
        <is>
          <t>Hebdo · groupes alternés</t>
        </is>
      </c>
      <c r="Q816" s="82" t="inlineStr">
        <is>
          <t>Bac Eco + Bac SCE + Bac INFO</t>
        </is>
      </c>
      <c r="R816" s="81" t="n">
        <v>3</v>
      </c>
      <c r="S816" s="81" t="inlineStr">
        <is>
          <t>Oui</t>
        </is>
      </c>
      <c r="T816" s="81" t="inlineStr">
        <is>
          <t>S7-054</t>
        </is>
      </c>
      <c r="U816" s="82" t="inlineStr">
        <is>
          <t>Généré (octobre)</t>
        </is>
      </c>
      <c r="V816" s="82" t="inlineStr"/>
      <c r="W816" s="10" t="n"/>
      <c r="X816" s="10" t="inlineStr"/>
      <c r="Y816" s="64">
        <f>IF($M816="","",IF(SUMPRODUCT(($D$4:$D$863=$D816)*($M$4:$M$863=$M816)*($T$4:$T$863&lt;&gt;$T816)*($F$4:$F$863&lt;$G816)*($G$4:$G$863&gt;$F816))&gt;0,"⚠ CONFLIT",""))</f>
        <v/>
      </c>
      <c r="Z816" s="64">
        <f>IF($J816="","",IF(SUMPRODUCT(($D$4:$D$863=$D816)*($J$4:$J$863=$J816)*($T$4:$T$863&lt;&gt;$T816)*($F$4:$F$863&lt;$G816)*($G$4:$G$863&gt;$F816)*(1-($X$4:$X$863="Oui")*($X816="Oui")))&gt;0,"⚠ CONFLIT",""))</f>
        <v/>
      </c>
      <c r="AA816" s="64">
        <f>IF(COUNTIFS($D$4:$D$863,$D816,$J$4:$J$863,$J816,$F$4:$F$863,$F816,$K$4:$K$863,$K816)&gt;1,"⚠ DOUBLON","")</f>
        <v/>
      </c>
      <c r="AB816" s="64">
        <f>IF(COUNTIF($T$4:$T$863,$T816)&lt;&gt;COUNTIFS($T$4:$T$863,$T816,$D$4:$D$863,$D816,$F$4:$F$863,$F816,$G$4:$G$863,$G816,$K$4:$K$863,$K816,$M$4:$M$863,$M816),"⚠ INCOHÉRENT","")</f>
        <v/>
      </c>
      <c r="AC816" s="64">
        <f>COUNTIFS($A$4:$A816,$A816,$J$4:$J816,$J816,$E$4:$E816,$E816)</f>
        <v/>
      </c>
      <c r="AD816" s="65">
        <f>$A816&amp;"|"&amp;$J816&amp;"|"&amp;$E816&amp;"|"&amp;$AC816</f>
        <v/>
      </c>
      <c r="AE816" s="66">
        <f>IF($W816&lt;&gt;"","⚑ "&amp;$W816&amp;CHAR(10),"")&amp;TEXT($F816,"hh:mm")&amp;"-"&amp;TEXT($G816,"hh:mm")&amp;IF(OR($P816="Quinzaine A",AND($P816="Hebdo · groupes alternés",$C816="A"))," Q-A",IF(OR($P816="Quinzaine B",AND($P816="Hebdo · groupes alternés",$C816="B"))," Q-B",IF($P816="Exception"," PONCT.","")))&amp;IF($X816="Oui"," OPT","")&amp;CHAR(10)&amp;$K816&amp;CHAR(10)&amp;$M816&amp;IF($N816&lt;&gt;"",CHAR(10)&amp;"Salle "&amp;$N816,"")&amp;IF($O816="En ligne",CHAR(10)&amp;"EN LIGNE","")&amp;IF($V816&lt;&gt;"",CHAR(10)&amp;$V816,"")</f>
        <v/>
      </c>
      <c r="AF816" s="65" t="inlineStr"/>
      <c r="AG816" s="65" t="inlineStr">
        <is>
          <t>— généré —</t>
        </is>
      </c>
    </row>
    <row r="817" ht="15" customHeight="1">
      <c r="A817" s="81" t="inlineStr">
        <is>
          <t>S7</t>
        </is>
      </c>
      <c r="B817" s="82" t="inlineStr">
        <is>
          <t>du 26 octobre au 1er novembre 2026</t>
        </is>
      </c>
      <c r="C817" s="81" t="inlineStr">
        <is>
          <t>A</t>
        </is>
      </c>
      <c r="D817" s="83" t="n">
        <v>46325</v>
      </c>
      <c r="E817" s="81" t="inlineStr">
        <is>
          <t>Vendredi</t>
        </is>
      </c>
      <c r="F817" s="84" t="n">
        <v>0.7291666666666666</v>
      </c>
      <c r="G817" s="84" t="n">
        <v>0.7916666666666666</v>
      </c>
      <c r="H817" s="85">
        <f>IF(OR($F817="",$G817=""),"",($G817-$F817)*24)</f>
        <v/>
      </c>
      <c r="I817" s="81" t="inlineStr">
        <is>
          <t>Bac</t>
        </is>
      </c>
      <c r="J817" s="82" t="inlineStr">
        <is>
          <t>Bac SCE</t>
        </is>
      </c>
      <c r="K817" s="87" t="inlineStr">
        <is>
          <t>Anglais</t>
        </is>
      </c>
      <c r="L817" s="87" t="inlineStr">
        <is>
          <t>Anglais</t>
        </is>
      </c>
      <c r="M817" s="82" t="inlineStr">
        <is>
          <t>Khaled</t>
        </is>
      </c>
      <c r="N817" s="81" t="n"/>
      <c r="O817" s="81" t="n"/>
      <c r="P817" s="81" t="inlineStr">
        <is>
          <t>Hebdo · groupes alternés</t>
        </is>
      </c>
      <c r="Q817" s="82" t="inlineStr">
        <is>
          <t>Bac Eco + Bac SCE + Bac INFO</t>
        </is>
      </c>
      <c r="R817" s="81" t="n">
        <v>3</v>
      </c>
      <c r="S817" s="81" t="inlineStr"/>
      <c r="T817" s="81" t="inlineStr">
        <is>
          <t>S7-054</t>
        </is>
      </c>
      <c r="U817" s="82" t="inlineStr">
        <is>
          <t>Généré (octobre)</t>
        </is>
      </c>
      <c r="V817" s="82" t="inlineStr"/>
      <c r="W817" s="10" t="n"/>
      <c r="X817" s="10" t="inlineStr"/>
      <c r="Y817" s="64">
        <f>IF($M817="","",IF(SUMPRODUCT(($D$4:$D$863=$D817)*($M$4:$M$863=$M817)*($T$4:$T$863&lt;&gt;$T817)*($F$4:$F$863&lt;$G817)*($G$4:$G$863&gt;$F817))&gt;0,"⚠ CONFLIT",""))</f>
        <v/>
      </c>
      <c r="Z817" s="64">
        <f>IF($J817="","",IF(SUMPRODUCT(($D$4:$D$863=$D817)*($J$4:$J$863=$J817)*($T$4:$T$863&lt;&gt;$T817)*($F$4:$F$863&lt;$G817)*($G$4:$G$863&gt;$F817)*(1-($X$4:$X$863="Oui")*($X817="Oui")))&gt;0,"⚠ CONFLIT",""))</f>
        <v/>
      </c>
      <c r="AA817" s="64">
        <f>IF(COUNTIFS($D$4:$D$863,$D817,$J$4:$J$863,$J817,$F$4:$F$863,$F817,$K$4:$K$863,$K817)&gt;1,"⚠ DOUBLON","")</f>
        <v/>
      </c>
      <c r="AB817" s="64">
        <f>IF(COUNTIF($T$4:$T$863,$T817)&lt;&gt;COUNTIFS($T$4:$T$863,$T817,$D$4:$D$863,$D817,$F$4:$F$863,$F817,$G$4:$G$863,$G817,$K$4:$K$863,$K817,$M$4:$M$863,$M817),"⚠ INCOHÉRENT","")</f>
        <v/>
      </c>
      <c r="AC817" s="64">
        <f>COUNTIFS($A$4:$A817,$A817,$J$4:$J817,$J817,$E$4:$E817,$E817)</f>
        <v/>
      </c>
      <c r="AD817" s="65">
        <f>$A817&amp;"|"&amp;$J817&amp;"|"&amp;$E817&amp;"|"&amp;$AC817</f>
        <v/>
      </c>
      <c r="AE817" s="66">
        <f>IF($W817&lt;&gt;"","⚑ "&amp;$W817&amp;CHAR(10),"")&amp;TEXT($F817,"hh:mm")&amp;"-"&amp;TEXT($G817,"hh:mm")&amp;IF(OR($P817="Quinzaine A",AND($P817="Hebdo · groupes alternés",$C817="A"))," Q-A",IF(OR($P817="Quinzaine B",AND($P817="Hebdo · groupes alternés",$C817="B"))," Q-B",IF($P817="Exception"," PONCT.","")))&amp;IF($X817="Oui"," OPT","")&amp;CHAR(10)&amp;$K817&amp;CHAR(10)&amp;$M817&amp;IF($N817&lt;&gt;"",CHAR(10)&amp;"Salle "&amp;$N817,"")&amp;IF($O817="En ligne",CHAR(10)&amp;"EN LIGNE","")&amp;IF($V817&lt;&gt;"",CHAR(10)&amp;$V817,"")</f>
        <v/>
      </c>
      <c r="AF817" s="65" t="inlineStr"/>
      <c r="AG817" s="65" t="inlineStr">
        <is>
          <t>— généré —</t>
        </is>
      </c>
    </row>
    <row r="818" ht="15" customHeight="1">
      <c r="A818" s="81" t="inlineStr">
        <is>
          <t>S7</t>
        </is>
      </c>
      <c r="B818" s="82" t="inlineStr">
        <is>
          <t>du 26 octobre au 1er novembre 2026</t>
        </is>
      </c>
      <c r="C818" s="81" t="inlineStr">
        <is>
          <t>A</t>
        </is>
      </c>
      <c r="D818" s="83" t="n">
        <v>46325</v>
      </c>
      <c r="E818" s="81" t="inlineStr">
        <is>
          <t>Vendredi</t>
        </is>
      </c>
      <c r="F818" s="84" t="n">
        <v>0.7291666666666666</v>
      </c>
      <c r="G818" s="84" t="n">
        <v>0.7916666666666666</v>
      </c>
      <c r="H818" s="85">
        <f>IF(OR($F818="",$G818=""),"",($G818-$F818)*24)</f>
        <v/>
      </c>
      <c r="I818" s="81" t="inlineStr">
        <is>
          <t>Bac</t>
        </is>
      </c>
      <c r="J818" s="82" t="inlineStr">
        <is>
          <t>Bac INFO</t>
        </is>
      </c>
      <c r="K818" s="87" t="inlineStr">
        <is>
          <t>Anglais</t>
        </is>
      </c>
      <c r="L818" s="87" t="inlineStr">
        <is>
          <t>Anglais</t>
        </is>
      </c>
      <c r="M818" s="82" t="inlineStr">
        <is>
          <t>Khaled</t>
        </is>
      </c>
      <c r="N818" s="81" t="n"/>
      <c r="O818" s="81" t="n"/>
      <c r="P818" s="81" t="inlineStr">
        <is>
          <t>Hebdo · groupes alternés</t>
        </is>
      </c>
      <c r="Q818" s="82" t="inlineStr">
        <is>
          <t>Bac Eco + Bac SCE + Bac INFO</t>
        </is>
      </c>
      <c r="R818" s="81" t="n">
        <v>3</v>
      </c>
      <c r="S818" s="81" t="inlineStr"/>
      <c r="T818" s="81" t="inlineStr">
        <is>
          <t>S7-054</t>
        </is>
      </c>
      <c r="U818" s="82" t="inlineStr">
        <is>
          <t>Généré (octobre)</t>
        </is>
      </c>
      <c r="V818" s="82" t="inlineStr"/>
      <c r="W818" s="10" t="n"/>
      <c r="X818" s="10" t="inlineStr"/>
      <c r="Y818" s="64">
        <f>IF($M818="","",IF(SUMPRODUCT(($D$4:$D$863=$D818)*($M$4:$M$863=$M818)*($T$4:$T$863&lt;&gt;$T818)*($F$4:$F$863&lt;$G818)*($G$4:$G$863&gt;$F818))&gt;0,"⚠ CONFLIT",""))</f>
        <v/>
      </c>
      <c r="Z818" s="64">
        <f>IF($J818="","",IF(SUMPRODUCT(($D$4:$D$863=$D818)*($J$4:$J$863=$J818)*($T$4:$T$863&lt;&gt;$T818)*($F$4:$F$863&lt;$G818)*($G$4:$G$863&gt;$F818)*(1-($X$4:$X$863="Oui")*($X818="Oui")))&gt;0,"⚠ CONFLIT",""))</f>
        <v/>
      </c>
      <c r="AA818" s="64">
        <f>IF(COUNTIFS($D$4:$D$863,$D818,$J$4:$J$863,$J818,$F$4:$F$863,$F818,$K$4:$K$863,$K818)&gt;1,"⚠ DOUBLON","")</f>
        <v/>
      </c>
      <c r="AB818" s="64">
        <f>IF(COUNTIF($T$4:$T$863,$T818)&lt;&gt;COUNTIFS($T$4:$T$863,$T818,$D$4:$D$863,$D818,$F$4:$F$863,$F818,$G$4:$G$863,$G818,$K$4:$K$863,$K818,$M$4:$M$863,$M818),"⚠ INCOHÉRENT","")</f>
        <v/>
      </c>
      <c r="AC818" s="64">
        <f>COUNTIFS($A$4:$A818,$A818,$J$4:$J818,$J818,$E$4:$E818,$E818)</f>
        <v/>
      </c>
      <c r="AD818" s="65">
        <f>$A818&amp;"|"&amp;$J818&amp;"|"&amp;$E818&amp;"|"&amp;$AC818</f>
        <v/>
      </c>
      <c r="AE818" s="66">
        <f>IF($W818&lt;&gt;"","⚑ "&amp;$W818&amp;CHAR(10),"")&amp;TEXT($F818,"hh:mm")&amp;"-"&amp;TEXT($G818,"hh:mm")&amp;IF(OR($P818="Quinzaine A",AND($P818="Hebdo · groupes alternés",$C818="A"))," Q-A",IF(OR($P818="Quinzaine B",AND($P818="Hebdo · groupes alternés",$C818="B"))," Q-B",IF($P818="Exception"," PONCT.","")))&amp;IF($X818="Oui"," OPT","")&amp;CHAR(10)&amp;$K818&amp;CHAR(10)&amp;$M818&amp;IF($N818&lt;&gt;"",CHAR(10)&amp;"Salle "&amp;$N818,"")&amp;IF($O818="En ligne",CHAR(10)&amp;"EN LIGNE","")&amp;IF($V818&lt;&gt;"",CHAR(10)&amp;$V818,"")</f>
        <v/>
      </c>
      <c r="AF818" s="65" t="inlineStr"/>
      <c r="AG818" s="65" t="inlineStr">
        <is>
          <t>— généré —</t>
        </is>
      </c>
    </row>
    <row r="819" ht="15" customHeight="1">
      <c r="A819" s="58" t="inlineStr">
        <is>
          <t>S7</t>
        </is>
      </c>
      <c r="B819" s="59" t="inlineStr">
        <is>
          <t>du 26 octobre au 1er novembre 2026</t>
        </is>
      </c>
      <c r="C819" s="58" t="inlineStr">
        <is>
          <t>A</t>
        </is>
      </c>
      <c r="D819" s="60" t="n">
        <v>46326</v>
      </c>
      <c r="E819" s="58" t="inlineStr">
        <is>
          <t>Samedi</t>
        </is>
      </c>
      <c r="F819" s="61" t="n">
        <v>0.6666666666666666</v>
      </c>
      <c r="G819" s="61" t="n">
        <v>0.7291666666666666</v>
      </c>
      <c r="H819" s="62">
        <f>IF(OR($F819="",$G819=""),"",($G819-$F819)*24)</f>
        <v/>
      </c>
      <c r="I819" s="58" t="inlineStr">
        <is>
          <t>Primaire</t>
        </is>
      </c>
      <c r="J819" s="59" t="inlineStr">
        <is>
          <t>4éme</t>
        </is>
      </c>
      <c r="K819" s="67" t="inlineStr">
        <is>
          <t>Français</t>
        </is>
      </c>
      <c r="L819" s="67" t="inlineStr">
        <is>
          <t>Français</t>
        </is>
      </c>
      <c r="M819" s="59" t="inlineStr">
        <is>
          <t>Hend</t>
        </is>
      </c>
      <c r="N819" s="58" t="n"/>
      <c r="O819" s="58" t="n"/>
      <c r="P819" s="58" t="inlineStr">
        <is>
          <t>Hebdomadaire</t>
        </is>
      </c>
      <c r="Q819" s="59" t="inlineStr"/>
      <c r="R819" s="58" t="n">
        <v>1</v>
      </c>
      <c r="S819" s="58" t="inlineStr">
        <is>
          <t>Oui</t>
        </is>
      </c>
      <c r="T819" s="58" t="inlineStr">
        <is>
          <t>S7-055</t>
        </is>
      </c>
      <c r="U819" s="59" t="inlineStr">
        <is>
          <t>Généré (octobre)</t>
        </is>
      </c>
      <c r="V819" s="59" t="inlineStr"/>
      <c r="W819" s="10" t="n"/>
      <c r="X819" s="10" t="inlineStr"/>
      <c r="Y819" s="64">
        <f>IF($M819="","",IF(SUMPRODUCT(($D$4:$D$863=$D819)*($M$4:$M$863=$M819)*($T$4:$T$863&lt;&gt;$T819)*($F$4:$F$863&lt;$G819)*($G$4:$G$863&gt;$F819))&gt;0,"⚠ CONFLIT",""))</f>
        <v/>
      </c>
      <c r="Z819" s="64">
        <f>IF($J819="","",IF(SUMPRODUCT(($D$4:$D$863=$D819)*($J$4:$J$863=$J819)*($T$4:$T$863&lt;&gt;$T819)*($F$4:$F$863&lt;$G819)*($G$4:$G$863&gt;$F819)*(1-($X$4:$X$863="Oui")*($X819="Oui")))&gt;0,"⚠ CONFLIT",""))</f>
        <v/>
      </c>
      <c r="AA819" s="64">
        <f>IF(COUNTIFS($D$4:$D$863,$D819,$J$4:$J$863,$J819,$F$4:$F$863,$F819,$K$4:$K$863,$K819)&gt;1,"⚠ DOUBLON","")</f>
        <v/>
      </c>
      <c r="AB819" s="64">
        <f>IF(COUNTIF($T$4:$T$863,$T819)&lt;&gt;COUNTIFS($T$4:$T$863,$T819,$D$4:$D$863,$D819,$F$4:$F$863,$F819,$G$4:$G$863,$G819,$K$4:$K$863,$K819,$M$4:$M$863,$M819),"⚠ INCOHÉRENT","")</f>
        <v/>
      </c>
      <c r="AC819" s="64">
        <f>COUNTIFS($A$4:$A819,$A819,$J$4:$J819,$J819,$E$4:$E819,$E819)</f>
        <v/>
      </c>
      <c r="AD819" s="65">
        <f>$A819&amp;"|"&amp;$J819&amp;"|"&amp;$E819&amp;"|"&amp;$AC819</f>
        <v/>
      </c>
      <c r="AE819" s="66">
        <f>IF($W819&lt;&gt;"","⚑ "&amp;$W819&amp;CHAR(10),"")&amp;TEXT($F819,"hh:mm")&amp;"-"&amp;TEXT($G819,"hh:mm")&amp;IF(OR($P819="Quinzaine A",AND($P819="Hebdo · groupes alternés",$C819="A"))," Q-A",IF(OR($P819="Quinzaine B",AND($P819="Hebdo · groupes alternés",$C819="B"))," Q-B",IF($P819="Exception"," PONCT.","")))&amp;IF($X819="Oui"," OPT","")&amp;CHAR(10)&amp;$K819&amp;CHAR(10)&amp;$M819&amp;IF($N819&lt;&gt;"",CHAR(10)&amp;"Salle "&amp;$N819,"")&amp;IF($O819="En ligne",CHAR(10)&amp;"EN LIGNE","")&amp;IF($V819&lt;&gt;"",CHAR(10)&amp;$V819,"")</f>
        <v/>
      </c>
      <c r="AF819" s="65" t="inlineStr"/>
      <c r="AG819" s="65" t="inlineStr">
        <is>
          <t>— généré —</t>
        </is>
      </c>
    </row>
    <row r="820" ht="15" customHeight="1">
      <c r="A820" s="58" t="inlineStr">
        <is>
          <t>S7</t>
        </is>
      </c>
      <c r="B820" s="59" t="inlineStr">
        <is>
          <t>du 26 octobre au 1er novembre 2026</t>
        </is>
      </c>
      <c r="C820" s="58" t="inlineStr">
        <is>
          <t>A</t>
        </is>
      </c>
      <c r="D820" s="60" t="n">
        <v>46326</v>
      </c>
      <c r="E820" s="58" t="inlineStr">
        <is>
          <t>Samedi</t>
        </is>
      </c>
      <c r="F820" s="61" t="n">
        <v>0.75</v>
      </c>
      <c r="G820" s="61" t="n">
        <v>0.8125</v>
      </c>
      <c r="H820" s="62">
        <f>IF(OR($F820="",$G820=""),"",($G820-$F820)*24)</f>
        <v/>
      </c>
      <c r="I820" s="58" t="inlineStr">
        <is>
          <t>Primaire</t>
        </is>
      </c>
      <c r="J820" s="59" t="inlineStr">
        <is>
          <t>5éme</t>
        </is>
      </c>
      <c r="K820" s="67" t="inlineStr">
        <is>
          <t>Français</t>
        </is>
      </c>
      <c r="L820" s="67" t="inlineStr">
        <is>
          <t>Français</t>
        </is>
      </c>
      <c r="M820" s="59" t="inlineStr">
        <is>
          <t>Hend</t>
        </is>
      </c>
      <c r="N820" s="58" t="n"/>
      <c r="O820" s="58" t="n"/>
      <c r="P820" s="58" t="inlineStr">
        <is>
          <t>Hebdomadaire</t>
        </is>
      </c>
      <c r="Q820" s="59" t="inlineStr"/>
      <c r="R820" s="58" t="n">
        <v>1</v>
      </c>
      <c r="S820" s="58" t="inlineStr">
        <is>
          <t>Oui</t>
        </is>
      </c>
      <c r="T820" s="58" t="inlineStr">
        <is>
          <t>S7-056</t>
        </is>
      </c>
      <c r="U820" s="59" t="inlineStr">
        <is>
          <t>Généré (octobre)</t>
        </is>
      </c>
      <c r="V820" s="59" t="inlineStr"/>
      <c r="W820" s="10" t="n"/>
      <c r="X820" s="10" t="inlineStr"/>
      <c r="Y820" s="64">
        <f>IF($M820="","",IF(SUMPRODUCT(($D$4:$D$863=$D820)*($M$4:$M$863=$M820)*($T$4:$T$863&lt;&gt;$T820)*($F$4:$F$863&lt;$G820)*($G$4:$G$863&gt;$F820))&gt;0,"⚠ CONFLIT",""))</f>
        <v/>
      </c>
      <c r="Z820" s="64">
        <f>IF($J820="","",IF(SUMPRODUCT(($D$4:$D$863=$D820)*($J$4:$J$863=$J820)*($T$4:$T$863&lt;&gt;$T820)*($F$4:$F$863&lt;$G820)*($G$4:$G$863&gt;$F820)*(1-($X$4:$X$863="Oui")*($X820="Oui")))&gt;0,"⚠ CONFLIT",""))</f>
        <v/>
      </c>
      <c r="AA820" s="64">
        <f>IF(COUNTIFS($D$4:$D$863,$D820,$J$4:$J$863,$J820,$F$4:$F$863,$F820,$K$4:$K$863,$K820)&gt;1,"⚠ DOUBLON","")</f>
        <v/>
      </c>
      <c r="AB820" s="64">
        <f>IF(COUNTIF($T$4:$T$863,$T820)&lt;&gt;COUNTIFS($T$4:$T$863,$T820,$D$4:$D$863,$D820,$F$4:$F$863,$F820,$G$4:$G$863,$G820,$K$4:$K$863,$K820,$M$4:$M$863,$M820),"⚠ INCOHÉRENT","")</f>
        <v/>
      </c>
      <c r="AC820" s="64">
        <f>COUNTIFS($A$4:$A820,$A820,$J$4:$J820,$J820,$E$4:$E820,$E820)</f>
        <v/>
      </c>
      <c r="AD820" s="65">
        <f>$A820&amp;"|"&amp;$J820&amp;"|"&amp;$E820&amp;"|"&amp;$AC820</f>
        <v/>
      </c>
      <c r="AE820" s="66">
        <f>IF($W820&lt;&gt;"","⚑ "&amp;$W820&amp;CHAR(10),"")&amp;TEXT($F820,"hh:mm")&amp;"-"&amp;TEXT($G820,"hh:mm")&amp;IF(OR($P820="Quinzaine A",AND($P820="Hebdo · groupes alternés",$C820="A"))," Q-A",IF(OR($P820="Quinzaine B",AND($P820="Hebdo · groupes alternés",$C820="B"))," Q-B",IF($P820="Exception"," PONCT.","")))&amp;IF($X820="Oui"," OPT","")&amp;CHAR(10)&amp;$K820&amp;CHAR(10)&amp;$M820&amp;IF($N820&lt;&gt;"",CHAR(10)&amp;"Salle "&amp;$N820,"")&amp;IF($O820="En ligne",CHAR(10)&amp;"EN LIGNE","")&amp;IF($V820&lt;&gt;"",CHAR(10)&amp;$V820,"")</f>
        <v/>
      </c>
      <c r="AF820" s="65" t="inlineStr"/>
      <c r="AG820" s="65" t="inlineStr">
        <is>
          <t>— généré —</t>
        </is>
      </c>
    </row>
    <row r="821" ht="15" customHeight="1">
      <c r="A821" s="58" t="inlineStr">
        <is>
          <t>S7</t>
        </is>
      </c>
      <c r="B821" s="59" t="inlineStr">
        <is>
          <t>du 26 octobre au 1er novembre 2026</t>
        </is>
      </c>
      <c r="C821" s="58" t="inlineStr">
        <is>
          <t>A</t>
        </is>
      </c>
      <c r="D821" s="60" t="n">
        <v>46326</v>
      </c>
      <c r="E821" s="58" t="inlineStr">
        <is>
          <t>Samedi</t>
        </is>
      </c>
      <c r="F821" s="61" t="n">
        <v>0.7916666666666666</v>
      </c>
      <c r="G821" s="61" t="n">
        <v>0.875</v>
      </c>
      <c r="H821" s="62">
        <f>IF(OR($F821="",$G821=""),"",($G821-$F821)*24)</f>
        <v/>
      </c>
      <c r="I821" s="58" t="inlineStr">
        <is>
          <t>Primaire</t>
        </is>
      </c>
      <c r="J821" s="59" t="inlineStr">
        <is>
          <t>6éme Pilote (A)</t>
        </is>
      </c>
      <c r="K821" s="63" t="inlineStr">
        <is>
          <t>عربية</t>
        </is>
      </c>
      <c r="L821" s="63" t="inlineStr">
        <is>
          <t>Arabe</t>
        </is>
      </c>
      <c r="M821" s="59" t="inlineStr">
        <is>
          <t>Lobna</t>
        </is>
      </c>
      <c r="N821" s="58" t="n"/>
      <c r="O821" s="58" t="n"/>
      <c r="P821" s="58" t="inlineStr">
        <is>
          <t>Hebdomadaire</t>
        </is>
      </c>
      <c r="Q821" s="59" t="inlineStr"/>
      <c r="R821" s="58" t="n">
        <v>1</v>
      </c>
      <c r="S821" s="58" t="inlineStr">
        <is>
          <t>Oui</t>
        </is>
      </c>
      <c r="T821" s="58" t="inlineStr">
        <is>
          <t>S7-057</t>
        </is>
      </c>
      <c r="U821" s="59" t="inlineStr">
        <is>
          <t>Généré (octobre)</t>
        </is>
      </c>
      <c r="V821" s="59" t="inlineStr"/>
      <c r="W821" s="10" t="n"/>
      <c r="X821" s="10" t="inlineStr"/>
      <c r="Y821" s="64">
        <f>IF($M821="","",IF(SUMPRODUCT(($D$4:$D$863=$D821)*($M$4:$M$863=$M821)*($T$4:$T$863&lt;&gt;$T821)*($F$4:$F$863&lt;$G821)*($G$4:$G$863&gt;$F821))&gt;0,"⚠ CONFLIT",""))</f>
        <v/>
      </c>
      <c r="Z821" s="64">
        <f>IF($J821="","",IF(SUMPRODUCT(($D$4:$D$863=$D821)*($J$4:$J$863=$J821)*($T$4:$T$863&lt;&gt;$T821)*($F$4:$F$863&lt;$G821)*($G$4:$G$863&gt;$F821)*(1-($X$4:$X$863="Oui")*($X821="Oui")))&gt;0,"⚠ CONFLIT",""))</f>
        <v/>
      </c>
      <c r="AA821" s="64">
        <f>IF(COUNTIFS($D$4:$D$863,$D821,$J$4:$J$863,$J821,$F$4:$F$863,$F821,$K$4:$K$863,$K821)&gt;1,"⚠ DOUBLON","")</f>
        <v/>
      </c>
      <c r="AB821" s="64">
        <f>IF(COUNTIF($T$4:$T$863,$T821)&lt;&gt;COUNTIFS($T$4:$T$863,$T821,$D$4:$D$863,$D821,$F$4:$F$863,$F821,$G$4:$G$863,$G821,$K$4:$K$863,$K821,$M$4:$M$863,$M821),"⚠ INCOHÉRENT","")</f>
        <v/>
      </c>
      <c r="AC821" s="64">
        <f>COUNTIFS($A$4:$A821,$A821,$J$4:$J821,$J821,$E$4:$E821,$E821)</f>
        <v/>
      </c>
      <c r="AD821" s="65">
        <f>$A821&amp;"|"&amp;$J821&amp;"|"&amp;$E821&amp;"|"&amp;$AC821</f>
        <v/>
      </c>
      <c r="AE821" s="66">
        <f>IF($W821&lt;&gt;"","⚑ "&amp;$W821&amp;CHAR(10),"")&amp;TEXT($F821,"hh:mm")&amp;"-"&amp;TEXT($G821,"hh:mm")&amp;IF(OR($P821="Quinzaine A",AND($P821="Hebdo · groupes alternés",$C821="A"))," Q-A",IF(OR($P821="Quinzaine B",AND($P821="Hebdo · groupes alternés",$C821="B"))," Q-B",IF($P821="Exception"," PONCT.","")))&amp;IF($X821="Oui"," OPT","")&amp;CHAR(10)&amp;$K821&amp;CHAR(10)&amp;$M821&amp;IF($N821&lt;&gt;"",CHAR(10)&amp;"Salle "&amp;$N821,"")&amp;IF($O821="En ligne",CHAR(10)&amp;"EN LIGNE","")&amp;IF($V821&lt;&gt;"",CHAR(10)&amp;$V821,"")</f>
        <v/>
      </c>
      <c r="AF821" s="65" t="inlineStr"/>
      <c r="AG821" s="65" t="inlineStr">
        <is>
          <t>— généré —</t>
        </is>
      </c>
    </row>
    <row r="822" ht="15" customHeight="1">
      <c r="A822" s="58" t="inlineStr">
        <is>
          <t>S7</t>
        </is>
      </c>
      <c r="B822" s="59" t="inlineStr">
        <is>
          <t>du 26 octobre au 1er novembre 2026</t>
        </is>
      </c>
      <c r="C822" s="58" t="inlineStr">
        <is>
          <t>A</t>
        </is>
      </c>
      <c r="D822" s="60" t="n">
        <v>46326</v>
      </c>
      <c r="E822" s="58" t="inlineStr">
        <is>
          <t>Samedi</t>
        </is>
      </c>
      <c r="F822" s="61" t="n">
        <v>0.7083333333333334</v>
      </c>
      <c r="G822" s="61" t="n">
        <v>0.7916666666666666</v>
      </c>
      <c r="H822" s="62">
        <f>IF(OR($F822="",$G822=""),"",($G822-$F822)*24)</f>
        <v/>
      </c>
      <c r="I822" s="58" t="inlineStr">
        <is>
          <t>Primaire</t>
        </is>
      </c>
      <c r="J822" s="59" t="inlineStr">
        <is>
          <t>6éme (B)</t>
        </is>
      </c>
      <c r="K822" s="63" t="inlineStr">
        <is>
          <t>عربية</t>
        </is>
      </c>
      <c r="L822" s="63" t="inlineStr">
        <is>
          <t>Arabe</t>
        </is>
      </c>
      <c r="M822" s="59" t="inlineStr">
        <is>
          <t>Lobna</t>
        </is>
      </c>
      <c r="N822" s="58" t="n"/>
      <c r="O822" s="58" t="n"/>
      <c r="P822" s="58" t="inlineStr">
        <is>
          <t>Hebdomadaire</t>
        </is>
      </c>
      <c r="Q822" s="59" t="inlineStr"/>
      <c r="R822" s="58" t="n">
        <v>1</v>
      </c>
      <c r="S822" s="58" t="inlineStr">
        <is>
          <t>Oui</t>
        </is>
      </c>
      <c r="T822" s="58" t="inlineStr">
        <is>
          <t>S7-058</t>
        </is>
      </c>
      <c r="U822" s="59" t="inlineStr">
        <is>
          <t>Généré (octobre)</t>
        </is>
      </c>
      <c r="V822" s="59" t="inlineStr"/>
      <c r="W822" s="10" t="n"/>
      <c r="X822" s="10" t="inlineStr"/>
      <c r="Y822" s="64">
        <f>IF($M822="","",IF(SUMPRODUCT(($D$4:$D$863=$D822)*($M$4:$M$863=$M822)*($T$4:$T$863&lt;&gt;$T822)*($F$4:$F$863&lt;$G822)*($G$4:$G$863&gt;$F822))&gt;0,"⚠ CONFLIT",""))</f>
        <v/>
      </c>
      <c r="Z822" s="64">
        <f>IF($J822="","",IF(SUMPRODUCT(($D$4:$D$863=$D822)*($J$4:$J$863=$J822)*($T$4:$T$863&lt;&gt;$T822)*($F$4:$F$863&lt;$G822)*($G$4:$G$863&gt;$F822)*(1-($X$4:$X$863="Oui")*($X822="Oui")))&gt;0,"⚠ CONFLIT",""))</f>
        <v/>
      </c>
      <c r="AA822" s="64">
        <f>IF(COUNTIFS($D$4:$D$863,$D822,$J$4:$J$863,$J822,$F$4:$F$863,$F822,$K$4:$K$863,$K822)&gt;1,"⚠ DOUBLON","")</f>
        <v/>
      </c>
      <c r="AB822" s="64">
        <f>IF(COUNTIF($T$4:$T$863,$T822)&lt;&gt;COUNTIFS($T$4:$T$863,$T822,$D$4:$D$863,$D822,$F$4:$F$863,$F822,$G$4:$G$863,$G822,$K$4:$K$863,$K822,$M$4:$M$863,$M822),"⚠ INCOHÉRENT","")</f>
        <v/>
      </c>
      <c r="AC822" s="64">
        <f>COUNTIFS($A$4:$A822,$A822,$J$4:$J822,$J822,$E$4:$E822,$E822)</f>
        <v/>
      </c>
      <c r="AD822" s="65">
        <f>$A822&amp;"|"&amp;$J822&amp;"|"&amp;$E822&amp;"|"&amp;$AC822</f>
        <v/>
      </c>
      <c r="AE822" s="66">
        <f>IF($W822&lt;&gt;"","⚑ "&amp;$W822&amp;CHAR(10),"")&amp;TEXT($F822,"hh:mm")&amp;"-"&amp;TEXT($G822,"hh:mm")&amp;IF(OR($P822="Quinzaine A",AND($P822="Hebdo · groupes alternés",$C822="A"))," Q-A",IF(OR($P822="Quinzaine B",AND($P822="Hebdo · groupes alternés",$C822="B"))," Q-B",IF($P822="Exception"," PONCT.","")))&amp;IF($X822="Oui"," OPT","")&amp;CHAR(10)&amp;$K822&amp;CHAR(10)&amp;$M822&amp;IF($N822&lt;&gt;"",CHAR(10)&amp;"Salle "&amp;$N822,"")&amp;IF($O822="En ligne",CHAR(10)&amp;"EN LIGNE","")&amp;IF($V822&lt;&gt;"",CHAR(10)&amp;$V822,"")</f>
        <v/>
      </c>
      <c r="AF822" s="65" t="inlineStr"/>
      <c r="AG822" s="65" t="inlineStr">
        <is>
          <t>— généré —</t>
        </is>
      </c>
    </row>
    <row r="823" ht="15" customHeight="1">
      <c r="A823" s="68" t="inlineStr">
        <is>
          <t>S7</t>
        </is>
      </c>
      <c r="B823" s="69" t="inlineStr">
        <is>
          <t>du 26 octobre au 1er novembre 2026</t>
        </is>
      </c>
      <c r="C823" s="68" t="inlineStr">
        <is>
          <t>A</t>
        </is>
      </c>
      <c r="D823" s="70" t="n">
        <v>46326</v>
      </c>
      <c r="E823" s="68" t="inlineStr">
        <is>
          <t>Samedi</t>
        </is>
      </c>
      <c r="F823" s="71" t="n">
        <v>0.6666666666666666</v>
      </c>
      <c r="G823" s="71" t="n">
        <v>0.7291666666666666</v>
      </c>
      <c r="H823" s="72">
        <f>IF(OR($F823="",$G823=""),"",($G823-$F823)*24)</f>
        <v/>
      </c>
      <c r="I823" s="68" t="inlineStr">
        <is>
          <t>Collège</t>
        </is>
      </c>
      <c r="J823" s="69" t="inlineStr">
        <is>
          <t>7éme (A)</t>
        </is>
      </c>
      <c r="K823" s="88" t="inlineStr">
        <is>
          <t>SVT</t>
        </is>
      </c>
      <c r="L823" s="88" t="inlineStr">
        <is>
          <t>SVT</t>
        </is>
      </c>
      <c r="M823" s="69" t="inlineStr">
        <is>
          <t>Sabrine</t>
        </is>
      </c>
      <c r="N823" s="68" t="n"/>
      <c r="O823" s="68" t="n"/>
      <c r="P823" s="68" t="inlineStr">
        <is>
          <t>Hebdo · groupes alternés</t>
        </is>
      </c>
      <c r="Q823" s="69" t="inlineStr"/>
      <c r="R823" s="68" t="n">
        <v>1</v>
      </c>
      <c r="S823" s="68" t="inlineStr">
        <is>
          <t>Oui</t>
        </is>
      </c>
      <c r="T823" s="68" t="inlineStr">
        <is>
          <t>S7-059</t>
        </is>
      </c>
      <c r="U823" s="69" t="inlineStr">
        <is>
          <t>Généré (octobre)</t>
        </is>
      </c>
      <c r="V823" s="69" t="inlineStr"/>
      <c r="W823" s="10" t="n"/>
      <c r="X823" s="10" t="inlineStr"/>
      <c r="Y823" s="64">
        <f>IF($M823="","",IF(SUMPRODUCT(($D$4:$D$863=$D823)*($M$4:$M$863=$M823)*($T$4:$T$863&lt;&gt;$T823)*($F$4:$F$863&lt;$G823)*($G$4:$G$863&gt;$F823))&gt;0,"⚠ CONFLIT",""))</f>
        <v/>
      </c>
      <c r="Z823" s="64">
        <f>IF($J823="","",IF(SUMPRODUCT(($D$4:$D$863=$D823)*($J$4:$J$863=$J823)*($T$4:$T$863&lt;&gt;$T823)*($F$4:$F$863&lt;$G823)*($G$4:$G$863&gt;$F823)*(1-($X$4:$X$863="Oui")*($X823="Oui")))&gt;0,"⚠ CONFLIT",""))</f>
        <v/>
      </c>
      <c r="AA823" s="64">
        <f>IF(COUNTIFS($D$4:$D$863,$D823,$J$4:$J$863,$J823,$F$4:$F$863,$F823,$K$4:$K$863,$K823)&gt;1,"⚠ DOUBLON","")</f>
        <v/>
      </c>
      <c r="AB823" s="64">
        <f>IF(COUNTIF($T$4:$T$863,$T823)&lt;&gt;COUNTIFS($T$4:$T$863,$T823,$D$4:$D$863,$D823,$F$4:$F$863,$F823,$G$4:$G$863,$G823,$K$4:$K$863,$K823,$M$4:$M$863,$M823),"⚠ INCOHÉRENT","")</f>
        <v/>
      </c>
      <c r="AC823" s="64">
        <f>COUNTIFS($A$4:$A823,$A823,$J$4:$J823,$J823,$E$4:$E823,$E823)</f>
        <v/>
      </c>
      <c r="AD823" s="65">
        <f>$A823&amp;"|"&amp;$J823&amp;"|"&amp;$E823&amp;"|"&amp;$AC823</f>
        <v/>
      </c>
      <c r="AE823" s="66">
        <f>IF($W823&lt;&gt;"","⚑ "&amp;$W823&amp;CHAR(10),"")&amp;TEXT($F823,"hh:mm")&amp;"-"&amp;TEXT($G823,"hh:mm")&amp;IF(OR($P823="Quinzaine A",AND($P823="Hebdo · groupes alternés",$C823="A"))," Q-A",IF(OR($P823="Quinzaine B",AND($P823="Hebdo · groupes alternés",$C823="B"))," Q-B",IF($P823="Exception"," PONCT.","")))&amp;IF($X823="Oui"," OPT","")&amp;CHAR(10)&amp;$K823&amp;CHAR(10)&amp;$M823&amp;IF($N823&lt;&gt;"",CHAR(10)&amp;"Salle "&amp;$N823,"")&amp;IF($O823="En ligne",CHAR(10)&amp;"EN LIGNE","")&amp;IF($V823&lt;&gt;"",CHAR(10)&amp;$V823,"")</f>
        <v/>
      </c>
      <c r="AF823" s="65" t="inlineStr"/>
      <c r="AG823" s="65" t="inlineStr">
        <is>
          <t>— généré —</t>
        </is>
      </c>
    </row>
    <row r="824" ht="15" customHeight="1">
      <c r="A824" s="68" t="inlineStr">
        <is>
          <t>S7</t>
        </is>
      </c>
      <c r="B824" s="69" t="inlineStr">
        <is>
          <t>du 26 octobre au 1er novembre 2026</t>
        </is>
      </c>
      <c r="C824" s="68" t="inlineStr">
        <is>
          <t>A</t>
        </is>
      </c>
      <c r="D824" s="70" t="n">
        <v>46326</v>
      </c>
      <c r="E824" s="68" t="inlineStr">
        <is>
          <t>Samedi</t>
        </is>
      </c>
      <c r="F824" s="71" t="n">
        <v>0.75</v>
      </c>
      <c r="G824" s="71" t="n">
        <v>0.8125</v>
      </c>
      <c r="H824" s="72">
        <f>IF(OR($F824="",$G824=""),"",($G824-$F824)*24)</f>
        <v/>
      </c>
      <c r="I824" s="68" t="inlineStr">
        <is>
          <t>Collège</t>
        </is>
      </c>
      <c r="J824" s="69" t="inlineStr">
        <is>
          <t>7éme (A)</t>
        </is>
      </c>
      <c r="K824" s="63" t="inlineStr">
        <is>
          <t>Arabe</t>
        </is>
      </c>
      <c r="L824" s="63" t="inlineStr">
        <is>
          <t>Arabe</t>
        </is>
      </c>
      <c r="M824" s="69" t="inlineStr">
        <is>
          <t>Awatef</t>
        </is>
      </c>
      <c r="N824" s="68" t="n"/>
      <c r="O824" s="68" t="n"/>
      <c r="P824" s="68" t="inlineStr">
        <is>
          <t>Hebdomadaire</t>
        </is>
      </c>
      <c r="Q824" s="69" t="inlineStr"/>
      <c r="R824" s="68" t="n">
        <v>1</v>
      </c>
      <c r="S824" s="68" t="inlineStr">
        <is>
          <t>Oui</t>
        </is>
      </c>
      <c r="T824" s="68" t="inlineStr">
        <is>
          <t>S7-060</t>
        </is>
      </c>
      <c r="U824" s="69" t="inlineStr">
        <is>
          <t>Généré (octobre)</t>
        </is>
      </c>
      <c r="V824" s="69" t="inlineStr"/>
      <c r="W824" s="10" t="n"/>
      <c r="X824" s="10" t="inlineStr"/>
      <c r="Y824" s="64">
        <f>IF($M824="","",IF(SUMPRODUCT(($D$4:$D$863=$D824)*($M$4:$M$863=$M824)*($T$4:$T$863&lt;&gt;$T824)*($F$4:$F$863&lt;$G824)*($G$4:$G$863&gt;$F824))&gt;0,"⚠ CONFLIT",""))</f>
        <v/>
      </c>
      <c r="Z824" s="64">
        <f>IF($J824="","",IF(SUMPRODUCT(($D$4:$D$863=$D824)*($J$4:$J$863=$J824)*($T$4:$T$863&lt;&gt;$T824)*($F$4:$F$863&lt;$G824)*($G$4:$G$863&gt;$F824)*(1-($X$4:$X$863="Oui")*($X824="Oui")))&gt;0,"⚠ CONFLIT",""))</f>
        <v/>
      </c>
      <c r="AA824" s="64">
        <f>IF(COUNTIFS($D$4:$D$863,$D824,$J$4:$J$863,$J824,$F$4:$F$863,$F824,$K$4:$K$863,$K824)&gt;1,"⚠ DOUBLON","")</f>
        <v/>
      </c>
      <c r="AB824" s="64">
        <f>IF(COUNTIF($T$4:$T$863,$T824)&lt;&gt;COUNTIFS($T$4:$T$863,$T824,$D$4:$D$863,$D824,$F$4:$F$863,$F824,$G$4:$G$863,$G824,$K$4:$K$863,$K824,$M$4:$M$863,$M824),"⚠ INCOHÉRENT","")</f>
        <v/>
      </c>
      <c r="AC824" s="64">
        <f>COUNTIFS($A$4:$A824,$A824,$J$4:$J824,$J824,$E$4:$E824,$E824)</f>
        <v/>
      </c>
      <c r="AD824" s="65">
        <f>$A824&amp;"|"&amp;$J824&amp;"|"&amp;$E824&amp;"|"&amp;$AC824</f>
        <v/>
      </c>
      <c r="AE824" s="66">
        <f>IF($W824&lt;&gt;"","⚑ "&amp;$W824&amp;CHAR(10),"")&amp;TEXT($F824,"hh:mm")&amp;"-"&amp;TEXT($G824,"hh:mm")&amp;IF(OR($P824="Quinzaine A",AND($P824="Hebdo · groupes alternés",$C824="A"))," Q-A",IF(OR($P824="Quinzaine B",AND($P824="Hebdo · groupes alternés",$C824="B"))," Q-B",IF($P824="Exception"," PONCT.","")))&amp;IF($X824="Oui"," OPT","")&amp;CHAR(10)&amp;$K824&amp;CHAR(10)&amp;$M824&amp;IF($N824&lt;&gt;"",CHAR(10)&amp;"Salle "&amp;$N824,"")&amp;IF($O824="En ligne",CHAR(10)&amp;"EN LIGNE","")&amp;IF($V824&lt;&gt;"",CHAR(10)&amp;$V824,"")</f>
        <v/>
      </c>
      <c r="AF824" s="65" t="inlineStr"/>
      <c r="AG824" s="65" t="inlineStr">
        <is>
          <t>— généré —</t>
        </is>
      </c>
    </row>
    <row r="825" ht="15" customHeight="1">
      <c r="A825" s="68" t="inlineStr">
        <is>
          <t>S7</t>
        </is>
      </c>
      <c r="B825" s="69" t="inlineStr">
        <is>
          <t>du 26 octobre au 1er novembre 2026</t>
        </is>
      </c>
      <c r="C825" s="68" t="inlineStr">
        <is>
          <t>A</t>
        </is>
      </c>
      <c r="D825" s="70" t="n">
        <v>46326</v>
      </c>
      <c r="E825" s="68" t="inlineStr">
        <is>
          <t>Samedi</t>
        </is>
      </c>
      <c r="F825" s="71" t="n">
        <v>0.7291666666666666</v>
      </c>
      <c r="G825" s="71" t="n">
        <v>0.7916666666666666</v>
      </c>
      <c r="H825" s="72">
        <f>IF(OR($F825="",$G825=""),"",($G825-$F825)*24)</f>
        <v/>
      </c>
      <c r="I825" s="68" t="inlineStr">
        <is>
          <t>Collège</t>
        </is>
      </c>
      <c r="J825" s="69" t="inlineStr">
        <is>
          <t>8éme (A)</t>
        </is>
      </c>
      <c r="K825" s="88" t="inlineStr">
        <is>
          <t>SVT</t>
        </is>
      </c>
      <c r="L825" s="88" t="inlineStr">
        <is>
          <t>SVT</t>
        </is>
      </c>
      <c r="M825" s="69" t="inlineStr">
        <is>
          <t>Sabrine</t>
        </is>
      </c>
      <c r="N825" s="68" t="n"/>
      <c r="O825" s="68" t="n"/>
      <c r="P825" s="68" t="inlineStr">
        <is>
          <t>Hebdo · groupes alternés</t>
        </is>
      </c>
      <c r="Q825" s="69" t="inlineStr"/>
      <c r="R825" s="68" t="n">
        <v>1</v>
      </c>
      <c r="S825" s="68" t="inlineStr">
        <is>
          <t>Oui</t>
        </is>
      </c>
      <c r="T825" s="68" t="inlineStr">
        <is>
          <t>S7-061</t>
        </is>
      </c>
      <c r="U825" s="69" t="inlineStr">
        <is>
          <t>Généré (octobre)</t>
        </is>
      </c>
      <c r="V825" s="69" t="inlineStr"/>
      <c r="W825" s="10" t="n"/>
      <c r="X825" s="10" t="inlineStr"/>
      <c r="Y825" s="64">
        <f>IF($M825="","",IF(SUMPRODUCT(($D$4:$D$863=$D825)*($M$4:$M$863=$M825)*($T$4:$T$863&lt;&gt;$T825)*($F$4:$F$863&lt;$G825)*($G$4:$G$863&gt;$F825))&gt;0,"⚠ CONFLIT",""))</f>
        <v/>
      </c>
      <c r="Z825" s="64">
        <f>IF($J825="","",IF(SUMPRODUCT(($D$4:$D$863=$D825)*($J$4:$J$863=$J825)*($T$4:$T$863&lt;&gt;$T825)*($F$4:$F$863&lt;$G825)*($G$4:$G$863&gt;$F825)*(1-($X$4:$X$863="Oui")*($X825="Oui")))&gt;0,"⚠ CONFLIT",""))</f>
        <v/>
      </c>
      <c r="AA825" s="64">
        <f>IF(COUNTIFS($D$4:$D$863,$D825,$J$4:$J$863,$J825,$F$4:$F$863,$F825,$K$4:$K$863,$K825)&gt;1,"⚠ DOUBLON","")</f>
        <v/>
      </c>
      <c r="AB825" s="64">
        <f>IF(COUNTIF($T$4:$T$863,$T825)&lt;&gt;COUNTIFS($T$4:$T$863,$T825,$D$4:$D$863,$D825,$F$4:$F$863,$F825,$G$4:$G$863,$G825,$K$4:$K$863,$K825,$M$4:$M$863,$M825),"⚠ INCOHÉRENT","")</f>
        <v/>
      </c>
      <c r="AC825" s="64">
        <f>COUNTIFS($A$4:$A825,$A825,$J$4:$J825,$J825,$E$4:$E825,$E825)</f>
        <v/>
      </c>
      <c r="AD825" s="65">
        <f>$A825&amp;"|"&amp;$J825&amp;"|"&amp;$E825&amp;"|"&amp;$AC825</f>
        <v/>
      </c>
      <c r="AE825" s="66">
        <f>IF($W825&lt;&gt;"","⚑ "&amp;$W825&amp;CHAR(10),"")&amp;TEXT($F825,"hh:mm")&amp;"-"&amp;TEXT($G825,"hh:mm")&amp;IF(OR($P825="Quinzaine A",AND($P825="Hebdo · groupes alternés",$C825="A"))," Q-A",IF(OR($P825="Quinzaine B",AND($P825="Hebdo · groupes alternés",$C825="B"))," Q-B",IF($P825="Exception"," PONCT.","")))&amp;IF($X825="Oui"," OPT","")&amp;CHAR(10)&amp;$K825&amp;CHAR(10)&amp;$M825&amp;IF($N825&lt;&gt;"",CHAR(10)&amp;"Salle "&amp;$N825,"")&amp;IF($O825="En ligne",CHAR(10)&amp;"EN LIGNE","")&amp;IF($V825&lt;&gt;"",CHAR(10)&amp;$V825,"")</f>
        <v/>
      </c>
      <c r="AF825" s="65" t="inlineStr"/>
      <c r="AG825" s="65" t="inlineStr">
        <is>
          <t>— généré —</t>
        </is>
      </c>
    </row>
    <row r="826" ht="15" customHeight="1">
      <c r="A826" s="68" t="inlineStr">
        <is>
          <t>S7</t>
        </is>
      </c>
      <c r="B826" s="69" t="inlineStr">
        <is>
          <t>du 26 octobre au 1er novembre 2026</t>
        </is>
      </c>
      <c r="C826" s="68" t="inlineStr">
        <is>
          <t>A</t>
        </is>
      </c>
      <c r="D826" s="70" t="n">
        <v>46326</v>
      </c>
      <c r="E826" s="68" t="inlineStr">
        <is>
          <t>Samedi</t>
        </is>
      </c>
      <c r="F826" s="71" t="n">
        <v>0.7291666666666666</v>
      </c>
      <c r="G826" s="71" t="n">
        <v>0.7916666666666666</v>
      </c>
      <c r="H826" s="72">
        <f>IF(OR($F826="",$G826=""),"",($G826-$F826)*24)</f>
        <v/>
      </c>
      <c r="I826" s="68" t="inlineStr">
        <is>
          <t>Collège</t>
        </is>
      </c>
      <c r="J826" s="69" t="inlineStr">
        <is>
          <t>8éme (B)</t>
        </is>
      </c>
      <c r="K826" s="87" t="inlineStr">
        <is>
          <t>Anglais</t>
        </is>
      </c>
      <c r="L826" s="87" t="inlineStr">
        <is>
          <t>Anglais</t>
        </is>
      </c>
      <c r="M826" s="69" t="inlineStr">
        <is>
          <t>Imen Ben Lazrak</t>
        </is>
      </c>
      <c r="N826" s="68" t="n"/>
      <c r="O826" s="68" t="n"/>
      <c r="P826" s="68" t="inlineStr">
        <is>
          <t>Hebdo · groupes alternés</t>
        </is>
      </c>
      <c r="Q826" s="69" t="inlineStr">
        <is>
          <t>8éme (B) + 8éme (C)</t>
        </is>
      </c>
      <c r="R826" s="68" t="n">
        <v>2</v>
      </c>
      <c r="S826" s="68" t="inlineStr">
        <is>
          <t>Oui</t>
        </is>
      </c>
      <c r="T826" s="68" t="inlineStr">
        <is>
          <t>S7-062</t>
        </is>
      </c>
      <c r="U826" s="69" t="inlineStr">
        <is>
          <t>Généré (octobre)</t>
        </is>
      </c>
      <c r="V826" s="69" t="inlineStr"/>
      <c r="W826" s="10" t="n"/>
      <c r="X826" s="10" t="inlineStr"/>
      <c r="Y826" s="64">
        <f>IF($M826="","",IF(SUMPRODUCT(($D$4:$D$863=$D826)*($M$4:$M$863=$M826)*($T$4:$T$863&lt;&gt;$T826)*($F$4:$F$863&lt;$G826)*($G$4:$G$863&gt;$F826))&gt;0,"⚠ CONFLIT",""))</f>
        <v/>
      </c>
      <c r="Z826" s="64">
        <f>IF($J826="","",IF(SUMPRODUCT(($D$4:$D$863=$D826)*($J$4:$J$863=$J826)*($T$4:$T$863&lt;&gt;$T826)*($F$4:$F$863&lt;$G826)*($G$4:$G$863&gt;$F826)*(1-($X$4:$X$863="Oui")*($X826="Oui")))&gt;0,"⚠ CONFLIT",""))</f>
        <v/>
      </c>
      <c r="AA826" s="64">
        <f>IF(COUNTIFS($D$4:$D$863,$D826,$J$4:$J$863,$J826,$F$4:$F$863,$F826,$K$4:$K$863,$K826)&gt;1,"⚠ DOUBLON","")</f>
        <v/>
      </c>
      <c r="AB826" s="64">
        <f>IF(COUNTIF($T$4:$T$863,$T826)&lt;&gt;COUNTIFS($T$4:$T$863,$T826,$D$4:$D$863,$D826,$F$4:$F$863,$F826,$G$4:$G$863,$G826,$K$4:$K$863,$K826,$M$4:$M$863,$M826),"⚠ INCOHÉRENT","")</f>
        <v/>
      </c>
      <c r="AC826" s="64">
        <f>COUNTIFS($A$4:$A826,$A826,$J$4:$J826,$J826,$E$4:$E826,$E826)</f>
        <v/>
      </c>
      <c r="AD826" s="65">
        <f>$A826&amp;"|"&amp;$J826&amp;"|"&amp;$E826&amp;"|"&amp;$AC826</f>
        <v/>
      </c>
      <c r="AE826" s="66">
        <f>IF($W826&lt;&gt;"","⚑ "&amp;$W826&amp;CHAR(10),"")&amp;TEXT($F826,"hh:mm")&amp;"-"&amp;TEXT($G826,"hh:mm")&amp;IF(OR($P826="Quinzaine A",AND($P826="Hebdo · groupes alternés",$C826="A"))," Q-A",IF(OR($P826="Quinzaine B",AND($P826="Hebdo · groupes alternés",$C826="B"))," Q-B",IF($P826="Exception"," PONCT.","")))&amp;IF($X826="Oui"," OPT","")&amp;CHAR(10)&amp;$K826&amp;CHAR(10)&amp;$M826&amp;IF($N826&lt;&gt;"",CHAR(10)&amp;"Salle "&amp;$N826,"")&amp;IF($O826="En ligne",CHAR(10)&amp;"EN LIGNE","")&amp;IF($V826&lt;&gt;"",CHAR(10)&amp;$V826,"")</f>
        <v/>
      </c>
      <c r="AF826" s="65" t="inlineStr"/>
      <c r="AG826" s="65" t="inlineStr">
        <is>
          <t>— généré —</t>
        </is>
      </c>
    </row>
    <row r="827" ht="15" customHeight="1">
      <c r="A827" s="68" t="inlineStr">
        <is>
          <t>S7</t>
        </is>
      </c>
      <c r="B827" s="69" t="inlineStr">
        <is>
          <t>du 26 octobre au 1er novembre 2026</t>
        </is>
      </c>
      <c r="C827" s="68" t="inlineStr">
        <is>
          <t>A</t>
        </is>
      </c>
      <c r="D827" s="70" t="n">
        <v>46326</v>
      </c>
      <c r="E827" s="68" t="inlineStr">
        <is>
          <t>Samedi</t>
        </is>
      </c>
      <c r="F827" s="71" t="n">
        <v>0.7291666666666666</v>
      </c>
      <c r="G827" s="71" t="n">
        <v>0.7916666666666666</v>
      </c>
      <c r="H827" s="72">
        <f>IF(OR($F827="",$G827=""),"",($G827-$F827)*24)</f>
        <v/>
      </c>
      <c r="I827" s="68" t="inlineStr">
        <is>
          <t>Collège</t>
        </is>
      </c>
      <c r="J827" s="69" t="inlineStr">
        <is>
          <t>8éme (C)</t>
        </is>
      </c>
      <c r="K827" s="87" t="inlineStr">
        <is>
          <t>Anglais</t>
        </is>
      </c>
      <c r="L827" s="87" t="inlineStr">
        <is>
          <t>Anglais</t>
        </is>
      </c>
      <c r="M827" s="69" t="inlineStr">
        <is>
          <t>Imen Ben Lazrak</t>
        </is>
      </c>
      <c r="N827" s="68" t="n"/>
      <c r="O827" s="68" t="n"/>
      <c r="P827" s="68" t="inlineStr">
        <is>
          <t>Hebdo · groupes alternés</t>
        </is>
      </c>
      <c r="Q827" s="69" t="inlineStr">
        <is>
          <t>8éme (B) + 8éme (C)</t>
        </is>
      </c>
      <c r="R827" s="68" t="n">
        <v>2</v>
      </c>
      <c r="S827" s="68" t="inlineStr"/>
      <c r="T827" s="68" t="inlineStr">
        <is>
          <t>S7-062</t>
        </is>
      </c>
      <c r="U827" s="69" t="inlineStr">
        <is>
          <t>Généré (octobre)</t>
        </is>
      </c>
      <c r="V827" s="69" t="inlineStr"/>
      <c r="W827" s="10" t="n"/>
      <c r="X827" s="10" t="inlineStr"/>
      <c r="Y827" s="64">
        <f>IF($M827="","",IF(SUMPRODUCT(($D$4:$D$863=$D827)*($M$4:$M$863=$M827)*($T$4:$T$863&lt;&gt;$T827)*($F$4:$F$863&lt;$G827)*($G$4:$G$863&gt;$F827))&gt;0,"⚠ CONFLIT",""))</f>
        <v/>
      </c>
      <c r="Z827" s="64">
        <f>IF($J827="","",IF(SUMPRODUCT(($D$4:$D$863=$D827)*($J$4:$J$863=$J827)*($T$4:$T$863&lt;&gt;$T827)*($F$4:$F$863&lt;$G827)*($G$4:$G$863&gt;$F827)*(1-($X$4:$X$863="Oui")*($X827="Oui")))&gt;0,"⚠ CONFLIT",""))</f>
        <v/>
      </c>
      <c r="AA827" s="64">
        <f>IF(COUNTIFS($D$4:$D$863,$D827,$J$4:$J$863,$J827,$F$4:$F$863,$F827,$K$4:$K$863,$K827)&gt;1,"⚠ DOUBLON","")</f>
        <v/>
      </c>
      <c r="AB827" s="64">
        <f>IF(COUNTIF($T$4:$T$863,$T827)&lt;&gt;COUNTIFS($T$4:$T$863,$T827,$D$4:$D$863,$D827,$F$4:$F$863,$F827,$G$4:$G$863,$G827,$K$4:$K$863,$K827,$M$4:$M$863,$M827),"⚠ INCOHÉRENT","")</f>
        <v/>
      </c>
      <c r="AC827" s="64">
        <f>COUNTIFS($A$4:$A827,$A827,$J$4:$J827,$J827,$E$4:$E827,$E827)</f>
        <v/>
      </c>
      <c r="AD827" s="65">
        <f>$A827&amp;"|"&amp;$J827&amp;"|"&amp;$E827&amp;"|"&amp;$AC827</f>
        <v/>
      </c>
      <c r="AE827" s="66">
        <f>IF($W827&lt;&gt;"","⚑ "&amp;$W827&amp;CHAR(10),"")&amp;TEXT($F827,"hh:mm")&amp;"-"&amp;TEXT($G827,"hh:mm")&amp;IF(OR($P827="Quinzaine A",AND($P827="Hebdo · groupes alternés",$C827="A"))," Q-A",IF(OR($P827="Quinzaine B",AND($P827="Hebdo · groupes alternés",$C827="B"))," Q-B",IF($P827="Exception"," PONCT.","")))&amp;IF($X827="Oui"," OPT","")&amp;CHAR(10)&amp;$K827&amp;CHAR(10)&amp;$M827&amp;IF($N827&lt;&gt;"",CHAR(10)&amp;"Salle "&amp;$N827,"")&amp;IF($O827="En ligne",CHAR(10)&amp;"EN LIGNE","")&amp;IF($V827&lt;&gt;"",CHAR(10)&amp;$V827,"")</f>
        <v/>
      </c>
      <c r="AF827" s="65" t="inlineStr"/>
      <c r="AG827" s="65" t="inlineStr">
        <is>
          <t>— généré —</t>
        </is>
      </c>
    </row>
    <row r="828" ht="15" customHeight="1">
      <c r="A828" s="68" t="inlineStr">
        <is>
          <t>S7</t>
        </is>
      </c>
      <c r="B828" s="69" t="inlineStr">
        <is>
          <t>du 26 octobre au 1er novembre 2026</t>
        </is>
      </c>
      <c r="C828" s="68" t="inlineStr">
        <is>
          <t>A</t>
        </is>
      </c>
      <c r="D828" s="70" t="n">
        <v>46326</v>
      </c>
      <c r="E828" s="68" t="inlineStr">
        <is>
          <t>Samedi</t>
        </is>
      </c>
      <c r="F828" s="71" t="n">
        <v>0.6875</v>
      </c>
      <c r="G828" s="71" t="n">
        <v>0.75</v>
      </c>
      <c r="H828" s="72">
        <f>IF(OR($F828="",$G828=""),"",($G828-$F828)*24)</f>
        <v/>
      </c>
      <c r="I828" s="68" t="inlineStr">
        <is>
          <t>Collège</t>
        </is>
      </c>
      <c r="J828" s="69" t="inlineStr">
        <is>
          <t>9éme (A)</t>
        </is>
      </c>
      <c r="K828" s="63" t="inlineStr">
        <is>
          <t>Arabe</t>
        </is>
      </c>
      <c r="L828" s="63" t="inlineStr">
        <is>
          <t>Arabe</t>
        </is>
      </c>
      <c r="M828" s="69" t="inlineStr">
        <is>
          <t>Awatef</t>
        </is>
      </c>
      <c r="N828" s="68" t="n"/>
      <c r="O828" s="68" t="n"/>
      <c r="P828" s="68" t="inlineStr">
        <is>
          <t>Hebdomadaire</t>
        </is>
      </c>
      <c r="Q828" s="69" t="inlineStr"/>
      <c r="R828" s="68" t="n">
        <v>1</v>
      </c>
      <c r="S828" s="68" t="inlineStr">
        <is>
          <t>Oui</t>
        </is>
      </c>
      <c r="T828" s="68" t="inlineStr">
        <is>
          <t>S7-063</t>
        </is>
      </c>
      <c r="U828" s="69" t="inlineStr">
        <is>
          <t>Généré (octobre)</t>
        </is>
      </c>
      <c r="V828" s="69" t="inlineStr"/>
      <c r="W828" s="10" t="n"/>
      <c r="X828" s="10" t="inlineStr"/>
      <c r="Y828" s="64">
        <f>IF($M828="","",IF(SUMPRODUCT(($D$4:$D$863=$D828)*($M$4:$M$863=$M828)*($T$4:$T$863&lt;&gt;$T828)*($F$4:$F$863&lt;$G828)*($G$4:$G$863&gt;$F828))&gt;0,"⚠ CONFLIT",""))</f>
        <v/>
      </c>
      <c r="Z828" s="64">
        <f>IF($J828="","",IF(SUMPRODUCT(($D$4:$D$863=$D828)*($J$4:$J$863=$J828)*($T$4:$T$863&lt;&gt;$T828)*($F$4:$F$863&lt;$G828)*($G$4:$G$863&gt;$F828)*(1-($X$4:$X$863="Oui")*($X828="Oui")))&gt;0,"⚠ CONFLIT",""))</f>
        <v/>
      </c>
      <c r="AA828" s="64">
        <f>IF(COUNTIFS($D$4:$D$863,$D828,$J$4:$J$863,$J828,$F$4:$F$863,$F828,$K$4:$K$863,$K828)&gt;1,"⚠ DOUBLON","")</f>
        <v/>
      </c>
      <c r="AB828" s="64">
        <f>IF(COUNTIF($T$4:$T$863,$T828)&lt;&gt;COUNTIFS($T$4:$T$863,$T828,$D$4:$D$863,$D828,$F$4:$F$863,$F828,$G$4:$G$863,$G828,$K$4:$K$863,$K828,$M$4:$M$863,$M828),"⚠ INCOHÉRENT","")</f>
        <v/>
      </c>
      <c r="AC828" s="64">
        <f>COUNTIFS($A$4:$A828,$A828,$J$4:$J828,$J828,$E$4:$E828,$E828)</f>
        <v/>
      </c>
      <c r="AD828" s="65">
        <f>$A828&amp;"|"&amp;$J828&amp;"|"&amp;$E828&amp;"|"&amp;$AC828</f>
        <v/>
      </c>
      <c r="AE828" s="66">
        <f>IF($W828&lt;&gt;"","⚑ "&amp;$W828&amp;CHAR(10),"")&amp;TEXT($F828,"hh:mm")&amp;"-"&amp;TEXT($G828,"hh:mm")&amp;IF(OR($P828="Quinzaine A",AND($P828="Hebdo · groupes alternés",$C828="A"))," Q-A",IF(OR($P828="Quinzaine B",AND($P828="Hebdo · groupes alternés",$C828="B"))," Q-B",IF($P828="Exception"," PONCT.","")))&amp;IF($X828="Oui"," OPT","")&amp;CHAR(10)&amp;$K828&amp;CHAR(10)&amp;$M828&amp;IF($N828&lt;&gt;"",CHAR(10)&amp;"Salle "&amp;$N828,"")&amp;IF($O828="En ligne",CHAR(10)&amp;"EN LIGNE","")&amp;IF($V828&lt;&gt;"",CHAR(10)&amp;$V828,"")</f>
        <v/>
      </c>
      <c r="AF828" s="65" t="inlineStr"/>
      <c r="AG828" s="65" t="inlineStr">
        <is>
          <t>— généré —</t>
        </is>
      </c>
    </row>
    <row r="829" ht="15" customHeight="1">
      <c r="A829" s="68" t="inlineStr">
        <is>
          <t>S7</t>
        </is>
      </c>
      <c r="B829" s="69" t="inlineStr">
        <is>
          <t>du 26 octobre au 1er novembre 2026</t>
        </is>
      </c>
      <c r="C829" s="68" t="inlineStr">
        <is>
          <t>A</t>
        </is>
      </c>
      <c r="D829" s="70" t="n">
        <v>46326</v>
      </c>
      <c r="E829" s="68" t="inlineStr">
        <is>
          <t>Samedi</t>
        </is>
      </c>
      <c r="F829" s="71" t="n">
        <v>0.7291666666666666</v>
      </c>
      <c r="G829" s="71" t="n">
        <v>0.7916666666666666</v>
      </c>
      <c r="H829" s="72">
        <f>IF(OR($F829="",$G829=""),"",($G829-$F829)*24)</f>
        <v/>
      </c>
      <c r="I829" s="68" t="inlineStr">
        <is>
          <t>Collège</t>
        </is>
      </c>
      <c r="J829" s="69" t="inlineStr">
        <is>
          <t>9éme (B)</t>
        </is>
      </c>
      <c r="K829" s="79" t="inlineStr">
        <is>
          <t>Math</t>
        </is>
      </c>
      <c r="L829" s="79" t="inlineStr">
        <is>
          <t>Math</t>
        </is>
      </c>
      <c r="M829" s="69" t="inlineStr">
        <is>
          <t>Hajer</t>
        </is>
      </c>
      <c r="N829" s="68" t="n"/>
      <c r="O829" s="68" t="n"/>
      <c r="P829" s="68" t="inlineStr">
        <is>
          <t>Hebdomadaire</t>
        </is>
      </c>
      <c r="Q829" s="69" t="inlineStr"/>
      <c r="R829" s="68" t="n">
        <v>1</v>
      </c>
      <c r="S829" s="68" t="inlineStr">
        <is>
          <t>Oui</t>
        </is>
      </c>
      <c r="T829" s="68" t="inlineStr">
        <is>
          <t>S7-064</t>
        </is>
      </c>
      <c r="U829" s="69" t="inlineStr">
        <is>
          <t>Généré (octobre)</t>
        </is>
      </c>
      <c r="V829" s="69" t="inlineStr"/>
      <c r="W829" s="10" t="n"/>
      <c r="X829" s="10" t="inlineStr"/>
      <c r="Y829" s="64">
        <f>IF($M829="","",IF(SUMPRODUCT(($D$4:$D$863=$D829)*($M$4:$M$863=$M829)*($T$4:$T$863&lt;&gt;$T829)*($F$4:$F$863&lt;$G829)*($G$4:$G$863&gt;$F829))&gt;0,"⚠ CONFLIT",""))</f>
        <v/>
      </c>
      <c r="Z829" s="64">
        <f>IF($J829="","",IF(SUMPRODUCT(($D$4:$D$863=$D829)*($J$4:$J$863=$J829)*($T$4:$T$863&lt;&gt;$T829)*($F$4:$F$863&lt;$G829)*($G$4:$G$863&gt;$F829)*(1-($X$4:$X$863="Oui")*($X829="Oui")))&gt;0,"⚠ CONFLIT",""))</f>
        <v/>
      </c>
      <c r="AA829" s="64">
        <f>IF(COUNTIFS($D$4:$D$863,$D829,$J$4:$J$863,$J829,$F$4:$F$863,$F829,$K$4:$K$863,$K829)&gt;1,"⚠ DOUBLON","")</f>
        <v/>
      </c>
      <c r="AB829" s="64">
        <f>IF(COUNTIF($T$4:$T$863,$T829)&lt;&gt;COUNTIFS($T$4:$T$863,$T829,$D$4:$D$863,$D829,$F$4:$F$863,$F829,$G$4:$G$863,$G829,$K$4:$K$863,$K829,$M$4:$M$863,$M829),"⚠ INCOHÉRENT","")</f>
        <v/>
      </c>
      <c r="AC829" s="64">
        <f>COUNTIFS($A$4:$A829,$A829,$J$4:$J829,$J829,$E$4:$E829,$E829)</f>
        <v/>
      </c>
      <c r="AD829" s="65">
        <f>$A829&amp;"|"&amp;$J829&amp;"|"&amp;$E829&amp;"|"&amp;$AC829</f>
        <v/>
      </c>
      <c r="AE829" s="66">
        <f>IF($W829&lt;&gt;"","⚑ "&amp;$W829&amp;CHAR(10),"")&amp;TEXT($F829,"hh:mm")&amp;"-"&amp;TEXT($G829,"hh:mm")&amp;IF(OR($P829="Quinzaine A",AND($P829="Hebdo · groupes alternés",$C829="A"))," Q-A",IF(OR($P829="Quinzaine B",AND($P829="Hebdo · groupes alternés",$C829="B"))," Q-B",IF($P829="Exception"," PONCT.","")))&amp;IF($X829="Oui"," OPT","")&amp;CHAR(10)&amp;$K829&amp;CHAR(10)&amp;$M829&amp;IF($N829&lt;&gt;"",CHAR(10)&amp;"Salle "&amp;$N829,"")&amp;IF($O829="En ligne",CHAR(10)&amp;"EN LIGNE","")&amp;IF($V829&lt;&gt;"",CHAR(10)&amp;$V829,"")</f>
        <v/>
      </c>
      <c r="AF829" s="65" t="inlineStr"/>
      <c r="AG829" s="65" t="inlineStr">
        <is>
          <t>— généré —</t>
        </is>
      </c>
    </row>
    <row r="830" ht="15" customHeight="1">
      <c r="A830" s="68" t="inlineStr">
        <is>
          <t>S7</t>
        </is>
      </c>
      <c r="B830" s="69" t="inlineStr">
        <is>
          <t>du 26 octobre au 1er novembre 2026</t>
        </is>
      </c>
      <c r="C830" s="68" t="inlineStr">
        <is>
          <t>A</t>
        </is>
      </c>
      <c r="D830" s="70" t="n">
        <v>46326</v>
      </c>
      <c r="E830" s="68" t="inlineStr">
        <is>
          <t>Samedi</t>
        </is>
      </c>
      <c r="F830" s="71" t="n">
        <v>0.7916666666666666</v>
      </c>
      <c r="G830" s="71" t="n">
        <v>0.8541666666666666</v>
      </c>
      <c r="H830" s="72">
        <f>IF(OR($F830="",$G830=""),"",($G830-$F830)*24)</f>
        <v/>
      </c>
      <c r="I830" s="68" t="inlineStr">
        <is>
          <t>Collège</t>
        </is>
      </c>
      <c r="J830" s="69" t="inlineStr">
        <is>
          <t>9éme (C)</t>
        </is>
      </c>
      <c r="K830" s="79" t="inlineStr">
        <is>
          <t>Math</t>
        </is>
      </c>
      <c r="L830" s="79" t="inlineStr">
        <is>
          <t>Math</t>
        </is>
      </c>
      <c r="M830" s="69" t="inlineStr">
        <is>
          <t>Hajer</t>
        </is>
      </c>
      <c r="N830" s="68" t="n"/>
      <c r="O830" s="68" t="n"/>
      <c r="P830" s="68" t="inlineStr">
        <is>
          <t>Hebdomadaire</t>
        </is>
      </c>
      <c r="Q830" s="69" t="inlineStr"/>
      <c r="R830" s="68" t="n">
        <v>1</v>
      </c>
      <c r="S830" s="68" t="inlineStr">
        <is>
          <t>Oui</t>
        </is>
      </c>
      <c r="T830" s="68" t="inlineStr">
        <is>
          <t>S7-065</t>
        </is>
      </c>
      <c r="U830" s="69" t="inlineStr">
        <is>
          <t>Généré (octobre)</t>
        </is>
      </c>
      <c r="V830" s="69" t="inlineStr"/>
      <c r="W830" s="10" t="n"/>
      <c r="X830" s="10" t="inlineStr"/>
      <c r="Y830" s="64">
        <f>IF($M830="","",IF(SUMPRODUCT(($D$4:$D$863=$D830)*($M$4:$M$863=$M830)*($T$4:$T$863&lt;&gt;$T830)*($F$4:$F$863&lt;$G830)*($G$4:$G$863&gt;$F830))&gt;0,"⚠ CONFLIT",""))</f>
        <v/>
      </c>
      <c r="Z830" s="64">
        <f>IF($J830="","",IF(SUMPRODUCT(($D$4:$D$863=$D830)*($J$4:$J$863=$J830)*($T$4:$T$863&lt;&gt;$T830)*($F$4:$F$863&lt;$G830)*($G$4:$G$863&gt;$F830)*(1-($X$4:$X$863="Oui")*($X830="Oui")))&gt;0,"⚠ CONFLIT",""))</f>
        <v/>
      </c>
      <c r="AA830" s="64">
        <f>IF(COUNTIFS($D$4:$D$863,$D830,$J$4:$J$863,$J830,$F$4:$F$863,$F830,$K$4:$K$863,$K830)&gt;1,"⚠ DOUBLON","")</f>
        <v/>
      </c>
      <c r="AB830" s="64">
        <f>IF(COUNTIF($T$4:$T$863,$T830)&lt;&gt;COUNTIFS($T$4:$T$863,$T830,$D$4:$D$863,$D830,$F$4:$F$863,$F830,$G$4:$G$863,$G830,$K$4:$K$863,$K830,$M$4:$M$863,$M830),"⚠ INCOHÉRENT","")</f>
        <v/>
      </c>
      <c r="AC830" s="64">
        <f>COUNTIFS($A$4:$A830,$A830,$J$4:$J830,$J830,$E$4:$E830,$E830)</f>
        <v/>
      </c>
      <c r="AD830" s="65">
        <f>$A830&amp;"|"&amp;$J830&amp;"|"&amp;$E830&amp;"|"&amp;$AC830</f>
        <v/>
      </c>
      <c r="AE830" s="66">
        <f>IF($W830&lt;&gt;"","⚑ "&amp;$W830&amp;CHAR(10),"")&amp;TEXT($F830,"hh:mm")&amp;"-"&amp;TEXT($G830,"hh:mm")&amp;IF(OR($P830="Quinzaine A",AND($P830="Hebdo · groupes alternés",$C830="A"))," Q-A",IF(OR($P830="Quinzaine B",AND($P830="Hebdo · groupes alternés",$C830="B"))," Q-B",IF($P830="Exception"," PONCT.","")))&amp;IF($X830="Oui"," OPT","")&amp;CHAR(10)&amp;$K830&amp;CHAR(10)&amp;$M830&amp;IF($N830&lt;&gt;"",CHAR(10)&amp;"Salle "&amp;$N830,"")&amp;IF($O830="En ligne",CHAR(10)&amp;"EN LIGNE","")&amp;IF($V830&lt;&gt;"",CHAR(10)&amp;$V830,"")</f>
        <v/>
      </c>
      <c r="AF830" s="65" t="inlineStr"/>
      <c r="AG830" s="65" t="inlineStr">
        <is>
          <t>— généré —</t>
        </is>
      </c>
    </row>
    <row r="831" ht="15" customHeight="1">
      <c r="A831" s="74" t="inlineStr">
        <is>
          <t>S7</t>
        </is>
      </c>
      <c r="B831" s="75" t="inlineStr">
        <is>
          <t>du 26 octobre au 1er novembre 2026</t>
        </is>
      </c>
      <c r="C831" s="74" t="inlineStr">
        <is>
          <t>A</t>
        </is>
      </c>
      <c r="D831" s="76" t="n">
        <v>46326</v>
      </c>
      <c r="E831" s="74" t="inlineStr">
        <is>
          <t>Samedi</t>
        </is>
      </c>
      <c r="F831" s="77" t="n">
        <v>0.6458333333333334</v>
      </c>
      <c r="G831" s="77" t="n">
        <v>0.7083333333333334</v>
      </c>
      <c r="H831" s="78">
        <f>IF(OR($F831="",$G831=""),"",($G831-$F831)*24)</f>
        <v/>
      </c>
      <c r="I831" s="74" t="inlineStr">
        <is>
          <t>Secondaire</t>
        </is>
      </c>
      <c r="J831" s="75" t="inlineStr">
        <is>
          <t>2éme Eco</t>
        </is>
      </c>
      <c r="K831" s="93" t="inlineStr">
        <is>
          <t>Histoire</t>
        </is>
      </c>
      <c r="L831" s="93" t="inlineStr">
        <is>
          <t>Histoire</t>
        </is>
      </c>
      <c r="M831" s="75" t="inlineStr">
        <is>
          <t>Abdelwaheb</t>
        </is>
      </c>
      <c r="N831" s="74" t="n"/>
      <c r="O831" s="74" t="n"/>
      <c r="P831" s="74" t="inlineStr">
        <is>
          <t>Quinzaine A</t>
        </is>
      </c>
      <c r="Q831" s="75" t="inlineStr"/>
      <c r="R831" s="74" t="n">
        <v>1</v>
      </c>
      <c r="S831" s="74" t="inlineStr">
        <is>
          <t>Oui</t>
        </is>
      </c>
      <c r="T831" s="74" t="inlineStr">
        <is>
          <t>S7-097</t>
        </is>
      </c>
      <c r="U831" s="75" t="inlineStr">
        <is>
          <t>Généré (octobre)</t>
        </is>
      </c>
      <c r="V831" s="75" t="inlineStr"/>
      <c r="W831" s="10" t="n"/>
      <c r="X831" s="10" t="inlineStr"/>
      <c r="Y831" s="64">
        <f>IF($M831="","",IF(SUMPRODUCT(($D$4:$D$863=$D831)*($M$4:$M$863=$M831)*($T$4:$T$863&lt;&gt;$T831)*($F$4:$F$863&lt;$G831)*($G$4:$G$863&gt;$F831))&gt;0,"⚠ CONFLIT",""))</f>
        <v/>
      </c>
      <c r="Z831" s="64">
        <f>IF($J831="","",IF(SUMPRODUCT(($D$4:$D$863=$D831)*($J$4:$J$863=$J831)*($T$4:$T$863&lt;&gt;$T831)*($F$4:$F$863&lt;$G831)*($G$4:$G$863&gt;$F831)*(1-($X$4:$X$863="Oui")*($X831="Oui")))&gt;0,"⚠ CONFLIT",""))</f>
        <v/>
      </c>
      <c r="AA831" s="64">
        <f>IF(COUNTIFS($D$4:$D$863,$D831,$J$4:$J$863,$J831,$F$4:$F$863,$F831,$K$4:$K$863,$K831)&gt;1,"⚠ DOUBLON","")</f>
        <v/>
      </c>
      <c r="AB831" s="64">
        <f>IF(COUNTIF($T$4:$T$863,$T831)&lt;&gt;COUNTIFS($T$4:$T$863,$T831,$D$4:$D$863,$D831,$F$4:$F$863,$F831,$G$4:$G$863,$G831,$K$4:$K$863,$K831,$M$4:$M$863,$M831),"⚠ INCOHÉRENT","")</f>
        <v/>
      </c>
      <c r="AC831" s="64">
        <f>COUNTIFS($A$4:$A831,$A831,$J$4:$J831,$J831,$E$4:$E831,$E831)</f>
        <v/>
      </c>
      <c r="AD831" s="65">
        <f>$A831&amp;"|"&amp;$J831&amp;"|"&amp;$E831&amp;"|"&amp;$AC831</f>
        <v/>
      </c>
      <c r="AE831" s="66">
        <f>IF($W831&lt;&gt;"","⚑ "&amp;$W831&amp;CHAR(10),"")&amp;TEXT($F831,"hh:mm")&amp;"-"&amp;TEXT($G831,"hh:mm")&amp;IF(OR($P831="Quinzaine A",AND($P831="Hebdo · groupes alternés",$C831="A"))," Q-A",IF(OR($P831="Quinzaine B",AND($P831="Hebdo · groupes alternés",$C831="B"))," Q-B",IF($P831="Exception"," PONCT.","")))&amp;IF($X831="Oui"," OPT","")&amp;CHAR(10)&amp;$K831&amp;CHAR(10)&amp;$M831&amp;IF($N831&lt;&gt;"",CHAR(10)&amp;"Salle "&amp;$N831,"")&amp;IF($O831="En ligne",CHAR(10)&amp;"EN LIGNE","")&amp;IF($V831&lt;&gt;"",CHAR(10)&amp;$V831,"")</f>
        <v/>
      </c>
      <c r="AF831" s="65" t="inlineStr"/>
      <c r="AG831" s="65" t="inlineStr">
        <is>
          <t>— généré —</t>
        </is>
      </c>
    </row>
    <row r="832" ht="15" customHeight="1">
      <c r="A832" s="74" t="inlineStr">
        <is>
          <t>S7</t>
        </is>
      </c>
      <c r="B832" s="75" t="inlineStr">
        <is>
          <t>du 26 octobre au 1er novembre 2026</t>
        </is>
      </c>
      <c r="C832" s="74" t="inlineStr">
        <is>
          <t>A</t>
        </is>
      </c>
      <c r="D832" s="76" t="n">
        <v>46326</v>
      </c>
      <c r="E832" s="74" t="inlineStr">
        <is>
          <t>Samedi</t>
        </is>
      </c>
      <c r="F832" s="77" t="n">
        <v>0.6666666666666666</v>
      </c>
      <c r="G832" s="77" t="n">
        <v>0.7291666666666666</v>
      </c>
      <c r="H832" s="78">
        <f>IF(OR($F832="",$G832=""),"",($G832-$F832)*24)</f>
        <v/>
      </c>
      <c r="I832" s="74" t="inlineStr">
        <is>
          <t>Secondaire</t>
        </is>
      </c>
      <c r="J832" s="75" t="inlineStr">
        <is>
          <t>2éme SCE</t>
        </is>
      </c>
      <c r="K832" s="88" t="inlineStr">
        <is>
          <t>SVT</t>
        </is>
      </c>
      <c r="L832" s="88" t="inlineStr">
        <is>
          <t>SVT</t>
        </is>
      </c>
      <c r="M832" s="75" t="inlineStr">
        <is>
          <t>Rym</t>
        </is>
      </c>
      <c r="N832" s="74" t="n"/>
      <c r="O832" s="74" t="n"/>
      <c r="P832" s="74" t="inlineStr">
        <is>
          <t>Hebdomadaire</t>
        </is>
      </c>
      <c r="Q832" s="75" t="inlineStr"/>
      <c r="R832" s="74" t="n">
        <v>1</v>
      </c>
      <c r="S832" s="74" t="inlineStr">
        <is>
          <t>Oui</t>
        </is>
      </c>
      <c r="T832" s="74" t="inlineStr">
        <is>
          <t>S7-066</t>
        </is>
      </c>
      <c r="U832" s="75" t="inlineStr">
        <is>
          <t>Généré (octobre)</t>
        </is>
      </c>
      <c r="V832" s="75" t="inlineStr"/>
      <c r="W832" s="10" t="n"/>
      <c r="X832" s="10" t="inlineStr"/>
      <c r="Y832" s="64">
        <f>IF($M832="","",IF(SUMPRODUCT(($D$4:$D$863=$D832)*($M$4:$M$863=$M832)*($T$4:$T$863&lt;&gt;$T832)*($F$4:$F$863&lt;$G832)*($G$4:$G$863&gt;$F832))&gt;0,"⚠ CONFLIT",""))</f>
        <v/>
      </c>
      <c r="Z832" s="64">
        <f>IF($J832="","",IF(SUMPRODUCT(($D$4:$D$863=$D832)*($J$4:$J$863=$J832)*($T$4:$T$863&lt;&gt;$T832)*($F$4:$F$863&lt;$G832)*($G$4:$G$863&gt;$F832)*(1-($X$4:$X$863="Oui")*($X832="Oui")))&gt;0,"⚠ CONFLIT",""))</f>
        <v/>
      </c>
      <c r="AA832" s="64">
        <f>IF(COUNTIFS($D$4:$D$863,$D832,$J$4:$J$863,$J832,$F$4:$F$863,$F832,$K$4:$K$863,$K832)&gt;1,"⚠ DOUBLON","")</f>
        <v/>
      </c>
      <c r="AB832" s="64">
        <f>IF(COUNTIF($T$4:$T$863,$T832)&lt;&gt;COUNTIFS($T$4:$T$863,$T832,$D$4:$D$863,$D832,$F$4:$F$863,$F832,$G$4:$G$863,$G832,$K$4:$K$863,$K832,$M$4:$M$863,$M832),"⚠ INCOHÉRENT","")</f>
        <v/>
      </c>
      <c r="AC832" s="64">
        <f>COUNTIFS($A$4:$A832,$A832,$J$4:$J832,$J832,$E$4:$E832,$E832)</f>
        <v/>
      </c>
      <c r="AD832" s="65">
        <f>$A832&amp;"|"&amp;$J832&amp;"|"&amp;$E832&amp;"|"&amp;$AC832</f>
        <v/>
      </c>
      <c r="AE832" s="66">
        <f>IF($W832&lt;&gt;"","⚑ "&amp;$W832&amp;CHAR(10),"")&amp;TEXT($F832,"hh:mm")&amp;"-"&amp;TEXT($G832,"hh:mm")&amp;IF(OR($P832="Quinzaine A",AND($P832="Hebdo · groupes alternés",$C832="A"))," Q-A",IF(OR($P832="Quinzaine B",AND($P832="Hebdo · groupes alternés",$C832="B"))," Q-B",IF($P832="Exception"," PONCT.","")))&amp;IF($X832="Oui"," OPT","")&amp;CHAR(10)&amp;$K832&amp;CHAR(10)&amp;$M832&amp;IF($N832&lt;&gt;"",CHAR(10)&amp;"Salle "&amp;$N832,"")&amp;IF($O832="En ligne",CHAR(10)&amp;"EN LIGNE","")&amp;IF($V832&lt;&gt;"",CHAR(10)&amp;$V832,"")</f>
        <v/>
      </c>
      <c r="AF832" s="65" t="inlineStr"/>
      <c r="AG832" s="65" t="inlineStr">
        <is>
          <t>— généré —</t>
        </is>
      </c>
    </row>
    <row r="833" ht="15" customHeight="1">
      <c r="A833" s="74" t="inlineStr">
        <is>
          <t>S7</t>
        </is>
      </c>
      <c r="B833" s="75" t="inlineStr">
        <is>
          <t>du 26 octobre au 1er novembre 2026</t>
        </is>
      </c>
      <c r="C833" s="74" t="inlineStr">
        <is>
          <t>A</t>
        </is>
      </c>
      <c r="D833" s="76" t="n">
        <v>46326</v>
      </c>
      <c r="E833" s="74" t="inlineStr">
        <is>
          <t>Samedi</t>
        </is>
      </c>
      <c r="F833" s="77" t="n">
        <v>0.7083333333333334</v>
      </c>
      <c r="G833" s="77" t="n">
        <v>0.7916666666666666</v>
      </c>
      <c r="H833" s="78">
        <f>IF(OR($F833="",$G833=""),"",($G833-$F833)*24)</f>
        <v/>
      </c>
      <c r="I833" s="74" t="inlineStr">
        <is>
          <t>Secondaire</t>
        </is>
      </c>
      <c r="J833" s="75" t="inlineStr">
        <is>
          <t>2éme INFO</t>
        </is>
      </c>
      <c r="K833" s="80" t="inlineStr">
        <is>
          <t>Informatique</t>
        </is>
      </c>
      <c r="L833" s="80" t="inlineStr">
        <is>
          <t>Informatique</t>
        </is>
      </c>
      <c r="M833" s="75" t="inlineStr">
        <is>
          <t>Aymen</t>
        </is>
      </c>
      <c r="N833" s="74" t="n"/>
      <c r="O833" s="74" t="n"/>
      <c r="P833" s="74" t="inlineStr">
        <is>
          <t>Hebdomadaire</t>
        </is>
      </c>
      <c r="Q833" s="75" t="inlineStr"/>
      <c r="R833" s="74" t="n">
        <v>1</v>
      </c>
      <c r="S833" s="74" t="inlineStr">
        <is>
          <t>Oui</t>
        </is>
      </c>
      <c r="T833" s="74" t="inlineStr">
        <is>
          <t>S7-094</t>
        </is>
      </c>
      <c r="U833" s="75" t="inlineStr">
        <is>
          <t>Généré (octobre)</t>
        </is>
      </c>
      <c r="V833" s="75" t="inlineStr"/>
      <c r="W833" s="10" t="n"/>
      <c r="X833" s="10" t="inlineStr"/>
      <c r="Y833" s="64">
        <f>IF($M833="","",IF(SUMPRODUCT(($D$4:$D$863=$D833)*($M$4:$M$863=$M833)*($T$4:$T$863&lt;&gt;$T833)*($F$4:$F$863&lt;$G833)*($G$4:$G$863&gt;$F833))&gt;0,"⚠ CONFLIT",""))</f>
        <v/>
      </c>
      <c r="Z833" s="64">
        <f>IF($J833="","",IF(SUMPRODUCT(($D$4:$D$863=$D833)*($J$4:$J$863=$J833)*($T$4:$T$863&lt;&gt;$T833)*($F$4:$F$863&lt;$G833)*($G$4:$G$863&gt;$F833)*(1-($X$4:$X$863="Oui")*($X833="Oui")))&gt;0,"⚠ CONFLIT",""))</f>
        <v/>
      </c>
      <c r="AA833" s="64">
        <f>IF(COUNTIFS($D$4:$D$863,$D833,$J$4:$J$863,$J833,$F$4:$F$863,$F833,$K$4:$K$863,$K833)&gt;1,"⚠ DOUBLON","")</f>
        <v/>
      </c>
      <c r="AB833" s="64">
        <f>IF(COUNTIF($T$4:$T$863,$T833)&lt;&gt;COUNTIFS($T$4:$T$863,$T833,$D$4:$D$863,$D833,$F$4:$F$863,$F833,$G$4:$G$863,$G833,$K$4:$K$863,$K833,$M$4:$M$863,$M833),"⚠ INCOHÉRENT","")</f>
        <v/>
      </c>
      <c r="AC833" s="64">
        <f>COUNTIFS($A$4:$A833,$A833,$J$4:$J833,$J833,$E$4:$E833,$E833)</f>
        <v/>
      </c>
      <c r="AD833" s="65">
        <f>$A833&amp;"|"&amp;$J833&amp;"|"&amp;$E833&amp;"|"&amp;$AC833</f>
        <v/>
      </c>
      <c r="AE833" s="66">
        <f>IF($W833&lt;&gt;"","⚑ "&amp;$W833&amp;CHAR(10),"")&amp;TEXT($F833,"hh:mm")&amp;"-"&amp;TEXT($G833,"hh:mm")&amp;IF(OR($P833="Quinzaine A",AND($P833="Hebdo · groupes alternés",$C833="A"))," Q-A",IF(OR($P833="Quinzaine B",AND($P833="Hebdo · groupes alternés",$C833="B"))," Q-B",IF($P833="Exception"," PONCT.","")))&amp;IF($X833="Oui"," OPT","")&amp;CHAR(10)&amp;$K833&amp;CHAR(10)&amp;$M833&amp;IF($N833&lt;&gt;"",CHAR(10)&amp;"Salle "&amp;$N833,"")&amp;IF($O833="En ligne",CHAR(10)&amp;"EN LIGNE","")&amp;IF($V833&lt;&gt;"",CHAR(10)&amp;$V833,"")</f>
        <v/>
      </c>
      <c r="AF833" s="65" t="inlineStr"/>
      <c r="AG833" s="65" t="inlineStr">
        <is>
          <t>— généré —</t>
        </is>
      </c>
    </row>
    <row r="834" ht="15" customHeight="1">
      <c r="A834" s="74" t="inlineStr">
        <is>
          <t>S7</t>
        </is>
      </c>
      <c r="B834" s="75" t="inlineStr">
        <is>
          <t>du 26 octobre au 1er novembre 2026</t>
        </is>
      </c>
      <c r="C834" s="74" t="inlineStr">
        <is>
          <t>A</t>
        </is>
      </c>
      <c r="D834" s="76" t="n">
        <v>46326</v>
      </c>
      <c r="E834" s="74" t="inlineStr">
        <is>
          <t>Samedi</t>
        </is>
      </c>
      <c r="F834" s="77" t="n">
        <v>0.7083333333333334</v>
      </c>
      <c r="G834" s="77" t="n">
        <v>0.7708333333333334</v>
      </c>
      <c r="H834" s="78">
        <f>IF(OR($F834="",$G834=""),"",($G834-$F834)*24)</f>
        <v/>
      </c>
      <c r="I834" s="74" t="inlineStr">
        <is>
          <t>Secondaire</t>
        </is>
      </c>
      <c r="J834" s="75" t="inlineStr">
        <is>
          <t>3éme Eco</t>
        </is>
      </c>
      <c r="K834" s="93" t="inlineStr">
        <is>
          <t>Histoire</t>
        </is>
      </c>
      <c r="L834" s="93" t="inlineStr">
        <is>
          <t>Histoire</t>
        </is>
      </c>
      <c r="M834" s="75" t="inlineStr">
        <is>
          <t>Abdelwaheb</t>
        </is>
      </c>
      <c r="N834" s="74" t="n"/>
      <c r="O834" s="74" t="n"/>
      <c r="P834" s="74" t="inlineStr">
        <is>
          <t>Quinzaine A</t>
        </is>
      </c>
      <c r="Q834" s="75" t="inlineStr"/>
      <c r="R834" s="74" t="n">
        <v>1</v>
      </c>
      <c r="S834" s="74" t="inlineStr">
        <is>
          <t>Oui</t>
        </is>
      </c>
      <c r="T834" s="74" t="inlineStr">
        <is>
          <t>S7-098</t>
        </is>
      </c>
      <c r="U834" s="75" t="inlineStr">
        <is>
          <t>Généré (octobre)</t>
        </is>
      </c>
      <c r="V834" s="75" t="inlineStr"/>
      <c r="W834" s="10" t="n"/>
      <c r="X834" s="10" t="inlineStr"/>
      <c r="Y834" s="64">
        <f>IF($M834="","",IF(SUMPRODUCT(($D$4:$D$863=$D834)*($M$4:$M$863=$M834)*($T$4:$T$863&lt;&gt;$T834)*($F$4:$F$863&lt;$G834)*($G$4:$G$863&gt;$F834))&gt;0,"⚠ CONFLIT",""))</f>
        <v/>
      </c>
      <c r="Z834" s="64">
        <f>IF($J834="","",IF(SUMPRODUCT(($D$4:$D$863=$D834)*($J$4:$J$863=$J834)*($T$4:$T$863&lt;&gt;$T834)*($F$4:$F$863&lt;$G834)*($G$4:$G$863&gt;$F834)*(1-($X$4:$X$863="Oui")*($X834="Oui")))&gt;0,"⚠ CONFLIT",""))</f>
        <v/>
      </c>
      <c r="AA834" s="64">
        <f>IF(COUNTIFS($D$4:$D$863,$D834,$J$4:$J$863,$J834,$F$4:$F$863,$F834,$K$4:$K$863,$K834)&gt;1,"⚠ DOUBLON","")</f>
        <v/>
      </c>
      <c r="AB834" s="64">
        <f>IF(COUNTIF($T$4:$T$863,$T834)&lt;&gt;COUNTIFS($T$4:$T$863,$T834,$D$4:$D$863,$D834,$F$4:$F$863,$F834,$G$4:$G$863,$G834,$K$4:$K$863,$K834,$M$4:$M$863,$M834),"⚠ INCOHÉRENT","")</f>
        <v/>
      </c>
      <c r="AC834" s="64">
        <f>COUNTIFS($A$4:$A834,$A834,$J$4:$J834,$J834,$E$4:$E834,$E834)</f>
        <v/>
      </c>
      <c r="AD834" s="65">
        <f>$A834&amp;"|"&amp;$J834&amp;"|"&amp;$E834&amp;"|"&amp;$AC834</f>
        <v/>
      </c>
      <c r="AE834" s="66">
        <f>IF($W834&lt;&gt;"","⚑ "&amp;$W834&amp;CHAR(10),"")&amp;TEXT($F834,"hh:mm")&amp;"-"&amp;TEXT($G834,"hh:mm")&amp;IF(OR($P834="Quinzaine A",AND($P834="Hebdo · groupes alternés",$C834="A"))," Q-A",IF(OR($P834="Quinzaine B",AND($P834="Hebdo · groupes alternés",$C834="B"))," Q-B",IF($P834="Exception"," PONCT.","")))&amp;IF($X834="Oui"," OPT","")&amp;CHAR(10)&amp;$K834&amp;CHAR(10)&amp;$M834&amp;IF($N834&lt;&gt;"",CHAR(10)&amp;"Salle "&amp;$N834,"")&amp;IF($O834="En ligne",CHAR(10)&amp;"EN LIGNE","")&amp;IF($V834&lt;&gt;"",CHAR(10)&amp;$V834,"")</f>
        <v/>
      </c>
      <c r="AF834" s="65" t="inlineStr"/>
      <c r="AG834" s="65" t="inlineStr">
        <is>
          <t>— généré —</t>
        </is>
      </c>
    </row>
    <row r="835" ht="15" customHeight="1">
      <c r="A835" s="74" t="inlineStr">
        <is>
          <t>S7</t>
        </is>
      </c>
      <c r="B835" s="75" t="inlineStr">
        <is>
          <t>du 26 octobre au 1er novembre 2026</t>
        </is>
      </c>
      <c r="C835" s="74" t="inlineStr">
        <is>
          <t>A</t>
        </is>
      </c>
      <c r="D835" s="76" t="n">
        <v>46326</v>
      </c>
      <c r="E835" s="74" t="inlineStr">
        <is>
          <t>Samedi</t>
        </is>
      </c>
      <c r="F835" s="77" t="n">
        <v>0.625</v>
      </c>
      <c r="G835" s="77" t="n">
        <v>0.7083333333333334</v>
      </c>
      <c r="H835" s="78">
        <f>IF(OR($F835="",$G835=""),"",($G835-$F835)*24)</f>
        <v/>
      </c>
      <c r="I835" s="74" t="inlineStr">
        <is>
          <t>Secondaire</t>
        </is>
      </c>
      <c r="J835" s="75" t="inlineStr">
        <is>
          <t>3éme INFO</t>
        </is>
      </c>
      <c r="K835" s="94" t="inlineStr">
        <is>
          <t>ALGO</t>
        </is>
      </c>
      <c r="L835" s="94" t="inlineStr">
        <is>
          <t>ALGO</t>
        </is>
      </c>
      <c r="M835" s="75" t="inlineStr">
        <is>
          <t>Aymen</t>
        </is>
      </c>
      <c r="N835" s="74" t="n"/>
      <c r="O835" s="74" t="n"/>
      <c r="P835" s="74" t="inlineStr">
        <is>
          <t>Hebdomadaire</t>
        </is>
      </c>
      <c r="Q835" s="75" t="inlineStr"/>
      <c r="R835" s="74" t="n">
        <v>1</v>
      </c>
      <c r="S835" s="74" t="inlineStr">
        <is>
          <t>Oui</t>
        </is>
      </c>
      <c r="T835" s="74" t="inlineStr">
        <is>
          <t>S7-067</t>
        </is>
      </c>
      <c r="U835" s="75" t="inlineStr">
        <is>
          <t>Généré (octobre)</t>
        </is>
      </c>
      <c r="V835" s="75" t="inlineStr"/>
      <c r="W835" s="10" t="n"/>
      <c r="X835" s="10" t="inlineStr"/>
      <c r="Y835" s="64">
        <f>IF($M835="","",IF(SUMPRODUCT(($D$4:$D$863=$D835)*($M$4:$M$863=$M835)*($T$4:$T$863&lt;&gt;$T835)*($F$4:$F$863&lt;$G835)*($G$4:$G$863&gt;$F835))&gt;0,"⚠ CONFLIT",""))</f>
        <v/>
      </c>
      <c r="Z835" s="64">
        <f>IF($J835="","",IF(SUMPRODUCT(($D$4:$D$863=$D835)*($J$4:$J$863=$J835)*($T$4:$T$863&lt;&gt;$T835)*($F$4:$F$863&lt;$G835)*($G$4:$G$863&gt;$F835)*(1-($X$4:$X$863="Oui")*($X835="Oui")))&gt;0,"⚠ CONFLIT",""))</f>
        <v/>
      </c>
      <c r="AA835" s="64">
        <f>IF(COUNTIFS($D$4:$D$863,$D835,$J$4:$J$863,$J835,$F$4:$F$863,$F835,$K$4:$K$863,$K835)&gt;1,"⚠ DOUBLON","")</f>
        <v/>
      </c>
      <c r="AB835" s="64">
        <f>IF(COUNTIF($T$4:$T$863,$T835)&lt;&gt;COUNTIFS($T$4:$T$863,$T835,$D$4:$D$863,$D835,$F$4:$F$863,$F835,$G$4:$G$863,$G835,$K$4:$K$863,$K835,$M$4:$M$863,$M835),"⚠ INCOHÉRENT","")</f>
        <v/>
      </c>
      <c r="AC835" s="64">
        <f>COUNTIFS($A$4:$A835,$A835,$J$4:$J835,$J835,$E$4:$E835,$E835)</f>
        <v/>
      </c>
      <c r="AD835" s="65">
        <f>$A835&amp;"|"&amp;$J835&amp;"|"&amp;$E835&amp;"|"&amp;$AC835</f>
        <v/>
      </c>
      <c r="AE835" s="66">
        <f>IF($W835&lt;&gt;"","⚑ "&amp;$W835&amp;CHAR(10),"")&amp;TEXT($F835,"hh:mm")&amp;"-"&amp;TEXT($G835,"hh:mm")&amp;IF(OR($P835="Quinzaine A",AND($P835="Hebdo · groupes alternés",$C835="A"))," Q-A",IF(OR($P835="Quinzaine B",AND($P835="Hebdo · groupes alternés",$C835="B"))," Q-B",IF($P835="Exception"," PONCT.","")))&amp;IF($X835="Oui"," OPT","")&amp;CHAR(10)&amp;$K835&amp;CHAR(10)&amp;$M835&amp;IF($N835&lt;&gt;"",CHAR(10)&amp;"Salle "&amp;$N835,"")&amp;IF($O835="En ligne",CHAR(10)&amp;"EN LIGNE","")&amp;IF($V835&lt;&gt;"",CHAR(10)&amp;$V835,"")</f>
        <v/>
      </c>
      <c r="AF835" s="65" t="inlineStr"/>
      <c r="AG835" s="65" t="inlineStr">
        <is>
          <t>— généré —</t>
        </is>
      </c>
    </row>
    <row r="836" ht="15" customHeight="1">
      <c r="A836" s="74" t="inlineStr">
        <is>
          <t>S7</t>
        </is>
      </c>
      <c r="B836" s="75" t="inlineStr">
        <is>
          <t>du 26 octobre au 1er novembre 2026</t>
        </is>
      </c>
      <c r="C836" s="74" t="inlineStr">
        <is>
          <t>A</t>
        </is>
      </c>
      <c r="D836" s="76" t="n">
        <v>46326</v>
      </c>
      <c r="E836" s="74" t="inlineStr">
        <is>
          <t>Samedi</t>
        </is>
      </c>
      <c r="F836" s="77" t="n">
        <v>0.7291666666666666</v>
      </c>
      <c r="G836" s="77" t="n">
        <v>0.7916666666666666</v>
      </c>
      <c r="H836" s="78">
        <f>IF(OR($F836="",$G836=""),"",($G836-$F836)*24)</f>
        <v/>
      </c>
      <c r="I836" s="74" t="inlineStr">
        <is>
          <t>Secondaire</t>
        </is>
      </c>
      <c r="J836" s="75" t="inlineStr">
        <is>
          <t>3éme SCE</t>
        </is>
      </c>
      <c r="K836" s="88" t="inlineStr">
        <is>
          <t>SVT</t>
        </is>
      </c>
      <c r="L836" s="88" t="inlineStr">
        <is>
          <t>SVT</t>
        </is>
      </c>
      <c r="M836" s="75" t="inlineStr">
        <is>
          <t>Rym</t>
        </is>
      </c>
      <c r="N836" s="74" t="n"/>
      <c r="O836" s="74" t="n"/>
      <c r="P836" s="74" t="inlineStr">
        <is>
          <t>Hebdomadaire</t>
        </is>
      </c>
      <c r="Q836" s="75" t="inlineStr"/>
      <c r="R836" s="74" t="n">
        <v>1</v>
      </c>
      <c r="S836" s="74" t="inlineStr">
        <is>
          <t>Oui</t>
        </is>
      </c>
      <c r="T836" s="74" t="inlineStr">
        <is>
          <t>S7-068</t>
        </is>
      </c>
      <c r="U836" s="75" t="inlineStr">
        <is>
          <t>Généré (octobre)</t>
        </is>
      </c>
      <c r="V836" s="75" t="inlineStr"/>
      <c r="W836" s="10" t="n"/>
      <c r="X836" s="10" t="inlineStr"/>
      <c r="Y836" s="64">
        <f>IF($M836="","",IF(SUMPRODUCT(($D$4:$D$863=$D836)*($M$4:$M$863=$M836)*($T$4:$T$863&lt;&gt;$T836)*($F$4:$F$863&lt;$G836)*($G$4:$G$863&gt;$F836))&gt;0,"⚠ CONFLIT",""))</f>
        <v/>
      </c>
      <c r="Z836" s="64">
        <f>IF($J836="","",IF(SUMPRODUCT(($D$4:$D$863=$D836)*($J$4:$J$863=$J836)*($T$4:$T$863&lt;&gt;$T836)*($F$4:$F$863&lt;$G836)*($G$4:$G$863&gt;$F836)*(1-($X$4:$X$863="Oui")*($X836="Oui")))&gt;0,"⚠ CONFLIT",""))</f>
        <v/>
      </c>
      <c r="AA836" s="64">
        <f>IF(COUNTIFS($D$4:$D$863,$D836,$J$4:$J$863,$J836,$F$4:$F$863,$F836,$K$4:$K$863,$K836)&gt;1,"⚠ DOUBLON","")</f>
        <v/>
      </c>
      <c r="AB836" s="64">
        <f>IF(COUNTIF($T$4:$T$863,$T836)&lt;&gt;COUNTIFS($T$4:$T$863,$T836,$D$4:$D$863,$D836,$F$4:$F$863,$F836,$G$4:$G$863,$G836,$K$4:$K$863,$K836,$M$4:$M$863,$M836),"⚠ INCOHÉRENT","")</f>
        <v/>
      </c>
      <c r="AC836" s="64">
        <f>COUNTIFS($A$4:$A836,$A836,$J$4:$J836,$J836,$E$4:$E836,$E836)</f>
        <v/>
      </c>
      <c r="AD836" s="65">
        <f>$A836&amp;"|"&amp;$J836&amp;"|"&amp;$E836&amp;"|"&amp;$AC836</f>
        <v/>
      </c>
      <c r="AE836" s="66">
        <f>IF($W836&lt;&gt;"","⚑ "&amp;$W836&amp;CHAR(10),"")&amp;TEXT($F836,"hh:mm")&amp;"-"&amp;TEXT($G836,"hh:mm")&amp;IF(OR($P836="Quinzaine A",AND($P836="Hebdo · groupes alternés",$C836="A"))," Q-A",IF(OR($P836="Quinzaine B",AND($P836="Hebdo · groupes alternés",$C836="B"))," Q-B",IF($P836="Exception"," PONCT.","")))&amp;IF($X836="Oui"," OPT","")&amp;CHAR(10)&amp;$K836&amp;CHAR(10)&amp;$M836&amp;IF($N836&lt;&gt;"",CHAR(10)&amp;"Salle "&amp;$N836,"")&amp;IF($O836="En ligne",CHAR(10)&amp;"EN LIGNE","")&amp;IF($V836&lt;&gt;"",CHAR(10)&amp;$V836,"")</f>
        <v/>
      </c>
      <c r="AF836" s="65" t="inlineStr"/>
      <c r="AG836" s="65" t="inlineStr">
        <is>
          <t>— généré —</t>
        </is>
      </c>
    </row>
    <row r="837" ht="15" customHeight="1">
      <c r="A837" s="81" t="inlineStr">
        <is>
          <t>S7</t>
        </is>
      </c>
      <c r="B837" s="82" t="inlineStr">
        <is>
          <t>du 26 octobre au 1er novembre 2026</t>
        </is>
      </c>
      <c r="C837" s="81" t="inlineStr">
        <is>
          <t>A</t>
        </is>
      </c>
      <c r="D837" s="83" t="n">
        <v>46326</v>
      </c>
      <c r="E837" s="81" t="inlineStr">
        <is>
          <t>Samedi</t>
        </is>
      </c>
      <c r="F837" s="84" t="n">
        <v>0.7708333333333334</v>
      </c>
      <c r="G837" s="84" t="n">
        <v>0.8333333333333334</v>
      </c>
      <c r="H837" s="85">
        <f>IF(OR($F837="",$G837=""),"",($G837-$F837)*24)</f>
        <v/>
      </c>
      <c r="I837" s="81" t="inlineStr">
        <is>
          <t>Bac</t>
        </is>
      </c>
      <c r="J837" s="82" t="inlineStr">
        <is>
          <t>Bac Eco</t>
        </is>
      </c>
      <c r="K837" s="93" t="inlineStr">
        <is>
          <t>Histoire</t>
        </is>
      </c>
      <c r="L837" s="93" t="inlineStr">
        <is>
          <t>Histoire</t>
        </is>
      </c>
      <c r="M837" s="82" t="inlineStr">
        <is>
          <t>Abdelwaheb</t>
        </is>
      </c>
      <c r="N837" s="81" t="n"/>
      <c r="O837" s="81" t="n"/>
      <c r="P837" s="81" t="inlineStr">
        <is>
          <t>Quinzaine A</t>
        </is>
      </c>
      <c r="Q837" s="82" t="inlineStr"/>
      <c r="R837" s="81" t="n">
        <v>1</v>
      </c>
      <c r="S837" s="81" t="inlineStr">
        <is>
          <t>Oui</t>
        </is>
      </c>
      <c r="T837" s="81" t="inlineStr">
        <is>
          <t>S7-099</t>
        </is>
      </c>
      <c r="U837" s="82" t="inlineStr">
        <is>
          <t>Généré (octobre)</t>
        </is>
      </c>
      <c r="V837" s="82" t="inlineStr"/>
      <c r="W837" s="10" t="n"/>
      <c r="X837" s="10" t="inlineStr"/>
      <c r="Y837" s="64">
        <f>IF($M837="","",IF(SUMPRODUCT(($D$4:$D$863=$D837)*($M$4:$M$863=$M837)*($T$4:$T$863&lt;&gt;$T837)*($F$4:$F$863&lt;$G837)*($G$4:$G$863&gt;$F837))&gt;0,"⚠ CONFLIT",""))</f>
        <v/>
      </c>
      <c r="Z837" s="64">
        <f>IF($J837="","",IF(SUMPRODUCT(($D$4:$D$863=$D837)*($J$4:$J$863=$J837)*($T$4:$T$863&lt;&gt;$T837)*($F$4:$F$863&lt;$G837)*($G$4:$G$863&gt;$F837)*(1-($X$4:$X$863="Oui")*($X837="Oui")))&gt;0,"⚠ CONFLIT",""))</f>
        <v/>
      </c>
      <c r="AA837" s="64">
        <f>IF(COUNTIFS($D$4:$D$863,$D837,$J$4:$J$863,$J837,$F$4:$F$863,$F837,$K$4:$K$863,$K837)&gt;1,"⚠ DOUBLON","")</f>
        <v/>
      </c>
      <c r="AB837" s="64">
        <f>IF(COUNTIF($T$4:$T$863,$T837)&lt;&gt;COUNTIFS($T$4:$T$863,$T837,$D$4:$D$863,$D837,$F$4:$F$863,$F837,$G$4:$G$863,$G837,$K$4:$K$863,$K837,$M$4:$M$863,$M837),"⚠ INCOHÉRENT","")</f>
        <v/>
      </c>
      <c r="AC837" s="64">
        <f>COUNTIFS($A$4:$A837,$A837,$J$4:$J837,$J837,$E$4:$E837,$E837)</f>
        <v/>
      </c>
      <c r="AD837" s="65">
        <f>$A837&amp;"|"&amp;$J837&amp;"|"&amp;$E837&amp;"|"&amp;$AC837</f>
        <v/>
      </c>
      <c r="AE837" s="66">
        <f>IF($W837&lt;&gt;"","⚑ "&amp;$W837&amp;CHAR(10),"")&amp;TEXT($F837,"hh:mm")&amp;"-"&amp;TEXT($G837,"hh:mm")&amp;IF(OR($P837="Quinzaine A",AND($P837="Hebdo · groupes alternés",$C837="A"))," Q-A",IF(OR($P837="Quinzaine B",AND($P837="Hebdo · groupes alternés",$C837="B"))," Q-B",IF($P837="Exception"," PONCT.","")))&amp;IF($X837="Oui"," OPT","")&amp;CHAR(10)&amp;$K837&amp;CHAR(10)&amp;$M837&amp;IF($N837&lt;&gt;"",CHAR(10)&amp;"Salle "&amp;$N837,"")&amp;IF($O837="En ligne",CHAR(10)&amp;"EN LIGNE","")&amp;IF($V837&lt;&gt;"",CHAR(10)&amp;$V837,"")</f>
        <v/>
      </c>
      <c r="AF837" s="65" t="inlineStr"/>
      <c r="AG837" s="65" t="inlineStr">
        <is>
          <t>— généré —</t>
        </is>
      </c>
    </row>
    <row r="838" ht="15" customHeight="1">
      <c r="A838" s="81" t="inlineStr">
        <is>
          <t>S7</t>
        </is>
      </c>
      <c r="B838" s="82" t="inlineStr">
        <is>
          <t>du 26 octobre au 1er novembre 2026</t>
        </is>
      </c>
      <c r="C838" s="81" t="inlineStr">
        <is>
          <t>A</t>
        </is>
      </c>
      <c r="D838" s="83" t="n">
        <v>46326</v>
      </c>
      <c r="E838" s="81" t="inlineStr">
        <is>
          <t>Samedi</t>
        </is>
      </c>
      <c r="F838" s="84" t="n">
        <v>0.7916666666666666</v>
      </c>
      <c r="G838" s="84" t="n">
        <v>0.8541666666666666</v>
      </c>
      <c r="H838" s="85">
        <f>IF(OR($F838="",$G838=""),"",($G838-$F838)*24)</f>
        <v/>
      </c>
      <c r="I838" s="81" t="inlineStr">
        <is>
          <t>Bac</t>
        </is>
      </c>
      <c r="J838" s="82" t="inlineStr">
        <is>
          <t>Bac SCE</t>
        </is>
      </c>
      <c r="K838" s="88" t="inlineStr">
        <is>
          <t>SVT</t>
        </is>
      </c>
      <c r="L838" s="88" t="inlineStr">
        <is>
          <t>SVT</t>
        </is>
      </c>
      <c r="M838" s="82" t="inlineStr">
        <is>
          <t>Rym</t>
        </is>
      </c>
      <c r="N838" s="81" t="n"/>
      <c r="O838" s="81" t="n"/>
      <c r="P838" s="81" t="inlineStr">
        <is>
          <t>Hebdomadaire</t>
        </is>
      </c>
      <c r="Q838" s="82" t="inlineStr"/>
      <c r="R838" s="81" t="n">
        <v>1</v>
      </c>
      <c r="S838" s="81" t="inlineStr">
        <is>
          <t>Oui</t>
        </is>
      </c>
      <c r="T838" s="81" t="inlineStr">
        <is>
          <t>S7-069</t>
        </is>
      </c>
      <c r="U838" s="82" t="inlineStr">
        <is>
          <t>Généré (octobre)</t>
        </is>
      </c>
      <c r="V838" s="82" t="inlineStr"/>
      <c r="W838" s="10" t="n"/>
      <c r="X838" s="10" t="inlineStr"/>
      <c r="Y838" s="64">
        <f>IF($M838="","",IF(SUMPRODUCT(($D$4:$D$863=$D838)*($M$4:$M$863=$M838)*($T$4:$T$863&lt;&gt;$T838)*($F$4:$F$863&lt;$G838)*($G$4:$G$863&gt;$F838))&gt;0,"⚠ CONFLIT",""))</f>
        <v/>
      </c>
      <c r="Z838" s="64">
        <f>IF($J838="","",IF(SUMPRODUCT(($D$4:$D$863=$D838)*($J$4:$J$863=$J838)*($T$4:$T$863&lt;&gt;$T838)*($F$4:$F$863&lt;$G838)*($G$4:$G$863&gt;$F838)*(1-($X$4:$X$863="Oui")*($X838="Oui")))&gt;0,"⚠ CONFLIT",""))</f>
        <v/>
      </c>
      <c r="AA838" s="64">
        <f>IF(COUNTIFS($D$4:$D$863,$D838,$J$4:$J$863,$J838,$F$4:$F$863,$F838,$K$4:$K$863,$K838)&gt;1,"⚠ DOUBLON","")</f>
        <v/>
      </c>
      <c r="AB838" s="64">
        <f>IF(COUNTIF($T$4:$T$863,$T838)&lt;&gt;COUNTIFS($T$4:$T$863,$T838,$D$4:$D$863,$D838,$F$4:$F$863,$F838,$G$4:$G$863,$G838,$K$4:$K$863,$K838,$M$4:$M$863,$M838),"⚠ INCOHÉRENT","")</f>
        <v/>
      </c>
      <c r="AC838" s="64">
        <f>COUNTIFS($A$4:$A838,$A838,$J$4:$J838,$J838,$E$4:$E838,$E838)</f>
        <v/>
      </c>
      <c r="AD838" s="65">
        <f>$A838&amp;"|"&amp;$J838&amp;"|"&amp;$E838&amp;"|"&amp;$AC838</f>
        <v/>
      </c>
      <c r="AE838" s="66">
        <f>IF($W838&lt;&gt;"","⚑ "&amp;$W838&amp;CHAR(10),"")&amp;TEXT($F838,"hh:mm")&amp;"-"&amp;TEXT($G838,"hh:mm")&amp;IF(OR($P838="Quinzaine A",AND($P838="Hebdo · groupes alternés",$C838="A"))," Q-A",IF(OR($P838="Quinzaine B",AND($P838="Hebdo · groupes alternés",$C838="B"))," Q-B",IF($P838="Exception"," PONCT.","")))&amp;IF($X838="Oui"," OPT","")&amp;CHAR(10)&amp;$K838&amp;CHAR(10)&amp;$M838&amp;IF($N838&lt;&gt;"",CHAR(10)&amp;"Salle "&amp;$N838,"")&amp;IF($O838="En ligne",CHAR(10)&amp;"EN LIGNE","")&amp;IF($V838&lt;&gt;"",CHAR(10)&amp;$V838,"")</f>
        <v/>
      </c>
      <c r="AF838" s="65" t="inlineStr"/>
      <c r="AG838" s="65" t="inlineStr">
        <is>
          <t>— généré —</t>
        </is>
      </c>
    </row>
    <row r="839" ht="15" customHeight="1">
      <c r="A839" s="81" t="inlineStr">
        <is>
          <t>S7</t>
        </is>
      </c>
      <c r="B839" s="82" t="inlineStr">
        <is>
          <t>du 26 octobre au 1er novembre 2026</t>
        </is>
      </c>
      <c r="C839" s="81" t="inlineStr">
        <is>
          <t>A</t>
        </is>
      </c>
      <c r="D839" s="83" t="n">
        <v>46326</v>
      </c>
      <c r="E839" s="81" t="inlineStr">
        <is>
          <t>Samedi</t>
        </is>
      </c>
      <c r="F839" s="84" t="n">
        <v>0.7916666666666666</v>
      </c>
      <c r="G839" s="84" t="n">
        <v>0.875</v>
      </c>
      <c r="H839" s="85">
        <f>IF(OR($F839="",$G839=""),"",($G839-$F839)*24)</f>
        <v/>
      </c>
      <c r="I839" s="81" t="inlineStr">
        <is>
          <t>Bac</t>
        </is>
      </c>
      <c r="J839" s="82" t="inlineStr">
        <is>
          <t>Bac INFO</t>
        </is>
      </c>
      <c r="K839" s="94" t="inlineStr">
        <is>
          <t>ALGO</t>
        </is>
      </c>
      <c r="L839" s="94" t="inlineStr">
        <is>
          <t>ALGO</t>
        </is>
      </c>
      <c r="M839" s="82" t="inlineStr">
        <is>
          <t>Heni</t>
        </is>
      </c>
      <c r="N839" s="81" t="n"/>
      <c r="O839" s="81" t="n"/>
      <c r="P839" s="81" t="inlineStr">
        <is>
          <t>Hebdomadaire</t>
        </is>
      </c>
      <c r="Q839" s="82" t="inlineStr"/>
      <c r="R839" s="81" t="n">
        <v>1</v>
      </c>
      <c r="S839" s="81" t="inlineStr">
        <is>
          <t>Oui</t>
        </is>
      </c>
      <c r="T839" s="81" t="inlineStr">
        <is>
          <t>S7-070</t>
        </is>
      </c>
      <c r="U839" s="82" t="inlineStr">
        <is>
          <t>Généré (octobre)</t>
        </is>
      </c>
      <c r="V839" s="82" t="inlineStr"/>
      <c r="W839" s="10" t="n"/>
      <c r="X839" s="10" t="inlineStr"/>
      <c r="Y839" s="64">
        <f>IF($M839="","",IF(SUMPRODUCT(($D$4:$D$863=$D839)*($M$4:$M$863=$M839)*($T$4:$T$863&lt;&gt;$T839)*($F$4:$F$863&lt;$G839)*($G$4:$G$863&gt;$F839))&gt;0,"⚠ CONFLIT",""))</f>
        <v/>
      </c>
      <c r="Z839" s="64">
        <f>IF($J839="","",IF(SUMPRODUCT(($D$4:$D$863=$D839)*($J$4:$J$863=$J839)*($T$4:$T$863&lt;&gt;$T839)*($F$4:$F$863&lt;$G839)*($G$4:$G$863&gt;$F839)*(1-($X$4:$X$863="Oui")*($X839="Oui")))&gt;0,"⚠ CONFLIT",""))</f>
        <v/>
      </c>
      <c r="AA839" s="64">
        <f>IF(COUNTIFS($D$4:$D$863,$D839,$J$4:$J$863,$J839,$F$4:$F$863,$F839,$K$4:$K$863,$K839)&gt;1,"⚠ DOUBLON","")</f>
        <v/>
      </c>
      <c r="AB839" s="64">
        <f>IF(COUNTIF($T$4:$T$863,$T839)&lt;&gt;COUNTIFS($T$4:$T$863,$T839,$D$4:$D$863,$D839,$F$4:$F$863,$F839,$G$4:$G$863,$G839,$K$4:$K$863,$K839,$M$4:$M$863,$M839),"⚠ INCOHÉRENT","")</f>
        <v/>
      </c>
      <c r="AC839" s="64">
        <f>COUNTIFS($A$4:$A839,$A839,$J$4:$J839,$J839,$E$4:$E839,$E839)</f>
        <v/>
      </c>
      <c r="AD839" s="65">
        <f>$A839&amp;"|"&amp;$J839&amp;"|"&amp;$E839&amp;"|"&amp;$AC839</f>
        <v/>
      </c>
      <c r="AE839" s="66">
        <f>IF($W839&lt;&gt;"","⚑ "&amp;$W839&amp;CHAR(10),"")&amp;TEXT($F839,"hh:mm")&amp;"-"&amp;TEXT($G839,"hh:mm")&amp;IF(OR($P839="Quinzaine A",AND($P839="Hebdo · groupes alternés",$C839="A"))," Q-A",IF(OR($P839="Quinzaine B",AND($P839="Hebdo · groupes alternés",$C839="B"))," Q-B",IF($P839="Exception"," PONCT.","")))&amp;IF($X839="Oui"," OPT","")&amp;CHAR(10)&amp;$K839&amp;CHAR(10)&amp;$M839&amp;IF($N839&lt;&gt;"",CHAR(10)&amp;"Salle "&amp;$N839,"")&amp;IF($O839="En ligne",CHAR(10)&amp;"EN LIGNE","")&amp;IF($V839&lt;&gt;"",CHAR(10)&amp;$V839,"")</f>
        <v/>
      </c>
      <c r="AF839" s="65" t="inlineStr"/>
      <c r="AG839" s="65" t="inlineStr">
        <is>
          <t>— généré —</t>
        </is>
      </c>
    </row>
    <row r="840" ht="15" customHeight="1">
      <c r="A840" s="58" t="inlineStr">
        <is>
          <t>S7</t>
        </is>
      </c>
      <c r="B840" s="59" t="inlineStr">
        <is>
          <t>du 26 octobre au 1er novembre 2026</t>
        </is>
      </c>
      <c r="C840" s="58" t="inlineStr">
        <is>
          <t>A</t>
        </is>
      </c>
      <c r="D840" s="60" t="n">
        <v>46327</v>
      </c>
      <c r="E840" s="58" t="inlineStr">
        <is>
          <t>Dimanche</t>
        </is>
      </c>
      <c r="F840" s="61" t="n">
        <v>0.4375</v>
      </c>
      <c r="G840" s="61" t="n">
        <v>0.5</v>
      </c>
      <c r="H840" s="62">
        <f>IF(OR($F840="",$G840=""),"",($G840-$F840)*24)</f>
        <v/>
      </c>
      <c r="I840" s="58" t="inlineStr">
        <is>
          <t>Primaire</t>
        </is>
      </c>
      <c r="J840" s="59" t="inlineStr">
        <is>
          <t>4éme</t>
        </is>
      </c>
      <c r="K840" s="87" t="inlineStr">
        <is>
          <t>Anglais</t>
        </is>
      </c>
      <c r="L840" s="87" t="inlineStr">
        <is>
          <t>Anglais</t>
        </is>
      </c>
      <c r="M840" s="59" t="inlineStr">
        <is>
          <t>Samar</t>
        </is>
      </c>
      <c r="N840" s="58" t="n"/>
      <c r="O840" s="58" t="n"/>
      <c r="P840" s="58" t="inlineStr">
        <is>
          <t>Hebdo · groupes alternés</t>
        </is>
      </c>
      <c r="Q840" s="59" t="inlineStr"/>
      <c r="R840" s="58" t="n">
        <v>1</v>
      </c>
      <c r="S840" s="58" t="inlineStr">
        <is>
          <t>Oui</t>
        </is>
      </c>
      <c r="T840" s="58" t="inlineStr">
        <is>
          <t>S7-071</t>
        </is>
      </c>
      <c r="U840" s="59" t="inlineStr">
        <is>
          <t>Généré (octobre)</t>
        </is>
      </c>
      <c r="V840" s="59" t="inlineStr"/>
      <c r="W840" s="10" t="n"/>
      <c r="X840" s="10" t="inlineStr"/>
      <c r="Y840" s="64">
        <f>IF($M840="","",IF(SUMPRODUCT(($D$4:$D$863=$D840)*($M$4:$M$863=$M840)*($T$4:$T$863&lt;&gt;$T840)*($F$4:$F$863&lt;$G840)*($G$4:$G$863&gt;$F840))&gt;0,"⚠ CONFLIT",""))</f>
        <v/>
      </c>
      <c r="Z840" s="64">
        <f>IF($J840="","",IF(SUMPRODUCT(($D$4:$D$863=$D840)*($J$4:$J$863=$J840)*($T$4:$T$863&lt;&gt;$T840)*($F$4:$F$863&lt;$G840)*($G$4:$G$863&gt;$F840)*(1-($X$4:$X$863="Oui")*($X840="Oui")))&gt;0,"⚠ CONFLIT",""))</f>
        <v/>
      </c>
      <c r="AA840" s="64">
        <f>IF(COUNTIFS($D$4:$D$863,$D840,$J$4:$J$863,$J840,$F$4:$F$863,$F840,$K$4:$K$863,$K840)&gt;1,"⚠ DOUBLON","")</f>
        <v/>
      </c>
      <c r="AB840" s="64">
        <f>IF(COUNTIF($T$4:$T$863,$T840)&lt;&gt;COUNTIFS($T$4:$T$863,$T840,$D$4:$D$863,$D840,$F$4:$F$863,$F840,$G$4:$G$863,$G840,$K$4:$K$863,$K840,$M$4:$M$863,$M840),"⚠ INCOHÉRENT","")</f>
        <v/>
      </c>
      <c r="AC840" s="64">
        <f>COUNTIFS($A$4:$A840,$A840,$J$4:$J840,$J840,$E$4:$E840,$E840)</f>
        <v/>
      </c>
      <c r="AD840" s="65">
        <f>$A840&amp;"|"&amp;$J840&amp;"|"&amp;$E840&amp;"|"&amp;$AC840</f>
        <v/>
      </c>
      <c r="AE840" s="66">
        <f>IF($W840&lt;&gt;"","⚑ "&amp;$W840&amp;CHAR(10),"")&amp;TEXT($F840,"hh:mm")&amp;"-"&amp;TEXT($G840,"hh:mm")&amp;IF(OR($P840="Quinzaine A",AND($P840="Hebdo · groupes alternés",$C840="A"))," Q-A",IF(OR($P840="Quinzaine B",AND($P840="Hebdo · groupes alternés",$C840="B"))," Q-B",IF($P840="Exception"," PONCT.","")))&amp;IF($X840="Oui"," OPT","")&amp;CHAR(10)&amp;$K840&amp;CHAR(10)&amp;$M840&amp;IF($N840&lt;&gt;"",CHAR(10)&amp;"Salle "&amp;$N840,"")&amp;IF($O840="En ligne",CHAR(10)&amp;"EN LIGNE","")&amp;IF($V840&lt;&gt;"",CHAR(10)&amp;$V840,"")</f>
        <v/>
      </c>
      <c r="AF840" s="65" t="inlineStr"/>
      <c r="AG840" s="65" t="inlineStr">
        <is>
          <t>— généré —</t>
        </is>
      </c>
    </row>
    <row r="841" ht="15" customHeight="1">
      <c r="A841" s="58" t="inlineStr">
        <is>
          <t>S7</t>
        </is>
      </c>
      <c r="B841" s="59" t="inlineStr">
        <is>
          <t>du 26 octobre au 1er novembre 2026</t>
        </is>
      </c>
      <c r="C841" s="58" t="inlineStr">
        <is>
          <t>A</t>
        </is>
      </c>
      <c r="D841" s="60" t="n">
        <v>46327</v>
      </c>
      <c r="E841" s="58" t="inlineStr">
        <is>
          <t>Dimanche</t>
        </is>
      </c>
      <c r="F841" s="61" t="n">
        <v>0.5</v>
      </c>
      <c r="G841" s="61" t="n">
        <v>0.5625</v>
      </c>
      <c r="H841" s="62">
        <f>IF(OR($F841="",$G841=""),"",($G841-$F841)*24)</f>
        <v/>
      </c>
      <c r="I841" s="58" t="inlineStr">
        <is>
          <t>Primaire</t>
        </is>
      </c>
      <c r="J841" s="59" t="inlineStr">
        <is>
          <t>6éme Pilote (A)</t>
        </is>
      </c>
      <c r="K841" s="87" t="inlineStr">
        <is>
          <t>Anglais</t>
        </is>
      </c>
      <c r="L841" s="87" t="inlineStr">
        <is>
          <t>Anglais</t>
        </is>
      </c>
      <c r="M841" s="59" t="inlineStr">
        <is>
          <t>Samar</t>
        </is>
      </c>
      <c r="N841" s="58" t="n"/>
      <c r="O841" s="58" t="n"/>
      <c r="P841" s="58" t="inlineStr">
        <is>
          <t>Quinzaine A</t>
        </is>
      </c>
      <c r="Q841" s="59" t="inlineStr">
        <is>
          <t>6éme Pilote (A) + 6éme (B)</t>
        </is>
      </c>
      <c r="R841" s="58" t="n">
        <v>2</v>
      </c>
      <c r="S841" s="58" t="inlineStr">
        <is>
          <t>Oui</t>
        </is>
      </c>
      <c r="T841" s="58" t="inlineStr">
        <is>
          <t>S7-100</t>
        </is>
      </c>
      <c r="U841" s="59" t="inlineStr">
        <is>
          <t>Généré (octobre)</t>
        </is>
      </c>
      <c r="V841" s="59" t="inlineStr"/>
      <c r="W841" s="10" t="n"/>
      <c r="X841" s="10" t="inlineStr"/>
      <c r="Y841" s="64">
        <f>IF($M841="","",IF(SUMPRODUCT(($D$4:$D$863=$D841)*($M$4:$M$863=$M841)*($T$4:$T$863&lt;&gt;$T841)*($F$4:$F$863&lt;$G841)*($G$4:$G$863&gt;$F841))&gt;0,"⚠ CONFLIT",""))</f>
        <v/>
      </c>
      <c r="Z841" s="64">
        <f>IF($J841="","",IF(SUMPRODUCT(($D$4:$D$863=$D841)*($J$4:$J$863=$J841)*($T$4:$T$863&lt;&gt;$T841)*($F$4:$F$863&lt;$G841)*($G$4:$G$863&gt;$F841)*(1-($X$4:$X$863="Oui")*($X841="Oui")))&gt;0,"⚠ CONFLIT",""))</f>
        <v/>
      </c>
      <c r="AA841" s="64">
        <f>IF(COUNTIFS($D$4:$D$863,$D841,$J$4:$J$863,$J841,$F$4:$F$863,$F841,$K$4:$K$863,$K841)&gt;1,"⚠ DOUBLON","")</f>
        <v/>
      </c>
      <c r="AB841" s="64">
        <f>IF(COUNTIF($T$4:$T$863,$T841)&lt;&gt;COUNTIFS($T$4:$T$863,$T841,$D$4:$D$863,$D841,$F$4:$F$863,$F841,$G$4:$G$863,$G841,$K$4:$K$863,$K841,$M$4:$M$863,$M841),"⚠ INCOHÉRENT","")</f>
        <v/>
      </c>
      <c r="AC841" s="64">
        <f>COUNTIFS($A$4:$A841,$A841,$J$4:$J841,$J841,$E$4:$E841,$E841)</f>
        <v/>
      </c>
      <c r="AD841" s="65">
        <f>$A841&amp;"|"&amp;$J841&amp;"|"&amp;$E841&amp;"|"&amp;$AC841</f>
        <v/>
      </c>
      <c r="AE841" s="66">
        <f>IF($W841&lt;&gt;"","⚑ "&amp;$W841&amp;CHAR(10),"")&amp;TEXT($F841,"hh:mm")&amp;"-"&amp;TEXT($G841,"hh:mm")&amp;IF(OR($P841="Quinzaine A",AND($P841="Hebdo · groupes alternés",$C841="A"))," Q-A",IF(OR($P841="Quinzaine B",AND($P841="Hebdo · groupes alternés",$C841="B"))," Q-B",IF($P841="Exception"," PONCT.","")))&amp;IF($X841="Oui"," OPT","")&amp;CHAR(10)&amp;$K841&amp;CHAR(10)&amp;$M841&amp;IF($N841&lt;&gt;"",CHAR(10)&amp;"Salle "&amp;$N841,"")&amp;IF($O841="En ligne",CHAR(10)&amp;"EN LIGNE","")&amp;IF($V841&lt;&gt;"",CHAR(10)&amp;$V841,"")</f>
        <v/>
      </c>
      <c r="AF841" s="65" t="inlineStr"/>
      <c r="AG841" s="65" t="inlineStr">
        <is>
          <t>— généré —</t>
        </is>
      </c>
    </row>
    <row r="842" ht="15" customHeight="1">
      <c r="A842" s="58" t="inlineStr">
        <is>
          <t>S7</t>
        </is>
      </c>
      <c r="B842" s="59" t="inlineStr">
        <is>
          <t>du 26 octobre au 1er novembre 2026</t>
        </is>
      </c>
      <c r="C842" s="58" t="inlineStr">
        <is>
          <t>A</t>
        </is>
      </c>
      <c r="D842" s="60" t="n">
        <v>46327</v>
      </c>
      <c r="E842" s="58" t="inlineStr">
        <is>
          <t>Dimanche</t>
        </is>
      </c>
      <c r="F842" s="61" t="n">
        <v>0.5</v>
      </c>
      <c r="G842" s="61" t="n">
        <v>0.5625</v>
      </c>
      <c r="H842" s="62">
        <f>IF(OR($F842="",$G842=""),"",($G842-$F842)*24)</f>
        <v/>
      </c>
      <c r="I842" s="58" t="inlineStr">
        <is>
          <t>Primaire</t>
        </is>
      </c>
      <c r="J842" s="59" t="inlineStr">
        <is>
          <t>6éme (B)</t>
        </is>
      </c>
      <c r="K842" s="87" t="inlineStr">
        <is>
          <t>Anglais</t>
        </is>
      </c>
      <c r="L842" s="87" t="inlineStr">
        <is>
          <t>Anglais</t>
        </is>
      </c>
      <c r="M842" s="59" t="inlineStr">
        <is>
          <t>Samar</t>
        </is>
      </c>
      <c r="N842" s="58" t="n"/>
      <c r="O842" s="58" t="n"/>
      <c r="P842" s="58" t="inlineStr">
        <is>
          <t>Quinzaine A</t>
        </is>
      </c>
      <c r="Q842" s="59" t="inlineStr">
        <is>
          <t>6éme Pilote (A) + 6éme (B)</t>
        </is>
      </c>
      <c r="R842" s="58" t="n">
        <v>2</v>
      </c>
      <c r="S842" s="58" t="inlineStr"/>
      <c r="T842" s="58" t="inlineStr">
        <is>
          <t>S7-100</t>
        </is>
      </c>
      <c r="U842" s="59" t="inlineStr">
        <is>
          <t>Généré (octobre)</t>
        </is>
      </c>
      <c r="V842" s="59" t="inlineStr"/>
      <c r="W842" s="10" t="n"/>
      <c r="X842" s="10" t="inlineStr"/>
      <c r="Y842" s="64">
        <f>IF($M842="","",IF(SUMPRODUCT(($D$4:$D$863=$D842)*($M$4:$M$863=$M842)*($T$4:$T$863&lt;&gt;$T842)*($F$4:$F$863&lt;$G842)*($G$4:$G$863&gt;$F842))&gt;0,"⚠ CONFLIT",""))</f>
        <v/>
      </c>
      <c r="Z842" s="64">
        <f>IF($J842="","",IF(SUMPRODUCT(($D$4:$D$863=$D842)*($J$4:$J$863=$J842)*($T$4:$T$863&lt;&gt;$T842)*($F$4:$F$863&lt;$G842)*($G$4:$G$863&gt;$F842)*(1-($X$4:$X$863="Oui")*($X842="Oui")))&gt;0,"⚠ CONFLIT",""))</f>
        <v/>
      </c>
      <c r="AA842" s="64">
        <f>IF(COUNTIFS($D$4:$D$863,$D842,$J$4:$J$863,$J842,$F$4:$F$863,$F842,$K$4:$K$863,$K842)&gt;1,"⚠ DOUBLON","")</f>
        <v/>
      </c>
      <c r="AB842" s="64">
        <f>IF(COUNTIF($T$4:$T$863,$T842)&lt;&gt;COUNTIFS($T$4:$T$863,$T842,$D$4:$D$863,$D842,$F$4:$F$863,$F842,$G$4:$G$863,$G842,$K$4:$K$863,$K842,$M$4:$M$863,$M842),"⚠ INCOHÉRENT","")</f>
        <v/>
      </c>
      <c r="AC842" s="64">
        <f>COUNTIFS($A$4:$A842,$A842,$J$4:$J842,$J842,$E$4:$E842,$E842)</f>
        <v/>
      </c>
      <c r="AD842" s="65">
        <f>$A842&amp;"|"&amp;$J842&amp;"|"&amp;$E842&amp;"|"&amp;$AC842</f>
        <v/>
      </c>
      <c r="AE842" s="66">
        <f>IF($W842&lt;&gt;"","⚑ "&amp;$W842&amp;CHAR(10),"")&amp;TEXT($F842,"hh:mm")&amp;"-"&amp;TEXT($G842,"hh:mm")&amp;IF(OR($P842="Quinzaine A",AND($P842="Hebdo · groupes alternés",$C842="A"))," Q-A",IF(OR($P842="Quinzaine B",AND($P842="Hebdo · groupes alternés",$C842="B"))," Q-B",IF($P842="Exception"," PONCT.","")))&amp;IF($X842="Oui"," OPT","")&amp;CHAR(10)&amp;$K842&amp;CHAR(10)&amp;$M842&amp;IF($N842&lt;&gt;"",CHAR(10)&amp;"Salle "&amp;$N842,"")&amp;IF($O842="En ligne",CHAR(10)&amp;"EN LIGNE","")&amp;IF($V842&lt;&gt;"",CHAR(10)&amp;$V842,"")</f>
        <v/>
      </c>
      <c r="AF842" s="65" t="inlineStr"/>
      <c r="AG842" s="65" t="inlineStr">
        <is>
          <t>— généré —</t>
        </is>
      </c>
    </row>
    <row r="843" ht="15" customHeight="1">
      <c r="A843" s="68" t="inlineStr">
        <is>
          <t>S7</t>
        </is>
      </c>
      <c r="B843" s="69" t="inlineStr">
        <is>
          <t>du 26 octobre au 1er novembre 2026</t>
        </is>
      </c>
      <c r="C843" s="68" t="inlineStr">
        <is>
          <t>A</t>
        </is>
      </c>
      <c r="D843" s="70" t="n">
        <v>46327</v>
      </c>
      <c r="E843" s="68" t="inlineStr">
        <is>
          <t>Dimanche</t>
        </is>
      </c>
      <c r="F843" s="71" t="n">
        <v>0.5833333333333334</v>
      </c>
      <c r="G843" s="71" t="n">
        <v>0.6458333333333334</v>
      </c>
      <c r="H843" s="72">
        <f>IF(OR($F843="",$G843=""),"",($G843-$F843)*24)</f>
        <v/>
      </c>
      <c r="I843" s="68" t="inlineStr">
        <is>
          <t>Collège</t>
        </is>
      </c>
      <c r="J843" s="69" t="inlineStr">
        <is>
          <t>7éme (A)</t>
        </is>
      </c>
      <c r="K843" s="67" t="inlineStr">
        <is>
          <t>Français</t>
        </is>
      </c>
      <c r="L843" s="67" t="inlineStr">
        <is>
          <t>Français</t>
        </is>
      </c>
      <c r="M843" s="69" t="inlineStr">
        <is>
          <t>Marwa</t>
        </is>
      </c>
      <c r="N843" s="68" t="n"/>
      <c r="O843" s="68" t="n"/>
      <c r="P843" s="68" t="inlineStr">
        <is>
          <t>Hebdomadaire</t>
        </is>
      </c>
      <c r="Q843" s="69" t="inlineStr"/>
      <c r="R843" s="68" t="n">
        <v>1</v>
      </c>
      <c r="S843" s="68" t="inlineStr">
        <is>
          <t>Oui</t>
        </is>
      </c>
      <c r="T843" s="68" t="inlineStr">
        <is>
          <t>S7-072</t>
        </is>
      </c>
      <c r="U843" s="69" t="inlineStr">
        <is>
          <t>Généré (octobre)</t>
        </is>
      </c>
      <c r="V843" s="69" t="inlineStr"/>
      <c r="W843" s="10" t="n"/>
      <c r="X843" s="10" t="inlineStr"/>
      <c r="Y843" s="64">
        <f>IF($M843="","",IF(SUMPRODUCT(($D$4:$D$863=$D843)*($M$4:$M$863=$M843)*($T$4:$T$863&lt;&gt;$T843)*($F$4:$F$863&lt;$G843)*($G$4:$G$863&gt;$F843))&gt;0,"⚠ CONFLIT",""))</f>
        <v/>
      </c>
      <c r="Z843" s="64">
        <f>IF($J843="","",IF(SUMPRODUCT(($D$4:$D$863=$D843)*($J$4:$J$863=$J843)*($T$4:$T$863&lt;&gt;$T843)*($F$4:$F$863&lt;$G843)*($G$4:$G$863&gt;$F843)*(1-($X$4:$X$863="Oui")*($X843="Oui")))&gt;0,"⚠ CONFLIT",""))</f>
        <v/>
      </c>
      <c r="AA843" s="64">
        <f>IF(COUNTIFS($D$4:$D$863,$D843,$J$4:$J$863,$J843,$F$4:$F$863,$F843,$K$4:$K$863,$K843)&gt;1,"⚠ DOUBLON","")</f>
        <v/>
      </c>
      <c r="AB843" s="64">
        <f>IF(COUNTIF($T$4:$T$863,$T843)&lt;&gt;COUNTIFS($T$4:$T$863,$T843,$D$4:$D$863,$D843,$F$4:$F$863,$F843,$G$4:$G$863,$G843,$K$4:$K$863,$K843,$M$4:$M$863,$M843),"⚠ INCOHÉRENT","")</f>
        <v/>
      </c>
      <c r="AC843" s="64">
        <f>COUNTIFS($A$4:$A843,$A843,$J$4:$J843,$J843,$E$4:$E843,$E843)</f>
        <v/>
      </c>
      <c r="AD843" s="65">
        <f>$A843&amp;"|"&amp;$J843&amp;"|"&amp;$E843&amp;"|"&amp;$AC843</f>
        <v/>
      </c>
      <c r="AE843" s="66">
        <f>IF($W843&lt;&gt;"","⚑ "&amp;$W843&amp;CHAR(10),"")&amp;TEXT($F843,"hh:mm")&amp;"-"&amp;TEXT($G843,"hh:mm")&amp;IF(OR($P843="Quinzaine A",AND($P843="Hebdo · groupes alternés",$C843="A"))," Q-A",IF(OR($P843="Quinzaine B",AND($P843="Hebdo · groupes alternés",$C843="B"))," Q-B",IF($P843="Exception"," PONCT.","")))&amp;IF($X843="Oui"," OPT","")&amp;CHAR(10)&amp;$K843&amp;CHAR(10)&amp;$M843&amp;IF($N843&lt;&gt;"",CHAR(10)&amp;"Salle "&amp;$N843,"")&amp;IF($O843="En ligne",CHAR(10)&amp;"EN LIGNE","")&amp;IF($V843&lt;&gt;"",CHAR(10)&amp;$V843,"")</f>
        <v/>
      </c>
      <c r="AF843" s="65" t="inlineStr"/>
      <c r="AG843" s="65" t="inlineStr">
        <is>
          <t>— généré —</t>
        </is>
      </c>
    </row>
    <row r="844" ht="15" customHeight="1">
      <c r="A844" s="68" t="inlineStr">
        <is>
          <t>S7</t>
        </is>
      </c>
      <c r="B844" s="69" t="inlineStr">
        <is>
          <t>du 26 octobre au 1er novembre 2026</t>
        </is>
      </c>
      <c r="C844" s="68" t="inlineStr">
        <is>
          <t>A</t>
        </is>
      </c>
      <c r="D844" s="70" t="n">
        <v>46327</v>
      </c>
      <c r="E844" s="68" t="inlineStr">
        <is>
          <t>Dimanche</t>
        </is>
      </c>
      <c r="F844" s="71" t="n">
        <v>0.6458333333333334</v>
      </c>
      <c r="G844" s="71" t="n">
        <v>0.7083333333333334</v>
      </c>
      <c r="H844" s="72">
        <f>IF(OR($F844="",$G844=""),"",($G844-$F844)*24)</f>
        <v/>
      </c>
      <c r="I844" s="68" t="inlineStr">
        <is>
          <t>Collège</t>
        </is>
      </c>
      <c r="J844" s="69" t="inlineStr">
        <is>
          <t>7éme (B)</t>
        </is>
      </c>
      <c r="K844" s="67" t="inlineStr">
        <is>
          <t>Français</t>
        </is>
      </c>
      <c r="L844" s="67" t="inlineStr">
        <is>
          <t>Français</t>
        </is>
      </c>
      <c r="M844" s="69" t="inlineStr">
        <is>
          <t>Marwa</t>
        </is>
      </c>
      <c r="N844" s="68" t="n"/>
      <c r="O844" s="68" t="n"/>
      <c r="P844" s="68" t="inlineStr">
        <is>
          <t>Hebdomadaire</t>
        </is>
      </c>
      <c r="Q844" s="69" t="inlineStr"/>
      <c r="R844" s="68" t="n">
        <v>1</v>
      </c>
      <c r="S844" s="68" t="inlineStr">
        <is>
          <t>Oui</t>
        </is>
      </c>
      <c r="T844" s="68" t="inlineStr">
        <is>
          <t>S7-073</t>
        </is>
      </c>
      <c r="U844" s="69" t="inlineStr">
        <is>
          <t>Généré (octobre)</t>
        </is>
      </c>
      <c r="V844" s="69" t="inlineStr"/>
      <c r="W844" s="10" t="n"/>
      <c r="X844" s="10" t="inlineStr"/>
      <c r="Y844" s="64">
        <f>IF($M844="","",IF(SUMPRODUCT(($D$4:$D$863=$D844)*($M$4:$M$863=$M844)*($T$4:$T$863&lt;&gt;$T844)*($F$4:$F$863&lt;$G844)*($G$4:$G$863&gt;$F844))&gt;0,"⚠ CONFLIT",""))</f>
        <v/>
      </c>
      <c r="Z844" s="64">
        <f>IF($J844="","",IF(SUMPRODUCT(($D$4:$D$863=$D844)*($J$4:$J$863=$J844)*($T$4:$T$863&lt;&gt;$T844)*($F$4:$F$863&lt;$G844)*($G$4:$G$863&gt;$F844)*(1-($X$4:$X$863="Oui")*($X844="Oui")))&gt;0,"⚠ CONFLIT",""))</f>
        <v/>
      </c>
      <c r="AA844" s="64">
        <f>IF(COUNTIFS($D$4:$D$863,$D844,$J$4:$J$863,$J844,$F$4:$F$863,$F844,$K$4:$K$863,$K844)&gt;1,"⚠ DOUBLON","")</f>
        <v/>
      </c>
      <c r="AB844" s="64">
        <f>IF(COUNTIF($T$4:$T$863,$T844)&lt;&gt;COUNTIFS($T$4:$T$863,$T844,$D$4:$D$863,$D844,$F$4:$F$863,$F844,$G$4:$G$863,$G844,$K$4:$K$863,$K844,$M$4:$M$863,$M844),"⚠ INCOHÉRENT","")</f>
        <v/>
      </c>
      <c r="AC844" s="64">
        <f>COUNTIFS($A$4:$A844,$A844,$J$4:$J844,$J844,$E$4:$E844,$E844)</f>
        <v/>
      </c>
      <c r="AD844" s="65">
        <f>$A844&amp;"|"&amp;$J844&amp;"|"&amp;$E844&amp;"|"&amp;$AC844</f>
        <v/>
      </c>
      <c r="AE844" s="66">
        <f>IF($W844&lt;&gt;"","⚑ "&amp;$W844&amp;CHAR(10),"")&amp;TEXT($F844,"hh:mm")&amp;"-"&amp;TEXT($G844,"hh:mm")&amp;IF(OR($P844="Quinzaine A",AND($P844="Hebdo · groupes alternés",$C844="A"))," Q-A",IF(OR($P844="Quinzaine B",AND($P844="Hebdo · groupes alternés",$C844="B"))," Q-B",IF($P844="Exception"," PONCT.","")))&amp;IF($X844="Oui"," OPT","")&amp;CHAR(10)&amp;$K844&amp;CHAR(10)&amp;$M844&amp;IF($N844&lt;&gt;"",CHAR(10)&amp;"Salle "&amp;$N844,"")&amp;IF($O844="En ligne",CHAR(10)&amp;"EN LIGNE","")&amp;IF($V844&lt;&gt;"",CHAR(10)&amp;$V844,"")</f>
        <v/>
      </c>
      <c r="AF844" s="65" t="inlineStr"/>
      <c r="AG844" s="65" t="inlineStr">
        <is>
          <t>— généré —</t>
        </is>
      </c>
    </row>
    <row r="845" ht="15" customHeight="1">
      <c r="A845" s="68" t="inlineStr">
        <is>
          <t>S7</t>
        </is>
      </c>
      <c r="B845" s="69" t="inlineStr">
        <is>
          <t>du 26 octobre au 1er novembre 2026</t>
        </is>
      </c>
      <c r="C845" s="68" t="inlineStr">
        <is>
          <t>A</t>
        </is>
      </c>
      <c r="D845" s="70" t="n">
        <v>46327</v>
      </c>
      <c r="E845" s="68" t="inlineStr">
        <is>
          <t>Dimanche</t>
        </is>
      </c>
      <c r="F845" s="71" t="n">
        <v>0.5729166666666666</v>
      </c>
      <c r="G845" s="71" t="n">
        <v>0.6354166666666666</v>
      </c>
      <c r="H845" s="72">
        <f>IF(OR($F845="",$G845=""),"",($G845-$F845)*24)</f>
        <v/>
      </c>
      <c r="I845" s="68" t="inlineStr">
        <is>
          <t>Collège</t>
        </is>
      </c>
      <c r="J845" s="69" t="inlineStr">
        <is>
          <t>8éme (A)</t>
        </is>
      </c>
      <c r="K845" s="79" t="inlineStr">
        <is>
          <t>Math</t>
        </is>
      </c>
      <c r="L845" s="79" t="inlineStr">
        <is>
          <t>Math</t>
        </is>
      </c>
      <c r="M845" s="69" t="inlineStr">
        <is>
          <t>Hajer</t>
        </is>
      </c>
      <c r="N845" s="68" t="n"/>
      <c r="O845" s="68" t="n"/>
      <c r="P845" s="68" t="inlineStr">
        <is>
          <t>Hebdomadaire</t>
        </is>
      </c>
      <c r="Q845" s="69" t="inlineStr"/>
      <c r="R845" s="68" t="n">
        <v>1</v>
      </c>
      <c r="S845" s="68" t="inlineStr">
        <is>
          <t>Oui</t>
        </is>
      </c>
      <c r="T845" s="68" t="inlineStr">
        <is>
          <t>S7-074</t>
        </is>
      </c>
      <c r="U845" s="69" t="inlineStr">
        <is>
          <t>Généré (octobre)</t>
        </is>
      </c>
      <c r="V845" s="69" t="inlineStr"/>
      <c r="W845" s="10" t="n"/>
      <c r="X845" s="10" t="inlineStr"/>
      <c r="Y845" s="64">
        <f>IF($M845="","",IF(SUMPRODUCT(($D$4:$D$863=$D845)*($M$4:$M$863=$M845)*($T$4:$T$863&lt;&gt;$T845)*($F$4:$F$863&lt;$G845)*($G$4:$G$863&gt;$F845))&gt;0,"⚠ CONFLIT",""))</f>
        <v/>
      </c>
      <c r="Z845" s="64">
        <f>IF($J845="","",IF(SUMPRODUCT(($D$4:$D$863=$D845)*($J$4:$J$863=$J845)*($T$4:$T$863&lt;&gt;$T845)*($F$4:$F$863&lt;$G845)*($G$4:$G$863&gt;$F845)*(1-($X$4:$X$863="Oui")*($X845="Oui")))&gt;0,"⚠ CONFLIT",""))</f>
        <v/>
      </c>
      <c r="AA845" s="64">
        <f>IF(COUNTIFS($D$4:$D$863,$D845,$J$4:$J$863,$J845,$F$4:$F$863,$F845,$K$4:$K$863,$K845)&gt;1,"⚠ DOUBLON","")</f>
        <v/>
      </c>
      <c r="AB845" s="64">
        <f>IF(COUNTIF($T$4:$T$863,$T845)&lt;&gt;COUNTIFS($T$4:$T$863,$T845,$D$4:$D$863,$D845,$F$4:$F$863,$F845,$G$4:$G$863,$G845,$K$4:$K$863,$K845,$M$4:$M$863,$M845),"⚠ INCOHÉRENT","")</f>
        <v/>
      </c>
      <c r="AC845" s="64">
        <f>COUNTIFS($A$4:$A845,$A845,$J$4:$J845,$J845,$E$4:$E845,$E845)</f>
        <v/>
      </c>
      <c r="AD845" s="65">
        <f>$A845&amp;"|"&amp;$J845&amp;"|"&amp;$E845&amp;"|"&amp;$AC845</f>
        <v/>
      </c>
      <c r="AE845" s="66">
        <f>IF($W845&lt;&gt;"","⚑ "&amp;$W845&amp;CHAR(10),"")&amp;TEXT($F845,"hh:mm")&amp;"-"&amp;TEXT($G845,"hh:mm")&amp;IF(OR($P845="Quinzaine A",AND($P845="Hebdo · groupes alternés",$C845="A"))," Q-A",IF(OR($P845="Quinzaine B",AND($P845="Hebdo · groupes alternés",$C845="B"))," Q-B",IF($P845="Exception"," PONCT.","")))&amp;IF($X845="Oui"," OPT","")&amp;CHAR(10)&amp;$K845&amp;CHAR(10)&amp;$M845&amp;IF($N845&lt;&gt;"",CHAR(10)&amp;"Salle "&amp;$N845,"")&amp;IF($O845="En ligne",CHAR(10)&amp;"EN LIGNE","")&amp;IF($V845&lt;&gt;"",CHAR(10)&amp;$V845,"")</f>
        <v/>
      </c>
      <c r="AF845" s="65" t="inlineStr"/>
      <c r="AG845" s="65" t="inlineStr">
        <is>
          <t>— généré —</t>
        </is>
      </c>
    </row>
    <row r="846" ht="15" customHeight="1">
      <c r="A846" s="68" t="inlineStr">
        <is>
          <t>S7</t>
        </is>
      </c>
      <c r="B846" s="69" t="inlineStr">
        <is>
          <t>du 26 octobre au 1er novembre 2026</t>
        </is>
      </c>
      <c r="C846" s="68" t="inlineStr">
        <is>
          <t>A</t>
        </is>
      </c>
      <c r="D846" s="70" t="n">
        <v>46327</v>
      </c>
      <c r="E846" s="68" t="inlineStr">
        <is>
          <t>Dimanche</t>
        </is>
      </c>
      <c r="F846" s="71" t="n">
        <v>0.7083333333333334</v>
      </c>
      <c r="G846" s="71" t="n">
        <v>0.7708333333333334</v>
      </c>
      <c r="H846" s="72">
        <f>IF(OR($F846="",$G846=""),"",($G846-$F846)*24)</f>
        <v/>
      </c>
      <c r="I846" s="68" t="inlineStr">
        <is>
          <t>Collège</t>
        </is>
      </c>
      <c r="J846" s="69" t="inlineStr">
        <is>
          <t>8éme (B)</t>
        </is>
      </c>
      <c r="K846" s="67" t="inlineStr">
        <is>
          <t>Français</t>
        </is>
      </c>
      <c r="L846" s="67" t="inlineStr">
        <is>
          <t>Français</t>
        </is>
      </c>
      <c r="M846" s="69" t="inlineStr">
        <is>
          <t>Marwa</t>
        </is>
      </c>
      <c r="N846" s="68" t="n"/>
      <c r="O846" s="68" t="n"/>
      <c r="P846" s="68" t="inlineStr">
        <is>
          <t>Hebdomadaire</t>
        </is>
      </c>
      <c r="Q846" s="69" t="inlineStr"/>
      <c r="R846" s="68" t="n">
        <v>1</v>
      </c>
      <c r="S846" s="68" t="inlineStr">
        <is>
          <t>Oui</t>
        </is>
      </c>
      <c r="T846" s="68" t="inlineStr">
        <is>
          <t>S7-075</t>
        </is>
      </c>
      <c r="U846" s="69" t="inlineStr">
        <is>
          <t>Généré (octobre)</t>
        </is>
      </c>
      <c r="V846" s="69" t="inlineStr"/>
      <c r="W846" s="10" t="n"/>
      <c r="X846" s="10" t="inlineStr"/>
      <c r="Y846" s="64">
        <f>IF($M846="","",IF(SUMPRODUCT(($D$4:$D$863=$D846)*($M$4:$M$863=$M846)*($T$4:$T$863&lt;&gt;$T846)*($F$4:$F$863&lt;$G846)*($G$4:$G$863&gt;$F846))&gt;0,"⚠ CONFLIT",""))</f>
        <v/>
      </c>
      <c r="Z846" s="64">
        <f>IF($J846="","",IF(SUMPRODUCT(($D$4:$D$863=$D846)*($J$4:$J$863=$J846)*($T$4:$T$863&lt;&gt;$T846)*($F$4:$F$863&lt;$G846)*($G$4:$G$863&gt;$F846)*(1-($X$4:$X$863="Oui")*($X846="Oui")))&gt;0,"⚠ CONFLIT",""))</f>
        <v/>
      </c>
      <c r="AA846" s="64">
        <f>IF(COUNTIFS($D$4:$D$863,$D846,$J$4:$J$863,$J846,$F$4:$F$863,$F846,$K$4:$K$863,$K846)&gt;1,"⚠ DOUBLON","")</f>
        <v/>
      </c>
      <c r="AB846" s="64">
        <f>IF(COUNTIF($T$4:$T$863,$T846)&lt;&gt;COUNTIFS($T$4:$T$863,$T846,$D$4:$D$863,$D846,$F$4:$F$863,$F846,$G$4:$G$863,$G846,$K$4:$K$863,$K846,$M$4:$M$863,$M846),"⚠ INCOHÉRENT","")</f>
        <v/>
      </c>
      <c r="AC846" s="64">
        <f>COUNTIFS($A$4:$A846,$A846,$J$4:$J846,$J846,$E$4:$E846,$E846)</f>
        <v/>
      </c>
      <c r="AD846" s="65">
        <f>$A846&amp;"|"&amp;$J846&amp;"|"&amp;$E846&amp;"|"&amp;$AC846</f>
        <v/>
      </c>
      <c r="AE846" s="66">
        <f>IF($W846&lt;&gt;"","⚑ "&amp;$W846&amp;CHAR(10),"")&amp;TEXT($F846,"hh:mm")&amp;"-"&amp;TEXT($G846,"hh:mm")&amp;IF(OR($P846="Quinzaine A",AND($P846="Hebdo · groupes alternés",$C846="A"))," Q-A",IF(OR($P846="Quinzaine B",AND($P846="Hebdo · groupes alternés",$C846="B"))," Q-B",IF($P846="Exception"," PONCT.","")))&amp;IF($X846="Oui"," OPT","")&amp;CHAR(10)&amp;$K846&amp;CHAR(10)&amp;$M846&amp;IF($N846&lt;&gt;"",CHAR(10)&amp;"Salle "&amp;$N846,"")&amp;IF($O846="En ligne",CHAR(10)&amp;"EN LIGNE","")&amp;IF($V846&lt;&gt;"",CHAR(10)&amp;$V846,"")</f>
        <v/>
      </c>
      <c r="AF846" s="65" t="inlineStr"/>
      <c r="AG846" s="65" t="inlineStr">
        <is>
          <t>— généré —</t>
        </is>
      </c>
    </row>
    <row r="847" ht="15" customHeight="1">
      <c r="A847" s="68" t="inlineStr">
        <is>
          <t>S7</t>
        </is>
      </c>
      <c r="B847" s="69" t="inlineStr">
        <is>
          <t>du 26 octobre au 1er novembre 2026</t>
        </is>
      </c>
      <c r="C847" s="68" t="inlineStr">
        <is>
          <t>A</t>
        </is>
      </c>
      <c r="D847" s="70" t="n">
        <v>46327</v>
      </c>
      <c r="E847" s="68" t="inlineStr">
        <is>
          <t>Dimanche</t>
        </is>
      </c>
      <c r="F847" s="71" t="n">
        <v>0.4375</v>
      </c>
      <c r="G847" s="71" t="n">
        <v>0.5</v>
      </c>
      <c r="H847" s="72">
        <f>IF(OR($F847="",$G847=""),"",($G847-$F847)*24)</f>
        <v/>
      </c>
      <c r="I847" s="68" t="inlineStr">
        <is>
          <t>Collège</t>
        </is>
      </c>
      <c r="J847" s="69" t="inlineStr">
        <is>
          <t>9éme (A)</t>
        </is>
      </c>
      <c r="K847" s="87" t="inlineStr">
        <is>
          <t>Anglais</t>
        </is>
      </c>
      <c r="L847" s="87" t="inlineStr">
        <is>
          <t>Anglais</t>
        </is>
      </c>
      <c r="M847" s="69" t="inlineStr">
        <is>
          <t>Bassma</t>
        </is>
      </c>
      <c r="N847" s="68" t="n"/>
      <c r="O847" s="68" t="n"/>
      <c r="P847" s="68" t="inlineStr">
        <is>
          <t>Hebdomadaire</t>
        </is>
      </c>
      <c r="Q847" s="69" t="inlineStr"/>
      <c r="R847" s="68" t="n">
        <v>1</v>
      </c>
      <c r="S847" s="68" t="inlineStr">
        <is>
          <t>Oui</t>
        </is>
      </c>
      <c r="T847" s="68" t="inlineStr">
        <is>
          <t>S7-076</t>
        </is>
      </c>
      <c r="U847" s="69" t="inlineStr">
        <is>
          <t>Généré (octobre)</t>
        </is>
      </c>
      <c r="V847" s="69" t="inlineStr"/>
      <c r="W847" s="10" t="n"/>
      <c r="X847" s="10" t="inlineStr"/>
      <c r="Y847" s="64">
        <f>IF($M847="","",IF(SUMPRODUCT(($D$4:$D$863=$D847)*($M$4:$M$863=$M847)*($T$4:$T$863&lt;&gt;$T847)*($F$4:$F$863&lt;$G847)*($G$4:$G$863&gt;$F847))&gt;0,"⚠ CONFLIT",""))</f>
        <v/>
      </c>
      <c r="Z847" s="64">
        <f>IF($J847="","",IF(SUMPRODUCT(($D$4:$D$863=$D847)*($J$4:$J$863=$J847)*($T$4:$T$863&lt;&gt;$T847)*($F$4:$F$863&lt;$G847)*($G$4:$G$863&gt;$F847)*(1-($X$4:$X$863="Oui")*($X847="Oui")))&gt;0,"⚠ CONFLIT",""))</f>
        <v/>
      </c>
      <c r="AA847" s="64">
        <f>IF(COUNTIFS($D$4:$D$863,$D847,$J$4:$J$863,$J847,$F$4:$F$863,$F847,$K$4:$K$863,$K847)&gt;1,"⚠ DOUBLON","")</f>
        <v/>
      </c>
      <c r="AB847" s="64">
        <f>IF(COUNTIF($T$4:$T$863,$T847)&lt;&gt;COUNTIFS($T$4:$T$863,$T847,$D$4:$D$863,$D847,$F$4:$F$863,$F847,$G$4:$G$863,$G847,$K$4:$K$863,$K847,$M$4:$M$863,$M847),"⚠ INCOHÉRENT","")</f>
        <v/>
      </c>
      <c r="AC847" s="64">
        <f>COUNTIFS($A$4:$A847,$A847,$J$4:$J847,$J847,$E$4:$E847,$E847)</f>
        <v/>
      </c>
      <c r="AD847" s="65">
        <f>$A847&amp;"|"&amp;$J847&amp;"|"&amp;$E847&amp;"|"&amp;$AC847</f>
        <v/>
      </c>
      <c r="AE847" s="66">
        <f>IF($W847&lt;&gt;"","⚑ "&amp;$W847&amp;CHAR(10),"")&amp;TEXT($F847,"hh:mm")&amp;"-"&amp;TEXT($G847,"hh:mm")&amp;IF(OR($P847="Quinzaine A",AND($P847="Hebdo · groupes alternés",$C847="A"))," Q-A",IF(OR($P847="Quinzaine B",AND($P847="Hebdo · groupes alternés",$C847="B"))," Q-B",IF($P847="Exception"," PONCT.","")))&amp;IF($X847="Oui"," OPT","")&amp;CHAR(10)&amp;$K847&amp;CHAR(10)&amp;$M847&amp;IF($N847&lt;&gt;"",CHAR(10)&amp;"Salle "&amp;$N847,"")&amp;IF($O847="En ligne",CHAR(10)&amp;"EN LIGNE","")&amp;IF($V847&lt;&gt;"",CHAR(10)&amp;$V847,"")</f>
        <v/>
      </c>
      <c r="AF847" s="65" t="inlineStr"/>
      <c r="AG847" s="65" t="inlineStr">
        <is>
          <t>— généré —</t>
        </is>
      </c>
    </row>
    <row r="848" ht="15" customHeight="1">
      <c r="A848" s="68" t="inlineStr">
        <is>
          <t>S7</t>
        </is>
      </c>
      <c r="B848" s="69" t="inlineStr">
        <is>
          <t>du 26 octobre au 1er novembre 2026</t>
        </is>
      </c>
      <c r="C848" s="68" t="inlineStr">
        <is>
          <t>A</t>
        </is>
      </c>
      <c r="D848" s="70" t="n">
        <v>46327</v>
      </c>
      <c r="E848" s="68" t="inlineStr">
        <is>
          <t>Dimanche</t>
        </is>
      </c>
      <c r="F848" s="71" t="n">
        <v>0.6458333333333334</v>
      </c>
      <c r="G848" s="71" t="n">
        <v>0.7083333333333334</v>
      </c>
      <c r="H848" s="72">
        <f>IF(OR($F848="",$G848=""),"",($G848-$F848)*24)</f>
        <v/>
      </c>
      <c r="I848" s="68" t="inlineStr">
        <is>
          <t>Collège</t>
        </is>
      </c>
      <c r="J848" s="69" t="inlineStr">
        <is>
          <t>9éme (A)</t>
        </is>
      </c>
      <c r="K848" s="67" t="inlineStr">
        <is>
          <t>Français</t>
        </is>
      </c>
      <c r="L848" s="67" t="inlineStr">
        <is>
          <t>Français</t>
        </is>
      </c>
      <c r="M848" s="69" t="inlineStr">
        <is>
          <t>Nassima</t>
        </is>
      </c>
      <c r="N848" s="68" t="n"/>
      <c r="O848" s="68" t="n"/>
      <c r="P848" s="68" t="inlineStr">
        <is>
          <t>Hebdomadaire</t>
        </is>
      </c>
      <c r="Q848" s="69" t="inlineStr"/>
      <c r="R848" s="68" t="n">
        <v>1</v>
      </c>
      <c r="S848" s="68" t="inlineStr">
        <is>
          <t>Oui</t>
        </is>
      </c>
      <c r="T848" s="68" t="inlineStr">
        <is>
          <t>S7-077</t>
        </is>
      </c>
      <c r="U848" s="69" t="inlineStr">
        <is>
          <t>Généré (octobre)</t>
        </is>
      </c>
      <c r="V848" s="69" t="inlineStr"/>
      <c r="W848" s="10" t="n"/>
      <c r="X848" s="10" t="inlineStr"/>
      <c r="Y848" s="64">
        <f>IF($M848="","",IF(SUMPRODUCT(($D$4:$D$863=$D848)*($M$4:$M$863=$M848)*($T$4:$T$863&lt;&gt;$T848)*($F$4:$F$863&lt;$G848)*($G$4:$G$863&gt;$F848))&gt;0,"⚠ CONFLIT",""))</f>
        <v/>
      </c>
      <c r="Z848" s="64">
        <f>IF($J848="","",IF(SUMPRODUCT(($D$4:$D$863=$D848)*($J$4:$J$863=$J848)*($T$4:$T$863&lt;&gt;$T848)*($F$4:$F$863&lt;$G848)*($G$4:$G$863&gt;$F848)*(1-($X$4:$X$863="Oui")*($X848="Oui")))&gt;0,"⚠ CONFLIT",""))</f>
        <v/>
      </c>
      <c r="AA848" s="64">
        <f>IF(COUNTIFS($D$4:$D$863,$D848,$J$4:$J$863,$J848,$F$4:$F$863,$F848,$K$4:$K$863,$K848)&gt;1,"⚠ DOUBLON","")</f>
        <v/>
      </c>
      <c r="AB848" s="64">
        <f>IF(COUNTIF($T$4:$T$863,$T848)&lt;&gt;COUNTIFS($T$4:$T$863,$T848,$D$4:$D$863,$D848,$F$4:$F$863,$F848,$G$4:$G$863,$G848,$K$4:$K$863,$K848,$M$4:$M$863,$M848),"⚠ INCOHÉRENT","")</f>
        <v/>
      </c>
      <c r="AC848" s="64">
        <f>COUNTIFS($A$4:$A848,$A848,$J$4:$J848,$J848,$E$4:$E848,$E848)</f>
        <v/>
      </c>
      <c r="AD848" s="65">
        <f>$A848&amp;"|"&amp;$J848&amp;"|"&amp;$E848&amp;"|"&amp;$AC848</f>
        <v/>
      </c>
      <c r="AE848" s="66">
        <f>IF($W848&lt;&gt;"","⚑ "&amp;$W848&amp;CHAR(10),"")&amp;TEXT($F848,"hh:mm")&amp;"-"&amp;TEXT($G848,"hh:mm")&amp;IF(OR($P848="Quinzaine A",AND($P848="Hebdo · groupes alternés",$C848="A"))," Q-A",IF(OR($P848="Quinzaine B",AND($P848="Hebdo · groupes alternés",$C848="B"))," Q-B",IF($P848="Exception"," PONCT.","")))&amp;IF($X848="Oui"," OPT","")&amp;CHAR(10)&amp;$K848&amp;CHAR(10)&amp;$M848&amp;IF($N848&lt;&gt;"",CHAR(10)&amp;"Salle "&amp;$N848,"")&amp;IF($O848="En ligne",CHAR(10)&amp;"EN LIGNE","")&amp;IF($V848&lt;&gt;"",CHAR(10)&amp;$V848,"")</f>
        <v/>
      </c>
      <c r="AF848" s="65" t="inlineStr"/>
      <c r="AG848" s="65" t="inlineStr">
        <is>
          <t>— généré —</t>
        </is>
      </c>
    </row>
    <row r="849" ht="15" customHeight="1">
      <c r="A849" s="68" t="inlineStr">
        <is>
          <t>S7</t>
        </is>
      </c>
      <c r="B849" s="69" t="inlineStr">
        <is>
          <t>du 26 octobre au 1er novembre 2026</t>
        </is>
      </c>
      <c r="C849" s="68" t="inlineStr">
        <is>
          <t>A</t>
        </is>
      </c>
      <c r="D849" s="70" t="n">
        <v>46327</v>
      </c>
      <c r="E849" s="68" t="inlineStr">
        <is>
          <t>Dimanche</t>
        </is>
      </c>
      <c r="F849" s="71" t="n">
        <v>0.375</v>
      </c>
      <c r="G849" s="71" t="n">
        <v>0.4375</v>
      </c>
      <c r="H849" s="72">
        <f>IF(OR($F849="",$G849=""),"",($G849-$F849)*24)</f>
        <v/>
      </c>
      <c r="I849" s="68" t="inlineStr">
        <is>
          <t>Collège</t>
        </is>
      </c>
      <c r="J849" s="69" t="inlineStr">
        <is>
          <t>9éme (B)</t>
        </is>
      </c>
      <c r="K849" s="87" t="inlineStr">
        <is>
          <t>Anglais</t>
        </is>
      </c>
      <c r="L849" s="87" t="inlineStr">
        <is>
          <t>Anglais</t>
        </is>
      </c>
      <c r="M849" s="69" t="inlineStr">
        <is>
          <t>Bassma</t>
        </is>
      </c>
      <c r="N849" s="68" t="n"/>
      <c r="O849" s="68" t="n"/>
      <c r="P849" s="68" t="inlineStr">
        <is>
          <t>Hebdomadaire</t>
        </is>
      </c>
      <c r="Q849" s="69" t="inlineStr"/>
      <c r="R849" s="68" t="n">
        <v>1</v>
      </c>
      <c r="S849" s="68" t="inlineStr">
        <is>
          <t>Oui</t>
        </is>
      </c>
      <c r="T849" s="68" t="inlineStr">
        <is>
          <t>S7-078</t>
        </is>
      </c>
      <c r="U849" s="69" t="inlineStr">
        <is>
          <t>Généré (octobre)</t>
        </is>
      </c>
      <c r="V849" s="69" t="inlineStr"/>
      <c r="W849" s="10" t="n"/>
      <c r="X849" s="10" t="inlineStr"/>
      <c r="Y849" s="64">
        <f>IF($M849="","",IF(SUMPRODUCT(($D$4:$D$863=$D849)*($M$4:$M$863=$M849)*($T$4:$T$863&lt;&gt;$T849)*($F$4:$F$863&lt;$G849)*($G$4:$G$863&gt;$F849))&gt;0,"⚠ CONFLIT",""))</f>
        <v/>
      </c>
      <c r="Z849" s="64">
        <f>IF($J849="","",IF(SUMPRODUCT(($D$4:$D$863=$D849)*($J$4:$J$863=$J849)*($T$4:$T$863&lt;&gt;$T849)*($F$4:$F$863&lt;$G849)*($G$4:$G$863&gt;$F849)*(1-($X$4:$X$863="Oui")*($X849="Oui")))&gt;0,"⚠ CONFLIT",""))</f>
        <v/>
      </c>
      <c r="AA849" s="64">
        <f>IF(COUNTIFS($D$4:$D$863,$D849,$J$4:$J$863,$J849,$F$4:$F$863,$F849,$K$4:$K$863,$K849)&gt;1,"⚠ DOUBLON","")</f>
        <v/>
      </c>
      <c r="AB849" s="64">
        <f>IF(COUNTIF($T$4:$T$863,$T849)&lt;&gt;COUNTIFS($T$4:$T$863,$T849,$D$4:$D$863,$D849,$F$4:$F$863,$F849,$G$4:$G$863,$G849,$K$4:$K$863,$K849,$M$4:$M$863,$M849),"⚠ INCOHÉRENT","")</f>
        <v/>
      </c>
      <c r="AC849" s="64">
        <f>COUNTIFS($A$4:$A849,$A849,$J$4:$J849,$J849,$E$4:$E849,$E849)</f>
        <v/>
      </c>
      <c r="AD849" s="65">
        <f>$A849&amp;"|"&amp;$J849&amp;"|"&amp;$E849&amp;"|"&amp;$AC849</f>
        <v/>
      </c>
      <c r="AE849" s="66">
        <f>IF($W849&lt;&gt;"","⚑ "&amp;$W849&amp;CHAR(10),"")&amp;TEXT($F849,"hh:mm")&amp;"-"&amp;TEXT($G849,"hh:mm")&amp;IF(OR($P849="Quinzaine A",AND($P849="Hebdo · groupes alternés",$C849="A"))," Q-A",IF(OR($P849="Quinzaine B",AND($P849="Hebdo · groupes alternés",$C849="B"))," Q-B",IF($P849="Exception"," PONCT.","")))&amp;IF($X849="Oui"," OPT","")&amp;CHAR(10)&amp;$K849&amp;CHAR(10)&amp;$M849&amp;IF($N849&lt;&gt;"",CHAR(10)&amp;"Salle "&amp;$N849,"")&amp;IF($O849="En ligne",CHAR(10)&amp;"EN LIGNE","")&amp;IF($V849&lt;&gt;"",CHAR(10)&amp;$V849,"")</f>
        <v/>
      </c>
      <c r="AF849" s="65" t="inlineStr"/>
      <c r="AG849" s="65" t="inlineStr">
        <is>
          <t>— généré —</t>
        </is>
      </c>
    </row>
    <row r="850" ht="15" customHeight="1">
      <c r="A850" s="68" t="inlineStr">
        <is>
          <t>S7</t>
        </is>
      </c>
      <c r="B850" s="69" t="inlineStr">
        <is>
          <t>du 26 octobre au 1er novembre 2026</t>
        </is>
      </c>
      <c r="C850" s="68" t="inlineStr">
        <is>
          <t>A</t>
        </is>
      </c>
      <c r="D850" s="70" t="n">
        <v>46327</v>
      </c>
      <c r="E850" s="68" t="inlineStr">
        <is>
          <t>Dimanche</t>
        </is>
      </c>
      <c r="F850" s="71" t="n">
        <v>0.7083333333333334</v>
      </c>
      <c r="G850" s="71" t="n">
        <v>0.7708333333333334</v>
      </c>
      <c r="H850" s="72">
        <f>IF(OR($F850="",$G850=""),"",($G850-$F850)*24)</f>
        <v/>
      </c>
      <c r="I850" s="68" t="inlineStr">
        <is>
          <t>Collège</t>
        </is>
      </c>
      <c r="J850" s="69" t="inlineStr">
        <is>
          <t>9éme (B)</t>
        </is>
      </c>
      <c r="K850" s="67" t="inlineStr">
        <is>
          <t>Français</t>
        </is>
      </c>
      <c r="L850" s="67" t="inlineStr">
        <is>
          <t>Français</t>
        </is>
      </c>
      <c r="M850" s="69" t="inlineStr">
        <is>
          <t>Nassima</t>
        </is>
      </c>
      <c r="N850" s="68" t="n"/>
      <c r="O850" s="68" t="n"/>
      <c r="P850" s="68" t="inlineStr">
        <is>
          <t>Hebdomadaire</t>
        </is>
      </c>
      <c r="Q850" s="69" t="inlineStr">
        <is>
          <t>9éme (B) + 9éme (C)</t>
        </is>
      </c>
      <c r="R850" s="68" t="n">
        <v>2</v>
      </c>
      <c r="S850" s="68" t="inlineStr">
        <is>
          <t>Oui</t>
        </is>
      </c>
      <c r="T850" s="68" t="inlineStr">
        <is>
          <t>S7-079</t>
        </is>
      </c>
      <c r="U850" s="69" t="inlineStr">
        <is>
          <t>Généré (octobre)</t>
        </is>
      </c>
      <c r="V850" s="69" t="inlineStr"/>
      <c r="W850" s="10" t="n"/>
      <c r="X850" s="10" t="inlineStr"/>
      <c r="Y850" s="64">
        <f>IF($M850="","",IF(SUMPRODUCT(($D$4:$D$863=$D850)*($M$4:$M$863=$M850)*($T$4:$T$863&lt;&gt;$T850)*($F$4:$F$863&lt;$G850)*($G$4:$G$863&gt;$F850))&gt;0,"⚠ CONFLIT",""))</f>
        <v/>
      </c>
      <c r="Z850" s="64">
        <f>IF($J850="","",IF(SUMPRODUCT(($D$4:$D$863=$D850)*($J$4:$J$863=$J850)*($T$4:$T$863&lt;&gt;$T850)*($F$4:$F$863&lt;$G850)*($G$4:$G$863&gt;$F850)*(1-($X$4:$X$863="Oui")*($X850="Oui")))&gt;0,"⚠ CONFLIT",""))</f>
        <v/>
      </c>
      <c r="AA850" s="64">
        <f>IF(COUNTIFS($D$4:$D$863,$D850,$J$4:$J$863,$J850,$F$4:$F$863,$F850,$K$4:$K$863,$K850)&gt;1,"⚠ DOUBLON","")</f>
        <v/>
      </c>
      <c r="AB850" s="64">
        <f>IF(COUNTIF($T$4:$T$863,$T850)&lt;&gt;COUNTIFS($T$4:$T$863,$T850,$D$4:$D$863,$D850,$F$4:$F$863,$F850,$G$4:$G$863,$G850,$K$4:$K$863,$K850,$M$4:$M$863,$M850),"⚠ INCOHÉRENT","")</f>
        <v/>
      </c>
      <c r="AC850" s="64">
        <f>COUNTIFS($A$4:$A850,$A850,$J$4:$J850,$J850,$E$4:$E850,$E850)</f>
        <v/>
      </c>
      <c r="AD850" s="65">
        <f>$A850&amp;"|"&amp;$J850&amp;"|"&amp;$E850&amp;"|"&amp;$AC850</f>
        <v/>
      </c>
      <c r="AE850" s="66">
        <f>IF($W850&lt;&gt;"","⚑ "&amp;$W850&amp;CHAR(10),"")&amp;TEXT($F850,"hh:mm")&amp;"-"&amp;TEXT($G850,"hh:mm")&amp;IF(OR($P850="Quinzaine A",AND($P850="Hebdo · groupes alternés",$C850="A"))," Q-A",IF(OR($P850="Quinzaine B",AND($P850="Hebdo · groupes alternés",$C850="B"))," Q-B",IF($P850="Exception"," PONCT.","")))&amp;IF($X850="Oui"," OPT","")&amp;CHAR(10)&amp;$K850&amp;CHAR(10)&amp;$M850&amp;IF($N850&lt;&gt;"",CHAR(10)&amp;"Salle "&amp;$N850,"")&amp;IF($O850="En ligne",CHAR(10)&amp;"EN LIGNE","")&amp;IF($V850&lt;&gt;"",CHAR(10)&amp;$V850,"")</f>
        <v/>
      </c>
      <c r="AF850" s="65" t="inlineStr"/>
      <c r="AG850" s="65" t="inlineStr">
        <is>
          <t>— généré —</t>
        </is>
      </c>
    </row>
    <row r="851" ht="15" customHeight="1">
      <c r="A851" s="68" t="inlineStr">
        <is>
          <t>S7</t>
        </is>
      </c>
      <c r="B851" s="69" t="inlineStr">
        <is>
          <t>du 26 octobre au 1er novembre 2026</t>
        </is>
      </c>
      <c r="C851" s="68" t="inlineStr">
        <is>
          <t>A</t>
        </is>
      </c>
      <c r="D851" s="70" t="n">
        <v>46327</v>
      </c>
      <c r="E851" s="68" t="inlineStr">
        <is>
          <t>Dimanche</t>
        </is>
      </c>
      <c r="F851" s="71" t="n">
        <v>0.7083333333333334</v>
      </c>
      <c r="G851" s="71" t="n">
        <v>0.7708333333333334</v>
      </c>
      <c r="H851" s="72">
        <f>IF(OR($F851="",$G851=""),"",($G851-$F851)*24)</f>
        <v/>
      </c>
      <c r="I851" s="68" t="inlineStr">
        <is>
          <t>Collège</t>
        </is>
      </c>
      <c r="J851" s="69" t="inlineStr">
        <is>
          <t>9éme (C)</t>
        </is>
      </c>
      <c r="K851" s="67" t="inlineStr">
        <is>
          <t>Français</t>
        </is>
      </c>
      <c r="L851" s="67" t="inlineStr">
        <is>
          <t>Français</t>
        </is>
      </c>
      <c r="M851" s="69" t="inlineStr">
        <is>
          <t>Nassima</t>
        </is>
      </c>
      <c r="N851" s="68" t="n"/>
      <c r="O851" s="68" t="n"/>
      <c r="P851" s="68" t="inlineStr">
        <is>
          <t>Hebdomadaire</t>
        </is>
      </c>
      <c r="Q851" s="69" t="inlineStr">
        <is>
          <t>9éme (B) + 9éme (C)</t>
        </is>
      </c>
      <c r="R851" s="68" t="n">
        <v>2</v>
      </c>
      <c r="S851" s="68" t="inlineStr"/>
      <c r="T851" s="68" t="inlineStr">
        <is>
          <t>S7-079</t>
        </is>
      </c>
      <c r="U851" s="69" t="inlineStr">
        <is>
          <t>Généré (octobre)</t>
        </is>
      </c>
      <c r="V851" s="69" t="inlineStr"/>
      <c r="W851" s="10" t="n"/>
      <c r="X851" s="10" t="inlineStr"/>
      <c r="Y851" s="64">
        <f>IF($M851="","",IF(SUMPRODUCT(($D$4:$D$863=$D851)*($M$4:$M$863=$M851)*($T$4:$T$863&lt;&gt;$T851)*($F$4:$F$863&lt;$G851)*($G$4:$G$863&gt;$F851))&gt;0,"⚠ CONFLIT",""))</f>
        <v/>
      </c>
      <c r="Z851" s="64">
        <f>IF($J851="","",IF(SUMPRODUCT(($D$4:$D$863=$D851)*($J$4:$J$863=$J851)*($T$4:$T$863&lt;&gt;$T851)*($F$4:$F$863&lt;$G851)*($G$4:$G$863&gt;$F851)*(1-($X$4:$X$863="Oui")*($X851="Oui")))&gt;0,"⚠ CONFLIT",""))</f>
        <v/>
      </c>
      <c r="AA851" s="64">
        <f>IF(COUNTIFS($D$4:$D$863,$D851,$J$4:$J$863,$J851,$F$4:$F$863,$F851,$K$4:$K$863,$K851)&gt;1,"⚠ DOUBLON","")</f>
        <v/>
      </c>
      <c r="AB851" s="64">
        <f>IF(COUNTIF($T$4:$T$863,$T851)&lt;&gt;COUNTIFS($T$4:$T$863,$T851,$D$4:$D$863,$D851,$F$4:$F$863,$F851,$G$4:$G$863,$G851,$K$4:$K$863,$K851,$M$4:$M$863,$M851),"⚠ INCOHÉRENT","")</f>
        <v/>
      </c>
      <c r="AC851" s="64">
        <f>COUNTIFS($A$4:$A851,$A851,$J$4:$J851,$J851,$E$4:$E851,$E851)</f>
        <v/>
      </c>
      <c r="AD851" s="65">
        <f>$A851&amp;"|"&amp;$J851&amp;"|"&amp;$E851&amp;"|"&amp;$AC851</f>
        <v/>
      </c>
      <c r="AE851" s="66">
        <f>IF($W851&lt;&gt;"","⚑ "&amp;$W851&amp;CHAR(10),"")&amp;TEXT($F851,"hh:mm")&amp;"-"&amp;TEXT($G851,"hh:mm")&amp;IF(OR($P851="Quinzaine A",AND($P851="Hebdo · groupes alternés",$C851="A"))," Q-A",IF(OR($P851="Quinzaine B",AND($P851="Hebdo · groupes alternés",$C851="B"))," Q-B",IF($P851="Exception"," PONCT.","")))&amp;IF($X851="Oui"," OPT","")&amp;CHAR(10)&amp;$K851&amp;CHAR(10)&amp;$M851&amp;IF($N851&lt;&gt;"",CHAR(10)&amp;"Salle "&amp;$N851,"")&amp;IF($O851="En ligne",CHAR(10)&amp;"EN LIGNE","")&amp;IF($V851&lt;&gt;"",CHAR(10)&amp;$V851,"")</f>
        <v/>
      </c>
      <c r="AF851" s="65" t="inlineStr"/>
      <c r="AG851" s="65" t="inlineStr">
        <is>
          <t>— généré —</t>
        </is>
      </c>
    </row>
    <row r="852" ht="15" customHeight="1">
      <c r="A852" s="74" t="inlineStr">
        <is>
          <t>S7</t>
        </is>
      </c>
      <c r="B852" s="75" t="inlineStr">
        <is>
          <t>du 26 octobre au 1er novembre 2026</t>
        </is>
      </c>
      <c r="C852" s="74" t="inlineStr">
        <is>
          <t>A</t>
        </is>
      </c>
      <c r="D852" s="76" t="n">
        <v>46327</v>
      </c>
      <c r="E852" s="74" t="inlineStr">
        <is>
          <t>Dimanche</t>
        </is>
      </c>
      <c r="F852" s="77" t="n">
        <v>0.375</v>
      </c>
      <c r="G852" s="77" t="n">
        <v>0.4375</v>
      </c>
      <c r="H852" s="78">
        <f>IF(OR($F852="",$G852=""),"",($G852-$F852)*24)</f>
        <v/>
      </c>
      <c r="I852" s="74" t="inlineStr">
        <is>
          <t>Secondaire</t>
        </is>
      </c>
      <c r="J852" s="75" t="inlineStr">
        <is>
          <t>1ére (A)</t>
        </is>
      </c>
      <c r="K852" s="73" t="inlineStr">
        <is>
          <t>Physique</t>
        </is>
      </c>
      <c r="L852" s="73" t="inlineStr">
        <is>
          <t>Physique</t>
        </is>
      </c>
      <c r="M852" s="75" t="inlineStr">
        <is>
          <t>Refka</t>
        </is>
      </c>
      <c r="N852" s="74" t="n"/>
      <c r="O852" s="74" t="n"/>
      <c r="P852" s="74" t="inlineStr">
        <is>
          <t>Hebdomadaire</t>
        </is>
      </c>
      <c r="Q852" s="75" t="inlineStr"/>
      <c r="R852" s="74" t="n">
        <v>1</v>
      </c>
      <c r="S852" s="74" t="inlineStr">
        <is>
          <t>Oui</t>
        </is>
      </c>
      <c r="T852" s="74" t="inlineStr">
        <is>
          <t>S7-080</t>
        </is>
      </c>
      <c r="U852" s="75" t="inlineStr">
        <is>
          <t>Généré (octobre)</t>
        </is>
      </c>
      <c r="V852" s="75" t="inlineStr"/>
      <c r="W852" s="10" t="n"/>
      <c r="X852" s="10" t="inlineStr"/>
      <c r="Y852" s="64">
        <f>IF($M852="","",IF(SUMPRODUCT(($D$4:$D$863=$D852)*($M$4:$M$863=$M852)*($T$4:$T$863&lt;&gt;$T852)*($F$4:$F$863&lt;$G852)*($G$4:$G$863&gt;$F852))&gt;0,"⚠ CONFLIT",""))</f>
        <v/>
      </c>
      <c r="Z852" s="64">
        <f>IF($J852="","",IF(SUMPRODUCT(($D$4:$D$863=$D852)*($J$4:$J$863=$J852)*($T$4:$T$863&lt;&gt;$T852)*($F$4:$F$863&lt;$G852)*($G$4:$G$863&gt;$F852)*(1-($X$4:$X$863="Oui")*($X852="Oui")))&gt;0,"⚠ CONFLIT",""))</f>
        <v/>
      </c>
      <c r="AA852" s="64">
        <f>IF(COUNTIFS($D$4:$D$863,$D852,$J$4:$J$863,$J852,$F$4:$F$863,$F852,$K$4:$K$863,$K852)&gt;1,"⚠ DOUBLON","")</f>
        <v/>
      </c>
      <c r="AB852" s="64">
        <f>IF(COUNTIF($T$4:$T$863,$T852)&lt;&gt;COUNTIFS($T$4:$T$863,$T852,$D$4:$D$863,$D852,$F$4:$F$863,$F852,$G$4:$G$863,$G852,$K$4:$K$863,$K852,$M$4:$M$863,$M852),"⚠ INCOHÉRENT","")</f>
        <v/>
      </c>
      <c r="AC852" s="64">
        <f>COUNTIFS($A$4:$A852,$A852,$J$4:$J852,$J852,$E$4:$E852,$E852)</f>
        <v/>
      </c>
      <c r="AD852" s="65">
        <f>$A852&amp;"|"&amp;$J852&amp;"|"&amp;$E852&amp;"|"&amp;$AC852</f>
        <v/>
      </c>
      <c r="AE852" s="66">
        <f>IF($W852&lt;&gt;"","⚑ "&amp;$W852&amp;CHAR(10),"")&amp;TEXT($F852,"hh:mm")&amp;"-"&amp;TEXT($G852,"hh:mm")&amp;IF(OR($P852="Quinzaine A",AND($P852="Hebdo · groupes alternés",$C852="A"))," Q-A",IF(OR($P852="Quinzaine B",AND($P852="Hebdo · groupes alternés",$C852="B"))," Q-B",IF($P852="Exception"," PONCT.","")))&amp;IF($X852="Oui"," OPT","")&amp;CHAR(10)&amp;$K852&amp;CHAR(10)&amp;$M852&amp;IF($N852&lt;&gt;"",CHAR(10)&amp;"Salle "&amp;$N852,"")&amp;IF($O852="En ligne",CHAR(10)&amp;"EN LIGNE","")&amp;IF($V852&lt;&gt;"",CHAR(10)&amp;$V852,"")</f>
        <v/>
      </c>
      <c r="AF852" s="65" t="inlineStr"/>
      <c r="AG852" s="65" t="inlineStr">
        <is>
          <t>— généré —</t>
        </is>
      </c>
    </row>
    <row r="853" ht="15" customHeight="1">
      <c r="A853" s="74" t="inlineStr">
        <is>
          <t>S7</t>
        </is>
      </c>
      <c r="B853" s="75" t="inlineStr">
        <is>
          <t>du 26 octobre au 1er novembre 2026</t>
        </is>
      </c>
      <c r="C853" s="74" t="inlineStr">
        <is>
          <t>A</t>
        </is>
      </c>
      <c r="D853" s="76" t="n">
        <v>46327</v>
      </c>
      <c r="E853" s="74" t="inlineStr">
        <is>
          <t>Dimanche</t>
        </is>
      </c>
      <c r="F853" s="77" t="n">
        <v>0.5416666666666666</v>
      </c>
      <c r="G853" s="77" t="n">
        <v>0.6041666666666666</v>
      </c>
      <c r="H853" s="78">
        <f>IF(OR($F853="",$G853=""),"",($G853-$F853)*24)</f>
        <v/>
      </c>
      <c r="I853" s="74" t="inlineStr">
        <is>
          <t>Secondaire</t>
        </is>
      </c>
      <c r="J853" s="75" t="inlineStr">
        <is>
          <t>1ére (A)</t>
        </is>
      </c>
      <c r="K853" s="88" t="inlineStr">
        <is>
          <t>SVT</t>
        </is>
      </c>
      <c r="L853" s="88" t="inlineStr">
        <is>
          <t>SVT</t>
        </is>
      </c>
      <c r="M853" s="75" t="inlineStr">
        <is>
          <t>Imen Ghoumeme</t>
        </is>
      </c>
      <c r="N853" s="74" t="n"/>
      <c r="O853" s="74" t="n"/>
      <c r="P853" s="74" t="inlineStr">
        <is>
          <t>Quinzaine A</t>
        </is>
      </c>
      <c r="Q853" s="75" t="inlineStr"/>
      <c r="R853" s="74" t="n">
        <v>1</v>
      </c>
      <c r="S853" s="74" t="inlineStr">
        <is>
          <t>Oui</t>
        </is>
      </c>
      <c r="T853" s="74" t="inlineStr">
        <is>
          <t>S7-101</t>
        </is>
      </c>
      <c r="U853" s="75" t="inlineStr">
        <is>
          <t>Généré (octobre)</t>
        </is>
      </c>
      <c r="V853" s="75" t="inlineStr"/>
      <c r="W853" s="10" t="n"/>
      <c r="X853" s="10" t="inlineStr"/>
      <c r="Y853" s="64">
        <f>IF($M853="","",IF(SUMPRODUCT(($D$4:$D$863=$D853)*($M$4:$M$863=$M853)*($T$4:$T$863&lt;&gt;$T853)*($F$4:$F$863&lt;$G853)*($G$4:$G$863&gt;$F853))&gt;0,"⚠ CONFLIT",""))</f>
        <v/>
      </c>
      <c r="Z853" s="64">
        <f>IF($J853="","",IF(SUMPRODUCT(($D$4:$D$863=$D853)*($J$4:$J$863=$J853)*($T$4:$T$863&lt;&gt;$T853)*($F$4:$F$863&lt;$G853)*($G$4:$G$863&gt;$F853)*(1-($X$4:$X$863="Oui")*($X853="Oui")))&gt;0,"⚠ CONFLIT",""))</f>
        <v/>
      </c>
      <c r="AA853" s="64">
        <f>IF(COUNTIFS($D$4:$D$863,$D853,$J$4:$J$863,$J853,$F$4:$F$863,$F853,$K$4:$K$863,$K853)&gt;1,"⚠ DOUBLON","")</f>
        <v/>
      </c>
      <c r="AB853" s="64">
        <f>IF(COUNTIF($T$4:$T$863,$T853)&lt;&gt;COUNTIFS($T$4:$T$863,$T853,$D$4:$D$863,$D853,$F$4:$F$863,$F853,$G$4:$G$863,$G853,$K$4:$K$863,$K853,$M$4:$M$863,$M853),"⚠ INCOHÉRENT","")</f>
        <v/>
      </c>
      <c r="AC853" s="64">
        <f>COUNTIFS($A$4:$A853,$A853,$J$4:$J853,$J853,$E$4:$E853,$E853)</f>
        <v/>
      </c>
      <c r="AD853" s="65">
        <f>$A853&amp;"|"&amp;$J853&amp;"|"&amp;$E853&amp;"|"&amp;$AC853</f>
        <v/>
      </c>
      <c r="AE853" s="66">
        <f>IF($W853&lt;&gt;"","⚑ "&amp;$W853&amp;CHAR(10),"")&amp;TEXT($F853,"hh:mm")&amp;"-"&amp;TEXT($G853,"hh:mm")&amp;IF(OR($P853="Quinzaine A",AND($P853="Hebdo · groupes alternés",$C853="A"))," Q-A",IF(OR($P853="Quinzaine B",AND($P853="Hebdo · groupes alternés",$C853="B"))," Q-B",IF($P853="Exception"," PONCT.","")))&amp;IF($X853="Oui"," OPT","")&amp;CHAR(10)&amp;$K853&amp;CHAR(10)&amp;$M853&amp;IF($N853&lt;&gt;"",CHAR(10)&amp;"Salle "&amp;$N853,"")&amp;IF($O853="En ligne",CHAR(10)&amp;"EN LIGNE","")&amp;IF($V853&lt;&gt;"",CHAR(10)&amp;$V853,"")</f>
        <v/>
      </c>
      <c r="AF853" s="65" t="inlineStr"/>
      <c r="AG853" s="65" t="inlineStr">
        <is>
          <t>— généré —</t>
        </is>
      </c>
    </row>
    <row r="854" ht="15" customHeight="1">
      <c r="A854" s="74" t="inlineStr">
        <is>
          <t>S7</t>
        </is>
      </c>
      <c r="B854" s="75" t="inlineStr">
        <is>
          <t>du 26 octobre au 1er novembre 2026</t>
        </is>
      </c>
      <c r="C854" s="74" t="inlineStr">
        <is>
          <t>A</t>
        </is>
      </c>
      <c r="D854" s="76" t="n">
        <v>46327</v>
      </c>
      <c r="E854" s="74" t="inlineStr">
        <is>
          <t>Dimanche</t>
        </is>
      </c>
      <c r="F854" s="77" t="n">
        <v>0.4375</v>
      </c>
      <c r="G854" s="77" t="n">
        <v>0.5</v>
      </c>
      <c r="H854" s="78">
        <f>IF(OR($F854="",$G854=""),"",($G854-$F854)*24)</f>
        <v/>
      </c>
      <c r="I854" s="74" t="inlineStr">
        <is>
          <t>Secondaire</t>
        </is>
      </c>
      <c r="J854" s="75" t="inlineStr">
        <is>
          <t>1ére (B)</t>
        </is>
      </c>
      <c r="K854" s="73" t="inlineStr">
        <is>
          <t>Physique</t>
        </is>
      </c>
      <c r="L854" s="73" t="inlineStr">
        <is>
          <t>Physique</t>
        </is>
      </c>
      <c r="M854" s="75" t="inlineStr">
        <is>
          <t>Refka</t>
        </is>
      </c>
      <c r="N854" s="74" t="n"/>
      <c r="O854" s="74" t="n"/>
      <c r="P854" s="74" t="inlineStr">
        <is>
          <t>Hebdomadaire</t>
        </is>
      </c>
      <c r="Q854" s="75" t="inlineStr"/>
      <c r="R854" s="74" t="n">
        <v>1</v>
      </c>
      <c r="S854" s="74" t="inlineStr">
        <is>
          <t>Oui</t>
        </is>
      </c>
      <c r="T854" s="74" t="inlineStr">
        <is>
          <t>S7-081</t>
        </is>
      </c>
      <c r="U854" s="75" t="inlineStr">
        <is>
          <t>Généré (octobre)</t>
        </is>
      </c>
      <c r="V854" s="75" t="inlineStr"/>
      <c r="W854" s="10" t="n"/>
      <c r="X854" s="10" t="inlineStr"/>
      <c r="Y854" s="64">
        <f>IF($M854="","",IF(SUMPRODUCT(($D$4:$D$863=$D854)*($M$4:$M$863=$M854)*($T$4:$T$863&lt;&gt;$T854)*($F$4:$F$863&lt;$G854)*($G$4:$G$863&gt;$F854))&gt;0,"⚠ CONFLIT",""))</f>
        <v/>
      </c>
      <c r="Z854" s="64">
        <f>IF($J854="","",IF(SUMPRODUCT(($D$4:$D$863=$D854)*($J$4:$J$863=$J854)*($T$4:$T$863&lt;&gt;$T854)*($F$4:$F$863&lt;$G854)*($G$4:$G$863&gt;$F854)*(1-($X$4:$X$863="Oui")*($X854="Oui")))&gt;0,"⚠ CONFLIT",""))</f>
        <v/>
      </c>
      <c r="AA854" s="64">
        <f>IF(COUNTIFS($D$4:$D$863,$D854,$J$4:$J$863,$J854,$F$4:$F$863,$F854,$K$4:$K$863,$K854)&gt;1,"⚠ DOUBLON","")</f>
        <v/>
      </c>
      <c r="AB854" s="64">
        <f>IF(COUNTIF($T$4:$T$863,$T854)&lt;&gt;COUNTIFS($T$4:$T$863,$T854,$D$4:$D$863,$D854,$F$4:$F$863,$F854,$G$4:$G$863,$G854,$K$4:$K$863,$K854,$M$4:$M$863,$M854),"⚠ INCOHÉRENT","")</f>
        <v/>
      </c>
      <c r="AC854" s="64">
        <f>COUNTIFS($A$4:$A854,$A854,$J$4:$J854,$J854,$E$4:$E854,$E854)</f>
        <v/>
      </c>
      <c r="AD854" s="65">
        <f>$A854&amp;"|"&amp;$J854&amp;"|"&amp;$E854&amp;"|"&amp;$AC854</f>
        <v/>
      </c>
      <c r="AE854" s="66">
        <f>IF($W854&lt;&gt;"","⚑ "&amp;$W854&amp;CHAR(10),"")&amp;TEXT($F854,"hh:mm")&amp;"-"&amp;TEXT($G854,"hh:mm")&amp;IF(OR($P854="Quinzaine A",AND($P854="Hebdo · groupes alternés",$C854="A"))," Q-A",IF(OR($P854="Quinzaine B",AND($P854="Hebdo · groupes alternés",$C854="B"))," Q-B",IF($P854="Exception"," PONCT.","")))&amp;IF($X854="Oui"," OPT","")&amp;CHAR(10)&amp;$K854&amp;CHAR(10)&amp;$M854&amp;IF($N854&lt;&gt;"",CHAR(10)&amp;"Salle "&amp;$N854,"")&amp;IF($O854="En ligne",CHAR(10)&amp;"EN LIGNE","")&amp;IF($V854&lt;&gt;"",CHAR(10)&amp;$V854,"")</f>
        <v/>
      </c>
      <c r="AF854" s="65" t="inlineStr"/>
      <c r="AG854" s="65" t="inlineStr">
        <is>
          <t>— généré —</t>
        </is>
      </c>
    </row>
    <row r="855" ht="15" customHeight="1">
      <c r="A855" s="74" t="inlineStr">
        <is>
          <t>S7</t>
        </is>
      </c>
      <c r="B855" s="75" t="inlineStr">
        <is>
          <t>du 26 octobre au 1er novembre 2026</t>
        </is>
      </c>
      <c r="C855" s="74" t="inlineStr">
        <is>
          <t>A</t>
        </is>
      </c>
      <c r="D855" s="76" t="n">
        <v>46327</v>
      </c>
      <c r="E855" s="74" t="inlineStr">
        <is>
          <t>Dimanche</t>
        </is>
      </c>
      <c r="F855" s="77" t="n">
        <v>0.375</v>
      </c>
      <c r="G855" s="77" t="n">
        <v>0.4375</v>
      </c>
      <c r="H855" s="78">
        <f>IF(OR($F855="",$G855=""),"",($G855-$F855)*24)</f>
        <v/>
      </c>
      <c r="I855" s="74" t="inlineStr">
        <is>
          <t>Secondaire</t>
        </is>
      </c>
      <c r="J855" s="75" t="inlineStr">
        <is>
          <t>2éme Eco</t>
        </is>
      </c>
      <c r="K855" s="95" t="inlineStr">
        <is>
          <t>Eco</t>
        </is>
      </c>
      <c r="L855" s="95" t="inlineStr">
        <is>
          <t>Eco</t>
        </is>
      </c>
      <c r="M855" s="75" t="inlineStr">
        <is>
          <t>Rym</t>
        </is>
      </c>
      <c r="N855" s="74" t="n"/>
      <c r="O855" s="74" t="n"/>
      <c r="P855" s="74" t="inlineStr">
        <is>
          <t>Hebdomadaire</t>
        </is>
      </c>
      <c r="Q855" s="75" t="inlineStr"/>
      <c r="R855" s="74" t="n">
        <v>1</v>
      </c>
      <c r="S855" s="74" t="inlineStr">
        <is>
          <t>Oui</t>
        </is>
      </c>
      <c r="T855" s="74" t="inlineStr">
        <is>
          <t>S7-082</t>
        </is>
      </c>
      <c r="U855" s="75" t="inlineStr">
        <is>
          <t>Généré (octobre)</t>
        </is>
      </c>
      <c r="V855" s="75" t="inlineStr"/>
      <c r="W855" s="10" t="n"/>
      <c r="X855" s="10" t="inlineStr"/>
      <c r="Y855" s="64">
        <f>IF($M855="","",IF(SUMPRODUCT(($D$4:$D$863=$D855)*($M$4:$M$863=$M855)*($T$4:$T$863&lt;&gt;$T855)*($F$4:$F$863&lt;$G855)*($G$4:$G$863&gt;$F855))&gt;0,"⚠ CONFLIT",""))</f>
        <v/>
      </c>
      <c r="Z855" s="64">
        <f>IF($J855="","",IF(SUMPRODUCT(($D$4:$D$863=$D855)*($J$4:$J$863=$J855)*($T$4:$T$863&lt;&gt;$T855)*($F$4:$F$863&lt;$G855)*($G$4:$G$863&gt;$F855)*(1-($X$4:$X$863="Oui")*($X855="Oui")))&gt;0,"⚠ CONFLIT",""))</f>
        <v/>
      </c>
      <c r="AA855" s="64">
        <f>IF(COUNTIFS($D$4:$D$863,$D855,$J$4:$J$863,$J855,$F$4:$F$863,$F855,$K$4:$K$863,$K855)&gt;1,"⚠ DOUBLON","")</f>
        <v/>
      </c>
      <c r="AB855" s="64">
        <f>IF(COUNTIF($T$4:$T$863,$T855)&lt;&gt;COUNTIFS($T$4:$T$863,$T855,$D$4:$D$863,$D855,$F$4:$F$863,$F855,$G$4:$G$863,$G855,$K$4:$K$863,$K855,$M$4:$M$863,$M855),"⚠ INCOHÉRENT","")</f>
        <v/>
      </c>
      <c r="AC855" s="64">
        <f>COUNTIFS($A$4:$A855,$A855,$J$4:$J855,$J855,$E$4:$E855,$E855)</f>
        <v/>
      </c>
      <c r="AD855" s="65">
        <f>$A855&amp;"|"&amp;$J855&amp;"|"&amp;$E855&amp;"|"&amp;$AC855</f>
        <v/>
      </c>
      <c r="AE855" s="66">
        <f>IF($W855&lt;&gt;"","⚑ "&amp;$W855&amp;CHAR(10),"")&amp;TEXT($F855,"hh:mm")&amp;"-"&amp;TEXT($G855,"hh:mm")&amp;IF(OR($P855="Quinzaine A",AND($P855="Hebdo · groupes alternés",$C855="A"))," Q-A",IF(OR($P855="Quinzaine B",AND($P855="Hebdo · groupes alternés",$C855="B"))," Q-B",IF($P855="Exception"," PONCT.","")))&amp;IF($X855="Oui"," OPT","")&amp;CHAR(10)&amp;$K855&amp;CHAR(10)&amp;$M855&amp;IF($N855&lt;&gt;"",CHAR(10)&amp;"Salle "&amp;$N855,"")&amp;IF($O855="En ligne",CHAR(10)&amp;"EN LIGNE","")&amp;IF($V855&lt;&gt;"",CHAR(10)&amp;$V855,"")</f>
        <v/>
      </c>
      <c r="AF855" s="65" t="inlineStr"/>
      <c r="AG855" s="65" t="inlineStr">
        <is>
          <t>— généré —</t>
        </is>
      </c>
    </row>
    <row r="856" ht="15" customHeight="1">
      <c r="A856" s="74" t="inlineStr">
        <is>
          <t>S7</t>
        </is>
      </c>
      <c r="B856" s="75" t="inlineStr">
        <is>
          <t>du 26 octobre au 1er novembre 2026</t>
        </is>
      </c>
      <c r="C856" s="74" t="inlineStr">
        <is>
          <t>A</t>
        </is>
      </c>
      <c r="D856" s="76" t="n">
        <v>46327</v>
      </c>
      <c r="E856" s="74" t="inlineStr">
        <is>
          <t>Dimanche</t>
        </is>
      </c>
      <c r="F856" s="77" t="n">
        <v>0.5</v>
      </c>
      <c r="G856" s="77" t="n">
        <v>0.5625</v>
      </c>
      <c r="H856" s="78">
        <f>IF(OR($F856="",$G856=""),"",($G856-$F856)*24)</f>
        <v/>
      </c>
      <c r="I856" s="74" t="inlineStr">
        <is>
          <t>Secondaire</t>
        </is>
      </c>
      <c r="J856" s="75" t="inlineStr">
        <is>
          <t>2éme SCE</t>
        </is>
      </c>
      <c r="K856" s="73" t="inlineStr">
        <is>
          <t>Physique</t>
        </is>
      </c>
      <c r="L856" s="73" t="inlineStr">
        <is>
          <t>Physique</t>
        </is>
      </c>
      <c r="M856" s="75" t="inlineStr">
        <is>
          <t>Refka</t>
        </is>
      </c>
      <c r="N856" s="74" t="n"/>
      <c r="O856" s="74" t="n"/>
      <c r="P856" s="74" t="inlineStr">
        <is>
          <t>Hebdomadaire</t>
        </is>
      </c>
      <c r="Q856" s="75" t="inlineStr"/>
      <c r="R856" s="74" t="n">
        <v>1</v>
      </c>
      <c r="S856" s="74" t="inlineStr">
        <is>
          <t>Oui</t>
        </is>
      </c>
      <c r="T856" s="74" t="inlineStr">
        <is>
          <t>S7-083</t>
        </is>
      </c>
      <c r="U856" s="75" t="inlineStr">
        <is>
          <t>Généré (octobre)</t>
        </is>
      </c>
      <c r="V856" s="75" t="inlineStr"/>
      <c r="W856" s="10" t="n"/>
      <c r="X856" s="10" t="inlineStr"/>
      <c r="Y856" s="64">
        <f>IF($M856="","",IF(SUMPRODUCT(($D$4:$D$863=$D856)*($M$4:$M$863=$M856)*($T$4:$T$863&lt;&gt;$T856)*($F$4:$F$863&lt;$G856)*($G$4:$G$863&gt;$F856))&gt;0,"⚠ CONFLIT",""))</f>
        <v/>
      </c>
      <c r="Z856" s="64">
        <f>IF($J856="","",IF(SUMPRODUCT(($D$4:$D$863=$D856)*($J$4:$J$863=$J856)*($T$4:$T$863&lt;&gt;$T856)*($F$4:$F$863&lt;$G856)*($G$4:$G$863&gt;$F856)*(1-($X$4:$X$863="Oui")*($X856="Oui")))&gt;0,"⚠ CONFLIT",""))</f>
        <v/>
      </c>
      <c r="AA856" s="64">
        <f>IF(COUNTIFS($D$4:$D$863,$D856,$J$4:$J$863,$J856,$F$4:$F$863,$F856,$K$4:$K$863,$K856)&gt;1,"⚠ DOUBLON","")</f>
        <v/>
      </c>
      <c r="AB856" s="64">
        <f>IF(COUNTIF($T$4:$T$863,$T856)&lt;&gt;COUNTIFS($T$4:$T$863,$T856,$D$4:$D$863,$D856,$F$4:$F$863,$F856,$G$4:$G$863,$G856,$K$4:$K$863,$K856,$M$4:$M$863,$M856),"⚠ INCOHÉRENT","")</f>
        <v/>
      </c>
      <c r="AC856" s="64">
        <f>COUNTIFS($A$4:$A856,$A856,$J$4:$J856,$J856,$E$4:$E856,$E856)</f>
        <v/>
      </c>
      <c r="AD856" s="65">
        <f>$A856&amp;"|"&amp;$J856&amp;"|"&amp;$E856&amp;"|"&amp;$AC856</f>
        <v/>
      </c>
      <c r="AE856" s="66">
        <f>IF($W856&lt;&gt;"","⚑ "&amp;$W856&amp;CHAR(10),"")&amp;TEXT($F856,"hh:mm")&amp;"-"&amp;TEXT($G856,"hh:mm")&amp;IF(OR($P856="Quinzaine A",AND($P856="Hebdo · groupes alternés",$C856="A"))," Q-A",IF(OR($P856="Quinzaine B",AND($P856="Hebdo · groupes alternés",$C856="B"))," Q-B",IF($P856="Exception"," PONCT.","")))&amp;IF($X856="Oui"," OPT","")&amp;CHAR(10)&amp;$K856&amp;CHAR(10)&amp;$M856&amp;IF($N856&lt;&gt;"",CHAR(10)&amp;"Salle "&amp;$N856,"")&amp;IF($O856="En ligne",CHAR(10)&amp;"EN LIGNE","")&amp;IF($V856&lt;&gt;"",CHAR(10)&amp;$V856,"")</f>
        <v/>
      </c>
      <c r="AF856" s="65" t="inlineStr"/>
      <c r="AG856" s="65" t="inlineStr">
        <is>
          <t>— généré —</t>
        </is>
      </c>
    </row>
    <row r="857" ht="15" customHeight="1">
      <c r="A857" s="74" t="inlineStr">
        <is>
          <t>S7</t>
        </is>
      </c>
      <c r="B857" s="75" t="inlineStr">
        <is>
          <t>du 26 octobre au 1er novembre 2026</t>
        </is>
      </c>
      <c r="C857" s="74" t="inlineStr">
        <is>
          <t>A</t>
        </is>
      </c>
      <c r="D857" s="76" t="n">
        <v>46327</v>
      </c>
      <c r="E857" s="74" t="inlineStr">
        <is>
          <t>Dimanche</t>
        </is>
      </c>
      <c r="F857" s="77" t="n">
        <v>0.4375</v>
      </c>
      <c r="G857" s="77" t="n">
        <v>0.5</v>
      </c>
      <c r="H857" s="78">
        <f>IF(OR($F857="",$G857=""),"",($G857-$F857)*24)</f>
        <v/>
      </c>
      <c r="I857" s="74" t="inlineStr">
        <is>
          <t>Secondaire</t>
        </is>
      </c>
      <c r="J857" s="75" t="inlineStr">
        <is>
          <t>3éme Eco</t>
        </is>
      </c>
      <c r="K857" s="95" t="inlineStr">
        <is>
          <t>Eco</t>
        </is>
      </c>
      <c r="L857" s="95" t="inlineStr">
        <is>
          <t>Eco</t>
        </is>
      </c>
      <c r="M857" s="75" t="inlineStr">
        <is>
          <t>Rym</t>
        </is>
      </c>
      <c r="N857" s="74" t="n"/>
      <c r="O857" s="74" t="n"/>
      <c r="P857" s="74" t="inlineStr">
        <is>
          <t>Hebdomadaire</t>
        </is>
      </c>
      <c r="Q857" s="75" t="inlineStr"/>
      <c r="R857" s="74" t="n">
        <v>1</v>
      </c>
      <c r="S857" s="74" t="inlineStr">
        <is>
          <t>Oui</t>
        </is>
      </c>
      <c r="T857" s="74" t="inlineStr">
        <is>
          <t>S7-084</t>
        </is>
      </c>
      <c r="U857" s="75" t="inlineStr">
        <is>
          <t>Généré (octobre)</t>
        </is>
      </c>
      <c r="V857" s="75" t="inlineStr"/>
      <c r="W857" s="10" t="n"/>
      <c r="X857" s="10" t="inlineStr"/>
      <c r="Y857" s="64">
        <f>IF($M857="","",IF(SUMPRODUCT(($D$4:$D$863=$D857)*($M$4:$M$863=$M857)*($T$4:$T$863&lt;&gt;$T857)*($F$4:$F$863&lt;$G857)*($G$4:$G$863&gt;$F857))&gt;0,"⚠ CONFLIT",""))</f>
        <v/>
      </c>
      <c r="Z857" s="64">
        <f>IF($J857="","",IF(SUMPRODUCT(($D$4:$D$863=$D857)*($J$4:$J$863=$J857)*($T$4:$T$863&lt;&gt;$T857)*($F$4:$F$863&lt;$G857)*($G$4:$G$863&gt;$F857)*(1-($X$4:$X$863="Oui")*($X857="Oui")))&gt;0,"⚠ CONFLIT",""))</f>
        <v/>
      </c>
      <c r="AA857" s="64">
        <f>IF(COUNTIFS($D$4:$D$863,$D857,$J$4:$J$863,$J857,$F$4:$F$863,$F857,$K$4:$K$863,$K857)&gt;1,"⚠ DOUBLON","")</f>
        <v/>
      </c>
      <c r="AB857" s="64">
        <f>IF(COUNTIF($T$4:$T$863,$T857)&lt;&gt;COUNTIFS($T$4:$T$863,$T857,$D$4:$D$863,$D857,$F$4:$F$863,$F857,$G$4:$G$863,$G857,$K$4:$K$863,$K857,$M$4:$M$863,$M857),"⚠ INCOHÉRENT","")</f>
        <v/>
      </c>
      <c r="AC857" s="64">
        <f>COUNTIFS($A$4:$A857,$A857,$J$4:$J857,$J857,$E$4:$E857,$E857)</f>
        <v/>
      </c>
      <c r="AD857" s="65">
        <f>$A857&amp;"|"&amp;$J857&amp;"|"&amp;$E857&amp;"|"&amp;$AC857</f>
        <v/>
      </c>
      <c r="AE857" s="66">
        <f>IF($W857&lt;&gt;"","⚑ "&amp;$W857&amp;CHAR(10),"")&amp;TEXT($F857,"hh:mm")&amp;"-"&amp;TEXT($G857,"hh:mm")&amp;IF(OR($P857="Quinzaine A",AND($P857="Hebdo · groupes alternés",$C857="A"))," Q-A",IF(OR($P857="Quinzaine B",AND($P857="Hebdo · groupes alternés",$C857="B"))," Q-B",IF($P857="Exception"," PONCT.","")))&amp;IF($X857="Oui"," OPT","")&amp;CHAR(10)&amp;$K857&amp;CHAR(10)&amp;$M857&amp;IF($N857&lt;&gt;"",CHAR(10)&amp;"Salle "&amp;$N857,"")&amp;IF($O857="En ligne",CHAR(10)&amp;"EN LIGNE","")&amp;IF($V857&lt;&gt;"",CHAR(10)&amp;$V857,"")</f>
        <v/>
      </c>
      <c r="AF857" s="65" t="inlineStr"/>
      <c r="AG857" s="65" t="inlineStr">
        <is>
          <t>— généré —</t>
        </is>
      </c>
    </row>
    <row r="858" ht="15" customHeight="1">
      <c r="A858" s="74" t="inlineStr">
        <is>
          <t>S7</t>
        </is>
      </c>
      <c r="B858" s="75" t="inlineStr">
        <is>
          <t>du 26 octobre au 1er novembre 2026</t>
        </is>
      </c>
      <c r="C858" s="74" t="inlineStr">
        <is>
          <t>A</t>
        </is>
      </c>
      <c r="D858" s="76" t="n">
        <v>46327</v>
      </c>
      <c r="E858" s="74" t="inlineStr">
        <is>
          <t>Dimanche</t>
        </is>
      </c>
      <c r="F858" s="77" t="n">
        <v>0.5833333333333334</v>
      </c>
      <c r="G858" s="77" t="n">
        <v>0.6458333333333334</v>
      </c>
      <c r="H858" s="78">
        <f>IF(OR($F858="",$G858=""),"",($G858-$F858)*24)</f>
        <v/>
      </c>
      <c r="I858" s="74" t="inlineStr">
        <is>
          <t>Secondaire</t>
        </is>
      </c>
      <c r="J858" s="75" t="inlineStr">
        <is>
          <t>3éme Eco</t>
        </is>
      </c>
      <c r="K858" s="79" t="inlineStr">
        <is>
          <t>Math</t>
        </is>
      </c>
      <c r="L858" s="79" t="inlineStr">
        <is>
          <t>Math</t>
        </is>
      </c>
      <c r="M858" s="75" t="inlineStr">
        <is>
          <t>Lotfi</t>
        </is>
      </c>
      <c r="N858" s="74" t="n"/>
      <c r="O858" s="74" t="n"/>
      <c r="P858" s="74" t="inlineStr">
        <is>
          <t>Hebdomadaire</t>
        </is>
      </c>
      <c r="Q858" s="75" t="inlineStr"/>
      <c r="R858" s="74" t="n">
        <v>1</v>
      </c>
      <c r="S858" s="74" t="inlineStr">
        <is>
          <t>Oui</t>
        </is>
      </c>
      <c r="T858" s="74" t="inlineStr">
        <is>
          <t>S7-085</t>
        </is>
      </c>
      <c r="U858" s="75" t="inlineStr">
        <is>
          <t>Généré (octobre)</t>
        </is>
      </c>
      <c r="V858" s="75" t="inlineStr"/>
      <c r="W858" s="10" t="n"/>
      <c r="X858" s="10" t="inlineStr"/>
      <c r="Y858" s="64">
        <f>IF($M858="","",IF(SUMPRODUCT(($D$4:$D$863=$D858)*($M$4:$M$863=$M858)*($T$4:$T$863&lt;&gt;$T858)*($F$4:$F$863&lt;$G858)*($G$4:$G$863&gt;$F858))&gt;0,"⚠ CONFLIT",""))</f>
        <v/>
      </c>
      <c r="Z858" s="64">
        <f>IF($J858="","",IF(SUMPRODUCT(($D$4:$D$863=$D858)*($J$4:$J$863=$J858)*($T$4:$T$863&lt;&gt;$T858)*($F$4:$F$863&lt;$G858)*($G$4:$G$863&gt;$F858)*(1-($X$4:$X$863="Oui")*($X858="Oui")))&gt;0,"⚠ CONFLIT",""))</f>
        <v/>
      </c>
      <c r="AA858" s="64">
        <f>IF(COUNTIFS($D$4:$D$863,$D858,$J$4:$J$863,$J858,$F$4:$F$863,$F858,$K$4:$K$863,$K858)&gt;1,"⚠ DOUBLON","")</f>
        <v/>
      </c>
      <c r="AB858" s="64">
        <f>IF(COUNTIF($T$4:$T$863,$T858)&lt;&gt;COUNTIFS($T$4:$T$863,$T858,$D$4:$D$863,$D858,$F$4:$F$863,$F858,$G$4:$G$863,$G858,$K$4:$K$863,$K858,$M$4:$M$863,$M858),"⚠ INCOHÉRENT","")</f>
        <v/>
      </c>
      <c r="AC858" s="64">
        <f>COUNTIFS($A$4:$A858,$A858,$J$4:$J858,$J858,$E$4:$E858,$E858)</f>
        <v/>
      </c>
      <c r="AD858" s="65">
        <f>$A858&amp;"|"&amp;$J858&amp;"|"&amp;$E858&amp;"|"&amp;$AC858</f>
        <v/>
      </c>
      <c r="AE858" s="66">
        <f>IF($W858&lt;&gt;"","⚑ "&amp;$W858&amp;CHAR(10),"")&amp;TEXT($F858,"hh:mm")&amp;"-"&amp;TEXT($G858,"hh:mm")&amp;IF(OR($P858="Quinzaine A",AND($P858="Hebdo · groupes alternés",$C858="A"))," Q-A",IF(OR($P858="Quinzaine B",AND($P858="Hebdo · groupes alternés",$C858="B"))," Q-B",IF($P858="Exception"," PONCT.","")))&amp;IF($X858="Oui"," OPT","")&amp;CHAR(10)&amp;$K858&amp;CHAR(10)&amp;$M858&amp;IF($N858&lt;&gt;"",CHAR(10)&amp;"Salle "&amp;$N858,"")&amp;IF($O858="En ligne",CHAR(10)&amp;"EN LIGNE","")&amp;IF($V858&lt;&gt;"",CHAR(10)&amp;$V858,"")</f>
        <v/>
      </c>
      <c r="AF858" s="65" t="inlineStr"/>
      <c r="AG858" s="65" t="inlineStr">
        <is>
          <t>— généré —</t>
        </is>
      </c>
    </row>
    <row r="859" ht="15" customHeight="1">
      <c r="A859" s="74" t="inlineStr">
        <is>
          <t>S7</t>
        </is>
      </c>
      <c r="B859" s="75" t="inlineStr">
        <is>
          <t>du 26 octobre au 1er novembre 2026</t>
        </is>
      </c>
      <c r="C859" s="74" t="inlineStr">
        <is>
          <t>A</t>
        </is>
      </c>
      <c r="D859" s="76" t="n">
        <v>46327</v>
      </c>
      <c r="E859" s="74" t="inlineStr">
        <is>
          <t>Dimanche</t>
        </is>
      </c>
      <c r="F859" s="77" t="n">
        <v>0.5</v>
      </c>
      <c r="G859" s="77" t="n">
        <v>0.5625</v>
      </c>
      <c r="H859" s="78">
        <f>IF(OR($F859="",$G859=""),"",($G859-$F859)*24)</f>
        <v/>
      </c>
      <c r="I859" s="74" t="inlineStr">
        <is>
          <t>Secondaire</t>
        </is>
      </c>
      <c r="J859" s="75" t="inlineStr">
        <is>
          <t>3éme INFO</t>
        </is>
      </c>
      <c r="K859" s="79" t="inlineStr">
        <is>
          <t>Math</t>
        </is>
      </c>
      <c r="L859" s="79" t="inlineStr">
        <is>
          <t>Math</t>
        </is>
      </c>
      <c r="M859" s="75" t="inlineStr">
        <is>
          <t>Lotfi</t>
        </is>
      </c>
      <c r="N859" s="74" t="n"/>
      <c r="O859" s="74" t="n"/>
      <c r="P859" s="74" t="inlineStr">
        <is>
          <t>Hebdomadaire</t>
        </is>
      </c>
      <c r="Q859" s="75" t="inlineStr"/>
      <c r="R859" s="74" t="n">
        <v>1</v>
      </c>
      <c r="S859" s="74" t="inlineStr">
        <is>
          <t>Oui</t>
        </is>
      </c>
      <c r="T859" s="74" t="inlineStr">
        <is>
          <t>S7-086</t>
        </is>
      </c>
      <c r="U859" s="75" t="inlineStr">
        <is>
          <t>Généré (octobre)</t>
        </is>
      </c>
      <c r="V859" s="75" t="inlineStr"/>
      <c r="W859" s="10" t="n"/>
      <c r="X859" s="10" t="inlineStr"/>
      <c r="Y859" s="64">
        <f>IF($M859="","",IF(SUMPRODUCT(($D$4:$D$863=$D859)*($M$4:$M$863=$M859)*($T$4:$T$863&lt;&gt;$T859)*($F$4:$F$863&lt;$G859)*($G$4:$G$863&gt;$F859))&gt;0,"⚠ CONFLIT",""))</f>
        <v/>
      </c>
      <c r="Z859" s="64">
        <f>IF($J859="","",IF(SUMPRODUCT(($D$4:$D$863=$D859)*($J$4:$J$863=$J859)*($T$4:$T$863&lt;&gt;$T859)*($F$4:$F$863&lt;$G859)*($G$4:$G$863&gt;$F859)*(1-($X$4:$X$863="Oui")*($X859="Oui")))&gt;0,"⚠ CONFLIT",""))</f>
        <v/>
      </c>
      <c r="AA859" s="64">
        <f>IF(COUNTIFS($D$4:$D$863,$D859,$J$4:$J$863,$J859,$F$4:$F$863,$F859,$K$4:$K$863,$K859)&gt;1,"⚠ DOUBLON","")</f>
        <v/>
      </c>
      <c r="AB859" s="64">
        <f>IF(COUNTIF($T$4:$T$863,$T859)&lt;&gt;COUNTIFS($T$4:$T$863,$T859,$D$4:$D$863,$D859,$F$4:$F$863,$F859,$G$4:$G$863,$G859,$K$4:$K$863,$K859,$M$4:$M$863,$M859),"⚠ INCOHÉRENT","")</f>
        <v/>
      </c>
      <c r="AC859" s="64">
        <f>COUNTIFS($A$4:$A859,$A859,$J$4:$J859,$J859,$E$4:$E859,$E859)</f>
        <v/>
      </c>
      <c r="AD859" s="65">
        <f>$A859&amp;"|"&amp;$J859&amp;"|"&amp;$E859&amp;"|"&amp;$AC859</f>
        <v/>
      </c>
      <c r="AE859" s="66">
        <f>IF($W859&lt;&gt;"","⚑ "&amp;$W859&amp;CHAR(10),"")&amp;TEXT($F859,"hh:mm")&amp;"-"&amp;TEXT($G859,"hh:mm")&amp;IF(OR($P859="Quinzaine A",AND($P859="Hebdo · groupes alternés",$C859="A"))," Q-A",IF(OR($P859="Quinzaine B",AND($P859="Hebdo · groupes alternés",$C859="B"))," Q-B",IF($P859="Exception"," PONCT.","")))&amp;IF($X859="Oui"," OPT","")&amp;CHAR(10)&amp;$K859&amp;CHAR(10)&amp;$M859&amp;IF($N859&lt;&gt;"",CHAR(10)&amp;"Salle "&amp;$N859,"")&amp;IF($O859="En ligne",CHAR(10)&amp;"EN LIGNE","")&amp;IF($V859&lt;&gt;"",CHAR(10)&amp;$V859,"")</f>
        <v/>
      </c>
      <c r="AF859" s="65" t="inlineStr"/>
      <c r="AG859" s="65" t="inlineStr">
        <is>
          <t>— généré —</t>
        </is>
      </c>
    </row>
    <row r="860" ht="15" customHeight="1">
      <c r="A860" s="74" t="inlineStr">
        <is>
          <t>S7</t>
        </is>
      </c>
      <c r="B860" s="75" t="inlineStr">
        <is>
          <t>du 26 octobre au 1er novembre 2026</t>
        </is>
      </c>
      <c r="C860" s="74" t="inlineStr">
        <is>
          <t>A</t>
        </is>
      </c>
      <c r="D860" s="76" t="n">
        <v>46327</v>
      </c>
      <c r="E860" s="74" t="inlineStr">
        <is>
          <t>Dimanche</t>
        </is>
      </c>
      <c r="F860" s="77" t="n">
        <v>0.4375</v>
      </c>
      <c r="G860" s="77" t="n">
        <v>0.5</v>
      </c>
      <c r="H860" s="78">
        <f>IF(OR($F860="",$G860=""),"",($G860-$F860)*24)</f>
        <v/>
      </c>
      <c r="I860" s="74" t="inlineStr">
        <is>
          <t>Secondaire</t>
        </is>
      </c>
      <c r="J860" s="75" t="inlineStr">
        <is>
          <t>3éme SCE</t>
        </is>
      </c>
      <c r="K860" s="73" t="inlineStr">
        <is>
          <t>Physique</t>
        </is>
      </c>
      <c r="L860" s="73" t="inlineStr">
        <is>
          <t>Physique</t>
        </is>
      </c>
      <c r="M860" s="75" t="inlineStr">
        <is>
          <t>Sondes</t>
        </is>
      </c>
      <c r="N860" s="74" t="n"/>
      <c r="O860" s="74" t="n"/>
      <c r="P860" s="74" t="inlineStr">
        <is>
          <t>Hebdomadaire</t>
        </is>
      </c>
      <c r="Q860" s="75" t="inlineStr"/>
      <c r="R860" s="74" t="n">
        <v>1</v>
      </c>
      <c r="S860" s="74" t="inlineStr">
        <is>
          <t>Oui</t>
        </is>
      </c>
      <c r="T860" s="74" t="inlineStr">
        <is>
          <t>S7-087</t>
        </is>
      </c>
      <c r="U860" s="75" t="inlineStr">
        <is>
          <t>Généré (octobre)</t>
        </is>
      </c>
      <c r="V860" s="75" t="inlineStr"/>
      <c r="W860" s="10" t="n"/>
      <c r="X860" s="10" t="inlineStr"/>
      <c r="Y860" s="64">
        <f>IF($M860="","",IF(SUMPRODUCT(($D$4:$D$863=$D860)*($M$4:$M$863=$M860)*($T$4:$T$863&lt;&gt;$T860)*($F$4:$F$863&lt;$G860)*($G$4:$G$863&gt;$F860))&gt;0,"⚠ CONFLIT",""))</f>
        <v/>
      </c>
      <c r="Z860" s="64">
        <f>IF($J860="","",IF(SUMPRODUCT(($D$4:$D$863=$D860)*($J$4:$J$863=$J860)*($T$4:$T$863&lt;&gt;$T860)*($F$4:$F$863&lt;$G860)*($G$4:$G$863&gt;$F860)*(1-($X$4:$X$863="Oui")*($X860="Oui")))&gt;0,"⚠ CONFLIT",""))</f>
        <v/>
      </c>
      <c r="AA860" s="64">
        <f>IF(COUNTIFS($D$4:$D$863,$D860,$J$4:$J$863,$J860,$F$4:$F$863,$F860,$K$4:$K$863,$K860)&gt;1,"⚠ DOUBLON","")</f>
        <v/>
      </c>
      <c r="AB860" s="64">
        <f>IF(COUNTIF($T$4:$T$863,$T860)&lt;&gt;COUNTIFS($T$4:$T$863,$T860,$D$4:$D$863,$D860,$F$4:$F$863,$F860,$G$4:$G$863,$G860,$K$4:$K$863,$K860,$M$4:$M$863,$M860),"⚠ INCOHÉRENT","")</f>
        <v/>
      </c>
      <c r="AC860" s="64">
        <f>COUNTIFS($A$4:$A860,$A860,$J$4:$J860,$J860,$E$4:$E860,$E860)</f>
        <v/>
      </c>
      <c r="AD860" s="65">
        <f>$A860&amp;"|"&amp;$J860&amp;"|"&amp;$E860&amp;"|"&amp;$AC860</f>
        <v/>
      </c>
      <c r="AE860" s="66">
        <f>IF($W860&lt;&gt;"","⚑ "&amp;$W860&amp;CHAR(10),"")&amp;TEXT($F860,"hh:mm")&amp;"-"&amp;TEXT($G860,"hh:mm")&amp;IF(OR($P860="Quinzaine A",AND($P860="Hebdo · groupes alternés",$C860="A"))," Q-A",IF(OR($P860="Quinzaine B",AND($P860="Hebdo · groupes alternés",$C860="B"))," Q-B",IF($P860="Exception"," PONCT.","")))&amp;IF($X860="Oui"," OPT","")&amp;CHAR(10)&amp;$K860&amp;CHAR(10)&amp;$M860&amp;IF($N860&lt;&gt;"",CHAR(10)&amp;"Salle "&amp;$N860,"")&amp;IF($O860="En ligne",CHAR(10)&amp;"EN LIGNE","")&amp;IF($V860&lt;&gt;"",CHAR(10)&amp;$V860,"")</f>
        <v/>
      </c>
      <c r="AF860" s="65" t="inlineStr"/>
      <c r="AG860" s="65" t="inlineStr">
        <is>
          <t>— généré —</t>
        </is>
      </c>
    </row>
    <row r="861" ht="15" customHeight="1">
      <c r="A861" s="81" t="inlineStr">
        <is>
          <t>S7</t>
        </is>
      </c>
      <c r="B861" s="82" t="inlineStr">
        <is>
          <t>du 26 octobre au 1er novembre 2026</t>
        </is>
      </c>
      <c r="C861" s="81" t="inlineStr">
        <is>
          <t>A</t>
        </is>
      </c>
      <c r="D861" s="83" t="n">
        <v>46327</v>
      </c>
      <c r="E861" s="81" t="inlineStr">
        <is>
          <t>Dimanche</t>
        </is>
      </c>
      <c r="F861" s="84" t="n">
        <v>0.4375</v>
      </c>
      <c r="G861" s="84" t="n">
        <v>0.5</v>
      </c>
      <c r="H861" s="85">
        <f>IF(OR($F861="",$G861=""),"",($G861-$F861)*24)</f>
        <v/>
      </c>
      <c r="I861" s="81" t="inlineStr">
        <is>
          <t>Bac</t>
        </is>
      </c>
      <c r="J861" s="82" t="inlineStr">
        <is>
          <t>Bac Eco</t>
        </is>
      </c>
      <c r="K861" s="79" t="inlineStr">
        <is>
          <t>Math</t>
        </is>
      </c>
      <c r="L861" s="79" t="inlineStr">
        <is>
          <t>Math</t>
        </is>
      </c>
      <c r="M861" s="82" t="inlineStr">
        <is>
          <t>Lotfi</t>
        </is>
      </c>
      <c r="N861" s="81" t="n"/>
      <c r="O861" s="81" t="n"/>
      <c r="P861" s="81" t="inlineStr">
        <is>
          <t>Hebdomadaire</t>
        </is>
      </c>
      <c r="Q861" s="82" t="inlineStr"/>
      <c r="R861" s="81" t="n">
        <v>1</v>
      </c>
      <c r="S861" s="81" t="inlineStr">
        <is>
          <t>Oui</t>
        </is>
      </c>
      <c r="T861" s="81" t="inlineStr">
        <is>
          <t>S7-089</t>
        </is>
      </c>
      <c r="U861" s="82" t="inlineStr">
        <is>
          <t>Généré (octobre)</t>
        </is>
      </c>
      <c r="V861" s="82" t="inlineStr"/>
      <c r="W861" s="10" t="n"/>
      <c r="X861" s="10" t="inlineStr"/>
      <c r="Y861" s="64">
        <f>IF($M861="","",IF(SUMPRODUCT(($D$4:$D$863=$D861)*($M$4:$M$863=$M861)*($T$4:$T$863&lt;&gt;$T861)*($F$4:$F$863&lt;$G861)*($G$4:$G$863&gt;$F861))&gt;0,"⚠ CONFLIT",""))</f>
        <v/>
      </c>
      <c r="Z861" s="64">
        <f>IF($J861="","",IF(SUMPRODUCT(($D$4:$D$863=$D861)*($J$4:$J$863=$J861)*($T$4:$T$863&lt;&gt;$T861)*($F$4:$F$863&lt;$G861)*($G$4:$G$863&gt;$F861)*(1-($X$4:$X$863="Oui")*($X861="Oui")))&gt;0,"⚠ CONFLIT",""))</f>
        <v/>
      </c>
      <c r="AA861" s="64">
        <f>IF(COUNTIFS($D$4:$D$863,$D861,$J$4:$J$863,$J861,$F$4:$F$863,$F861,$K$4:$K$863,$K861)&gt;1,"⚠ DOUBLON","")</f>
        <v/>
      </c>
      <c r="AB861" s="64">
        <f>IF(COUNTIF($T$4:$T$863,$T861)&lt;&gt;COUNTIFS($T$4:$T$863,$T861,$D$4:$D$863,$D861,$F$4:$F$863,$F861,$G$4:$G$863,$G861,$K$4:$K$863,$K861,$M$4:$M$863,$M861),"⚠ INCOHÉRENT","")</f>
        <v/>
      </c>
      <c r="AC861" s="64">
        <f>COUNTIFS($A$4:$A861,$A861,$J$4:$J861,$J861,$E$4:$E861,$E861)</f>
        <v/>
      </c>
      <c r="AD861" s="65">
        <f>$A861&amp;"|"&amp;$J861&amp;"|"&amp;$E861&amp;"|"&amp;$AC861</f>
        <v/>
      </c>
      <c r="AE861" s="66">
        <f>IF($W861&lt;&gt;"","⚑ "&amp;$W861&amp;CHAR(10),"")&amp;TEXT($F861,"hh:mm")&amp;"-"&amp;TEXT($G861,"hh:mm")&amp;IF(OR($P861="Quinzaine A",AND($P861="Hebdo · groupes alternés",$C861="A"))," Q-A",IF(OR($P861="Quinzaine B",AND($P861="Hebdo · groupes alternés",$C861="B"))," Q-B",IF($P861="Exception"," PONCT.","")))&amp;IF($X861="Oui"," OPT","")&amp;CHAR(10)&amp;$K861&amp;CHAR(10)&amp;$M861&amp;IF($N861&lt;&gt;"",CHAR(10)&amp;"Salle "&amp;$N861,"")&amp;IF($O861="En ligne",CHAR(10)&amp;"EN LIGNE","")&amp;IF($V861&lt;&gt;"",CHAR(10)&amp;$V861,"")</f>
        <v/>
      </c>
      <c r="AF861" s="65" t="inlineStr"/>
      <c r="AG861" s="65" t="inlineStr">
        <is>
          <t>— généré —</t>
        </is>
      </c>
    </row>
    <row r="862" ht="15" customHeight="1">
      <c r="A862" s="81" t="inlineStr">
        <is>
          <t>S7</t>
        </is>
      </c>
      <c r="B862" s="82" t="inlineStr">
        <is>
          <t>du 26 octobre au 1er novembre 2026</t>
        </is>
      </c>
      <c r="C862" s="81" t="inlineStr">
        <is>
          <t>A</t>
        </is>
      </c>
      <c r="D862" s="83" t="n">
        <v>46327</v>
      </c>
      <c r="E862" s="81" t="inlineStr">
        <is>
          <t>Dimanche</t>
        </is>
      </c>
      <c r="F862" s="84" t="n">
        <v>0.5208333333333334</v>
      </c>
      <c r="G862" s="84" t="n">
        <v>0.6041666666666666</v>
      </c>
      <c r="H862" s="85">
        <f>IF(OR($F862="",$G862=""),"",($G862-$F862)*24)</f>
        <v/>
      </c>
      <c r="I862" s="81" t="inlineStr">
        <is>
          <t>Bac</t>
        </is>
      </c>
      <c r="J862" s="82" t="inlineStr">
        <is>
          <t>Bac Eco</t>
        </is>
      </c>
      <c r="K862" s="95" t="inlineStr">
        <is>
          <t>Eco</t>
        </is>
      </c>
      <c r="L862" s="95" t="inlineStr">
        <is>
          <t>Eco</t>
        </is>
      </c>
      <c r="M862" s="82" t="inlineStr">
        <is>
          <t>Rym</t>
        </is>
      </c>
      <c r="N862" s="81" t="n"/>
      <c r="O862" s="81" t="n"/>
      <c r="P862" s="81" t="inlineStr">
        <is>
          <t>Hebdomadaire</t>
        </is>
      </c>
      <c r="Q862" s="82" t="inlineStr"/>
      <c r="R862" s="81" t="n">
        <v>1</v>
      </c>
      <c r="S862" s="81" t="inlineStr">
        <is>
          <t>Oui</t>
        </is>
      </c>
      <c r="T862" s="81" t="inlineStr">
        <is>
          <t>S7-088</t>
        </is>
      </c>
      <c r="U862" s="82" t="inlineStr">
        <is>
          <t>Généré (octobre)</t>
        </is>
      </c>
      <c r="V862" s="82" t="inlineStr"/>
      <c r="W862" s="10" t="n"/>
      <c r="X862" s="10" t="inlineStr"/>
      <c r="Y862" s="64">
        <f>IF($M862="","",IF(SUMPRODUCT(($D$4:$D$863=$D862)*($M$4:$M$863=$M862)*($T$4:$T$863&lt;&gt;$T862)*($F$4:$F$863&lt;$G862)*($G$4:$G$863&gt;$F862))&gt;0,"⚠ CONFLIT",""))</f>
        <v/>
      </c>
      <c r="Z862" s="64">
        <f>IF($J862="","",IF(SUMPRODUCT(($D$4:$D$863=$D862)*($J$4:$J$863=$J862)*($T$4:$T$863&lt;&gt;$T862)*($F$4:$F$863&lt;$G862)*($G$4:$G$863&gt;$F862)*(1-($X$4:$X$863="Oui")*($X862="Oui")))&gt;0,"⚠ CONFLIT",""))</f>
        <v/>
      </c>
      <c r="AA862" s="64">
        <f>IF(COUNTIFS($D$4:$D$863,$D862,$J$4:$J$863,$J862,$F$4:$F$863,$F862,$K$4:$K$863,$K862)&gt;1,"⚠ DOUBLON","")</f>
        <v/>
      </c>
      <c r="AB862" s="64">
        <f>IF(COUNTIF($T$4:$T$863,$T862)&lt;&gt;COUNTIFS($T$4:$T$863,$T862,$D$4:$D$863,$D862,$F$4:$F$863,$F862,$G$4:$G$863,$G862,$K$4:$K$863,$K862,$M$4:$M$863,$M862),"⚠ INCOHÉRENT","")</f>
        <v/>
      </c>
      <c r="AC862" s="64">
        <f>COUNTIFS($A$4:$A862,$A862,$J$4:$J862,$J862,$E$4:$E862,$E862)</f>
        <v/>
      </c>
      <c r="AD862" s="65">
        <f>$A862&amp;"|"&amp;$J862&amp;"|"&amp;$E862&amp;"|"&amp;$AC862</f>
        <v/>
      </c>
      <c r="AE862" s="66">
        <f>IF($W862&lt;&gt;"","⚑ "&amp;$W862&amp;CHAR(10),"")&amp;TEXT($F862,"hh:mm")&amp;"-"&amp;TEXT($G862,"hh:mm")&amp;IF(OR($P862="Quinzaine A",AND($P862="Hebdo · groupes alternés",$C862="A"))," Q-A",IF(OR($P862="Quinzaine B",AND($P862="Hebdo · groupes alternés",$C862="B"))," Q-B",IF($P862="Exception"," PONCT.","")))&amp;IF($X862="Oui"," OPT","")&amp;CHAR(10)&amp;$K862&amp;CHAR(10)&amp;$M862&amp;IF($N862&lt;&gt;"",CHAR(10)&amp;"Salle "&amp;$N862,"")&amp;IF($O862="En ligne",CHAR(10)&amp;"EN LIGNE","")&amp;IF($V862&lt;&gt;"",CHAR(10)&amp;$V862,"")</f>
        <v/>
      </c>
      <c r="AF862" s="65" t="inlineStr"/>
      <c r="AG862" s="65" t="inlineStr">
        <is>
          <t>— généré —</t>
        </is>
      </c>
    </row>
    <row r="863" ht="15" customHeight="1">
      <c r="A863" s="81" t="inlineStr">
        <is>
          <t>S7</t>
        </is>
      </c>
      <c r="B863" s="82" t="inlineStr">
        <is>
          <t>du 26 octobre au 1er novembre 2026</t>
        </is>
      </c>
      <c r="C863" s="81" t="inlineStr">
        <is>
          <t>A</t>
        </is>
      </c>
      <c r="D863" s="83" t="n">
        <v>46327</v>
      </c>
      <c r="E863" s="81" t="inlineStr">
        <is>
          <t>Dimanche</t>
        </is>
      </c>
      <c r="F863" s="84" t="n">
        <v>0.6458333333333334</v>
      </c>
      <c r="G863" s="84" t="n">
        <v>0.7083333333333334</v>
      </c>
      <c r="H863" s="85">
        <f>IF(OR($F863="",$G863=""),"",($G863-$F863)*24)</f>
        <v/>
      </c>
      <c r="I863" s="81" t="inlineStr">
        <is>
          <t>Bac</t>
        </is>
      </c>
      <c r="J863" s="82" t="inlineStr">
        <is>
          <t>Bac INFO</t>
        </is>
      </c>
      <c r="K863" s="79" t="inlineStr">
        <is>
          <t>Math</t>
        </is>
      </c>
      <c r="L863" s="79" t="inlineStr">
        <is>
          <t>Math</t>
        </is>
      </c>
      <c r="M863" s="82" t="inlineStr">
        <is>
          <t>Lotfi</t>
        </is>
      </c>
      <c r="N863" s="81" t="n"/>
      <c r="O863" s="81" t="n"/>
      <c r="P863" s="81" t="inlineStr">
        <is>
          <t>Hebdomadaire</t>
        </is>
      </c>
      <c r="Q863" s="82" t="inlineStr"/>
      <c r="R863" s="81" t="n">
        <v>1</v>
      </c>
      <c r="S863" s="81" t="inlineStr">
        <is>
          <t>Oui</t>
        </is>
      </c>
      <c r="T863" s="81" t="inlineStr">
        <is>
          <t>S7-090</t>
        </is>
      </c>
      <c r="U863" s="82" t="inlineStr">
        <is>
          <t>Généré (octobre)</t>
        </is>
      </c>
      <c r="V863" s="82" t="inlineStr"/>
      <c r="W863" s="10" t="n"/>
      <c r="X863" s="10" t="inlineStr"/>
      <c r="Y863" s="64">
        <f>IF($M863="","",IF(SUMPRODUCT(($D$4:$D$863=$D863)*($M$4:$M$863=$M863)*($T$4:$T$863&lt;&gt;$T863)*($F$4:$F$863&lt;$G863)*($G$4:$G$863&gt;$F863))&gt;0,"⚠ CONFLIT",""))</f>
        <v/>
      </c>
      <c r="Z863" s="64">
        <f>IF($J863="","",IF(SUMPRODUCT(($D$4:$D$863=$D863)*($J$4:$J$863=$J863)*($T$4:$T$863&lt;&gt;$T863)*($F$4:$F$863&lt;$G863)*($G$4:$G$863&gt;$F863)*(1-($X$4:$X$863="Oui")*($X863="Oui")))&gt;0,"⚠ CONFLIT",""))</f>
        <v/>
      </c>
      <c r="AA863" s="64">
        <f>IF(COUNTIFS($D$4:$D$863,$D863,$J$4:$J$863,$J863,$F$4:$F$863,$F863,$K$4:$K$863,$K863)&gt;1,"⚠ DOUBLON","")</f>
        <v/>
      </c>
      <c r="AB863" s="64">
        <f>IF(COUNTIF($T$4:$T$863,$T863)&lt;&gt;COUNTIFS($T$4:$T$863,$T863,$D$4:$D$863,$D863,$F$4:$F$863,$F863,$G$4:$G$863,$G863,$K$4:$K$863,$K863,$M$4:$M$863,$M863),"⚠ INCOHÉRENT","")</f>
        <v/>
      </c>
      <c r="AC863" s="64">
        <f>COUNTIFS($A$4:$A863,$A863,$J$4:$J863,$J863,$E$4:$E863,$E863)</f>
        <v/>
      </c>
      <c r="AD863" s="65">
        <f>$A863&amp;"|"&amp;$J863&amp;"|"&amp;$E863&amp;"|"&amp;$AC863</f>
        <v/>
      </c>
      <c r="AE863" s="66">
        <f>IF($W863&lt;&gt;"","⚑ "&amp;$W863&amp;CHAR(10),"")&amp;TEXT($F863,"hh:mm")&amp;"-"&amp;TEXT($G863,"hh:mm")&amp;IF(OR($P863="Quinzaine A",AND($P863="Hebdo · groupes alternés",$C863="A"))," Q-A",IF(OR($P863="Quinzaine B",AND($P863="Hebdo · groupes alternés",$C863="B"))," Q-B",IF($P863="Exception"," PONCT.","")))&amp;IF($X863="Oui"," OPT","")&amp;CHAR(10)&amp;$K863&amp;CHAR(10)&amp;$M863&amp;IF($N863&lt;&gt;"",CHAR(10)&amp;"Salle "&amp;$N863,"")&amp;IF($O863="En ligne",CHAR(10)&amp;"EN LIGNE","")&amp;IF($V863&lt;&gt;"",CHAR(10)&amp;$V863,"")</f>
        <v/>
      </c>
      <c r="AF863" s="65" t="inlineStr"/>
      <c r="AG863" s="65" t="inlineStr">
        <is>
          <t>— généré —</t>
        </is>
      </c>
    </row>
  </sheetData>
  <autoFilter ref="A3:AG863"/>
  <mergeCells count="2">
    <mergeCell ref="A2:AG2"/>
    <mergeCell ref="A1:AG1"/>
  </mergeCells>
  <conditionalFormatting sqref="W4:W863">
    <cfRule type="expression" priority="1" dxfId="0" stopIfTrue="1">
      <formula>$W4="Annulé"</formula>
    </cfRule>
    <cfRule type="expression" priority="2" dxfId="1" stopIfTrue="1">
      <formula>$W4="Examen / Devoir"</formula>
    </cfRule>
    <cfRule type="expression" priority="3" dxfId="2" stopIfTrue="1">
      <formula>$W4="Rattrapage"</formula>
    </cfRule>
    <cfRule type="expression" priority="4" dxfId="3" stopIfTrue="1">
      <formula>$W4="À confirmer"</formula>
    </cfRule>
    <cfRule type="expression" priority="5" dxfId="4" stopIfTrue="1">
      <formula>$W4="Changement de salle"</formula>
    </cfRule>
    <cfRule type="expression" priority="6" dxfId="5" stopIfTrue="1">
      <formula>$W4="Séance en ligne"</formula>
    </cfRule>
  </conditionalFormatting>
  <conditionalFormatting sqref="P4:P863">
    <cfRule type="expression" priority="7" dxfId="6">
      <formula>LEFT($P4,9)="Quinzaine"</formula>
    </cfRule>
    <cfRule type="expression" priority="8" dxfId="7">
      <formula>$P4="Hebdo · groupes alternés"</formula>
    </cfRule>
  </conditionalFormatting>
  <conditionalFormatting sqref="U4:U863">
    <cfRule type="expression" priority="9" dxfId="8">
      <formula>$U4="Généré (octobre)"</formula>
    </cfRule>
  </conditionalFormatting>
  <conditionalFormatting sqref="Y4:Y863">
    <cfRule type="expression" priority="10" dxfId="9">
      <formula>LEN(TRIM($Y4))&gt;0</formula>
    </cfRule>
  </conditionalFormatting>
  <conditionalFormatting sqref="Z4:Z863">
    <cfRule type="expression" priority="11" dxfId="9">
      <formula>LEN(TRIM($Z4))&gt;0</formula>
    </cfRule>
  </conditionalFormatting>
  <conditionalFormatting sqref="AA4:AA863">
    <cfRule type="expression" priority="12" dxfId="9">
      <formula>LEN(TRIM($AA4))&gt;0</formula>
    </cfRule>
  </conditionalFormatting>
  <conditionalFormatting sqref="AB4:AB863">
    <cfRule type="expression" priority="13" dxfId="9">
      <formula>LEN(TRIM($AB4))&gt;0</formula>
    </cfRule>
  </conditionalFormatting>
  <dataValidations count="7">
    <dataValidation sqref="J4:J1063" showDropDown="0" showInputMessage="0" showErrorMessage="1" allowBlank="1" errorTitle="Vérification" error="Valeur absente du référentiel." promptTitle="Saisie guidée" prompt="Choisir dans la liste (LST_Classes)." type="list" errorStyle="warning">
      <formula1>=LST_Classes</formula1>
    </dataValidation>
    <dataValidation sqref="K4:K1063" showDropDown="0" showInputMessage="0" showErrorMessage="1" allowBlank="1" errorTitle="Vérification" error="Valeur absente du référentiel." promptTitle="Saisie guidée" prompt="Choisir dans la liste (LST_Matieres)." type="list" errorStyle="warning">
      <formula1>=LST_Matieres</formula1>
    </dataValidation>
    <dataValidation sqref="M4:M1063" showDropDown="0" showInputMessage="0" showErrorMessage="1" allowBlank="1" errorTitle="Vérification" error="Valeur absente du référentiel." promptTitle="Saisie guidée" prompt="Choisir dans la liste (LST_Profs)." type="list" errorStyle="warning">
      <formula1>=LST_Profs</formula1>
    </dataValidation>
    <dataValidation sqref="N4:N1063" showDropDown="0" showInputMessage="0" showErrorMessage="1" allowBlank="1" errorTitle="Vérification" error="Valeur absente du référentiel." promptTitle="Saisie guidée" prompt="Choisir dans la liste (LST_Salles)." type="list" errorStyle="warning">
      <formula1>=LST_Salles</formula1>
    </dataValidation>
    <dataValidation sqref="O4:O1063" showDropDown="0" showInputMessage="0" showErrorMessage="1" allowBlank="1" errorTitle="Vérification" error="Valeur absente du référentiel." promptTitle="Saisie guidée" prompt="Choisir dans la liste (LST_Modes)." type="list" errorStyle="stop">
      <formula1>=LST_Modes</formula1>
    </dataValidation>
    <dataValidation sqref="P4:P1063" showDropDown="0" showInputMessage="0" showErrorMessage="1" allowBlank="1" errorTitle="Vérification" error="Valeur absente du référentiel." promptTitle="Saisie guidée" prompt="Choisir dans la liste (LST_Rythmes)." type="list" errorStyle="stop">
      <formula1>=LST_Rythmes</formula1>
    </dataValidation>
    <dataValidation sqref="W4:W1063" showDropDown="0" showInputMessage="0" showErrorMessage="1" allowBlank="1" errorTitle="Vérification" error="Valeur absente du référentiel." promptTitle="Saisie guidée" prompt="Choisir dans la liste (LST_Statuts)." type="list" errorStyle="stop">
      <formula1>=LST_Statuts</formula1>
    </dataValidation>
  </dataValidations>
  <printOptions horizontalCentered="1" gridLines="0"/>
  <pageMargins left="0.35" right="0.35" top="0.5" bottom="0.45" header="0.2" footer="0.2"/>
  <pageSetup orientation="landscape" paperSize="9" fitToHeight="0" fitToWidth="1"/>
  <headerFooter>
    <oddHeader>&amp;R&amp;"Arial,Italic"&amp;8 Planning des séances — RS 2026-2027</oddHeader>
    <oddFooter>&amp;L&amp;8 RS 2026-2027 · Planning (table de référence)&amp;R&amp;8 Page &amp;P / &amp;N</oddFooter>
    <evenHeader/>
    <evenFooter/>
    <firstHeader/>
    <firstFooter/>
  </headerFooter>
</worksheet>
</file>

<file path=xl/worksheets/sheet3.xml><?xml version="1.0" encoding="utf-8"?>
<worksheet xmlns="http://schemas.openxmlformats.org/spreadsheetml/2006/main">
  <sheetPr>
    <tabColor rgb="006B7A8C"/>
    <outlinePr summaryBelow="1" summaryRight="1"/>
    <pageSetUpPr fitToPage="1"/>
  </sheetPr>
  <dimension ref="A1:AB41"/>
  <sheetViews>
    <sheetView showGridLines="0" workbookViewId="0">
      <pane ySplit="4" topLeftCell="A5" activePane="bottomLeft" state="frozen"/>
      <selection pane="bottomLeft" activeCell="A1" sqref="A1"/>
    </sheetView>
  </sheetViews>
  <sheetFormatPr baseColWidth="8" defaultRowHeight="15"/>
  <cols>
    <col width="7" customWidth="1" min="1" max="1"/>
    <col width="18" customWidth="1" min="2" max="2"/>
    <col width="12" customWidth="1" min="3" max="3"/>
    <col width="13" customWidth="1" min="4" max="4"/>
    <col width="13" customWidth="1" min="5" max="5"/>
    <col width="22" customWidth="1" min="7" max="7"/>
    <col width="19" customWidth="1" min="8" max="8"/>
    <col width="14" customWidth="1" min="9" max="9"/>
    <col width="11" customWidth="1" min="10" max="10"/>
    <col width="18" customWidth="1" min="11" max="11"/>
    <col width="15" customWidth="1" min="12" max="12"/>
    <col width="15" customWidth="1" min="13" max="13"/>
    <col width="18" customWidth="1" min="15" max="15"/>
    <col width="14" customWidth="1" min="17" max="17"/>
    <col width="21" customWidth="1" min="19" max="19"/>
    <col width="9" customWidth="1" min="21" max="21"/>
    <col width="12" customWidth="1" min="22" max="22"/>
    <col width="12" customWidth="1" min="23" max="23"/>
    <col width="8" customWidth="1" min="24" max="24"/>
    <col width="34" customWidth="1" min="25" max="25"/>
    <col width="12" customWidth="1" min="26" max="26"/>
    <col width="26" customWidth="1" min="28" max="28"/>
  </cols>
  <sheetData>
    <row r="1" ht="34" customHeight="1">
      <c r="A1" s="51" t="inlineStr">
        <is>
          <t>RÉFÉRENTIELS — listes de référence du classeur</t>
        </is>
      </c>
      <c r="B1" s="2" t="n"/>
      <c r="C1" s="2" t="n"/>
      <c r="D1" s="2" t="n"/>
      <c r="E1" s="2" t="n"/>
      <c r="F1" s="2" t="n"/>
      <c r="G1" s="2" t="n"/>
      <c r="H1" s="2" t="n"/>
      <c r="I1" s="2" t="n"/>
      <c r="J1" s="2" t="n"/>
      <c r="K1" s="2" t="n"/>
      <c r="L1" s="2" t="n"/>
      <c r="M1" s="2" t="n"/>
      <c r="N1" s="2" t="n"/>
      <c r="O1" s="2" t="n"/>
      <c r="P1" s="2" t="n"/>
      <c r="Q1" s="2" t="n"/>
      <c r="R1" s="2" t="n"/>
      <c r="S1" s="2" t="n"/>
      <c r="T1" s="2" t="n"/>
    </row>
    <row r="2" ht="20" customHeight="1">
      <c r="A2" s="52" t="inlineStr">
        <is>
          <t>Ces listes alimentent les menus déroulants de la feuille Planning. Ajouter une valeur ici la rend immédiatement sélectionnable. La colonne Salle est volontairement vide : cette information est absente du fichier d'origine.</t>
        </is>
      </c>
      <c r="B2" s="53" t="n"/>
      <c r="C2" s="53" t="n"/>
      <c r="D2" s="53" t="n"/>
      <c r="E2" s="53" t="n"/>
      <c r="F2" s="53" t="n"/>
      <c r="G2" s="53" t="n"/>
      <c r="H2" s="53" t="n"/>
      <c r="I2" s="53" t="n"/>
      <c r="J2" s="53" t="n"/>
      <c r="K2" s="53" t="n"/>
      <c r="L2" s="53" t="n"/>
      <c r="M2" s="53" t="n"/>
      <c r="N2" s="53" t="n"/>
      <c r="O2" s="53" t="n"/>
      <c r="P2" s="53" t="n"/>
      <c r="Q2" s="53" t="n"/>
      <c r="R2" s="53" t="n"/>
      <c r="S2" s="53" t="n"/>
      <c r="T2" s="53" t="n"/>
    </row>
    <row r="3" ht="20" customHeight="1">
      <c r="A3" s="54" t="inlineStr">
        <is>
          <t>CLASSES / GROUPES</t>
        </is>
      </c>
      <c r="B3" s="98" t="n"/>
      <c r="C3" s="98" t="n"/>
      <c r="D3" s="98" t="n"/>
      <c r="E3" s="98" t="n"/>
      <c r="G3" s="54" t="inlineStr">
        <is>
          <t>MATIÈRES</t>
        </is>
      </c>
      <c r="H3" s="98" t="n"/>
      <c r="I3" s="98" t="n"/>
      <c r="J3" s="98" t="n"/>
      <c r="K3" s="54" t="inlineStr">
        <is>
          <t>ENSEIGNANTS</t>
        </is>
      </c>
      <c r="L3" s="98" t="n"/>
      <c r="M3" s="98" t="n"/>
      <c r="O3" s="54" t="inlineStr">
        <is>
          <t>SALLES</t>
        </is>
      </c>
      <c r="Q3" s="54" t="inlineStr">
        <is>
          <t>MODES</t>
        </is>
      </c>
      <c r="S3" s="54" t="inlineStr">
        <is>
          <t>RYTHMES</t>
        </is>
      </c>
      <c r="U3" s="54" t="inlineStr">
        <is>
          <t>CALENDRIER DES SEMAINES</t>
        </is>
      </c>
      <c r="V3" s="98" t="n"/>
      <c r="W3" s="98" t="n"/>
      <c r="X3" s="98" t="n"/>
      <c r="Y3" s="98" t="n"/>
      <c r="Z3" s="98" t="n"/>
      <c r="AB3" s="54" t="inlineStr">
        <is>
          <t>STATUTS</t>
        </is>
      </c>
    </row>
    <row r="4" ht="28" customHeight="1">
      <c r="A4" s="99" t="inlineStr">
        <is>
          <t>Ordre</t>
        </is>
      </c>
      <c r="B4" s="99" t="inlineStr">
        <is>
          <t>Classe / Groupe</t>
        </is>
      </c>
      <c r="C4" s="99" t="inlineStr">
        <is>
          <t>Cycle</t>
        </is>
      </c>
      <c r="D4" s="99" t="inlineStr">
        <is>
          <t>Séances sem. A</t>
        </is>
      </c>
      <c r="E4" s="99" t="inlineStr">
        <is>
          <t>Séances sem. B</t>
        </is>
      </c>
      <c r="G4" s="99" t="inlineStr">
        <is>
          <t>Matière (libellé affiché)</t>
        </is>
      </c>
      <c r="H4" s="99" t="inlineStr">
        <is>
          <t>Normalisée</t>
        </is>
      </c>
      <c r="I4" s="99" t="inlineStr">
        <is>
          <t>Séances (total)</t>
        </is>
      </c>
      <c r="J4" s="99" t="inlineStr">
        <is>
          <t>Couleur</t>
        </is>
      </c>
      <c r="K4" s="99" t="inlineStr">
        <is>
          <t>Enseignant</t>
        </is>
      </c>
      <c r="L4" s="99" t="inlineStr">
        <is>
          <t>Séances / sem. A</t>
        </is>
      </c>
      <c r="M4" s="99" t="inlineStr">
        <is>
          <t>Heures / sem. A</t>
        </is>
      </c>
      <c r="O4" s="99" t="inlineStr">
        <is>
          <t>Salle (à compléter)</t>
        </is>
      </c>
      <c r="Q4" s="99" t="inlineStr">
        <is>
          <t>Mode</t>
        </is>
      </c>
      <c r="S4" s="99" t="inlineStr">
        <is>
          <t>Rythme</t>
        </is>
      </c>
      <c r="U4" s="99" t="inlineStr">
        <is>
          <t>Code</t>
        </is>
      </c>
      <c r="V4" s="99" t="inlineStr">
        <is>
          <t>Début</t>
        </is>
      </c>
      <c r="W4" s="99" t="inlineStr">
        <is>
          <t>Fin</t>
        </is>
      </c>
      <c r="X4" s="99" t="inlineStr">
        <is>
          <t>Parité</t>
        </is>
      </c>
      <c r="Y4" s="99" t="inlineStr">
        <is>
          <t>Période</t>
        </is>
      </c>
      <c r="Z4" s="99" t="inlineStr">
        <is>
          <t>Mois</t>
        </is>
      </c>
      <c r="AB4" s="99" t="inlineStr">
        <is>
          <t>Statut (couleur prioritaire)</t>
        </is>
      </c>
    </row>
    <row r="5">
      <c r="A5" s="9" t="n">
        <v>1</v>
      </c>
      <c r="B5" s="10" t="inlineStr">
        <is>
          <t>4éme</t>
        </is>
      </c>
      <c r="C5" s="10" t="inlineStr">
        <is>
          <t>Primaire</t>
        </is>
      </c>
      <c r="D5" s="10">
        <f>COUNTIFS(Planning!$C$4:$C$863,"A",Planning!$A$4:$A$863,"S5",Planning!$J$4:$J$863,$B5)</f>
        <v/>
      </c>
      <c r="E5" s="10">
        <f>COUNTIFS(Planning!$C$4:$C$863,"B",Planning!$A$4:$A$863,"S4",Planning!$J$4:$J$863,$B5)</f>
        <v/>
      </c>
      <c r="G5" s="9" t="inlineStr">
        <is>
          <t>ALGO</t>
        </is>
      </c>
      <c r="H5" s="10" t="inlineStr">
        <is>
          <t>ALGO</t>
        </is>
      </c>
      <c r="I5" s="10">
        <f>COUNTIF(Planning!$K$4:$K$863,$G5)</f>
        <v/>
      </c>
      <c r="J5" s="100" t="inlineStr"/>
      <c r="K5" s="9" t="inlineStr">
        <is>
          <t>Abdelwaheb</t>
        </is>
      </c>
      <c r="L5" s="10">
        <f>COUNTIFS(Planning!$A$4:$A$863,"S5",Planning!$M$4:$M$863,$K5)</f>
        <v/>
      </c>
      <c r="M5" s="101">
        <f>SUMIFS(Planning!$H$4:$H$863,Planning!$A$4:$A$863,"S5",Planning!$M$4:$M$863,$K5)</f>
        <v/>
      </c>
      <c r="O5" s="9" t="n"/>
      <c r="Q5" s="9" t="inlineStr">
        <is>
          <t>Présentiel</t>
        </is>
      </c>
      <c r="S5" s="9" t="inlineStr">
        <is>
          <t>Hebdomadaire</t>
        </is>
      </c>
      <c r="U5" s="10" t="inlineStr">
        <is>
          <t>S1</t>
        </is>
      </c>
      <c r="V5" s="102" t="n">
        <v>46279</v>
      </c>
      <c r="W5" s="102" t="n">
        <v>46285</v>
      </c>
      <c r="X5" s="10" t="inlineStr">
        <is>
          <t>A</t>
        </is>
      </c>
      <c r="Y5" s="10" t="inlineStr">
        <is>
          <t>du 14 au 20 septembre 2026</t>
        </is>
      </c>
      <c r="Z5" s="10" t="inlineStr">
        <is>
          <t>Septembre</t>
        </is>
      </c>
      <c r="AB5" s="103" t="inlineStr">
        <is>
          <t>Annulé</t>
        </is>
      </c>
    </row>
    <row r="6">
      <c r="A6" s="9" t="n">
        <v>2</v>
      </c>
      <c r="B6" s="10" t="inlineStr">
        <is>
          <t>5éme</t>
        </is>
      </c>
      <c r="C6" s="10" t="inlineStr">
        <is>
          <t>Primaire</t>
        </is>
      </c>
      <c r="D6" s="10">
        <f>COUNTIFS(Planning!$C$4:$C$863,"A",Planning!$A$4:$A$863,"S5",Planning!$J$4:$J$863,$B6)</f>
        <v/>
      </c>
      <c r="E6" s="10">
        <f>COUNTIFS(Planning!$C$4:$C$863,"B",Planning!$A$4:$A$863,"S4",Planning!$J$4:$J$863,$B6)</f>
        <v/>
      </c>
      <c r="G6" s="9" t="inlineStr">
        <is>
          <t>Anglais</t>
        </is>
      </c>
      <c r="H6" s="10" t="inlineStr">
        <is>
          <t>Anglais</t>
        </is>
      </c>
      <c r="I6" s="10">
        <f>COUNTIF(Planning!$K$4:$K$863,$G6)</f>
        <v/>
      </c>
      <c r="J6" s="104" t="inlineStr"/>
      <c r="K6" s="9" t="inlineStr">
        <is>
          <t>Ahmed</t>
        </is>
      </c>
      <c r="L6" s="10">
        <f>COUNTIFS(Planning!$A$4:$A$863,"S5",Planning!$M$4:$M$863,$K6)</f>
        <v/>
      </c>
      <c r="M6" s="101">
        <f>SUMIFS(Planning!$H$4:$H$863,Planning!$A$4:$A$863,"S5",Planning!$M$4:$M$863,$K6)</f>
        <v/>
      </c>
      <c r="O6" s="9" t="n"/>
      <c r="Q6" s="9" t="inlineStr">
        <is>
          <t>En ligne</t>
        </is>
      </c>
      <c r="S6" s="9" t="inlineStr">
        <is>
          <t>Quinzaine A</t>
        </is>
      </c>
      <c r="U6" s="10" t="inlineStr">
        <is>
          <t>S2</t>
        </is>
      </c>
      <c r="V6" s="102" t="n">
        <v>46286</v>
      </c>
      <c r="W6" s="102" t="n">
        <v>46292</v>
      </c>
      <c r="X6" s="10" t="inlineStr">
        <is>
          <t>B</t>
        </is>
      </c>
      <c r="Y6" s="10" t="inlineStr">
        <is>
          <t>du 21 au 27 septembre 2026</t>
        </is>
      </c>
      <c r="Z6" s="10" t="inlineStr">
        <is>
          <t>Septembre</t>
        </is>
      </c>
      <c r="AB6" s="105" t="inlineStr">
        <is>
          <t>Examen / Devoir</t>
        </is>
      </c>
    </row>
    <row r="7">
      <c r="A7" s="9" t="n">
        <v>3</v>
      </c>
      <c r="B7" s="10" t="inlineStr">
        <is>
          <t>6éme Pilote (A)</t>
        </is>
      </c>
      <c r="C7" s="10" t="inlineStr">
        <is>
          <t>Primaire</t>
        </is>
      </c>
      <c r="D7" s="10">
        <f>COUNTIFS(Planning!$C$4:$C$863,"A",Planning!$A$4:$A$863,"S5",Planning!$J$4:$J$863,$B7)</f>
        <v/>
      </c>
      <c r="E7" s="10">
        <f>COUNTIFS(Planning!$C$4:$C$863,"B",Planning!$A$4:$A$863,"S4",Planning!$J$4:$J$863,$B7)</f>
        <v/>
      </c>
      <c r="G7" s="9" t="inlineStr">
        <is>
          <t>Arabe</t>
        </is>
      </c>
      <c r="H7" s="10" t="inlineStr">
        <is>
          <t>Arabe</t>
        </is>
      </c>
      <c r="I7" s="10">
        <f>COUNTIF(Planning!$K$4:$K$863,$G7)</f>
        <v/>
      </c>
      <c r="J7" s="106" t="inlineStr"/>
      <c r="K7" s="9" t="inlineStr">
        <is>
          <t>Amel</t>
        </is>
      </c>
      <c r="L7" s="10">
        <f>COUNTIFS(Planning!$A$4:$A$863,"S5",Planning!$M$4:$M$863,$K7)</f>
        <v/>
      </c>
      <c r="M7" s="101">
        <f>SUMIFS(Planning!$H$4:$H$863,Planning!$A$4:$A$863,"S5",Planning!$M$4:$M$863,$K7)</f>
        <v/>
      </c>
      <c r="O7" s="9" t="n"/>
      <c r="Q7" s="9" t="inlineStr">
        <is>
          <t>Hybride</t>
        </is>
      </c>
      <c r="S7" s="9" t="inlineStr">
        <is>
          <t>Quinzaine B</t>
        </is>
      </c>
      <c r="U7" s="10" t="inlineStr">
        <is>
          <t>S3</t>
        </is>
      </c>
      <c r="V7" s="102" t="n">
        <v>46293</v>
      </c>
      <c r="W7" s="102" t="n">
        <v>46299</v>
      </c>
      <c r="X7" s="10" t="inlineStr">
        <is>
          <t>A</t>
        </is>
      </c>
      <c r="Y7" s="10" t="inlineStr">
        <is>
          <t>du 28 septembre au 4 octobre 2026</t>
        </is>
      </c>
      <c r="Z7" s="10" t="inlineStr">
        <is>
          <t>Référence</t>
        </is>
      </c>
      <c r="AB7" s="107" t="inlineStr">
        <is>
          <t>Rattrapage</t>
        </is>
      </c>
    </row>
    <row r="8">
      <c r="A8" s="9" t="n">
        <v>4</v>
      </c>
      <c r="B8" s="10" t="inlineStr">
        <is>
          <t>6éme (B)</t>
        </is>
      </c>
      <c r="C8" s="10" t="inlineStr">
        <is>
          <t>Primaire</t>
        </is>
      </c>
      <c r="D8" s="10">
        <f>COUNTIFS(Planning!$C$4:$C$863,"A",Planning!$A$4:$A$863,"S5",Planning!$J$4:$J$863,$B8)</f>
        <v/>
      </c>
      <c r="E8" s="10">
        <f>COUNTIFS(Planning!$C$4:$C$863,"B",Planning!$A$4:$A$863,"S4",Planning!$J$4:$J$863,$B8)</f>
        <v/>
      </c>
      <c r="G8" s="9" t="inlineStr">
        <is>
          <t>Eco</t>
        </is>
      </c>
      <c r="H8" s="10" t="inlineStr">
        <is>
          <t>Eco</t>
        </is>
      </c>
      <c r="I8" s="10">
        <f>COUNTIF(Planning!$K$4:$K$863,$G8)</f>
        <v/>
      </c>
      <c r="J8" s="108" t="inlineStr"/>
      <c r="K8" s="9" t="inlineStr">
        <is>
          <t>Awatef</t>
        </is>
      </c>
      <c r="L8" s="10">
        <f>COUNTIFS(Planning!$A$4:$A$863,"S5",Planning!$M$4:$M$863,$K8)</f>
        <v/>
      </c>
      <c r="M8" s="101">
        <f>SUMIFS(Planning!$H$4:$H$863,Planning!$A$4:$A$863,"S5",Planning!$M$4:$M$863,$K8)</f>
        <v/>
      </c>
      <c r="O8" s="9" t="n"/>
      <c r="S8" s="9" t="inlineStr">
        <is>
          <t>Exception</t>
        </is>
      </c>
      <c r="U8" s="10" t="inlineStr">
        <is>
          <t>S4</t>
        </is>
      </c>
      <c r="V8" s="102" t="n">
        <v>46300</v>
      </c>
      <c r="W8" s="102" t="n">
        <v>46306</v>
      </c>
      <c r="X8" s="10" t="inlineStr">
        <is>
          <t>B</t>
        </is>
      </c>
      <c r="Y8" s="10" t="inlineStr">
        <is>
          <t>du 5 au 11 octobre 2026</t>
        </is>
      </c>
      <c r="Z8" s="10" t="inlineStr">
        <is>
          <t>Octobre</t>
        </is>
      </c>
      <c r="AB8" s="109" t="inlineStr">
        <is>
          <t>À confirmer</t>
        </is>
      </c>
    </row>
    <row r="9">
      <c r="A9" s="9" t="n">
        <v>5</v>
      </c>
      <c r="B9" s="10" t="inlineStr">
        <is>
          <t>7éme (A)</t>
        </is>
      </c>
      <c r="C9" s="10" t="inlineStr">
        <is>
          <t>Collège</t>
        </is>
      </c>
      <c r="D9" s="10">
        <f>COUNTIFS(Planning!$C$4:$C$863,"A",Planning!$A$4:$A$863,"S5",Planning!$J$4:$J$863,$B9)</f>
        <v/>
      </c>
      <c r="E9" s="10">
        <f>COUNTIFS(Planning!$C$4:$C$863,"B",Planning!$A$4:$A$863,"S4",Planning!$J$4:$J$863,$B9)</f>
        <v/>
      </c>
      <c r="G9" s="9" t="inlineStr">
        <is>
          <t>Espagnol</t>
        </is>
      </c>
      <c r="H9" s="10" t="inlineStr">
        <is>
          <t>Espagnol</t>
        </is>
      </c>
      <c r="I9" s="10">
        <f>COUNTIF(Planning!$K$4:$K$863,$G9)</f>
        <v/>
      </c>
      <c r="J9" s="110" t="inlineStr"/>
      <c r="K9" s="9" t="inlineStr">
        <is>
          <t>Aymen</t>
        </is>
      </c>
      <c r="L9" s="10">
        <f>COUNTIFS(Planning!$A$4:$A$863,"S5",Planning!$M$4:$M$863,$K9)</f>
        <v/>
      </c>
      <c r="M9" s="101">
        <f>SUMIFS(Planning!$H$4:$H$863,Planning!$A$4:$A$863,"S5",Planning!$M$4:$M$863,$K9)</f>
        <v/>
      </c>
      <c r="O9" s="9" t="n"/>
      <c r="S9" s="9" t="inlineStr">
        <is>
          <t>Ponctuelle / modifiée</t>
        </is>
      </c>
      <c r="U9" s="10" t="inlineStr">
        <is>
          <t>S5</t>
        </is>
      </c>
      <c r="V9" s="102" t="n">
        <v>46307</v>
      </c>
      <c r="W9" s="102" t="n">
        <v>46313</v>
      </c>
      <c r="X9" s="10" t="inlineStr">
        <is>
          <t>A</t>
        </is>
      </c>
      <c r="Y9" s="10" t="inlineStr">
        <is>
          <t>du 12 au 18 octobre 2026</t>
        </is>
      </c>
      <c r="Z9" s="10" t="inlineStr">
        <is>
          <t>Octobre</t>
        </is>
      </c>
      <c r="AB9" s="111" t="inlineStr">
        <is>
          <t>Changement de salle</t>
        </is>
      </c>
    </row>
    <row r="10">
      <c r="A10" s="9" t="n">
        <v>6</v>
      </c>
      <c r="B10" s="10" t="inlineStr">
        <is>
          <t>7éme (B)</t>
        </is>
      </c>
      <c r="C10" s="10" t="inlineStr">
        <is>
          <t>Collège</t>
        </is>
      </c>
      <c r="D10" s="10">
        <f>COUNTIFS(Planning!$C$4:$C$863,"A",Planning!$A$4:$A$863,"S5",Planning!$J$4:$J$863,$B10)</f>
        <v/>
      </c>
      <c r="E10" s="10">
        <f>COUNTIFS(Planning!$C$4:$C$863,"B",Planning!$A$4:$A$863,"S4",Planning!$J$4:$J$863,$B10)</f>
        <v/>
      </c>
      <c r="G10" s="9" t="inlineStr">
        <is>
          <t>Français</t>
        </is>
      </c>
      <c r="H10" s="10" t="inlineStr">
        <is>
          <t>Français</t>
        </is>
      </c>
      <c r="I10" s="10">
        <f>COUNTIF(Planning!$K$4:$K$863,$G10)</f>
        <v/>
      </c>
      <c r="J10" s="112" t="inlineStr"/>
      <c r="K10" s="9" t="inlineStr">
        <is>
          <t>Bassma</t>
        </is>
      </c>
      <c r="L10" s="10">
        <f>COUNTIFS(Planning!$A$4:$A$863,"S5",Planning!$M$4:$M$863,$K10)</f>
        <v/>
      </c>
      <c r="M10" s="101">
        <f>SUMIFS(Planning!$H$4:$H$863,Planning!$A$4:$A$863,"S5",Planning!$M$4:$M$863,$K10)</f>
        <v/>
      </c>
      <c r="O10" s="9" t="n"/>
      <c r="U10" s="10" t="inlineStr">
        <is>
          <t>S6</t>
        </is>
      </c>
      <c r="V10" s="102" t="n">
        <v>46314</v>
      </c>
      <c r="W10" s="102" t="n">
        <v>46320</v>
      </c>
      <c r="X10" s="10" t="inlineStr">
        <is>
          <t>B</t>
        </is>
      </c>
      <c r="Y10" s="10" t="inlineStr">
        <is>
          <t>du 19 au 25 octobre 2026</t>
        </is>
      </c>
      <c r="Z10" s="10" t="inlineStr">
        <is>
          <t>Octobre</t>
        </is>
      </c>
      <c r="AB10" s="113" t="inlineStr">
        <is>
          <t>Séance en ligne</t>
        </is>
      </c>
    </row>
    <row r="11">
      <c r="A11" s="9" t="n">
        <v>7</v>
      </c>
      <c r="B11" s="10" t="inlineStr">
        <is>
          <t>8éme (A)</t>
        </is>
      </c>
      <c r="C11" s="10" t="inlineStr">
        <is>
          <t>Collège</t>
        </is>
      </c>
      <c r="D11" s="10">
        <f>COUNTIFS(Planning!$C$4:$C$863,"A",Planning!$A$4:$A$863,"S5",Planning!$J$4:$J$863,$B11)</f>
        <v/>
      </c>
      <c r="E11" s="10">
        <f>COUNTIFS(Planning!$C$4:$C$863,"B",Planning!$A$4:$A$863,"S4",Planning!$J$4:$J$863,$B11)</f>
        <v/>
      </c>
      <c r="G11" s="9" t="inlineStr">
        <is>
          <t>Gestion</t>
        </is>
      </c>
      <c r="H11" s="10" t="inlineStr">
        <is>
          <t>Gestion</t>
        </is>
      </c>
      <c r="I11" s="10">
        <f>COUNTIF(Planning!$K$4:$K$863,$G11)</f>
        <v/>
      </c>
      <c r="J11" s="114" t="inlineStr"/>
      <c r="K11" s="9" t="inlineStr">
        <is>
          <t>Faouzi</t>
        </is>
      </c>
      <c r="L11" s="10">
        <f>COUNTIFS(Planning!$A$4:$A$863,"S5",Planning!$M$4:$M$863,$K11)</f>
        <v/>
      </c>
      <c r="M11" s="101">
        <f>SUMIFS(Planning!$H$4:$H$863,Planning!$A$4:$A$863,"S5",Planning!$M$4:$M$863,$K11)</f>
        <v/>
      </c>
      <c r="O11" s="9" t="n"/>
      <c r="U11" s="10" t="inlineStr">
        <is>
          <t>S7</t>
        </is>
      </c>
      <c r="V11" s="102" t="n">
        <v>46321</v>
      </c>
      <c r="W11" s="102" t="n">
        <v>46327</v>
      </c>
      <c r="X11" s="10" t="inlineStr">
        <is>
          <t>A</t>
        </is>
      </c>
      <c r="Y11" s="10" t="inlineStr">
        <is>
          <t>du 26 octobre au 1er novembre 2026</t>
        </is>
      </c>
      <c r="Z11" s="10" t="inlineStr">
        <is>
          <t>Octobre</t>
        </is>
      </c>
    </row>
    <row r="12">
      <c r="A12" s="9" t="n">
        <v>8</v>
      </c>
      <c r="B12" s="10" t="inlineStr">
        <is>
          <t>8éme (B)</t>
        </is>
      </c>
      <c r="C12" s="10" t="inlineStr">
        <is>
          <t>Collège</t>
        </is>
      </c>
      <c r="D12" s="10">
        <f>COUNTIFS(Planning!$C$4:$C$863,"A",Planning!$A$4:$A$863,"S5",Planning!$J$4:$J$863,$B12)</f>
        <v/>
      </c>
      <c r="E12" s="10">
        <f>COUNTIFS(Planning!$C$4:$C$863,"B",Planning!$A$4:$A$863,"S4",Planning!$J$4:$J$863,$B12)</f>
        <v/>
      </c>
      <c r="G12" s="9" t="inlineStr">
        <is>
          <t>Géographie</t>
        </is>
      </c>
      <c r="H12" s="10" t="inlineStr">
        <is>
          <t>Géographie</t>
        </is>
      </c>
      <c r="I12" s="10">
        <f>COUNTIF(Planning!$K$4:$K$863,$G12)</f>
        <v/>
      </c>
      <c r="J12" s="115" t="inlineStr"/>
      <c r="K12" s="9" t="inlineStr">
        <is>
          <t>Fayssel</t>
        </is>
      </c>
      <c r="L12" s="10">
        <f>COUNTIFS(Planning!$A$4:$A$863,"S5",Planning!$M$4:$M$863,$K12)</f>
        <v/>
      </c>
      <c r="M12" s="101">
        <f>SUMIFS(Planning!$H$4:$H$863,Planning!$A$4:$A$863,"S5",Planning!$M$4:$M$863,$K12)</f>
        <v/>
      </c>
      <c r="O12" s="9" t="n"/>
    </row>
    <row r="13">
      <c r="A13" s="9" t="n">
        <v>9</v>
      </c>
      <c r="B13" s="10" t="inlineStr">
        <is>
          <t>8éme (C)</t>
        </is>
      </c>
      <c r="C13" s="10" t="inlineStr">
        <is>
          <t>Collège</t>
        </is>
      </c>
      <c r="D13" s="10">
        <f>COUNTIFS(Planning!$C$4:$C$863,"A",Planning!$A$4:$A$863,"S5",Planning!$J$4:$J$863,$B13)</f>
        <v/>
      </c>
      <c r="E13" s="10">
        <f>COUNTIFS(Planning!$C$4:$C$863,"B",Planning!$A$4:$A$863,"S4",Planning!$J$4:$J$863,$B13)</f>
        <v/>
      </c>
      <c r="G13" s="9" t="inlineStr">
        <is>
          <t>Histoire</t>
        </is>
      </c>
      <c r="H13" s="10" t="inlineStr">
        <is>
          <t>Histoire</t>
        </is>
      </c>
      <c r="I13" s="10">
        <f>COUNTIF(Planning!$K$4:$K$863,$G13)</f>
        <v/>
      </c>
      <c r="J13" s="116" t="inlineStr"/>
      <c r="K13" s="9" t="inlineStr">
        <is>
          <t>Hajer</t>
        </is>
      </c>
      <c r="L13" s="10">
        <f>COUNTIFS(Planning!$A$4:$A$863,"S5",Planning!$M$4:$M$863,$K13)</f>
        <v/>
      </c>
      <c r="M13" s="101">
        <f>SUMIFS(Planning!$H$4:$H$863,Planning!$A$4:$A$863,"S5",Planning!$M$4:$M$863,$K13)</f>
        <v/>
      </c>
      <c r="O13" s="9" t="n"/>
    </row>
    <row r="14">
      <c r="A14" s="9" t="n">
        <v>10</v>
      </c>
      <c r="B14" s="10" t="inlineStr">
        <is>
          <t>9éme (A)</t>
        </is>
      </c>
      <c r="C14" s="10" t="inlineStr">
        <is>
          <t>Collège</t>
        </is>
      </c>
      <c r="D14" s="10">
        <f>COUNTIFS(Planning!$C$4:$C$863,"A",Planning!$A$4:$A$863,"S5",Planning!$J$4:$J$863,$B14)</f>
        <v/>
      </c>
      <c r="E14" s="10">
        <f>COUNTIFS(Planning!$C$4:$C$863,"B",Planning!$A$4:$A$863,"S4",Planning!$J$4:$J$863,$B14)</f>
        <v/>
      </c>
      <c r="G14" s="9" t="inlineStr">
        <is>
          <t>Informatique</t>
        </is>
      </c>
      <c r="H14" s="10" t="inlineStr">
        <is>
          <t>Informatique</t>
        </is>
      </c>
      <c r="I14" s="10">
        <f>COUNTIF(Planning!$K$4:$K$863,$G14)</f>
        <v/>
      </c>
      <c r="J14" s="117" t="inlineStr"/>
      <c r="K14" s="9" t="inlineStr">
        <is>
          <t>Haythem</t>
        </is>
      </c>
      <c r="L14" s="10">
        <f>COUNTIFS(Planning!$A$4:$A$863,"S5",Planning!$M$4:$M$863,$K14)</f>
        <v/>
      </c>
      <c r="M14" s="101">
        <f>SUMIFS(Planning!$H$4:$H$863,Planning!$A$4:$A$863,"S5",Planning!$M$4:$M$863,$K14)</f>
        <v/>
      </c>
      <c r="O14" s="9" t="n"/>
    </row>
    <row r="15">
      <c r="A15" s="9" t="n">
        <v>11</v>
      </c>
      <c r="B15" s="10" t="inlineStr">
        <is>
          <t>9éme (B)</t>
        </is>
      </c>
      <c r="C15" s="10" t="inlineStr">
        <is>
          <t>Collège</t>
        </is>
      </c>
      <c r="D15" s="10">
        <f>COUNTIFS(Planning!$C$4:$C$863,"A",Planning!$A$4:$A$863,"S5",Planning!$J$4:$J$863,$B15)</f>
        <v/>
      </c>
      <c r="E15" s="10">
        <f>COUNTIFS(Planning!$C$4:$C$863,"B",Planning!$A$4:$A$863,"S4",Planning!$J$4:$J$863,$B15)</f>
        <v/>
      </c>
      <c r="G15" s="9" t="inlineStr">
        <is>
          <t>Italien</t>
        </is>
      </c>
      <c r="H15" s="10" t="inlineStr">
        <is>
          <t>Italien</t>
        </is>
      </c>
      <c r="I15" s="10">
        <f>COUNTIF(Planning!$K$4:$K$863,$G15)</f>
        <v/>
      </c>
      <c r="J15" s="118" t="inlineStr"/>
      <c r="K15" s="9" t="inlineStr">
        <is>
          <t>Hend</t>
        </is>
      </c>
      <c r="L15" s="10">
        <f>COUNTIFS(Planning!$A$4:$A$863,"S5",Planning!$M$4:$M$863,$K15)</f>
        <v/>
      </c>
      <c r="M15" s="101">
        <f>SUMIFS(Planning!$H$4:$H$863,Planning!$A$4:$A$863,"S5",Planning!$M$4:$M$863,$K15)</f>
        <v/>
      </c>
      <c r="O15" s="9" t="n"/>
    </row>
    <row r="16">
      <c r="A16" s="9" t="n">
        <v>12</v>
      </c>
      <c r="B16" s="10" t="inlineStr">
        <is>
          <t>9éme (C)</t>
        </is>
      </c>
      <c r="C16" s="10" t="inlineStr">
        <is>
          <t>Collège</t>
        </is>
      </c>
      <c r="D16" s="10">
        <f>COUNTIFS(Planning!$C$4:$C$863,"A",Planning!$A$4:$A$863,"S5",Planning!$J$4:$J$863,$B16)</f>
        <v/>
      </c>
      <c r="E16" s="10">
        <f>COUNTIFS(Planning!$C$4:$C$863,"B",Planning!$A$4:$A$863,"S4",Planning!$J$4:$J$863,$B16)</f>
        <v/>
      </c>
      <c r="G16" s="9" t="inlineStr">
        <is>
          <t>Math</t>
        </is>
      </c>
      <c r="H16" s="10" t="inlineStr">
        <is>
          <t>Math</t>
        </is>
      </c>
      <c r="I16" s="10">
        <f>COUNTIF(Planning!$K$4:$K$863,$G16)</f>
        <v/>
      </c>
      <c r="J16" s="119" t="inlineStr"/>
      <c r="K16" s="9" t="inlineStr">
        <is>
          <t>Heni</t>
        </is>
      </c>
      <c r="L16" s="10">
        <f>COUNTIFS(Planning!$A$4:$A$863,"S5",Planning!$M$4:$M$863,$K16)</f>
        <v/>
      </c>
      <c r="M16" s="101">
        <f>SUMIFS(Planning!$H$4:$H$863,Planning!$A$4:$A$863,"S5",Planning!$M$4:$M$863,$K16)</f>
        <v/>
      </c>
      <c r="O16" s="9" t="n"/>
    </row>
    <row r="17">
      <c r="A17" s="9" t="n">
        <v>13</v>
      </c>
      <c r="B17" s="10" t="inlineStr">
        <is>
          <t>1ére (A)</t>
        </is>
      </c>
      <c r="C17" s="10" t="inlineStr">
        <is>
          <t>Secondaire</t>
        </is>
      </c>
      <c r="D17" s="10">
        <f>COUNTIFS(Planning!$C$4:$C$863,"A",Planning!$A$4:$A$863,"S5",Planning!$J$4:$J$863,$B17)</f>
        <v/>
      </c>
      <c r="E17" s="10">
        <f>COUNTIFS(Planning!$C$4:$C$863,"B",Planning!$A$4:$A$863,"S4",Planning!$J$4:$J$863,$B17)</f>
        <v/>
      </c>
      <c r="G17" s="9" t="inlineStr">
        <is>
          <t>Philo</t>
        </is>
      </c>
      <c r="H17" s="10" t="inlineStr">
        <is>
          <t>Philo</t>
        </is>
      </c>
      <c r="I17" s="10">
        <f>COUNTIF(Planning!$K$4:$K$863,$G17)</f>
        <v/>
      </c>
      <c r="J17" s="120" t="inlineStr"/>
      <c r="K17" s="9" t="inlineStr">
        <is>
          <t>Imen</t>
        </is>
      </c>
      <c r="L17" s="10">
        <f>COUNTIFS(Planning!$A$4:$A$863,"S5",Planning!$M$4:$M$863,$K17)</f>
        <v/>
      </c>
      <c r="M17" s="101">
        <f>SUMIFS(Planning!$H$4:$H$863,Planning!$A$4:$A$863,"S5",Planning!$M$4:$M$863,$K17)</f>
        <v/>
      </c>
    </row>
    <row r="18">
      <c r="A18" s="9" t="n">
        <v>14</v>
      </c>
      <c r="B18" s="10" t="inlineStr">
        <is>
          <t>1ére (B)</t>
        </is>
      </c>
      <c r="C18" s="10" t="inlineStr">
        <is>
          <t>Secondaire</t>
        </is>
      </c>
      <c r="D18" s="10">
        <f>COUNTIFS(Planning!$C$4:$C$863,"A",Planning!$A$4:$A$863,"S5",Planning!$J$4:$J$863,$B18)</f>
        <v/>
      </c>
      <c r="E18" s="10">
        <f>COUNTIFS(Planning!$C$4:$C$863,"B",Planning!$A$4:$A$863,"S4",Planning!$J$4:$J$863,$B18)</f>
        <v/>
      </c>
      <c r="G18" s="9" t="inlineStr">
        <is>
          <t>Physique</t>
        </is>
      </c>
      <c r="H18" s="10" t="inlineStr">
        <is>
          <t>Physique</t>
        </is>
      </c>
      <c r="I18" s="10">
        <f>COUNTIF(Planning!$K$4:$K$863,$G18)</f>
        <v/>
      </c>
      <c r="J18" s="121" t="inlineStr"/>
      <c r="K18" s="9" t="inlineStr">
        <is>
          <t>Imen Ben Lazrak</t>
        </is>
      </c>
      <c r="L18" s="10">
        <f>COUNTIFS(Planning!$A$4:$A$863,"S5",Planning!$M$4:$M$863,$K18)</f>
        <v/>
      </c>
      <c r="M18" s="101">
        <f>SUMIFS(Planning!$H$4:$H$863,Planning!$A$4:$A$863,"S5",Planning!$M$4:$M$863,$K18)</f>
        <v/>
      </c>
    </row>
    <row r="19">
      <c r="A19" s="9" t="n">
        <v>15</v>
      </c>
      <c r="B19" s="10" t="inlineStr">
        <is>
          <t>2éme Eco</t>
        </is>
      </c>
      <c r="C19" s="10" t="inlineStr">
        <is>
          <t>Secondaire</t>
        </is>
      </c>
      <c r="D19" s="10">
        <f>COUNTIFS(Planning!$C$4:$C$863,"A",Planning!$A$4:$A$863,"S5",Planning!$J$4:$J$863,$B19)</f>
        <v/>
      </c>
      <c r="E19" s="10">
        <f>COUNTIFS(Planning!$C$4:$C$863,"B",Planning!$A$4:$A$863,"S4",Planning!$J$4:$J$863,$B19)</f>
        <v/>
      </c>
      <c r="G19" s="9" t="inlineStr">
        <is>
          <t>STI</t>
        </is>
      </c>
      <c r="H19" s="10" t="inlineStr">
        <is>
          <t>STI</t>
        </is>
      </c>
      <c r="I19" s="10">
        <f>COUNTIF(Planning!$K$4:$K$863,$G19)</f>
        <v/>
      </c>
      <c r="J19" s="122" t="inlineStr"/>
      <c r="K19" s="9" t="inlineStr">
        <is>
          <t>Imen Bennour</t>
        </is>
      </c>
      <c r="L19" s="10">
        <f>COUNTIFS(Planning!$A$4:$A$863,"S5",Planning!$M$4:$M$863,$K19)</f>
        <v/>
      </c>
      <c r="M19" s="101">
        <f>SUMIFS(Planning!$H$4:$H$863,Planning!$A$4:$A$863,"S5",Planning!$M$4:$M$863,$K19)</f>
        <v/>
      </c>
    </row>
    <row r="20">
      <c r="A20" s="9" t="n">
        <v>16</v>
      </c>
      <c r="B20" s="10" t="inlineStr">
        <is>
          <t>2éme SCE</t>
        </is>
      </c>
      <c r="C20" s="10" t="inlineStr">
        <is>
          <t>Secondaire</t>
        </is>
      </c>
      <c r="D20" s="10">
        <f>COUNTIFS(Planning!$C$4:$C$863,"A",Planning!$A$4:$A$863,"S5",Planning!$J$4:$J$863,$B20)</f>
        <v/>
      </c>
      <c r="E20" s="10">
        <f>COUNTIFS(Planning!$C$4:$C$863,"B",Planning!$A$4:$A$863,"S4",Planning!$J$4:$J$863,$B20)</f>
        <v/>
      </c>
      <c r="G20" s="9" t="inlineStr">
        <is>
          <t>SVT</t>
        </is>
      </c>
      <c r="H20" s="10" t="inlineStr">
        <is>
          <t>SVT</t>
        </is>
      </c>
      <c r="I20" s="10">
        <f>COUNTIF(Planning!$K$4:$K$863,$G20)</f>
        <v/>
      </c>
      <c r="J20" s="123" t="inlineStr"/>
      <c r="K20" s="9" t="inlineStr">
        <is>
          <t>Imen Ghoumem</t>
        </is>
      </c>
      <c r="L20" s="10">
        <f>COUNTIFS(Planning!$A$4:$A$863,"S5",Planning!$M$4:$M$863,$K20)</f>
        <v/>
      </c>
      <c r="M20" s="101">
        <f>SUMIFS(Planning!$H$4:$H$863,Planning!$A$4:$A$863,"S5",Planning!$M$4:$M$863,$K20)</f>
        <v/>
      </c>
    </row>
    <row r="21">
      <c r="A21" s="9" t="n">
        <v>17</v>
      </c>
      <c r="B21" s="10" t="inlineStr">
        <is>
          <t>2éme INFO</t>
        </is>
      </c>
      <c r="C21" s="10" t="inlineStr">
        <is>
          <t>Secondaire</t>
        </is>
      </c>
      <c r="D21" s="10">
        <f>COUNTIFS(Planning!$C$4:$C$863,"A",Planning!$A$4:$A$863,"S5",Planning!$J$4:$J$863,$B21)</f>
        <v/>
      </c>
      <c r="E21" s="10">
        <f>COUNTIFS(Planning!$C$4:$C$863,"B",Planning!$A$4:$A$863,"S4",Planning!$J$4:$J$863,$B21)</f>
        <v/>
      </c>
      <c r="G21" s="9" t="inlineStr">
        <is>
          <t>إيقاظ علمي</t>
        </is>
      </c>
      <c r="H21" s="10" t="inlineStr">
        <is>
          <t>Éveil scientifique</t>
        </is>
      </c>
      <c r="I21" s="10">
        <f>COUNTIF(Planning!$K$4:$K$863,$G21)</f>
        <v/>
      </c>
      <c r="J21" s="124" t="inlineStr"/>
      <c r="K21" s="9" t="inlineStr">
        <is>
          <t>Imen Ghoumeme</t>
        </is>
      </c>
      <c r="L21" s="10">
        <f>COUNTIFS(Planning!$A$4:$A$863,"S5",Planning!$M$4:$M$863,$K21)</f>
        <v/>
      </c>
      <c r="M21" s="101">
        <f>SUMIFS(Planning!$H$4:$H$863,Planning!$A$4:$A$863,"S5",Planning!$M$4:$M$863,$K21)</f>
        <v/>
      </c>
    </row>
    <row r="22">
      <c r="A22" s="9" t="n">
        <v>18</v>
      </c>
      <c r="B22" s="10" t="inlineStr">
        <is>
          <t>3éme Eco</t>
        </is>
      </c>
      <c r="C22" s="10" t="inlineStr">
        <is>
          <t>Secondaire</t>
        </is>
      </c>
      <c r="D22" s="10">
        <f>COUNTIFS(Planning!$C$4:$C$863,"A",Planning!$A$4:$A$863,"S5",Planning!$J$4:$J$863,$B22)</f>
        <v/>
      </c>
      <c r="E22" s="10">
        <f>COUNTIFS(Planning!$C$4:$C$863,"B",Planning!$A$4:$A$863,"S4",Planning!$J$4:$J$863,$B22)</f>
        <v/>
      </c>
      <c r="G22" s="9" t="inlineStr">
        <is>
          <t>رياضيات</t>
        </is>
      </c>
      <c r="H22" s="10" t="inlineStr">
        <is>
          <t>Math</t>
        </is>
      </c>
      <c r="I22" s="10">
        <f>COUNTIF(Planning!$K$4:$K$863,$G22)</f>
        <v/>
      </c>
      <c r="J22" s="119" t="inlineStr"/>
      <c r="K22" s="9" t="inlineStr">
        <is>
          <t>Imen Jribi</t>
        </is>
      </c>
      <c r="L22" s="10">
        <f>COUNTIFS(Planning!$A$4:$A$863,"S5",Planning!$M$4:$M$863,$K22)</f>
        <v/>
      </c>
      <c r="M22" s="101">
        <f>SUMIFS(Planning!$H$4:$H$863,Planning!$A$4:$A$863,"S5",Planning!$M$4:$M$863,$K22)</f>
        <v/>
      </c>
    </row>
    <row r="23">
      <c r="A23" s="9" t="n">
        <v>19</v>
      </c>
      <c r="B23" s="10" t="inlineStr">
        <is>
          <t>3éme INFO</t>
        </is>
      </c>
      <c r="C23" s="10" t="inlineStr">
        <is>
          <t>Secondaire</t>
        </is>
      </c>
      <c r="D23" s="10">
        <f>COUNTIFS(Planning!$C$4:$C$863,"A",Planning!$A$4:$A$863,"S5",Planning!$J$4:$J$863,$B23)</f>
        <v/>
      </c>
      <c r="E23" s="10">
        <f>COUNTIFS(Planning!$C$4:$C$863,"B",Planning!$A$4:$A$863,"S4",Planning!$J$4:$J$863,$B23)</f>
        <v/>
      </c>
      <c r="G23" s="9" t="inlineStr">
        <is>
          <t>عربية</t>
        </is>
      </c>
      <c r="H23" s="10" t="inlineStr">
        <is>
          <t>Arabe</t>
        </is>
      </c>
      <c r="I23" s="10">
        <f>COUNTIF(Planning!$K$4:$K$863,$G23)</f>
        <v/>
      </c>
      <c r="J23" s="106" t="inlineStr"/>
      <c r="K23" s="9" t="inlineStr">
        <is>
          <t>Khaled</t>
        </is>
      </c>
      <c r="L23" s="10">
        <f>COUNTIFS(Planning!$A$4:$A$863,"S5",Planning!$M$4:$M$863,$K23)</f>
        <v/>
      </c>
      <c r="M23" s="101">
        <f>SUMIFS(Planning!$H$4:$H$863,Planning!$A$4:$A$863,"S5",Planning!$M$4:$M$863,$K23)</f>
        <v/>
      </c>
    </row>
    <row r="24">
      <c r="A24" s="9" t="n">
        <v>20</v>
      </c>
      <c r="B24" s="10" t="inlineStr">
        <is>
          <t>3éme SCE</t>
        </is>
      </c>
      <c r="C24" s="10" t="inlineStr">
        <is>
          <t>Secondaire</t>
        </is>
      </c>
      <c r="D24" s="10">
        <f>COUNTIFS(Planning!$C$4:$C$863,"A",Planning!$A$4:$A$863,"S5",Planning!$J$4:$J$863,$B24)</f>
        <v/>
      </c>
      <c r="E24" s="10">
        <f>COUNTIFS(Planning!$C$4:$C$863,"B",Planning!$A$4:$A$863,"S4",Planning!$J$4:$J$863,$B24)</f>
        <v/>
      </c>
      <c r="G24" s="9" t="inlineStr">
        <is>
          <t>فيزياء</t>
        </is>
      </c>
      <c r="H24" s="10" t="inlineStr">
        <is>
          <t>Physique</t>
        </is>
      </c>
      <c r="I24" s="10">
        <f>COUNTIF(Planning!$K$4:$K$863,$G24)</f>
        <v/>
      </c>
      <c r="J24" s="121" t="inlineStr"/>
      <c r="K24" s="9" t="inlineStr">
        <is>
          <t>Khouloud</t>
        </is>
      </c>
      <c r="L24" s="10">
        <f>COUNTIFS(Planning!$A$4:$A$863,"S5",Planning!$M$4:$M$863,$K24)</f>
        <v/>
      </c>
      <c r="M24" s="101">
        <f>SUMIFS(Planning!$H$4:$H$863,Planning!$A$4:$A$863,"S5",Planning!$M$4:$M$863,$K24)</f>
        <v/>
      </c>
    </row>
    <row r="25">
      <c r="A25" s="9" t="n">
        <v>21</v>
      </c>
      <c r="B25" s="10" t="inlineStr">
        <is>
          <t>Bac Eco</t>
        </is>
      </c>
      <c r="C25" s="10" t="inlineStr">
        <is>
          <t>Bac</t>
        </is>
      </c>
      <c r="D25" s="10">
        <f>COUNTIFS(Planning!$C$4:$C$863,"A",Planning!$A$4:$A$863,"S5",Planning!$J$4:$J$863,$B25)</f>
        <v/>
      </c>
      <c r="E25" s="10">
        <f>COUNTIFS(Planning!$C$4:$C$863,"B",Planning!$A$4:$A$863,"S4",Planning!$J$4:$J$863,$B25)</f>
        <v/>
      </c>
      <c r="K25" s="9" t="inlineStr">
        <is>
          <t>Lobna</t>
        </is>
      </c>
      <c r="L25" s="10">
        <f>COUNTIFS(Planning!$A$4:$A$863,"S5",Planning!$M$4:$M$863,$K25)</f>
        <v/>
      </c>
      <c r="M25" s="101">
        <f>SUMIFS(Planning!$H$4:$H$863,Planning!$A$4:$A$863,"S5",Planning!$M$4:$M$863,$K25)</f>
        <v/>
      </c>
    </row>
    <row r="26">
      <c r="A26" s="9" t="n">
        <v>22</v>
      </c>
      <c r="B26" s="10" t="inlineStr">
        <is>
          <t>Bac SCE</t>
        </is>
      </c>
      <c r="C26" s="10" t="inlineStr">
        <is>
          <t>Bac</t>
        </is>
      </c>
      <c r="D26" s="10">
        <f>COUNTIFS(Planning!$C$4:$C$863,"A",Planning!$A$4:$A$863,"S5",Planning!$J$4:$J$863,$B26)</f>
        <v/>
      </c>
      <c r="E26" s="10">
        <f>COUNTIFS(Planning!$C$4:$C$863,"B",Planning!$A$4:$A$863,"S4",Planning!$J$4:$J$863,$B26)</f>
        <v/>
      </c>
      <c r="K26" s="9" t="inlineStr">
        <is>
          <t>Lotfi</t>
        </is>
      </c>
      <c r="L26" s="10">
        <f>COUNTIFS(Planning!$A$4:$A$863,"S5",Planning!$M$4:$M$863,$K26)</f>
        <v/>
      </c>
      <c r="M26" s="101">
        <f>SUMIFS(Planning!$H$4:$H$863,Planning!$A$4:$A$863,"S5",Planning!$M$4:$M$863,$K26)</f>
        <v/>
      </c>
    </row>
    <row r="27">
      <c r="A27" s="9" t="n">
        <v>23</v>
      </c>
      <c r="B27" s="10" t="inlineStr">
        <is>
          <t>Bac INFO</t>
        </is>
      </c>
      <c r="C27" s="10" t="inlineStr">
        <is>
          <t>Bac</t>
        </is>
      </c>
      <c r="D27" s="10">
        <f>COUNTIFS(Planning!$C$4:$C$863,"A",Planning!$A$4:$A$863,"S5",Planning!$J$4:$J$863,$B27)</f>
        <v/>
      </c>
      <c r="E27" s="10">
        <f>COUNTIFS(Planning!$C$4:$C$863,"B",Planning!$A$4:$A$863,"S4",Planning!$J$4:$J$863,$B27)</f>
        <v/>
      </c>
      <c r="K27" s="9" t="inlineStr">
        <is>
          <t>Marwa</t>
        </is>
      </c>
      <c r="L27" s="10">
        <f>COUNTIFS(Planning!$A$4:$A$863,"S5",Planning!$M$4:$M$863,$K27)</f>
        <v/>
      </c>
      <c r="M27" s="101">
        <f>SUMIFS(Planning!$H$4:$H$863,Planning!$A$4:$A$863,"S5",Planning!$M$4:$M$863,$K27)</f>
        <v/>
      </c>
    </row>
    <row r="28">
      <c r="K28" s="9" t="inlineStr">
        <is>
          <t>Melek</t>
        </is>
      </c>
      <c r="L28" s="10">
        <f>COUNTIFS(Planning!$A$4:$A$863,"S5",Planning!$M$4:$M$863,$K28)</f>
        <v/>
      </c>
      <c r="M28" s="101">
        <f>SUMIFS(Planning!$H$4:$H$863,Planning!$A$4:$A$863,"S5",Planning!$M$4:$M$863,$K28)</f>
        <v/>
      </c>
    </row>
    <row r="29">
      <c r="K29" s="9" t="inlineStr">
        <is>
          <t>Nabil</t>
        </is>
      </c>
      <c r="L29" s="10">
        <f>COUNTIFS(Planning!$A$4:$A$863,"S5",Planning!$M$4:$M$863,$K29)</f>
        <v/>
      </c>
      <c r="M29" s="101">
        <f>SUMIFS(Planning!$H$4:$H$863,Planning!$A$4:$A$863,"S5",Planning!$M$4:$M$863,$K29)</f>
        <v/>
      </c>
    </row>
    <row r="30">
      <c r="K30" s="9" t="inlineStr">
        <is>
          <t>Najet</t>
        </is>
      </c>
      <c r="L30" s="10">
        <f>COUNTIFS(Planning!$A$4:$A$863,"S5",Planning!$M$4:$M$863,$K30)</f>
        <v/>
      </c>
      <c r="M30" s="101">
        <f>SUMIFS(Planning!$H$4:$H$863,Planning!$A$4:$A$863,"S5",Planning!$M$4:$M$863,$K30)</f>
        <v/>
      </c>
    </row>
    <row r="31">
      <c r="K31" s="9" t="inlineStr">
        <is>
          <t>Nassima</t>
        </is>
      </c>
      <c r="L31" s="10">
        <f>COUNTIFS(Planning!$A$4:$A$863,"S5",Planning!$M$4:$M$863,$K31)</f>
        <v/>
      </c>
      <c r="M31" s="101">
        <f>SUMIFS(Planning!$H$4:$H$863,Planning!$A$4:$A$863,"S5",Planning!$M$4:$M$863,$K31)</f>
        <v/>
      </c>
    </row>
    <row r="32">
      <c r="K32" s="9" t="inlineStr">
        <is>
          <t>Noura</t>
        </is>
      </c>
      <c r="L32" s="10">
        <f>COUNTIFS(Planning!$A$4:$A$863,"S5",Planning!$M$4:$M$863,$K32)</f>
        <v/>
      </c>
      <c r="M32" s="101">
        <f>SUMIFS(Planning!$H$4:$H$863,Planning!$A$4:$A$863,"S5",Planning!$M$4:$M$863,$K32)</f>
        <v/>
      </c>
    </row>
    <row r="33">
      <c r="K33" s="9" t="inlineStr">
        <is>
          <t>Refka</t>
        </is>
      </c>
      <c r="L33" s="10">
        <f>COUNTIFS(Planning!$A$4:$A$863,"S5",Planning!$M$4:$M$863,$K33)</f>
        <v/>
      </c>
      <c r="M33" s="101">
        <f>SUMIFS(Planning!$H$4:$H$863,Planning!$A$4:$A$863,"S5",Planning!$M$4:$M$863,$K33)</f>
        <v/>
      </c>
    </row>
    <row r="34">
      <c r="K34" s="9" t="inlineStr">
        <is>
          <t>Rym</t>
        </is>
      </c>
      <c r="L34" s="10">
        <f>COUNTIFS(Planning!$A$4:$A$863,"S5",Planning!$M$4:$M$863,$K34)</f>
        <v/>
      </c>
      <c r="M34" s="101">
        <f>SUMIFS(Planning!$H$4:$H$863,Planning!$A$4:$A$863,"S5",Planning!$M$4:$M$863,$K34)</f>
        <v/>
      </c>
    </row>
    <row r="35">
      <c r="K35" s="9" t="inlineStr">
        <is>
          <t>Saber</t>
        </is>
      </c>
      <c r="L35" s="10">
        <f>COUNTIFS(Planning!$A$4:$A$863,"S5",Planning!$M$4:$M$863,$K35)</f>
        <v/>
      </c>
      <c r="M35" s="101">
        <f>SUMIFS(Planning!$H$4:$H$863,Planning!$A$4:$A$863,"S5",Planning!$M$4:$M$863,$K35)</f>
        <v/>
      </c>
    </row>
    <row r="36">
      <c r="K36" s="9" t="inlineStr">
        <is>
          <t>Sabrine</t>
        </is>
      </c>
      <c r="L36" s="10">
        <f>COUNTIFS(Planning!$A$4:$A$863,"S5",Planning!$M$4:$M$863,$K36)</f>
        <v/>
      </c>
      <c r="M36" s="101">
        <f>SUMIFS(Planning!$H$4:$H$863,Planning!$A$4:$A$863,"S5",Planning!$M$4:$M$863,$K36)</f>
        <v/>
      </c>
    </row>
    <row r="37">
      <c r="K37" s="9" t="inlineStr">
        <is>
          <t>Samar</t>
        </is>
      </c>
      <c r="L37" s="10">
        <f>COUNTIFS(Planning!$A$4:$A$863,"S5",Planning!$M$4:$M$863,$K37)</f>
        <v/>
      </c>
      <c r="M37" s="101">
        <f>SUMIFS(Planning!$H$4:$H$863,Planning!$A$4:$A$863,"S5",Planning!$M$4:$M$863,$K37)</f>
        <v/>
      </c>
    </row>
    <row r="38">
      <c r="K38" s="9" t="inlineStr">
        <is>
          <t>Samia</t>
        </is>
      </c>
      <c r="L38" s="10">
        <f>COUNTIFS(Planning!$A$4:$A$863,"S5",Planning!$M$4:$M$863,$K38)</f>
        <v/>
      </c>
      <c r="M38" s="101">
        <f>SUMIFS(Planning!$H$4:$H$863,Planning!$A$4:$A$863,"S5",Planning!$M$4:$M$863,$K38)</f>
        <v/>
      </c>
    </row>
    <row r="39">
      <c r="K39" s="9" t="inlineStr">
        <is>
          <t>Sondes</t>
        </is>
      </c>
      <c r="L39" s="10">
        <f>COUNTIFS(Planning!$A$4:$A$863,"S5",Planning!$M$4:$M$863,$K39)</f>
        <v/>
      </c>
      <c r="M39" s="101">
        <f>SUMIFS(Planning!$H$4:$H$863,Planning!$A$4:$A$863,"S5",Planning!$M$4:$M$863,$K39)</f>
        <v/>
      </c>
    </row>
    <row r="40">
      <c r="K40" s="9" t="inlineStr">
        <is>
          <t>Yahya</t>
        </is>
      </c>
      <c r="L40" s="10">
        <f>COUNTIFS(Planning!$A$4:$A$863,"S5",Planning!$M$4:$M$863,$K40)</f>
        <v/>
      </c>
      <c r="M40" s="101">
        <f>SUMIFS(Planning!$H$4:$H$863,Planning!$A$4:$A$863,"S5",Planning!$M$4:$M$863,$K40)</f>
        <v/>
      </c>
    </row>
    <row r="41">
      <c r="K41" s="9" t="inlineStr">
        <is>
          <t>Yassine</t>
        </is>
      </c>
      <c r="L41" s="10">
        <f>COUNTIFS(Planning!$A$4:$A$863,"S5",Planning!$M$4:$M$863,$K41)</f>
        <v/>
      </c>
      <c r="M41" s="101">
        <f>SUMIFS(Planning!$H$4:$H$863,Planning!$A$4:$A$863,"S5",Planning!$M$4:$M$863,$K41)</f>
        <v/>
      </c>
    </row>
  </sheetData>
  <mergeCells count="6">
    <mergeCell ref="A1:T1"/>
    <mergeCell ref="G3:J3"/>
    <mergeCell ref="A2:T2"/>
    <mergeCell ref="K3:M3"/>
    <mergeCell ref="U3:Z3"/>
    <mergeCell ref="A3:E3"/>
  </mergeCells>
  <printOptions horizontalCentered="1" gridLines="0"/>
  <pageMargins left="0.35" right="0.35" top="0.5" bottom="0.45" header="0.2" footer="0.2"/>
  <pageSetup orientation="landscape" paperSize="9" fitToHeight="0" fitToWidth="1"/>
  <headerFooter>
    <oddHeader>&amp;R&amp;"Arial,Italic"&amp;8 </oddHeader>
    <oddFooter>&amp;L&amp;8 RS 2026-2027 · Référentiels&amp;R&amp;8 Page &amp;P / &amp;N</oddFooter>
    <evenHeader/>
    <evenFooter/>
    <firstHeader/>
    <firstFooter/>
  </headerFooter>
</worksheet>
</file>

<file path=xl/worksheets/sheet4.xml><?xml version="1.0" encoding="utf-8"?>
<worksheet xmlns="http://schemas.openxmlformats.org/spreadsheetml/2006/main">
  <sheetPr>
    <tabColor rgb="008494A7"/>
    <outlinePr summaryBelow="1" summaryRight="1"/>
    <pageSetUpPr fitToPage="1"/>
  </sheetPr>
  <dimension ref="A1:H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ht="34" customHeight="1">
      <c r="A1" s="51" t="inlineStr">
        <is>
          <t>S1 · DU 14 AU 20 SEPTEMBRE 2026   |   SEMAINE A</t>
        </is>
      </c>
      <c r="B1" s="2" t="n"/>
      <c r="C1" s="2" t="n"/>
      <c r="D1" s="2" t="n"/>
      <c r="E1" s="2" t="n"/>
      <c r="F1" s="2" t="n"/>
      <c r="G1" s="2" t="n"/>
      <c r="H1" s="2" t="n"/>
    </row>
    <row r="2" ht="26" customHeight="1">
      <c r="A2" s="52" t="inlineStr">
        <is>
          <t>Une case = une séance : horaire / matière / enseignant.   Chaque matière a sa couleur.   Une case fusionnée sur plusieurs classes = séance commune à ces groupes.   Q-A ou Q-B = une semaine sur deux.   OPT = cours au choix.   Les couleurs sont modifiables à la main ; seul un statut ⚑ les remplace.</t>
        </is>
      </c>
      <c r="B2" s="53" t="n"/>
      <c r="C2" s="53" t="n"/>
      <c r="D2" s="53" t="n"/>
      <c r="E2" s="53" t="n"/>
      <c r="F2" s="53" t="n"/>
      <c r="G2" s="53" t="n"/>
      <c r="H2" s="53" t="n"/>
    </row>
    <row r="3" ht="36" customHeight="1">
      <c r="A3" s="125" t="inlineStr">
        <is>
          <t>Classe / Groupe</t>
        </is>
      </c>
      <c r="B3" s="125" t="inlineStr">
        <is>
          <t>Lundi
14/09</t>
        </is>
      </c>
      <c r="C3" s="125" t="inlineStr">
        <is>
          <t>Mardi
15/09</t>
        </is>
      </c>
      <c r="D3" s="125" t="inlineStr">
        <is>
          <t>Mercredi
16/09</t>
        </is>
      </c>
      <c r="E3" s="125" t="inlineStr">
        <is>
          <t>Jeudi
17/09</t>
        </is>
      </c>
      <c r="F3" s="125" t="inlineStr">
        <is>
          <t>Vendredi
18/09</t>
        </is>
      </c>
      <c r="G3" s="126" t="inlineStr">
        <is>
          <t>Samedi
19/09</t>
        </is>
      </c>
      <c r="H3" s="126" t="inlineStr">
        <is>
          <t>Dimanche
20/09</t>
        </is>
      </c>
    </row>
    <row r="5" ht="21" customHeight="1">
      <c r="A5" s="127" t="inlineStr">
        <is>
          <t>CYCLE PRIMAIRE   (4 classes)</t>
        </is>
      </c>
      <c r="B5" s="128" t="n"/>
      <c r="C5" s="128" t="n"/>
      <c r="D5" s="128" t="n"/>
      <c r="E5" s="128" t="n"/>
      <c r="F5" s="128" t="n"/>
      <c r="G5" s="128" t="n"/>
      <c r="H5" s="128" t="n"/>
    </row>
    <row r="6" ht="63" customHeight="1">
      <c r="A6" s="129" t="inlineStr">
        <is>
          <t>4éme</t>
        </is>
      </c>
      <c r="B6" s="130">
        <f>IFERROR(VLOOKUP("S1-001",Planning!$T:$AE,12,0),"")</f>
        <v/>
      </c>
      <c r="C6" s="131" t="n"/>
      <c r="D6" s="132">
        <f>IFERROR(VLOOKUP("S1-021",Planning!$T:$AE,12,0),"")</f>
        <v/>
      </c>
      <c r="E6" s="131" t="n"/>
      <c r="F6" s="133">
        <f>IFERROR(VLOOKUP("S1-046",Planning!$T:$AE,12,0),"")</f>
        <v/>
      </c>
      <c r="G6" s="134">
        <f>IFERROR(VLOOKUP("S1-058",Planning!$T:$AE,12,0),"")</f>
        <v/>
      </c>
      <c r="H6" s="135">
        <f>IFERROR(VLOOKUP("S1-077",Planning!$T:$AE,12,0),"")</f>
        <v/>
      </c>
    </row>
    <row r="7" ht="63" customHeight="1">
      <c r="A7" s="129" t="inlineStr">
        <is>
          <t>5éme</t>
        </is>
      </c>
      <c r="B7" s="131" t="n"/>
      <c r="C7" s="130">
        <f>IFERROR(VLOOKUP("S1-010",Planning!$T:$AE,12,0),"")</f>
        <v/>
      </c>
      <c r="D7" s="131" t="n"/>
      <c r="E7" s="132">
        <f>IFERROR(VLOOKUP("S1-034",Planning!$T:$AE,12,0),"")</f>
        <v/>
      </c>
      <c r="F7" s="131" t="n"/>
      <c r="G7" s="134">
        <f>IFERROR(VLOOKUP("S1-059",Planning!$T:$AE,12,0),"")</f>
        <v/>
      </c>
      <c r="H7" s="136" t="n"/>
    </row>
    <row r="8" ht="63" customHeight="1">
      <c r="A8" s="129" t="inlineStr">
        <is>
          <t>6éme Pilote (A)</t>
        </is>
      </c>
      <c r="B8" s="134">
        <f>IFERROR(VLOOKUP("S1-002",Planning!$T:$AE,12,0),"")</f>
        <v/>
      </c>
      <c r="C8" s="131" t="n"/>
      <c r="D8" s="132">
        <f>IFERROR(VLOOKUP("S1-022",Planning!$T:$AE,12,0),"")</f>
        <v/>
      </c>
      <c r="E8" s="131" t="n"/>
      <c r="F8" s="133">
        <f>IFERROR(VLOOKUP("S1-047",Planning!$T:$AE,12,0),"")</f>
        <v/>
      </c>
      <c r="G8" s="130">
        <f>IFERROR(VLOOKUP("S1-060",Planning!$T:$AE,12,0),"")</f>
        <v/>
      </c>
      <c r="H8" s="135">
        <f>IFERROR(VLOOKUP("S1-078",Planning!$T:$AE,12,0),"")</f>
        <v/>
      </c>
    </row>
    <row r="9" ht="63" customHeight="1">
      <c r="A9" s="129" t="inlineStr">
        <is>
          <t>6éme (B)</t>
        </is>
      </c>
      <c r="B9" s="131" t="n"/>
      <c r="C9" s="134">
        <f>IFERROR(VLOOKUP("S1-011",Planning!$T:$AE,12,0),"")</f>
        <v/>
      </c>
      <c r="D9" s="131" t="n"/>
      <c r="E9" s="132">
        <f>IFERROR(VLOOKUP("S1-035",Planning!$T:$AE,12,0),"")</f>
        <v/>
      </c>
      <c r="F9" s="137" t="n"/>
      <c r="G9" s="130">
        <f>IFERROR(VLOOKUP("S1-061",Planning!$T:$AE,12,0),"")</f>
        <v/>
      </c>
      <c r="H9" s="137" t="n"/>
    </row>
    <row r="10" ht="21" customHeight="1">
      <c r="A10" s="138" t="inlineStr">
        <is>
          <t>CYCLE COLLÈGE   (8 classes)</t>
        </is>
      </c>
      <c r="B10" s="139" t="n"/>
      <c r="C10" s="139" t="n"/>
      <c r="D10" s="139" t="n"/>
      <c r="E10" s="139" t="n"/>
      <c r="F10" s="139" t="n"/>
      <c r="G10" s="139" t="n"/>
      <c r="H10" s="139" t="n"/>
    </row>
    <row r="11" ht="63" customHeight="1">
      <c r="A11" s="140" t="inlineStr">
        <is>
          <t>7éme (A)</t>
        </is>
      </c>
      <c r="B11" s="131" t="n"/>
      <c r="C11" s="135">
        <f>IFERROR(VLOOKUP("S1-012",Planning!$T:$AE,12,0),"")</f>
        <v/>
      </c>
      <c r="D11" s="141">
        <f>IFERROR(VLOOKUP("S1-023",Planning!$T:$AE,12,0),"")</f>
        <v/>
      </c>
      <c r="E11" s="131" t="n"/>
      <c r="F11" s="132">
        <f>IFERROR(VLOOKUP("S1-048",Planning!$T:$AE,12,0),"")</f>
        <v/>
      </c>
      <c r="G11" s="142">
        <f>IFERROR(VLOOKUP("S1-062",Planning!$T:$AE,12,0),"")</f>
        <v/>
      </c>
      <c r="H11" s="134">
        <f>IFERROR(VLOOKUP("S1-079",Planning!$T:$AE,12,0),"")</f>
        <v/>
      </c>
    </row>
    <row r="12" ht="63" customHeight="1">
      <c r="A12" s="143" t="n"/>
      <c r="B12" s="131" t="n"/>
      <c r="C12" s="131" t="n"/>
      <c r="D12" s="144" t="n"/>
      <c r="E12" s="131" t="n"/>
      <c r="F12" s="131" t="n"/>
      <c r="G12" s="130">
        <f>IFERROR(VLOOKUP("S1-063",Planning!$T:$AE,12,0),"")</f>
        <v/>
      </c>
      <c r="H12" s="136" t="n"/>
    </row>
    <row r="13" ht="63" customHeight="1">
      <c r="A13" s="140" t="inlineStr">
        <is>
          <t>7éme (B)</t>
        </is>
      </c>
      <c r="B13" s="130">
        <f>IFERROR(VLOOKUP("S1-003",Planning!$T:$AE,12,0),"")</f>
        <v/>
      </c>
      <c r="C13" s="131" t="n"/>
      <c r="D13" s="137" t="n"/>
      <c r="E13" s="131" t="n"/>
      <c r="F13" s="132">
        <f>IFERROR(VLOOKUP("S1-049",Planning!$T:$AE,12,0),"")</f>
        <v/>
      </c>
      <c r="G13" s="136" t="n"/>
      <c r="H13" s="134">
        <f>IFERROR(VLOOKUP("S1-080",Planning!$T:$AE,12,0),"")</f>
        <v/>
      </c>
    </row>
    <row r="14" ht="63" customHeight="1">
      <c r="A14" s="140" t="inlineStr">
        <is>
          <t>8éme (A)</t>
        </is>
      </c>
      <c r="B14" s="131" t="n"/>
      <c r="C14" s="131" t="n"/>
      <c r="D14" s="130">
        <f>IFERROR(VLOOKUP("S1-024",Planning!$T:$AE,12,0),"")</f>
        <v/>
      </c>
      <c r="E14" s="134">
        <f>IFERROR(VLOOKUP("S1-036",Planning!$T:$AE,12,0),"")</f>
        <v/>
      </c>
      <c r="F14" s="141">
        <f>IFERROR(VLOOKUP("S1-050",Planning!$T:$AE,12,0),"")</f>
        <v/>
      </c>
      <c r="G14" s="142">
        <f>IFERROR(VLOOKUP("S1-064",Planning!$T:$AE,12,0),"")</f>
        <v/>
      </c>
      <c r="H14" s="132">
        <f>IFERROR(VLOOKUP("S1-081",Planning!$T:$AE,12,0),"")</f>
        <v/>
      </c>
    </row>
    <row r="15" ht="63" customHeight="1">
      <c r="A15" s="140" t="inlineStr">
        <is>
          <t>8éme (B)</t>
        </is>
      </c>
      <c r="B15" s="131" t="n"/>
      <c r="C15" s="130">
        <f>IFERROR(VLOOKUP("S1-013",Planning!$T:$AE,12,0),"")</f>
        <v/>
      </c>
      <c r="D15" s="132">
        <f>IFERROR(VLOOKUP("S1-025",Planning!$T:$AE,12,0),"")</f>
        <v/>
      </c>
      <c r="E15" s="131" t="n"/>
      <c r="F15" s="144" t="n"/>
      <c r="G15" s="135">
        <f>IFERROR(VLOOKUP("S1-065",Planning!$T:$AE,12,0),"")</f>
        <v/>
      </c>
      <c r="H15" s="134">
        <f>IFERROR(VLOOKUP("S1-082",Planning!$T:$AE,12,0),"")</f>
        <v/>
      </c>
    </row>
    <row r="16" ht="63" customHeight="1">
      <c r="A16" s="140" t="inlineStr">
        <is>
          <t>8éme (C)</t>
        </is>
      </c>
      <c r="B16" s="131" t="n"/>
      <c r="C16" s="137" t="n"/>
      <c r="D16" s="134">
        <f>IFERROR(VLOOKUP("S1-026",Planning!$T:$AE,12,0),"")</f>
        <v/>
      </c>
      <c r="E16" s="132">
        <f>IFERROR(VLOOKUP("S1-037",Planning!$T:$AE,12,0),"")</f>
        <v/>
      </c>
      <c r="F16" s="137" t="n"/>
      <c r="G16" s="137" t="n"/>
      <c r="H16" s="136" t="n"/>
    </row>
    <row r="17" ht="63" customHeight="1">
      <c r="A17" s="140" t="inlineStr">
        <is>
          <t>9éme (A)</t>
        </is>
      </c>
      <c r="B17" s="141">
        <f>IFERROR(VLOOKUP("S1-004",Planning!$T:$AE,12,0),"")</f>
        <v/>
      </c>
      <c r="C17" s="132">
        <f>IFERROR(VLOOKUP("S1-014",Planning!$T:$AE,12,0),"")</f>
        <v/>
      </c>
      <c r="D17" s="131" t="n"/>
      <c r="E17" s="142">
        <f>IFERROR(VLOOKUP("S1-038",Planning!$T:$AE,12,0),"")</f>
        <v/>
      </c>
      <c r="F17" s="131" t="n"/>
      <c r="G17" s="130">
        <f>IFERROR(VLOOKUP("S1-066",Planning!$T:$AE,12,0),"")</f>
        <v/>
      </c>
      <c r="H17" s="135">
        <f>IFERROR(VLOOKUP("S1-083",Planning!$T:$AE,12,0),"")</f>
        <v/>
      </c>
    </row>
    <row r="18" ht="63" customHeight="1">
      <c r="A18" s="143" t="n"/>
      <c r="B18" s="144" t="n"/>
      <c r="C18" s="131" t="n"/>
      <c r="D18" s="131" t="n"/>
      <c r="E18" s="131" t="n"/>
      <c r="F18" s="131" t="n"/>
      <c r="G18" s="136" t="n"/>
      <c r="H18" s="134">
        <f>IFERROR(VLOOKUP("S1-084",Planning!$T:$AE,12,0),"")</f>
        <v/>
      </c>
    </row>
    <row r="19" ht="63" customHeight="1">
      <c r="A19" s="140" t="inlineStr">
        <is>
          <t>9éme (B)</t>
        </is>
      </c>
      <c r="B19" s="144" t="n"/>
      <c r="C19" s="142">
        <f>IFERROR(VLOOKUP("S1-015",Planning!$T:$AE,12,0),"")</f>
        <v/>
      </c>
      <c r="D19" s="130">
        <f>IFERROR(VLOOKUP("S1-027",Planning!$T:$AE,12,0),"")</f>
        <v/>
      </c>
      <c r="E19" s="131" t="n"/>
      <c r="F19" s="131" t="n"/>
      <c r="G19" s="132">
        <f>IFERROR(VLOOKUP("S1-067",Planning!$T:$AE,12,0),"")</f>
        <v/>
      </c>
      <c r="H19" s="135">
        <f>IFERROR(VLOOKUP("S1-085",Planning!$T:$AE,12,0),"")</f>
        <v/>
      </c>
    </row>
    <row r="20" ht="63" customHeight="1">
      <c r="A20" s="143" t="n"/>
      <c r="B20" s="144" t="n"/>
      <c r="C20" s="131" t="n"/>
      <c r="D20" s="131" t="n"/>
      <c r="E20" s="131" t="n"/>
      <c r="F20" s="131" t="n"/>
      <c r="G20" s="136" t="n"/>
      <c r="H20" s="134">
        <f>IFERROR(VLOOKUP("S1-086",Planning!$T:$AE,12,0),"")</f>
        <v/>
      </c>
    </row>
    <row r="21" ht="63" customHeight="1">
      <c r="A21" s="140" t="inlineStr">
        <is>
          <t>9éme (C)</t>
        </is>
      </c>
      <c r="B21" s="137" t="n"/>
      <c r="C21" s="131" t="n"/>
      <c r="D21" s="142">
        <f>IFERROR(VLOOKUP("S1-028",Planning!$T:$AE,12,0),"")</f>
        <v/>
      </c>
      <c r="E21" s="135">
        <f>IFERROR(VLOOKUP("S1-039",Planning!$T:$AE,12,0),"")</f>
        <v/>
      </c>
      <c r="F21" s="130">
        <f>IFERROR(VLOOKUP("S1-051",Planning!$T:$AE,12,0),"")</f>
        <v/>
      </c>
      <c r="G21" s="132">
        <f>IFERROR(VLOOKUP("S1-068",Planning!$T:$AE,12,0),"")</f>
        <v/>
      </c>
      <c r="H21" s="137" t="n"/>
    </row>
    <row r="22" ht="21" customHeight="1">
      <c r="A22" s="145" t="inlineStr">
        <is>
          <t>CYCLE SECONDAIRE   (8 classes)</t>
        </is>
      </c>
      <c r="B22" s="146" t="n"/>
      <c r="C22" s="146" t="n"/>
      <c r="D22" s="146" t="n"/>
      <c r="E22" s="146" t="n"/>
      <c r="F22" s="146" t="n"/>
      <c r="G22" s="146" t="n"/>
      <c r="H22" s="146" t="n"/>
    </row>
    <row r="23" ht="63" customHeight="1">
      <c r="A23" s="147" t="inlineStr">
        <is>
          <t>1ére (A)</t>
        </is>
      </c>
      <c r="B23" s="132">
        <f>IFERROR(VLOOKUP("S1-005",Planning!$T:$AE,12,0),"")</f>
        <v/>
      </c>
      <c r="C23" s="134">
        <f>IFERROR(VLOOKUP("S1-016",Planning!$T:$AE,12,0),"")</f>
        <v/>
      </c>
      <c r="D23" s="131" t="n"/>
      <c r="E23" s="135">
        <f>IFERROR(VLOOKUP("S1-040",Planning!$T:$AE,12,0),"")</f>
        <v/>
      </c>
      <c r="F23" s="130">
        <f>IFERROR(VLOOKUP("S1-052",Planning!$T:$AE,12,0),"")</f>
        <v/>
      </c>
      <c r="G23" s="136" t="n"/>
      <c r="H23" s="141">
        <f>IFERROR(VLOOKUP("S1-087",Planning!$T:$AE,12,0),"")</f>
        <v/>
      </c>
    </row>
    <row r="24" ht="63" customHeight="1">
      <c r="A24" s="143" t="n"/>
      <c r="B24" s="131" t="n"/>
      <c r="C24" s="131" t="n"/>
      <c r="D24" s="131" t="n"/>
      <c r="E24" s="131" t="n"/>
      <c r="F24" s="131" t="n"/>
      <c r="G24" s="136" t="n"/>
      <c r="H24" s="142">
        <f>IFERROR(VLOOKUP("S1-088",Planning!$T:$AE,12,0),"")</f>
        <v/>
      </c>
    </row>
    <row r="25" ht="63" customHeight="1">
      <c r="A25" s="147" t="inlineStr">
        <is>
          <t>1ére (B)</t>
        </is>
      </c>
      <c r="B25" s="131" t="n"/>
      <c r="C25" s="132">
        <f>IFERROR(VLOOKUP("S1-017",Planning!$T:$AE,12,0),"")</f>
        <v/>
      </c>
      <c r="D25" s="134">
        <f>IFERROR(VLOOKUP("S1-029",Planning!$T:$AE,12,0),"")</f>
        <v/>
      </c>
      <c r="E25" s="131" t="n"/>
      <c r="F25" s="130">
        <f>IFERROR(VLOOKUP("S1-053",Planning!$T:$AE,12,0),"")</f>
        <v/>
      </c>
      <c r="G25" s="136" t="n"/>
      <c r="H25" s="141">
        <f>IFERROR(VLOOKUP("S1-089",Planning!$T:$AE,12,0),"")</f>
        <v/>
      </c>
    </row>
    <row r="26" ht="63" customHeight="1">
      <c r="A26" s="147" t="inlineStr">
        <is>
          <t>2éme Eco</t>
        </is>
      </c>
      <c r="B26" s="131" t="n"/>
      <c r="C26" s="135">
        <f>IFERROR(VLOOKUP("S1-018",Planning!$T:$AE,12,0),"")</f>
        <v/>
      </c>
      <c r="D26" s="132">
        <f>IFERROR(VLOOKUP("S1-030",Planning!$T:$AE,12,0),"")</f>
        <v/>
      </c>
      <c r="E26" s="148">
        <f>IFERROR(VLOOKUP("S1-041",Planning!$T:$AE,12,0),"")</f>
        <v/>
      </c>
      <c r="F26" s="134">
        <f>IFERROR(VLOOKUP("S1-054",Planning!$T:$AE,12,0),"")</f>
        <v/>
      </c>
      <c r="G26" s="149">
        <f>IFERROR(VLOOKUP("S1-069",Planning!$T:$AE,12,0),"")</f>
        <v/>
      </c>
      <c r="H26" s="150">
        <f>IFERROR(VLOOKUP("S1-090",Planning!$T:$AE,12,0),"")</f>
        <v/>
      </c>
    </row>
    <row r="27" ht="63" customHeight="1">
      <c r="A27" s="147" t="inlineStr">
        <is>
          <t>2éme SCE</t>
        </is>
      </c>
      <c r="B27" s="131" t="n"/>
      <c r="C27" s="144" t="n"/>
      <c r="D27" s="131" t="n"/>
      <c r="E27" s="132">
        <f>IFERROR(VLOOKUP("S1-042",Planning!$T:$AE,12,0),"")</f>
        <v/>
      </c>
      <c r="F27" s="144" t="n"/>
      <c r="G27" s="142">
        <f>IFERROR(VLOOKUP("S1-070",Planning!$T:$AE,12,0),"")</f>
        <v/>
      </c>
      <c r="H27" s="141">
        <f>IFERROR(VLOOKUP("S1-091",Planning!$T:$AE,12,0),"")</f>
        <v/>
      </c>
    </row>
    <row r="28" ht="63" customHeight="1">
      <c r="A28" s="147" t="inlineStr">
        <is>
          <t>2éme INFO</t>
        </is>
      </c>
      <c r="B28" s="151">
        <f>IFERROR(VLOOKUP("S1-006",Planning!$T:$AE,12,0),"")</f>
        <v/>
      </c>
      <c r="C28" s="144" t="n"/>
      <c r="D28" s="131" t="n"/>
      <c r="E28" s="141">
        <f>IFERROR(VLOOKUP("S1-043",Planning!$T:$AE,12,0),"")</f>
        <v/>
      </c>
      <c r="F28" s="137" t="n"/>
      <c r="G28" s="136" t="n"/>
      <c r="H28" s="136" t="n"/>
    </row>
    <row r="29" ht="63" customHeight="1">
      <c r="A29" s="143" t="n"/>
      <c r="B29" s="131" t="n"/>
      <c r="C29" s="137" t="n"/>
      <c r="D29" s="131" t="n"/>
      <c r="E29" s="131" t="n"/>
      <c r="F29" s="132">
        <f>IFERROR(VLOOKUP("S1-055",Planning!$T:$AE,12,0),"")</f>
        <v/>
      </c>
      <c r="G29" s="136" t="n"/>
      <c r="H29" s="136" t="n"/>
    </row>
    <row r="30" ht="63" customHeight="1">
      <c r="A30" s="147" t="inlineStr">
        <is>
          <t>3éme Eco</t>
        </is>
      </c>
      <c r="B30" s="131" t="n"/>
      <c r="C30" s="131" t="n"/>
      <c r="D30" s="148">
        <f>IFERROR(VLOOKUP("S1-031",Planning!$T:$AE,12,0),"")</f>
        <v/>
      </c>
      <c r="E30" s="130">
        <f>IFERROR(VLOOKUP("S1-044",Planning!$T:$AE,12,0),"")</f>
        <v/>
      </c>
      <c r="F30" s="134">
        <f>IFERROR(VLOOKUP("S1-056",Planning!$T:$AE,12,0),"")</f>
        <v/>
      </c>
      <c r="G30" s="149">
        <f>IFERROR(VLOOKUP("S1-071",Planning!$T:$AE,12,0),"")</f>
        <v/>
      </c>
      <c r="H30" s="150">
        <f>IFERROR(VLOOKUP("S1-092",Planning!$T:$AE,12,0),"")</f>
        <v/>
      </c>
    </row>
    <row r="31" ht="63" customHeight="1">
      <c r="A31" s="143" t="n"/>
      <c r="B31" s="131" t="n"/>
      <c r="C31" s="131" t="n"/>
      <c r="D31" s="131" t="n"/>
      <c r="E31" s="144" t="n"/>
      <c r="F31" s="144" t="n"/>
      <c r="G31" s="136" t="n"/>
      <c r="H31" s="132">
        <f>IFERROR(VLOOKUP("S1-093",Planning!$T:$AE,12,0),"")</f>
        <v/>
      </c>
    </row>
    <row r="32" ht="63" customHeight="1">
      <c r="A32" s="147" t="inlineStr">
        <is>
          <t>3éme INFO</t>
        </is>
      </c>
      <c r="B32" s="131" t="n"/>
      <c r="C32" s="131" t="n"/>
      <c r="D32" s="141">
        <f>IFERROR(VLOOKUP("S1-032",Planning!$T:$AE,12,0),"")</f>
        <v/>
      </c>
      <c r="E32" s="144" t="n"/>
      <c r="F32" s="144" t="n"/>
      <c r="G32" s="152">
        <f>IFERROR(VLOOKUP("S1-072",Planning!$T:$AE,12,0),"")</f>
        <v/>
      </c>
      <c r="H32" s="132">
        <f>IFERROR(VLOOKUP("S1-094",Planning!$T:$AE,12,0),"")</f>
        <v/>
      </c>
    </row>
    <row r="33" ht="63" customHeight="1">
      <c r="A33" s="147" t="inlineStr">
        <is>
          <t>3éme SCE</t>
        </is>
      </c>
      <c r="B33" s="131" t="n"/>
      <c r="C33" s="131" t="n"/>
      <c r="D33" s="131" t="n"/>
      <c r="E33" s="144" t="n"/>
      <c r="F33" s="144" t="n"/>
      <c r="G33" s="142">
        <f>IFERROR(VLOOKUP("S1-073",Planning!$T:$AE,12,0),"")</f>
        <v/>
      </c>
      <c r="H33" s="141">
        <f>IFERROR(VLOOKUP("S1-096",Planning!$T:$AE,12,0),"")</f>
        <v/>
      </c>
    </row>
    <row r="34" ht="63" customHeight="1">
      <c r="A34" s="143" t="n"/>
      <c r="B34" s="131" t="n"/>
      <c r="C34" s="131" t="n"/>
      <c r="D34" s="131" t="n"/>
      <c r="E34" s="137" t="n"/>
      <c r="F34" s="137" t="n"/>
      <c r="G34" s="136" t="n"/>
      <c r="H34" s="132">
        <f>IFERROR(VLOOKUP("S1-095",Planning!$T:$AE,12,0),"")</f>
        <v/>
      </c>
    </row>
    <row r="35" ht="21" customHeight="1">
      <c r="A35" s="153" t="inlineStr">
        <is>
          <t>CYCLE BAC   (3 classes)</t>
        </is>
      </c>
      <c r="B35" s="154" t="n"/>
      <c r="C35" s="154" t="n"/>
      <c r="D35" s="154" t="n"/>
      <c r="E35" s="154" t="n"/>
      <c r="F35" s="154" t="n"/>
      <c r="G35" s="154" t="n"/>
      <c r="H35" s="154" t="n"/>
    </row>
    <row r="36" ht="63" customHeight="1">
      <c r="A36" s="155" t="inlineStr">
        <is>
          <t>Bac Eco</t>
        </is>
      </c>
      <c r="B36" s="148">
        <f>IFERROR(VLOOKUP("S1-007",Planning!$T:$AE,12,0),"")</f>
        <v/>
      </c>
      <c r="C36" s="156">
        <f>IFERROR(VLOOKUP("S1-019",Planning!$T:$AE,12,0),"")</f>
        <v/>
      </c>
      <c r="D36" s="131" t="n"/>
      <c r="E36" s="157">
        <f>IFERROR(VLOOKUP("S1-045",Planning!$T:$AE,12,0),"")</f>
        <v/>
      </c>
      <c r="F36" s="135">
        <f>IFERROR(VLOOKUP("S1-057",Planning!$T:$AE,12,0),"")</f>
        <v/>
      </c>
      <c r="G36" s="149">
        <f>IFERROR(VLOOKUP("S1-074",Planning!$T:$AE,12,0),"")</f>
        <v/>
      </c>
      <c r="H36" s="132">
        <f>IFERROR(VLOOKUP("S1-098",Planning!$T:$AE,12,0),"")</f>
        <v/>
      </c>
    </row>
    <row r="37" ht="63" customHeight="1">
      <c r="A37" s="143" t="n"/>
      <c r="B37" s="131" t="n"/>
      <c r="C37" s="144" t="n"/>
      <c r="D37" s="131" t="n"/>
      <c r="E37" s="144" t="n"/>
      <c r="F37" s="144" t="n"/>
      <c r="G37" s="136" t="n"/>
      <c r="H37" s="150">
        <f>IFERROR(VLOOKUP("S1-097",Planning!$T:$AE,12,0),"")</f>
        <v/>
      </c>
    </row>
    <row r="38" ht="63" customHeight="1">
      <c r="A38" s="155" t="inlineStr">
        <is>
          <t>Bac SCE</t>
        </is>
      </c>
      <c r="B38" s="141">
        <f>IFERROR(VLOOKUP("S1-008",Planning!$T:$AE,12,0),"")</f>
        <v/>
      </c>
      <c r="C38" s="137" t="n"/>
      <c r="D38" s="132">
        <f>IFERROR(VLOOKUP("S1-033",Planning!$T:$AE,12,0),"")</f>
        <v/>
      </c>
      <c r="E38" s="144" t="n"/>
      <c r="F38" s="144" t="n"/>
      <c r="G38" s="142">
        <f>IFERROR(VLOOKUP("S1-075",Planning!$T:$AE,12,0),"")</f>
        <v/>
      </c>
      <c r="H38" s="136" t="n"/>
    </row>
    <row r="39" ht="63" customHeight="1">
      <c r="A39" s="143" t="n"/>
      <c r="B39" s="131" t="n"/>
      <c r="C39" s="158">
        <f>IFERROR(VLOOKUP("S1-020",Planning!$T:$AE,12,0),"")</f>
        <v/>
      </c>
      <c r="D39" s="131" t="n"/>
      <c r="E39" s="144" t="n"/>
      <c r="F39" s="144" t="n"/>
      <c r="G39" s="136" t="n"/>
      <c r="H39" s="136" t="n"/>
    </row>
    <row r="40" ht="63" customHeight="1">
      <c r="A40" s="155" t="inlineStr">
        <is>
          <t>Bac INFO</t>
        </is>
      </c>
      <c r="B40" s="141">
        <f>IFERROR(VLOOKUP("S1-009",Planning!$T:$AE,12,0),"")</f>
        <v/>
      </c>
      <c r="C40" s="144" t="n"/>
      <c r="D40" s="131" t="n"/>
      <c r="E40" s="144" t="n"/>
      <c r="F40" s="144" t="n"/>
      <c r="G40" s="152">
        <f>IFERROR(VLOOKUP("S1-076",Planning!$T:$AE,12,0),"")</f>
        <v/>
      </c>
      <c r="H40" s="132">
        <f>IFERROR(VLOOKUP("S1-099",Planning!$T:$AE,12,0),"")</f>
        <v/>
      </c>
    </row>
    <row r="41" ht="63" customHeight="1">
      <c r="A41" s="143" t="n"/>
      <c r="B41" s="131" t="n"/>
      <c r="C41" s="137" t="n"/>
      <c r="D41" s="131" t="n"/>
      <c r="E41" s="137" t="n"/>
      <c r="F41" s="137" t="n"/>
      <c r="G41" s="136" t="n"/>
      <c r="H41" s="159">
        <f>IFERROR(VLOOKUP("S1-100",Planning!$T:$AE,12,0),"")</f>
        <v/>
      </c>
    </row>
  </sheetData>
  <mergeCells count="32">
    <mergeCell ref="E30:E34"/>
    <mergeCell ref="C39:C41"/>
    <mergeCell ref="C26:C29"/>
    <mergeCell ref="A36:A37"/>
    <mergeCell ref="A1:H1"/>
    <mergeCell ref="F14:F16"/>
    <mergeCell ref="F36:F41"/>
    <mergeCell ref="F8:F9"/>
    <mergeCell ref="G15:G16"/>
    <mergeCell ref="A17:A18"/>
    <mergeCell ref="A2:H2"/>
    <mergeCell ref="A33:A34"/>
    <mergeCell ref="A23:A24"/>
    <mergeCell ref="C36:C38"/>
    <mergeCell ref="A5:H5"/>
    <mergeCell ref="E36:E41"/>
    <mergeCell ref="A19:A20"/>
    <mergeCell ref="A22:H22"/>
    <mergeCell ref="A38:A39"/>
    <mergeCell ref="F26:F28"/>
    <mergeCell ref="A35:H35"/>
    <mergeCell ref="H8:H9"/>
    <mergeCell ref="B17:B21"/>
    <mergeCell ref="A28:A29"/>
    <mergeCell ref="F30:F34"/>
    <mergeCell ref="A10:H10"/>
    <mergeCell ref="D11:D13"/>
    <mergeCell ref="H20:H21"/>
    <mergeCell ref="C15:C16"/>
    <mergeCell ref="A40:A41"/>
    <mergeCell ref="A11:A12"/>
    <mergeCell ref="A30:A31"/>
  </mergeCells>
  <conditionalFormatting sqref="B5:H41">
    <cfRule type="expression" priority="1" dxfId="0" stopIfTrue="1">
      <formula>ISNUMBER(SEARCH("⚑ Annulé",B5))</formula>
    </cfRule>
    <cfRule type="expression" priority="2" dxfId="1" stopIfTrue="1">
      <formula>ISNUMBER(SEARCH("⚑ Examen / Devoir",B5))</formula>
    </cfRule>
    <cfRule type="expression" priority="3" dxfId="2" stopIfTrue="1">
      <formula>ISNUMBER(SEARCH("⚑ Rattrapage",B5))</formula>
    </cfRule>
    <cfRule type="expression" priority="4" dxfId="3" stopIfTrue="1">
      <formula>ISNUMBER(SEARCH("⚑ À confirmer",B5))</formula>
    </cfRule>
    <cfRule type="expression" priority="5" dxfId="4" stopIfTrue="1">
      <formula>ISNUMBER(SEARCH("⚑ Changement de salle",B5))</formula>
    </cfRule>
    <cfRule type="expression" priority="6" dxfId="5" stopIfTrue="1">
      <formula>ISNUMBER(SEARCH("⚑ Séance en ligne",B5))</formula>
    </cfRule>
  </conditionalFormatting>
  <printOptions horizontalCentered="1" gridLines="0"/>
  <pageMargins left="0.35" right="0.35" top="0.5" bottom="0.45" header="0.2" footer="0.2"/>
  <pageSetup orientation="landscape" paperSize="9" fitToHeight="0" fitToWidth="1"/>
  <headerFooter>
    <oddHeader>&amp;R&amp;"Arial,Italic"&amp;8 du 14 au 20 septembre 2026</oddHeader>
    <oddFooter>&amp;L&amp;8 RS 2026-2027 · S1 (semaine A)&amp;R&amp;8 Page &amp;P / &amp;N</oddFooter>
    <evenHeader/>
    <evenFooter/>
    <firstHeader/>
    <firstFooter/>
  </headerFooter>
  <rowBreaks count="3" manualBreakCount="3">
    <brk id="9" min="0" max="16383" man="1"/>
    <brk id="21" min="0" max="16383" man="1"/>
    <brk id="34" min="0" max="16383" man="1"/>
  </rowBreaks>
</worksheet>
</file>

<file path=xl/worksheets/sheet5.xml><?xml version="1.0" encoding="utf-8"?>
<worksheet xmlns="http://schemas.openxmlformats.org/spreadsheetml/2006/main">
  <sheetPr>
    <tabColor rgb="008494A7"/>
    <outlinePr summaryBelow="1" summaryRight="1"/>
    <pageSetUpPr fitToPage="1"/>
  </sheetPr>
  <dimension ref="A1:H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ht="34" customHeight="1">
      <c r="A1" s="51" t="inlineStr">
        <is>
          <t>S2 · DU 21 AU 27 SEPTEMBRE 2026   |   SEMAINE B</t>
        </is>
      </c>
      <c r="B1" s="2" t="n"/>
      <c r="C1" s="2" t="n"/>
      <c r="D1" s="2" t="n"/>
      <c r="E1" s="2" t="n"/>
      <c r="F1" s="2" t="n"/>
      <c r="G1" s="2" t="n"/>
      <c r="H1" s="2" t="n"/>
    </row>
    <row r="2" ht="26" customHeight="1">
      <c r="A2" s="52" t="inlineStr">
        <is>
          <t>Une case = une séance : horaire / matière / enseignant.   Chaque matière a sa couleur.   Une case fusionnée sur plusieurs classes = séance commune à ces groupes.   Q-A ou Q-B = une semaine sur deux.   OPT = cours au choix.   Les couleurs sont modifiables à la main ; seul un statut ⚑ les remplace.</t>
        </is>
      </c>
      <c r="B2" s="53" t="n"/>
      <c r="C2" s="53" t="n"/>
      <c r="D2" s="53" t="n"/>
      <c r="E2" s="53" t="n"/>
      <c r="F2" s="53" t="n"/>
      <c r="G2" s="53" t="n"/>
      <c r="H2" s="53" t="n"/>
    </row>
    <row r="3" ht="36" customHeight="1">
      <c r="A3" s="125" t="inlineStr">
        <is>
          <t>Classe / Groupe</t>
        </is>
      </c>
      <c r="B3" s="125" t="inlineStr">
        <is>
          <t>Lundi
21/09</t>
        </is>
      </c>
      <c r="C3" s="125" t="inlineStr">
        <is>
          <t>Mardi
22/09</t>
        </is>
      </c>
      <c r="D3" s="125" t="inlineStr">
        <is>
          <t>Mercredi
23/09</t>
        </is>
      </c>
      <c r="E3" s="125" t="inlineStr">
        <is>
          <t>Jeudi
24/09</t>
        </is>
      </c>
      <c r="F3" s="125" t="inlineStr">
        <is>
          <t>Vendredi
25/09</t>
        </is>
      </c>
      <c r="G3" s="126" t="inlineStr">
        <is>
          <t>Samedi
26/09</t>
        </is>
      </c>
      <c r="H3" s="126" t="inlineStr">
        <is>
          <t>Dimanche
27/09</t>
        </is>
      </c>
    </row>
    <row r="5" ht="21" customHeight="1">
      <c r="A5" s="127" t="inlineStr">
        <is>
          <t>CYCLE PRIMAIRE   (4 classes)</t>
        </is>
      </c>
      <c r="B5" s="128" t="n"/>
      <c r="C5" s="128" t="n"/>
      <c r="D5" s="128" t="n"/>
      <c r="E5" s="128" t="n"/>
      <c r="F5" s="128" t="n"/>
      <c r="G5" s="128" t="n"/>
      <c r="H5" s="128" t="n"/>
    </row>
    <row r="6" ht="63" customHeight="1">
      <c r="A6" s="129" t="inlineStr">
        <is>
          <t>4éme</t>
        </is>
      </c>
      <c r="B6" s="130">
        <f>IFERROR(VLOOKUP("S2-001",Planning!$T:$AE,12,0),"")</f>
        <v/>
      </c>
      <c r="C6" s="131" t="n"/>
      <c r="D6" s="132">
        <f>IFERROR(VLOOKUP("S2-021",Planning!$T:$AE,12,0),"")</f>
        <v/>
      </c>
      <c r="E6" s="131" t="n"/>
      <c r="F6" s="131" t="n"/>
      <c r="G6" s="134">
        <f>IFERROR(VLOOKUP("S2-058",Planning!$T:$AE,12,0),"")</f>
        <v/>
      </c>
      <c r="H6" s="136" t="n"/>
    </row>
    <row r="7" ht="63" customHeight="1">
      <c r="A7" s="129" t="inlineStr">
        <is>
          <t>5éme</t>
        </is>
      </c>
      <c r="B7" s="131" t="n"/>
      <c r="C7" s="130">
        <f>IFERROR(VLOOKUP("S2-010",Planning!$T:$AE,12,0),"")</f>
        <v/>
      </c>
      <c r="D7" s="131" t="n"/>
      <c r="E7" s="132">
        <f>IFERROR(VLOOKUP("S2-035",Planning!$T:$AE,12,0),"")</f>
        <v/>
      </c>
      <c r="F7" s="133">
        <f>IFERROR(VLOOKUP("S2-047",Planning!$T:$AE,12,0),"")</f>
        <v/>
      </c>
      <c r="G7" s="134">
        <f>IFERROR(VLOOKUP("S2-059",Planning!$T:$AE,12,0),"")</f>
        <v/>
      </c>
      <c r="H7" s="135">
        <f>IFERROR(VLOOKUP("S2-077",Planning!$T:$AE,12,0),"")</f>
        <v/>
      </c>
    </row>
    <row r="8" ht="81" customHeight="1">
      <c r="A8" s="129" t="inlineStr">
        <is>
          <t>6éme Pilote (A)</t>
        </is>
      </c>
      <c r="B8" s="134">
        <f>IFERROR(VLOOKUP("S2-002",Planning!$T:$AE,12,0),"")</f>
        <v/>
      </c>
      <c r="C8" s="131" t="n"/>
      <c r="D8" s="132">
        <f>IFERROR(VLOOKUP("S2-022",Planning!$T:$AE,12,0),"")</f>
        <v/>
      </c>
      <c r="E8" s="131" t="n"/>
      <c r="F8" s="133">
        <f>IFERROR(VLOOKUP("S2-048",Planning!$T:$AE,12,0),"")</f>
        <v/>
      </c>
      <c r="G8" s="130">
        <f>IFERROR(VLOOKUP("S2-060",Planning!$T:$AE,12,0),"")</f>
        <v/>
      </c>
      <c r="H8" s="134">
        <f>IFERROR(VLOOKUP("S2-078",Planning!$T:$AE,12,0),"")</f>
        <v/>
      </c>
    </row>
    <row r="9" ht="63" customHeight="1">
      <c r="A9" s="129" t="inlineStr">
        <is>
          <t>6éme (B)</t>
        </is>
      </c>
      <c r="B9" s="131" t="n"/>
      <c r="C9" s="134">
        <f>IFERROR(VLOOKUP("S2-011",Planning!$T:$AE,12,0),"")</f>
        <v/>
      </c>
      <c r="D9" s="131" t="n"/>
      <c r="E9" s="132">
        <f>IFERROR(VLOOKUP("S2-036",Planning!$T:$AE,12,0),"")</f>
        <v/>
      </c>
      <c r="F9" s="137" t="n"/>
      <c r="G9" s="130">
        <f>IFERROR(VLOOKUP("S2-061",Planning!$T:$AE,12,0),"")</f>
        <v/>
      </c>
      <c r="H9" s="136" t="n"/>
    </row>
    <row r="10" ht="21" customHeight="1">
      <c r="A10" s="138" t="inlineStr">
        <is>
          <t>CYCLE COLLÈGE   (8 classes)</t>
        </is>
      </c>
      <c r="B10" s="139" t="n"/>
      <c r="C10" s="139" t="n"/>
      <c r="D10" s="139" t="n"/>
      <c r="E10" s="139" t="n"/>
      <c r="F10" s="139" t="n"/>
      <c r="G10" s="139" t="n"/>
      <c r="H10" s="139" t="n"/>
    </row>
    <row r="11" ht="63" customHeight="1">
      <c r="A11" s="140" t="inlineStr">
        <is>
          <t>7éme (A)</t>
        </is>
      </c>
      <c r="B11" s="131" t="n"/>
      <c r="C11" s="131" t="n"/>
      <c r="D11" s="141">
        <f>IFERROR(VLOOKUP("S2-023",Planning!$T:$AE,12,0),"")</f>
        <v/>
      </c>
      <c r="E11" s="131" t="n"/>
      <c r="F11" s="132">
        <f>IFERROR(VLOOKUP("S2-049",Planning!$T:$AE,12,0),"")</f>
        <v/>
      </c>
      <c r="G11" s="130">
        <f>IFERROR(VLOOKUP("S2-062",Planning!$T:$AE,12,0),"")</f>
        <v/>
      </c>
      <c r="H11" s="134">
        <f>IFERROR(VLOOKUP("S2-079",Planning!$T:$AE,12,0),"")</f>
        <v/>
      </c>
    </row>
    <row r="12" ht="63" customHeight="1">
      <c r="A12" s="140" t="inlineStr">
        <is>
          <t>7éme (B)</t>
        </is>
      </c>
      <c r="B12" s="130">
        <f>IFERROR(VLOOKUP("S2-003",Planning!$T:$AE,12,0),"")</f>
        <v/>
      </c>
      <c r="C12" s="135">
        <f>IFERROR(VLOOKUP("S2-012",Planning!$T:$AE,12,0),"")</f>
        <v/>
      </c>
      <c r="D12" s="137" t="n"/>
      <c r="E12" s="131" t="n"/>
      <c r="F12" s="132">
        <f>IFERROR(VLOOKUP("S2-050",Planning!$T:$AE,12,0),"")</f>
        <v/>
      </c>
      <c r="G12" s="142">
        <f>IFERROR(VLOOKUP("S2-063",Planning!$T:$AE,12,0),"")</f>
        <v/>
      </c>
      <c r="H12" s="134">
        <f>IFERROR(VLOOKUP("S2-080",Planning!$T:$AE,12,0),"")</f>
        <v/>
      </c>
    </row>
    <row r="13" ht="63" customHeight="1">
      <c r="A13" s="140" t="inlineStr">
        <is>
          <t>8éme (A)</t>
        </is>
      </c>
      <c r="B13" s="131" t="n"/>
      <c r="C13" s="131" t="n"/>
      <c r="D13" s="130">
        <f>IFERROR(VLOOKUP("S2-024",Planning!$T:$AE,12,0),"")</f>
        <v/>
      </c>
      <c r="E13" s="134">
        <f>IFERROR(VLOOKUP("S2-037",Planning!$T:$AE,12,0),"")</f>
        <v/>
      </c>
      <c r="F13" s="141">
        <f>IFERROR(VLOOKUP("S2-051",Planning!$T:$AE,12,0),"")</f>
        <v/>
      </c>
      <c r="G13" s="135">
        <f>IFERROR(VLOOKUP("S2-064",Planning!$T:$AE,12,0),"")</f>
        <v/>
      </c>
      <c r="H13" s="132">
        <f>IFERROR(VLOOKUP("S2-081",Planning!$T:$AE,12,0),"")</f>
        <v/>
      </c>
    </row>
    <row r="14" ht="63" customHeight="1">
      <c r="A14" s="140" t="inlineStr">
        <is>
          <t>8éme (B)</t>
        </is>
      </c>
      <c r="B14" s="131" t="n"/>
      <c r="C14" s="130">
        <f>IFERROR(VLOOKUP("S2-013",Planning!$T:$AE,12,0),"")</f>
        <v/>
      </c>
      <c r="D14" s="132">
        <f>IFERROR(VLOOKUP("S2-025",Planning!$T:$AE,12,0),"")</f>
        <v/>
      </c>
      <c r="E14" s="131" t="n"/>
      <c r="F14" s="144" t="n"/>
      <c r="G14" s="142">
        <f>IFERROR(VLOOKUP("S2-065",Planning!$T:$AE,12,0),"")</f>
        <v/>
      </c>
      <c r="H14" s="134">
        <f>IFERROR(VLOOKUP("S2-082",Planning!$T:$AE,12,0),"")</f>
        <v/>
      </c>
    </row>
    <row r="15" ht="63" customHeight="1">
      <c r="A15" s="140" t="inlineStr">
        <is>
          <t>8éme (C)</t>
        </is>
      </c>
      <c r="B15" s="131" t="n"/>
      <c r="C15" s="137" t="n"/>
      <c r="D15" s="134">
        <f>IFERROR(VLOOKUP("S2-026",Planning!$T:$AE,12,0),"")</f>
        <v/>
      </c>
      <c r="E15" s="132">
        <f>IFERROR(VLOOKUP("S2-038",Planning!$T:$AE,12,0),"")</f>
        <v/>
      </c>
      <c r="F15" s="137" t="n"/>
      <c r="G15" s="137" t="n"/>
      <c r="H15" s="136" t="n"/>
    </row>
    <row r="16" ht="63" customHeight="1">
      <c r="A16" s="140" t="inlineStr">
        <is>
          <t>9éme (A)</t>
        </is>
      </c>
      <c r="B16" s="141">
        <f>IFERROR(VLOOKUP("S2-004",Planning!$T:$AE,12,0),"")</f>
        <v/>
      </c>
      <c r="C16" s="132">
        <f>IFERROR(VLOOKUP("S2-014",Planning!$T:$AE,12,0),"")</f>
        <v/>
      </c>
      <c r="D16" s="131" t="n"/>
      <c r="E16" s="142">
        <f>IFERROR(VLOOKUP("S2-039",Planning!$T:$AE,12,0),"")</f>
        <v/>
      </c>
      <c r="F16" s="131" t="n"/>
      <c r="G16" s="130">
        <f>IFERROR(VLOOKUP("S2-066",Planning!$T:$AE,12,0),"")</f>
        <v/>
      </c>
      <c r="H16" s="135">
        <f>IFERROR(VLOOKUP("S2-083",Planning!$T:$AE,12,0),"")</f>
        <v/>
      </c>
    </row>
    <row r="17" ht="63" customHeight="1">
      <c r="A17" s="143" t="n"/>
      <c r="B17" s="144" t="n"/>
      <c r="C17" s="131" t="n"/>
      <c r="D17" s="131" t="n"/>
      <c r="E17" s="131" t="n"/>
      <c r="F17" s="131" t="n"/>
      <c r="G17" s="136" t="n"/>
      <c r="H17" s="134">
        <f>IFERROR(VLOOKUP("S2-084",Planning!$T:$AE,12,0),"")</f>
        <v/>
      </c>
    </row>
    <row r="18" ht="63" customHeight="1">
      <c r="A18" s="140" t="inlineStr">
        <is>
          <t>9éme (B)</t>
        </is>
      </c>
      <c r="B18" s="144" t="n"/>
      <c r="C18" s="142">
        <f>IFERROR(VLOOKUP("S2-015",Planning!$T:$AE,12,0),"")</f>
        <v/>
      </c>
      <c r="D18" s="130">
        <f>IFERROR(VLOOKUP("S2-027",Planning!$T:$AE,12,0),"")</f>
        <v/>
      </c>
      <c r="E18" s="131" t="n"/>
      <c r="F18" s="131" t="n"/>
      <c r="G18" s="132">
        <f>IFERROR(VLOOKUP("S2-067",Planning!$T:$AE,12,0),"")</f>
        <v/>
      </c>
      <c r="H18" s="135">
        <f>IFERROR(VLOOKUP("S2-085",Planning!$T:$AE,12,0),"")</f>
        <v/>
      </c>
    </row>
    <row r="19" ht="63" customHeight="1">
      <c r="A19" s="143" t="n"/>
      <c r="B19" s="144" t="n"/>
      <c r="C19" s="131" t="n"/>
      <c r="D19" s="131" t="n"/>
      <c r="E19" s="131" t="n"/>
      <c r="F19" s="131" t="n"/>
      <c r="G19" s="136" t="n"/>
      <c r="H19" s="134">
        <f>IFERROR(VLOOKUP("S2-086",Planning!$T:$AE,12,0),"")</f>
        <v/>
      </c>
    </row>
    <row r="20" ht="63" customHeight="1">
      <c r="A20" s="140" t="inlineStr">
        <is>
          <t>9éme (C)</t>
        </is>
      </c>
      <c r="B20" s="137" t="n"/>
      <c r="C20" s="131" t="n"/>
      <c r="D20" s="142">
        <f>IFERROR(VLOOKUP("S2-028",Planning!$T:$AE,12,0),"")</f>
        <v/>
      </c>
      <c r="E20" s="135">
        <f>IFERROR(VLOOKUP("S2-040",Planning!$T:$AE,12,0),"")</f>
        <v/>
      </c>
      <c r="F20" s="130">
        <f>IFERROR(VLOOKUP("S2-052",Planning!$T:$AE,12,0),"")</f>
        <v/>
      </c>
      <c r="G20" s="132">
        <f>IFERROR(VLOOKUP("S2-068",Planning!$T:$AE,12,0),"")</f>
        <v/>
      </c>
      <c r="H20" s="137" t="n"/>
    </row>
    <row r="21" ht="21" customHeight="1">
      <c r="A21" s="145" t="inlineStr">
        <is>
          <t>CYCLE SECONDAIRE   (8 classes)</t>
        </is>
      </c>
      <c r="B21" s="146" t="n"/>
      <c r="C21" s="146" t="n"/>
      <c r="D21" s="146" t="n"/>
      <c r="E21" s="146" t="n"/>
      <c r="F21" s="146" t="n"/>
      <c r="G21" s="146" t="n"/>
      <c r="H21" s="146" t="n"/>
    </row>
    <row r="22" ht="63" customHeight="1">
      <c r="A22" s="147" t="inlineStr">
        <is>
          <t>1ére (A)</t>
        </is>
      </c>
      <c r="B22" s="132">
        <f>IFERROR(VLOOKUP("S2-005",Planning!$T:$AE,12,0),"")</f>
        <v/>
      </c>
      <c r="C22" s="134">
        <f>IFERROR(VLOOKUP("S2-016",Planning!$T:$AE,12,0),"")</f>
        <v/>
      </c>
      <c r="D22" s="131" t="n"/>
      <c r="E22" s="131" t="n"/>
      <c r="F22" s="130">
        <f>IFERROR(VLOOKUP("S2-053",Planning!$T:$AE,12,0),"")</f>
        <v/>
      </c>
      <c r="G22" s="136" t="n"/>
      <c r="H22" s="141">
        <f>IFERROR(VLOOKUP("S2-087",Planning!$T:$AE,12,0),"")</f>
        <v/>
      </c>
    </row>
    <row r="23" ht="63" customHeight="1">
      <c r="A23" s="147" t="inlineStr">
        <is>
          <t>1ére (B)</t>
        </is>
      </c>
      <c r="B23" s="131" t="n"/>
      <c r="C23" s="132">
        <f>IFERROR(VLOOKUP("S2-017",Planning!$T:$AE,12,0),"")</f>
        <v/>
      </c>
      <c r="D23" s="134">
        <f>IFERROR(VLOOKUP("S2-029",Planning!$T:$AE,12,0),"")</f>
        <v/>
      </c>
      <c r="E23" s="135">
        <f>IFERROR(VLOOKUP("S2-041",Planning!$T:$AE,12,0),"")</f>
        <v/>
      </c>
      <c r="F23" s="130">
        <f>IFERROR(VLOOKUP("S2-054",Planning!$T:$AE,12,0),"")</f>
        <v/>
      </c>
      <c r="G23" s="136" t="n"/>
      <c r="H23" s="141">
        <f>IFERROR(VLOOKUP("S2-088",Planning!$T:$AE,12,0),"")</f>
        <v/>
      </c>
    </row>
    <row r="24" ht="63" customHeight="1">
      <c r="A24" s="143" t="n"/>
      <c r="B24" s="131" t="n"/>
      <c r="C24" s="131" t="n"/>
      <c r="D24" s="131" t="n"/>
      <c r="E24" s="131" t="n"/>
      <c r="F24" s="131" t="n"/>
      <c r="G24" s="136" t="n"/>
      <c r="H24" s="142">
        <f>IFERROR(VLOOKUP("S2-089",Planning!$T:$AE,12,0),"")</f>
        <v/>
      </c>
    </row>
    <row r="25" ht="63" customHeight="1">
      <c r="A25" s="147" t="inlineStr">
        <is>
          <t>2éme Eco</t>
        </is>
      </c>
      <c r="B25" s="131" t="n"/>
      <c r="C25" s="130">
        <f>IFERROR(VLOOKUP("S2-018",Planning!$T:$AE,12,0),"")</f>
        <v/>
      </c>
      <c r="D25" s="132">
        <f>IFERROR(VLOOKUP("S2-030",Planning!$T:$AE,12,0),"")</f>
        <v/>
      </c>
      <c r="E25" s="148">
        <f>IFERROR(VLOOKUP("S2-042",Planning!$T:$AE,12,0),"")</f>
        <v/>
      </c>
      <c r="F25" s="131" t="n"/>
      <c r="G25" s="160">
        <f>IFERROR(VLOOKUP("S2-069",Planning!$T:$AE,12,0),"")</f>
        <v/>
      </c>
      <c r="H25" s="150">
        <f>IFERROR(VLOOKUP("S2-090",Planning!$T:$AE,12,0),"")</f>
        <v/>
      </c>
    </row>
    <row r="26" ht="63" customHeight="1">
      <c r="A26" s="147" t="inlineStr">
        <is>
          <t>2éme SCE</t>
        </is>
      </c>
      <c r="B26" s="131" t="n"/>
      <c r="C26" s="144" t="n"/>
      <c r="D26" s="131" t="n"/>
      <c r="E26" s="132">
        <f>IFERROR(VLOOKUP("S2-043",Planning!$T:$AE,12,0),"")</f>
        <v/>
      </c>
      <c r="F26" s="131" t="n"/>
      <c r="G26" s="142">
        <f>IFERROR(VLOOKUP("S2-070",Planning!$T:$AE,12,0),"")</f>
        <v/>
      </c>
      <c r="H26" s="141">
        <f>IFERROR(VLOOKUP("S2-091",Planning!$T:$AE,12,0),"")</f>
        <v/>
      </c>
    </row>
    <row r="27" ht="63" customHeight="1">
      <c r="A27" s="147" t="inlineStr">
        <is>
          <t>2éme INFO</t>
        </is>
      </c>
      <c r="B27" s="151">
        <f>IFERROR(VLOOKUP("S2-006",Planning!$T:$AE,12,0),"")</f>
        <v/>
      </c>
      <c r="C27" s="137" t="n"/>
      <c r="D27" s="131" t="n"/>
      <c r="E27" s="141">
        <f>IFERROR(VLOOKUP("S2-044",Planning!$T:$AE,12,0),"")</f>
        <v/>
      </c>
      <c r="F27" s="132">
        <f>IFERROR(VLOOKUP("S2-055",Planning!$T:$AE,12,0),"")</f>
        <v/>
      </c>
      <c r="G27" s="136" t="n"/>
      <c r="H27" s="136" t="n"/>
    </row>
    <row r="28" ht="63" customHeight="1">
      <c r="A28" s="147" t="inlineStr">
        <is>
          <t>3éme Eco</t>
        </is>
      </c>
      <c r="B28" s="131" t="n"/>
      <c r="C28" s="156">
        <f>IFERROR(VLOOKUP("S2-019",Planning!$T:$AE,12,0),"")</f>
        <v/>
      </c>
      <c r="D28" s="148">
        <f>IFERROR(VLOOKUP("S2-031",Planning!$T:$AE,12,0),"")</f>
        <v/>
      </c>
      <c r="E28" s="157">
        <f>IFERROR(VLOOKUP("S2-045",Planning!$T:$AE,12,0),"")</f>
        <v/>
      </c>
      <c r="F28" s="135">
        <f>IFERROR(VLOOKUP("S2-056",Planning!$T:$AE,12,0),"")</f>
        <v/>
      </c>
      <c r="G28" s="160">
        <f>IFERROR(VLOOKUP("S2-071",Planning!$T:$AE,12,0),"")</f>
        <v/>
      </c>
      <c r="H28" s="150">
        <f>IFERROR(VLOOKUP("S2-093",Planning!$T:$AE,12,0),"")</f>
        <v/>
      </c>
    </row>
    <row r="29" ht="63" customHeight="1">
      <c r="A29" s="143" t="n"/>
      <c r="B29" s="131" t="n"/>
      <c r="C29" s="144" t="n"/>
      <c r="D29" s="131" t="n"/>
      <c r="E29" s="144" t="n"/>
      <c r="F29" s="144" t="n"/>
      <c r="G29" s="136" t="n"/>
      <c r="H29" s="132">
        <f>IFERROR(VLOOKUP("S2-092",Planning!$T:$AE,12,0),"")</f>
        <v/>
      </c>
    </row>
    <row r="30" ht="63" customHeight="1">
      <c r="A30" s="147" t="inlineStr">
        <is>
          <t>3éme INFO</t>
        </is>
      </c>
      <c r="B30" s="131" t="n"/>
      <c r="C30" s="137" t="n"/>
      <c r="D30" s="141">
        <f>IFERROR(VLOOKUP("S2-032",Planning!$T:$AE,12,0),"")</f>
        <v/>
      </c>
      <c r="E30" s="144" t="n"/>
      <c r="F30" s="144" t="n"/>
      <c r="G30" s="152">
        <f>IFERROR(VLOOKUP("S2-072",Planning!$T:$AE,12,0),"")</f>
        <v/>
      </c>
      <c r="H30" s="159">
        <f>IFERROR(VLOOKUP("S2-095",Planning!$T:$AE,12,0),"")</f>
        <v/>
      </c>
    </row>
    <row r="31" ht="63" customHeight="1">
      <c r="A31" s="143" t="n"/>
      <c r="B31" s="131" t="n"/>
      <c r="C31" s="158">
        <f>IFERROR(VLOOKUP("S2-020",Planning!$T:$AE,12,0),"")</f>
        <v/>
      </c>
      <c r="D31" s="131" t="n"/>
      <c r="E31" s="144" t="n"/>
      <c r="F31" s="144" t="n"/>
      <c r="G31" s="136" t="n"/>
      <c r="H31" s="132">
        <f>IFERROR(VLOOKUP("S2-094",Planning!$T:$AE,12,0),"")</f>
        <v/>
      </c>
    </row>
    <row r="32" ht="63" customHeight="1">
      <c r="A32" s="147" t="inlineStr">
        <is>
          <t>3éme SCE</t>
        </is>
      </c>
      <c r="B32" s="131" t="n"/>
      <c r="C32" s="144" t="n"/>
      <c r="D32" s="131" t="n"/>
      <c r="E32" s="144" t="n"/>
      <c r="F32" s="144" t="n"/>
      <c r="G32" s="142">
        <f>IFERROR(VLOOKUP("S2-073",Planning!$T:$AE,12,0),"")</f>
        <v/>
      </c>
      <c r="H32" s="141">
        <f>IFERROR(VLOOKUP("S2-097",Planning!$T:$AE,12,0),"")</f>
        <v/>
      </c>
    </row>
    <row r="33" ht="63" customHeight="1">
      <c r="A33" s="143" t="n"/>
      <c r="B33" s="131" t="n"/>
      <c r="C33" s="137" t="n"/>
      <c r="D33" s="131" t="n"/>
      <c r="E33" s="137" t="n"/>
      <c r="F33" s="137" t="n"/>
      <c r="G33" s="136" t="n"/>
      <c r="H33" s="132">
        <f>IFERROR(VLOOKUP("S2-096",Planning!$T:$AE,12,0),"")</f>
        <v/>
      </c>
    </row>
    <row r="34" ht="21" customHeight="1">
      <c r="A34" s="153" t="inlineStr">
        <is>
          <t>CYCLE BAC   (3 classes)</t>
        </is>
      </c>
      <c r="B34" s="154" t="n"/>
      <c r="C34" s="154" t="n"/>
      <c r="D34" s="154" t="n"/>
      <c r="E34" s="154" t="n"/>
      <c r="F34" s="154" t="n"/>
      <c r="G34" s="154" t="n"/>
      <c r="H34" s="154" t="n"/>
    </row>
    <row r="35" ht="63" customHeight="1">
      <c r="A35" s="155" t="inlineStr">
        <is>
          <t>Bac Eco</t>
        </is>
      </c>
      <c r="B35" s="148">
        <f>IFERROR(VLOOKUP("S2-007",Planning!$T:$AE,12,0),"")</f>
        <v/>
      </c>
      <c r="C35" s="131" t="n"/>
      <c r="D35" s="131" t="n"/>
      <c r="E35" s="130">
        <f>IFERROR(VLOOKUP("S2-046",Planning!$T:$AE,12,0),"")</f>
        <v/>
      </c>
      <c r="F35" s="134">
        <f>IFERROR(VLOOKUP("S2-057",Planning!$T:$AE,12,0),"")</f>
        <v/>
      </c>
      <c r="G35" s="160">
        <f>IFERROR(VLOOKUP("S2-074",Planning!$T:$AE,12,0),"")</f>
        <v/>
      </c>
      <c r="H35" s="132">
        <f>IFERROR(VLOOKUP("S2-098",Planning!$T:$AE,12,0),"")</f>
        <v/>
      </c>
    </row>
    <row r="36" ht="63" customHeight="1">
      <c r="A36" s="143" t="n"/>
      <c r="B36" s="131" t="n"/>
      <c r="C36" s="131" t="n"/>
      <c r="D36" s="131" t="n"/>
      <c r="E36" s="144" t="n"/>
      <c r="F36" s="144" t="n"/>
      <c r="G36" s="136" t="n"/>
      <c r="H36" s="150">
        <f>IFERROR(VLOOKUP("S2-099",Planning!$T:$AE,12,0),"")</f>
        <v/>
      </c>
    </row>
    <row r="37" ht="63" customHeight="1">
      <c r="A37" s="155" t="inlineStr">
        <is>
          <t>Bac SCE</t>
        </is>
      </c>
      <c r="B37" s="141">
        <f>IFERROR(VLOOKUP("S2-008",Planning!$T:$AE,12,0),"")</f>
        <v/>
      </c>
      <c r="C37" s="131" t="n"/>
      <c r="D37" s="132">
        <f>IFERROR(VLOOKUP("S2-033",Planning!$T:$AE,12,0),"")</f>
        <v/>
      </c>
      <c r="E37" s="144" t="n"/>
      <c r="F37" s="144" t="n"/>
      <c r="G37" s="142">
        <f>IFERROR(VLOOKUP("S2-075",Planning!$T:$AE,12,0),"")</f>
        <v/>
      </c>
      <c r="H37" s="136" t="n"/>
    </row>
    <row r="38" ht="63" customHeight="1">
      <c r="A38" s="155" t="inlineStr">
        <is>
          <t>Bac INFO</t>
        </is>
      </c>
      <c r="B38" s="141">
        <f>IFERROR(VLOOKUP("S2-009",Planning!$T:$AE,12,0),"")</f>
        <v/>
      </c>
      <c r="C38" s="131" t="n"/>
      <c r="D38" s="159">
        <f>IFERROR(VLOOKUP("S2-034",Planning!$T:$AE,12,0),"")</f>
        <v/>
      </c>
      <c r="E38" s="137" t="n"/>
      <c r="F38" s="137" t="n"/>
      <c r="G38" s="152">
        <f>IFERROR(VLOOKUP("S2-076",Planning!$T:$AE,12,0),"")</f>
        <v/>
      </c>
      <c r="H38" s="132">
        <f>IFERROR(VLOOKUP("S2-100",Planning!$T:$AE,12,0),"")</f>
        <v/>
      </c>
    </row>
  </sheetData>
  <mergeCells count="27">
    <mergeCell ref="F13:F15"/>
    <mergeCell ref="E35:E38"/>
    <mergeCell ref="A16:A17"/>
    <mergeCell ref="D11:D12"/>
    <mergeCell ref="A1:H1"/>
    <mergeCell ref="F8:F9"/>
    <mergeCell ref="C28:C30"/>
    <mergeCell ref="E28:E33"/>
    <mergeCell ref="A18:A19"/>
    <mergeCell ref="B16:B20"/>
    <mergeCell ref="G14:G15"/>
    <mergeCell ref="H19:H20"/>
    <mergeCell ref="F35:F38"/>
    <mergeCell ref="A32:A33"/>
    <mergeCell ref="A21:H21"/>
    <mergeCell ref="A2:H2"/>
    <mergeCell ref="A23:A24"/>
    <mergeCell ref="A5:H5"/>
    <mergeCell ref="F28:F33"/>
    <mergeCell ref="A35:A36"/>
    <mergeCell ref="C31:C33"/>
    <mergeCell ref="C25:C27"/>
    <mergeCell ref="A28:A29"/>
    <mergeCell ref="A10:H10"/>
    <mergeCell ref="C14:C15"/>
    <mergeCell ref="A30:A31"/>
    <mergeCell ref="A34:H34"/>
  </mergeCells>
  <conditionalFormatting sqref="B5:H38">
    <cfRule type="expression" priority="1" dxfId="0" stopIfTrue="1">
      <formula>ISNUMBER(SEARCH("⚑ Annulé",B5))</formula>
    </cfRule>
    <cfRule type="expression" priority="2" dxfId="1" stopIfTrue="1">
      <formula>ISNUMBER(SEARCH("⚑ Examen / Devoir",B5))</formula>
    </cfRule>
    <cfRule type="expression" priority="3" dxfId="2" stopIfTrue="1">
      <formula>ISNUMBER(SEARCH("⚑ Rattrapage",B5))</formula>
    </cfRule>
    <cfRule type="expression" priority="4" dxfId="3" stopIfTrue="1">
      <formula>ISNUMBER(SEARCH("⚑ À confirmer",B5))</formula>
    </cfRule>
    <cfRule type="expression" priority="5" dxfId="4" stopIfTrue="1">
      <formula>ISNUMBER(SEARCH("⚑ Changement de salle",B5))</formula>
    </cfRule>
    <cfRule type="expression" priority="6" dxfId="5" stopIfTrue="1">
      <formula>ISNUMBER(SEARCH("⚑ Séance en ligne",B5))</formula>
    </cfRule>
  </conditionalFormatting>
  <printOptions horizontalCentered="1" gridLines="0"/>
  <pageMargins left="0.35" right="0.35" top="0.5" bottom="0.45" header="0.2" footer="0.2"/>
  <pageSetup orientation="landscape" paperSize="9" fitToHeight="0" fitToWidth="1"/>
  <headerFooter>
    <oddHeader>&amp;R&amp;"Arial,Italic"&amp;8 du 21 au 27 septembre 2026</oddHeader>
    <oddFooter>&amp;L&amp;8 RS 2026-2027 · S2 (semaine B)&amp;R&amp;8 Page &amp;P / &amp;N</oddFooter>
    <evenHeader/>
    <evenFooter/>
    <firstHeader/>
    <firstFooter/>
  </headerFooter>
  <rowBreaks count="3" manualBreakCount="3">
    <brk id="9" min="0" max="16383" man="1"/>
    <brk id="20" min="0" max="16383" man="1"/>
    <brk id="33" min="0" max="16383" man="1"/>
  </rowBreaks>
</worksheet>
</file>

<file path=xl/worksheets/sheet6.xml><?xml version="1.0" encoding="utf-8"?>
<worksheet xmlns="http://schemas.openxmlformats.org/spreadsheetml/2006/main">
  <sheetPr>
    <tabColor rgb="002E4763"/>
    <outlinePr summaryBelow="1" summaryRight="1"/>
    <pageSetUpPr fitToPage="1"/>
  </sheetPr>
  <dimension ref="A1:H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ht="34" customHeight="1">
      <c r="A1" s="51" t="inlineStr">
        <is>
          <t>S3 · DU 28 SEPTEMBRE AU 4 OCTOBRE 2026   |   SEMAINE A — SEMAINE DE RÉFÉRENCE</t>
        </is>
      </c>
      <c r="B1" s="2" t="n"/>
      <c r="C1" s="2" t="n"/>
      <c r="D1" s="2" t="n"/>
      <c r="E1" s="2" t="n"/>
      <c r="F1" s="2" t="n"/>
      <c r="G1" s="2" t="n"/>
      <c r="H1" s="2" t="n"/>
    </row>
    <row r="2" ht="26" customHeight="1">
      <c r="A2" s="52" t="inlineStr">
        <is>
          <t>Une case = une séance : horaire / matière / enseignant.   Chaque matière a sa couleur.   Une case fusionnée sur plusieurs classes = séance commune à ces groupes.   Q-A ou Q-B = une semaine sur deux.   OPT = cours au choix.   Les couleurs sont modifiables à la main ; seul un statut ⚑ les remplace.</t>
        </is>
      </c>
      <c r="B2" s="53" t="n"/>
      <c r="C2" s="53" t="n"/>
      <c r="D2" s="53" t="n"/>
      <c r="E2" s="53" t="n"/>
      <c r="F2" s="53" t="n"/>
      <c r="G2" s="53" t="n"/>
      <c r="H2" s="53" t="n"/>
    </row>
    <row r="3" ht="36" customHeight="1">
      <c r="A3" s="125" t="inlineStr">
        <is>
          <t>Classe / Groupe</t>
        </is>
      </c>
      <c r="B3" s="125" t="inlineStr">
        <is>
          <t>Lundi
28/09</t>
        </is>
      </c>
      <c r="C3" s="125" t="inlineStr">
        <is>
          <t>Mardi
29/09</t>
        </is>
      </c>
      <c r="D3" s="125" t="inlineStr">
        <is>
          <t>Mercredi
30/09</t>
        </is>
      </c>
      <c r="E3" s="125" t="inlineStr">
        <is>
          <t>Jeudi
01/10</t>
        </is>
      </c>
      <c r="F3" s="125" t="inlineStr">
        <is>
          <t>Vendredi
02/10</t>
        </is>
      </c>
      <c r="G3" s="126" t="inlineStr">
        <is>
          <t>Samedi
03/10</t>
        </is>
      </c>
      <c r="H3" s="126" t="inlineStr">
        <is>
          <t>Dimanche
04/10</t>
        </is>
      </c>
    </row>
    <row r="5" ht="21" customHeight="1">
      <c r="A5" s="127" t="inlineStr">
        <is>
          <t>CYCLE PRIMAIRE   (4 classes)</t>
        </is>
      </c>
      <c r="B5" s="128" t="n"/>
      <c r="C5" s="128" t="n"/>
      <c r="D5" s="128" t="n"/>
      <c r="E5" s="128" t="n"/>
      <c r="F5" s="128" t="n"/>
      <c r="G5" s="128" t="n"/>
      <c r="H5" s="128" t="n"/>
    </row>
    <row r="6" ht="63" customHeight="1">
      <c r="A6" s="129" t="inlineStr">
        <is>
          <t>4éme</t>
        </is>
      </c>
      <c r="B6" s="130">
        <f>IFERROR(VLOOKUP("S3-001",Planning!$T:$AE,12,0),"")</f>
        <v/>
      </c>
      <c r="C6" s="131" t="n"/>
      <c r="D6" s="132">
        <f>IFERROR(VLOOKUP("S3-022",Planning!$T:$AE,12,0),"")</f>
        <v/>
      </c>
      <c r="E6" s="131" t="n"/>
      <c r="F6" s="133">
        <f>IFERROR(VLOOKUP("S3-048",Planning!$T:$AE,12,0),"")</f>
        <v/>
      </c>
      <c r="G6" s="134">
        <f>IFERROR(VLOOKUP("S3-060",Planning!$T:$AE,12,0),"")</f>
        <v/>
      </c>
      <c r="H6" s="135">
        <f>IFERROR(VLOOKUP("S3-080",Planning!$T:$AE,12,0),"")</f>
        <v/>
      </c>
    </row>
    <row r="7" ht="63" customHeight="1">
      <c r="A7" s="129" t="inlineStr">
        <is>
          <t>5éme</t>
        </is>
      </c>
      <c r="B7" s="131" t="n"/>
      <c r="C7" s="130">
        <f>IFERROR(VLOOKUP("S3-011",Planning!$T:$AE,12,0),"")</f>
        <v/>
      </c>
      <c r="D7" s="131" t="n"/>
      <c r="E7" s="132">
        <f>IFERROR(VLOOKUP("S3-036",Planning!$T:$AE,12,0),"")</f>
        <v/>
      </c>
      <c r="F7" s="131" t="n"/>
      <c r="G7" s="134">
        <f>IFERROR(VLOOKUP("S3-061",Planning!$T:$AE,12,0),"")</f>
        <v/>
      </c>
      <c r="H7" s="136" t="n"/>
    </row>
    <row r="8" ht="63" customHeight="1">
      <c r="A8" s="129" t="inlineStr">
        <is>
          <t>6éme Pilote (A)</t>
        </is>
      </c>
      <c r="B8" s="134">
        <f>IFERROR(VLOOKUP("S3-002",Planning!$T:$AE,12,0),"")</f>
        <v/>
      </c>
      <c r="C8" s="131" t="n"/>
      <c r="D8" s="132">
        <f>IFERROR(VLOOKUP("S3-023",Planning!$T:$AE,12,0),"")</f>
        <v/>
      </c>
      <c r="E8" s="131" t="n"/>
      <c r="F8" s="133">
        <f>IFERROR(VLOOKUP("S3-049",Planning!$T:$AE,12,0),"")</f>
        <v/>
      </c>
      <c r="G8" s="130">
        <f>IFERROR(VLOOKUP("S3-062",Planning!$T:$AE,12,0),"")</f>
        <v/>
      </c>
      <c r="H8" s="135">
        <f>IFERROR(VLOOKUP("S3-081",Planning!$T:$AE,12,0),"")</f>
        <v/>
      </c>
    </row>
    <row r="9" ht="63" customHeight="1">
      <c r="A9" s="129" t="inlineStr">
        <is>
          <t>6éme (B)</t>
        </is>
      </c>
      <c r="B9" s="131" t="n"/>
      <c r="C9" s="134">
        <f>IFERROR(VLOOKUP("S3-012",Planning!$T:$AE,12,0),"")</f>
        <v/>
      </c>
      <c r="D9" s="131" t="n"/>
      <c r="E9" s="132">
        <f>IFERROR(VLOOKUP("S3-037",Planning!$T:$AE,12,0),"")</f>
        <v/>
      </c>
      <c r="F9" s="137" t="n"/>
      <c r="G9" s="130">
        <f>IFERROR(VLOOKUP("S3-063",Planning!$T:$AE,12,0),"")</f>
        <v/>
      </c>
      <c r="H9" s="137" t="n"/>
    </row>
    <row r="10" ht="21" customHeight="1">
      <c r="A10" s="138" t="inlineStr">
        <is>
          <t>CYCLE COLLÈGE   (8 classes)</t>
        </is>
      </c>
      <c r="B10" s="139" t="n"/>
      <c r="C10" s="139" t="n"/>
      <c r="D10" s="139" t="n"/>
      <c r="E10" s="139" t="n"/>
      <c r="F10" s="139" t="n"/>
      <c r="G10" s="139" t="n"/>
      <c r="H10" s="139" t="n"/>
    </row>
    <row r="11" ht="63" customHeight="1">
      <c r="A11" s="140" t="inlineStr">
        <is>
          <t>7éme (A)</t>
        </is>
      </c>
      <c r="B11" s="131" t="n"/>
      <c r="C11" s="135">
        <f>IFERROR(VLOOKUP("S3-013",Planning!$T:$AE,12,0),"")</f>
        <v/>
      </c>
      <c r="D11" s="141">
        <f>IFERROR(VLOOKUP("S3-024",Planning!$T:$AE,12,0),"")</f>
        <v/>
      </c>
      <c r="E11" s="131" t="n"/>
      <c r="F11" s="132">
        <f>IFERROR(VLOOKUP("S3-050",Planning!$T:$AE,12,0),"")</f>
        <v/>
      </c>
      <c r="G11" s="142">
        <f>IFERROR(VLOOKUP("S3-064",Planning!$T:$AE,12,0),"")</f>
        <v/>
      </c>
      <c r="H11" s="134">
        <f>IFERROR(VLOOKUP("S3-082",Planning!$T:$AE,12,0),"")</f>
        <v/>
      </c>
    </row>
    <row r="12" ht="63" customHeight="1">
      <c r="A12" s="143" t="n"/>
      <c r="B12" s="131" t="n"/>
      <c r="C12" s="131" t="n"/>
      <c r="D12" s="144" t="n"/>
      <c r="E12" s="131" t="n"/>
      <c r="F12" s="131" t="n"/>
      <c r="G12" s="130">
        <f>IFERROR(VLOOKUP("S3-065",Planning!$T:$AE,12,0),"")</f>
        <v/>
      </c>
      <c r="H12" s="136" t="n"/>
    </row>
    <row r="13" ht="63" customHeight="1">
      <c r="A13" s="140" t="inlineStr">
        <is>
          <t>7éme (B)</t>
        </is>
      </c>
      <c r="B13" s="130">
        <f>IFERROR(VLOOKUP("S3-003",Planning!$T:$AE,12,0),"")</f>
        <v/>
      </c>
      <c r="C13" s="131" t="n"/>
      <c r="D13" s="137" t="n"/>
      <c r="E13" s="131" t="n"/>
      <c r="F13" s="132">
        <f>IFERROR(VLOOKUP("S3-051",Planning!$T:$AE,12,0),"")</f>
        <v/>
      </c>
      <c r="G13" s="136" t="n"/>
      <c r="H13" s="134">
        <f>IFERROR(VLOOKUP("S3-083",Planning!$T:$AE,12,0),"")</f>
        <v/>
      </c>
    </row>
    <row r="14" ht="63" customHeight="1">
      <c r="A14" s="140" t="inlineStr">
        <is>
          <t>8éme (A)</t>
        </is>
      </c>
      <c r="B14" s="131" t="n"/>
      <c r="C14" s="131" t="n"/>
      <c r="D14" s="130">
        <f>IFERROR(VLOOKUP("S3-025",Planning!$T:$AE,12,0),"")</f>
        <v/>
      </c>
      <c r="E14" s="134">
        <f>IFERROR(VLOOKUP("S3-038",Planning!$T:$AE,12,0),"")</f>
        <v/>
      </c>
      <c r="F14" s="141">
        <f>IFERROR(VLOOKUP("S3-052",Planning!$T:$AE,12,0),"")</f>
        <v/>
      </c>
      <c r="G14" s="142">
        <f>IFERROR(VLOOKUP("S3-066",Planning!$T:$AE,12,0),"")</f>
        <v/>
      </c>
      <c r="H14" s="132">
        <f>IFERROR(VLOOKUP("S3-084",Planning!$T:$AE,12,0),"")</f>
        <v/>
      </c>
    </row>
    <row r="15" ht="63" customHeight="1">
      <c r="A15" s="140" t="inlineStr">
        <is>
          <t>8éme (B)</t>
        </is>
      </c>
      <c r="B15" s="131" t="n"/>
      <c r="C15" s="130">
        <f>IFERROR(VLOOKUP("S3-014",Planning!$T:$AE,12,0),"")</f>
        <v/>
      </c>
      <c r="D15" s="132">
        <f>IFERROR(VLOOKUP("S3-026",Planning!$T:$AE,12,0),"")</f>
        <v/>
      </c>
      <c r="E15" s="131" t="n"/>
      <c r="F15" s="144" t="n"/>
      <c r="G15" s="135">
        <f>IFERROR(VLOOKUP("S3-067",Planning!$T:$AE,12,0),"")</f>
        <v/>
      </c>
      <c r="H15" s="134">
        <f>IFERROR(VLOOKUP("S3-085",Planning!$T:$AE,12,0),"")</f>
        <v/>
      </c>
    </row>
    <row r="16" ht="63" customHeight="1">
      <c r="A16" s="140" t="inlineStr">
        <is>
          <t>8éme (C)</t>
        </is>
      </c>
      <c r="B16" s="131" t="n"/>
      <c r="C16" s="137" t="n"/>
      <c r="D16" s="134">
        <f>IFERROR(VLOOKUP("S3-027",Planning!$T:$AE,12,0),"")</f>
        <v/>
      </c>
      <c r="E16" s="132">
        <f>IFERROR(VLOOKUP("S3-039",Planning!$T:$AE,12,0),"")</f>
        <v/>
      </c>
      <c r="F16" s="137" t="n"/>
      <c r="G16" s="137" t="n"/>
      <c r="H16" s="136" t="n"/>
    </row>
    <row r="17" ht="63" customHeight="1">
      <c r="A17" s="140" t="inlineStr">
        <is>
          <t>9éme (A)</t>
        </is>
      </c>
      <c r="B17" s="141">
        <f>IFERROR(VLOOKUP("S3-004",Planning!$T:$AE,12,0),"")</f>
        <v/>
      </c>
      <c r="C17" s="132">
        <f>IFERROR(VLOOKUP("S3-015",Planning!$T:$AE,12,0),"")</f>
        <v/>
      </c>
      <c r="D17" s="131" t="n"/>
      <c r="E17" s="142">
        <f>IFERROR(VLOOKUP("S3-040",Planning!$T:$AE,12,0),"")</f>
        <v/>
      </c>
      <c r="F17" s="131" t="n"/>
      <c r="G17" s="130">
        <f>IFERROR(VLOOKUP("S3-068",Planning!$T:$AE,12,0),"")</f>
        <v/>
      </c>
      <c r="H17" s="135">
        <f>IFERROR(VLOOKUP("S3-086",Planning!$T:$AE,12,0),"")</f>
        <v/>
      </c>
    </row>
    <row r="18" ht="63" customHeight="1">
      <c r="A18" s="143" t="n"/>
      <c r="B18" s="144" t="n"/>
      <c r="C18" s="131" t="n"/>
      <c r="D18" s="131" t="n"/>
      <c r="E18" s="131" t="n"/>
      <c r="F18" s="131" t="n"/>
      <c r="G18" s="136" t="n"/>
      <c r="H18" s="134">
        <f>IFERROR(VLOOKUP("S3-087",Planning!$T:$AE,12,0),"")</f>
        <v/>
      </c>
    </row>
    <row r="19" ht="63" customHeight="1">
      <c r="A19" s="140" t="inlineStr">
        <is>
          <t>9éme (B)</t>
        </is>
      </c>
      <c r="B19" s="144" t="n"/>
      <c r="C19" s="142">
        <f>IFERROR(VLOOKUP("S3-016",Planning!$T:$AE,12,0),"")</f>
        <v/>
      </c>
      <c r="D19" s="130">
        <f>IFERROR(VLOOKUP("S3-028",Planning!$T:$AE,12,0),"")</f>
        <v/>
      </c>
      <c r="E19" s="131" t="n"/>
      <c r="F19" s="131" t="n"/>
      <c r="G19" s="132">
        <f>IFERROR(VLOOKUP("S3-069",Planning!$T:$AE,12,0),"")</f>
        <v/>
      </c>
      <c r="H19" s="135">
        <f>IFERROR(VLOOKUP("S3-088",Planning!$T:$AE,12,0),"")</f>
        <v/>
      </c>
    </row>
    <row r="20" ht="63" customHeight="1">
      <c r="A20" s="143" t="n"/>
      <c r="B20" s="144" t="n"/>
      <c r="C20" s="131" t="n"/>
      <c r="D20" s="131" t="n"/>
      <c r="E20" s="131" t="n"/>
      <c r="F20" s="131" t="n"/>
      <c r="G20" s="136" t="n"/>
      <c r="H20" s="134">
        <f>IFERROR(VLOOKUP("S3-089",Planning!$T:$AE,12,0),"")</f>
        <v/>
      </c>
    </row>
    <row r="21" ht="63" customHeight="1">
      <c r="A21" s="140" t="inlineStr">
        <is>
          <t>9éme (C)</t>
        </is>
      </c>
      <c r="B21" s="137" t="n"/>
      <c r="C21" s="131" t="n"/>
      <c r="D21" s="142">
        <f>IFERROR(VLOOKUP("S3-029",Planning!$T:$AE,12,0),"")</f>
        <v/>
      </c>
      <c r="E21" s="135">
        <f>IFERROR(VLOOKUP("S3-041",Planning!$T:$AE,12,0),"")</f>
        <v/>
      </c>
      <c r="F21" s="130">
        <f>IFERROR(VLOOKUP("S3-053",Planning!$T:$AE,12,0),"")</f>
        <v/>
      </c>
      <c r="G21" s="132">
        <f>IFERROR(VLOOKUP("S3-070",Planning!$T:$AE,12,0),"")</f>
        <v/>
      </c>
      <c r="H21" s="137" t="n"/>
    </row>
    <row r="22" ht="21" customHeight="1">
      <c r="A22" s="145" t="inlineStr">
        <is>
          <t>CYCLE SECONDAIRE   (8 classes)</t>
        </is>
      </c>
      <c r="B22" s="146" t="n"/>
      <c r="C22" s="146" t="n"/>
      <c r="D22" s="146" t="n"/>
      <c r="E22" s="146" t="n"/>
      <c r="F22" s="146" t="n"/>
      <c r="G22" s="146" t="n"/>
      <c r="H22" s="146" t="n"/>
    </row>
    <row r="23" ht="63" customHeight="1">
      <c r="A23" s="147" t="inlineStr">
        <is>
          <t>1ére (A)</t>
        </is>
      </c>
      <c r="B23" s="132">
        <f>IFERROR(VLOOKUP("S3-005",Planning!$T:$AE,12,0),"")</f>
        <v/>
      </c>
      <c r="C23" s="134">
        <f>IFERROR(VLOOKUP("S3-017",Planning!$T:$AE,12,0),"")</f>
        <v/>
      </c>
      <c r="D23" s="131" t="n"/>
      <c r="E23" s="135">
        <f>IFERROR(VLOOKUP("S3-042",Planning!$T:$AE,12,0),"")</f>
        <v/>
      </c>
      <c r="F23" s="130">
        <f>IFERROR(VLOOKUP("S3-054",Planning!$T:$AE,12,0),"")</f>
        <v/>
      </c>
      <c r="G23" s="136" t="n"/>
      <c r="H23" s="141">
        <f>IFERROR(VLOOKUP("S3-090",Planning!$T:$AE,12,0),"")</f>
        <v/>
      </c>
    </row>
    <row r="24" ht="63" customHeight="1">
      <c r="A24" s="143" t="n"/>
      <c r="B24" s="131" t="n"/>
      <c r="C24" s="131" t="n"/>
      <c r="D24" s="131" t="n"/>
      <c r="E24" s="131" t="n"/>
      <c r="F24" s="131" t="n"/>
      <c r="G24" s="136" t="n"/>
      <c r="H24" s="142">
        <f>IFERROR(VLOOKUP("S3-091",Planning!$T:$AE,12,0),"")</f>
        <v/>
      </c>
    </row>
    <row r="25" ht="63" customHeight="1">
      <c r="A25" s="147" t="inlineStr">
        <is>
          <t>1ére (B)</t>
        </is>
      </c>
      <c r="B25" s="131" t="n"/>
      <c r="C25" s="132">
        <f>IFERROR(VLOOKUP("S3-018",Planning!$T:$AE,12,0),"")</f>
        <v/>
      </c>
      <c r="D25" s="134">
        <f>IFERROR(VLOOKUP("S3-030",Planning!$T:$AE,12,0),"")</f>
        <v/>
      </c>
      <c r="E25" s="131" t="n"/>
      <c r="F25" s="130">
        <f>IFERROR(VLOOKUP("S3-055",Planning!$T:$AE,12,0),"")</f>
        <v/>
      </c>
      <c r="G25" s="136" t="n"/>
      <c r="H25" s="141">
        <f>IFERROR(VLOOKUP("S3-092",Planning!$T:$AE,12,0),"")</f>
        <v/>
      </c>
    </row>
    <row r="26" ht="63" customHeight="1">
      <c r="A26" s="147" t="inlineStr">
        <is>
          <t>2éme Eco</t>
        </is>
      </c>
      <c r="B26" s="131" t="n"/>
      <c r="C26" s="135">
        <f>IFERROR(VLOOKUP("S3-019",Planning!$T:$AE,12,0),"")</f>
        <v/>
      </c>
      <c r="D26" s="132">
        <f>IFERROR(VLOOKUP("S3-031",Planning!$T:$AE,12,0),"")</f>
        <v/>
      </c>
      <c r="E26" s="148">
        <f>IFERROR(VLOOKUP("S3-043",Planning!$T:$AE,12,0),"")</f>
        <v/>
      </c>
      <c r="F26" s="134">
        <f>IFERROR(VLOOKUP("S3-056",Planning!$T:$AE,12,0),"")</f>
        <v/>
      </c>
      <c r="G26" s="149">
        <f>IFERROR(VLOOKUP("S3-071",Planning!$T:$AE,12,0),"")</f>
        <v/>
      </c>
      <c r="H26" s="150">
        <f>IFERROR(VLOOKUP("S3-093",Planning!$T:$AE,12,0),"")</f>
        <v/>
      </c>
    </row>
    <row r="27" ht="63" customHeight="1">
      <c r="A27" s="147" t="inlineStr">
        <is>
          <t>2éme SCE</t>
        </is>
      </c>
      <c r="B27" s="131" t="n"/>
      <c r="C27" s="144" t="n"/>
      <c r="D27" s="131" t="n"/>
      <c r="E27" s="132">
        <f>IFERROR(VLOOKUP("S3-044",Planning!$T:$AE,12,0),"")</f>
        <v/>
      </c>
      <c r="F27" s="144" t="n"/>
      <c r="G27" s="142">
        <f>IFERROR(VLOOKUP("S3-072",Planning!$T:$AE,12,0),"")</f>
        <v/>
      </c>
      <c r="H27" s="141">
        <f>IFERROR(VLOOKUP("S3-094",Planning!$T:$AE,12,0),"")</f>
        <v/>
      </c>
    </row>
    <row r="28" ht="63" customHeight="1">
      <c r="A28" s="147" t="inlineStr">
        <is>
          <t>2éme INFO</t>
        </is>
      </c>
      <c r="B28" s="131" t="n"/>
      <c r="C28" s="144" t="n"/>
      <c r="D28" s="131" t="n"/>
      <c r="E28" s="141">
        <f>IFERROR(VLOOKUP("S3-045",Planning!$T:$AE,12,0),"")</f>
        <v/>
      </c>
      <c r="F28" s="137" t="n"/>
      <c r="G28" s="151">
        <f>IFERROR(VLOOKUP("S3-073",Planning!$T:$AE,12,0),"")</f>
        <v/>
      </c>
      <c r="H28" s="136" t="n"/>
    </row>
    <row r="29" ht="63" customHeight="1">
      <c r="A29" s="143" t="n"/>
      <c r="B29" s="131" t="n"/>
      <c r="C29" s="137" t="n"/>
      <c r="D29" s="131" t="n"/>
      <c r="E29" s="131" t="n"/>
      <c r="F29" s="132">
        <f>IFERROR(VLOOKUP("S3-057",Planning!$T:$AE,12,0),"")</f>
        <v/>
      </c>
      <c r="G29" s="136" t="n"/>
      <c r="H29" s="136" t="n"/>
    </row>
    <row r="30" ht="63" customHeight="1">
      <c r="A30" s="147" t="inlineStr">
        <is>
          <t>3éme Eco</t>
        </is>
      </c>
      <c r="B30" s="131" t="n"/>
      <c r="C30" s="131" t="n"/>
      <c r="D30" s="148">
        <f>IFERROR(VLOOKUP("S3-032",Planning!$T:$AE,12,0),"")</f>
        <v/>
      </c>
      <c r="E30" s="130">
        <f>IFERROR(VLOOKUP("S3-046",Planning!$T:$AE,12,0),"")</f>
        <v/>
      </c>
      <c r="F30" s="134">
        <f>IFERROR(VLOOKUP("S3-058",Planning!$T:$AE,12,0),"")</f>
        <v/>
      </c>
      <c r="G30" s="149">
        <f>IFERROR(VLOOKUP("S3-074",Planning!$T:$AE,12,0),"")</f>
        <v/>
      </c>
      <c r="H30" s="150">
        <f>IFERROR(VLOOKUP("S3-095",Planning!$T:$AE,12,0),"")</f>
        <v/>
      </c>
    </row>
    <row r="31" ht="63" customHeight="1">
      <c r="A31" s="143" t="n"/>
      <c r="B31" s="131" t="n"/>
      <c r="C31" s="131" t="n"/>
      <c r="D31" s="131" t="n"/>
      <c r="E31" s="144" t="n"/>
      <c r="F31" s="144" t="n"/>
      <c r="G31" s="136" t="n"/>
      <c r="H31" s="132">
        <f>IFERROR(VLOOKUP("S3-096",Planning!$T:$AE,12,0),"")</f>
        <v/>
      </c>
    </row>
    <row r="32" ht="63" customHeight="1">
      <c r="A32" s="147" t="inlineStr">
        <is>
          <t>3éme INFO</t>
        </is>
      </c>
      <c r="B32" s="159">
        <f>IFERROR(VLOOKUP("S3-006",Planning!$T:$AE,12,0),"")</f>
        <v/>
      </c>
      <c r="C32" s="131" t="n"/>
      <c r="D32" s="141">
        <f>IFERROR(VLOOKUP("S3-033",Planning!$T:$AE,12,0),"")</f>
        <v/>
      </c>
      <c r="E32" s="144" t="n"/>
      <c r="F32" s="144" t="n"/>
      <c r="G32" s="152">
        <f>IFERROR(VLOOKUP("S3-075",Planning!$T:$AE,12,0),"")</f>
        <v/>
      </c>
      <c r="H32" s="132">
        <f>IFERROR(VLOOKUP("S3-097",Planning!$T:$AE,12,0),"")</f>
        <v/>
      </c>
    </row>
    <row r="33" ht="63" customHeight="1">
      <c r="A33" s="147" t="inlineStr">
        <is>
          <t>3éme SCE</t>
        </is>
      </c>
      <c r="B33" s="132">
        <f>IFERROR(VLOOKUP("S3-007",Planning!$T:$AE,12,0),"")</f>
        <v/>
      </c>
      <c r="C33" s="131" t="n"/>
      <c r="D33" s="131" t="n"/>
      <c r="E33" s="137" t="n"/>
      <c r="F33" s="137" t="n"/>
      <c r="G33" s="142">
        <f>IFERROR(VLOOKUP("S3-076",Planning!$T:$AE,12,0),"")</f>
        <v/>
      </c>
      <c r="H33" s="141">
        <f>IFERROR(VLOOKUP("S3-098",Planning!$T:$AE,12,0),"")</f>
        <v/>
      </c>
    </row>
    <row r="34" ht="21" customHeight="1">
      <c r="A34" s="153" t="inlineStr">
        <is>
          <t>CYCLE BAC   (3 classes)</t>
        </is>
      </c>
      <c r="B34" s="154" t="n"/>
      <c r="C34" s="154" t="n"/>
      <c r="D34" s="154" t="n"/>
      <c r="E34" s="154" t="n"/>
      <c r="F34" s="154" t="n"/>
      <c r="G34" s="154" t="n"/>
      <c r="H34" s="154" t="n"/>
    </row>
    <row r="35" ht="63" customHeight="1">
      <c r="A35" s="155" t="inlineStr">
        <is>
          <t>Bac Eco</t>
        </is>
      </c>
      <c r="B35" s="148">
        <f>IFERROR(VLOOKUP("S3-008",Planning!$T:$AE,12,0),"")</f>
        <v/>
      </c>
      <c r="C35" s="156">
        <f>IFERROR(VLOOKUP("S3-020",Planning!$T:$AE,12,0),"")</f>
        <v/>
      </c>
      <c r="D35" s="131" t="n"/>
      <c r="E35" s="157">
        <f>IFERROR(VLOOKUP("S3-047",Planning!$T:$AE,12,0),"")</f>
        <v/>
      </c>
      <c r="F35" s="135">
        <f>IFERROR(VLOOKUP("S3-059",Planning!$T:$AE,12,0),"")</f>
        <v/>
      </c>
      <c r="G35" s="149">
        <f>IFERROR(VLOOKUP("S3-077",Planning!$T:$AE,12,0),"")</f>
        <v/>
      </c>
      <c r="H35" s="132">
        <f>IFERROR(VLOOKUP("S3-100",Planning!$T:$AE,12,0),"")</f>
        <v/>
      </c>
    </row>
    <row r="36" ht="63" customHeight="1">
      <c r="A36" s="143" t="n"/>
      <c r="B36" s="131" t="n"/>
      <c r="C36" s="144" t="n"/>
      <c r="D36" s="131" t="n"/>
      <c r="E36" s="144" t="n"/>
      <c r="F36" s="144" t="n"/>
      <c r="G36" s="136" t="n"/>
      <c r="H36" s="150">
        <f>IFERROR(VLOOKUP("S3-099",Planning!$T:$AE,12,0),"")</f>
        <v/>
      </c>
    </row>
    <row r="37" ht="63" customHeight="1">
      <c r="A37" s="155" t="inlineStr">
        <is>
          <t>Bac SCE</t>
        </is>
      </c>
      <c r="B37" s="141">
        <f>IFERROR(VLOOKUP("S3-009",Planning!$T:$AE,12,0),"")</f>
        <v/>
      </c>
      <c r="C37" s="137" t="n"/>
      <c r="D37" s="132">
        <f>IFERROR(VLOOKUP("S3-034",Planning!$T:$AE,12,0),"")</f>
        <v/>
      </c>
      <c r="E37" s="144" t="n"/>
      <c r="F37" s="144" t="n"/>
      <c r="G37" s="142">
        <f>IFERROR(VLOOKUP("S3-078",Planning!$T:$AE,12,0),"")</f>
        <v/>
      </c>
      <c r="H37" s="136" t="n"/>
    </row>
    <row r="38" ht="63" customHeight="1">
      <c r="A38" s="143" t="n"/>
      <c r="B38" s="131" t="n"/>
      <c r="C38" s="158">
        <f>IFERROR(VLOOKUP("S3-021",Planning!$T:$AE,12,0),"")</f>
        <v/>
      </c>
      <c r="D38" s="131" t="n"/>
      <c r="E38" s="144" t="n"/>
      <c r="F38" s="144" t="n"/>
      <c r="G38" s="136" t="n"/>
      <c r="H38" s="136" t="n"/>
    </row>
    <row r="39" ht="63" customHeight="1">
      <c r="A39" s="155" t="inlineStr">
        <is>
          <t>Bac INFO</t>
        </is>
      </c>
      <c r="B39" s="141">
        <f>IFERROR(VLOOKUP("S3-010",Planning!$T:$AE,12,0),"")</f>
        <v/>
      </c>
      <c r="C39" s="137" t="n"/>
      <c r="D39" s="159">
        <f>IFERROR(VLOOKUP("S3-035",Planning!$T:$AE,12,0),"")</f>
        <v/>
      </c>
      <c r="E39" s="137" t="n"/>
      <c r="F39" s="137" t="n"/>
      <c r="G39" s="152">
        <f>IFERROR(VLOOKUP("S3-079",Planning!$T:$AE,12,0),"")</f>
        <v/>
      </c>
      <c r="H39" s="132">
        <f>IFERROR(VLOOKUP("S3-101",Planning!$T:$AE,12,0),"")</f>
        <v/>
      </c>
    </row>
  </sheetData>
  <mergeCells count="30">
    <mergeCell ref="F35:F39"/>
    <mergeCell ref="C26:C29"/>
    <mergeCell ref="F30:F33"/>
    <mergeCell ref="A1:H1"/>
    <mergeCell ref="F14:F16"/>
    <mergeCell ref="F8:F9"/>
    <mergeCell ref="A37:A38"/>
    <mergeCell ref="G15:G16"/>
    <mergeCell ref="E30:E33"/>
    <mergeCell ref="A17:A18"/>
    <mergeCell ref="A2:H2"/>
    <mergeCell ref="A23:A24"/>
    <mergeCell ref="A5:H5"/>
    <mergeCell ref="A19:A20"/>
    <mergeCell ref="C35:C37"/>
    <mergeCell ref="A22:H22"/>
    <mergeCell ref="A35:A36"/>
    <mergeCell ref="E35:E39"/>
    <mergeCell ref="F26:F28"/>
    <mergeCell ref="H8:H9"/>
    <mergeCell ref="B17:B21"/>
    <mergeCell ref="A28:A29"/>
    <mergeCell ref="C38:C39"/>
    <mergeCell ref="A10:H10"/>
    <mergeCell ref="D11:D13"/>
    <mergeCell ref="H20:H21"/>
    <mergeCell ref="C15:C16"/>
    <mergeCell ref="A11:A12"/>
    <mergeCell ref="A30:A31"/>
    <mergeCell ref="A34:H34"/>
  </mergeCells>
  <conditionalFormatting sqref="B5:H39">
    <cfRule type="expression" priority="1" dxfId="0" stopIfTrue="1">
      <formula>ISNUMBER(SEARCH("⚑ Annulé",B5))</formula>
    </cfRule>
    <cfRule type="expression" priority="2" dxfId="1" stopIfTrue="1">
      <formula>ISNUMBER(SEARCH("⚑ Examen / Devoir",B5))</formula>
    </cfRule>
    <cfRule type="expression" priority="3" dxfId="2" stopIfTrue="1">
      <formula>ISNUMBER(SEARCH("⚑ Rattrapage",B5))</formula>
    </cfRule>
    <cfRule type="expression" priority="4" dxfId="3" stopIfTrue="1">
      <formula>ISNUMBER(SEARCH("⚑ À confirmer",B5))</formula>
    </cfRule>
    <cfRule type="expression" priority="5" dxfId="4" stopIfTrue="1">
      <formula>ISNUMBER(SEARCH("⚑ Changement de salle",B5))</formula>
    </cfRule>
    <cfRule type="expression" priority="6" dxfId="5" stopIfTrue="1">
      <formula>ISNUMBER(SEARCH("⚑ Séance en ligne",B5))</formula>
    </cfRule>
  </conditionalFormatting>
  <printOptions horizontalCentered="1" gridLines="0"/>
  <pageMargins left="0.35" right="0.35" top="0.5" bottom="0.45" header="0.2" footer="0.2"/>
  <pageSetup orientation="landscape" paperSize="9" fitToHeight="0" fitToWidth="1"/>
  <headerFooter>
    <oddHeader>&amp;R&amp;"Arial,Italic"&amp;8 du 28 septembre au 4 octobre 2026</oddHeader>
    <oddFooter>&amp;L&amp;8 RS 2026-2027 · S3 (semaine A)&amp;R&amp;8 Page &amp;P / &amp;N</oddFooter>
    <evenHeader/>
    <evenFooter/>
    <firstHeader/>
    <firstFooter/>
  </headerFooter>
  <rowBreaks count="3" manualBreakCount="3">
    <brk id="9" min="0" max="16383" man="1"/>
    <brk id="21" min="0" max="16383" man="1"/>
    <brk id="33" min="0" max="16383" man="1"/>
  </rowBreaks>
</worksheet>
</file>

<file path=xl/worksheets/sheet7.xml><?xml version="1.0" encoding="utf-8"?>
<worksheet xmlns="http://schemas.openxmlformats.org/spreadsheetml/2006/main">
  <sheetPr>
    <tabColor rgb="002F6F7E"/>
    <outlinePr summaryBelow="1" summaryRight="1"/>
    <pageSetUpPr fitToPage="1"/>
  </sheetPr>
  <dimension ref="A1:H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ht="34" customHeight="1">
      <c r="A1" s="51" t="inlineStr">
        <is>
          <t>S4 · DU 5 AU 11 OCTOBRE 2026   |   SEMAINE B</t>
        </is>
      </c>
      <c r="B1" s="2" t="n"/>
      <c r="C1" s="2" t="n"/>
      <c r="D1" s="2" t="n"/>
      <c r="E1" s="2" t="n"/>
      <c r="F1" s="2" t="n"/>
      <c r="G1" s="2" t="n"/>
      <c r="H1" s="2" t="n"/>
    </row>
    <row r="2" ht="26" customHeight="1">
      <c r="A2" s="52" t="inlineStr">
        <is>
          <t>Une case = une séance : horaire / matière / enseignant.   Chaque matière a sa couleur.   Une case fusionnée sur plusieurs classes = séance commune à ces groupes.   Q-A ou Q-B = une semaine sur deux.   OPT = cours au choix.   Les couleurs sont modifiables à la main ; seul un statut ⚑ les remplace.</t>
        </is>
      </c>
      <c r="B2" s="53" t="n"/>
      <c r="C2" s="53" t="n"/>
      <c r="D2" s="53" t="n"/>
      <c r="E2" s="53" t="n"/>
      <c r="F2" s="53" t="n"/>
      <c r="G2" s="53" t="n"/>
      <c r="H2" s="53" t="n"/>
    </row>
    <row r="3" ht="36" customHeight="1">
      <c r="A3" s="125" t="inlineStr">
        <is>
          <t>Classe / Groupe</t>
        </is>
      </c>
      <c r="B3" s="125" t="inlineStr">
        <is>
          <t>Lundi
05/10</t>
        </is>
      </c>
      <c r="C3" s="125" t="inlineStr">
        <is>
          <t>Mardi
06/10</t>
        </is>
      </c>
      <c r="D3" s="125" t="inlineStr">
        <is>
          <t>Mercredi
07/10</t>
        </is>
      </c>
      <c r="E3" s="125" t="inlineStr">
        <is>
          <t>Jeudi
08/10</t>
        </is>
      </c>
      <c r="F3" s="125" t="inlineStr">
        <is>
          <t>Vendredi
09/10</t>
        </is>
      </c>
      <c r="G3" s="126" t="inlineStr">
        <is>
          <t>Samedi
10/10</t>
        </is>
      </c>
      <c r="H3" s="126" t="inlineStr">
        <is>
          <t>Dimanche
11/10</t>
        </is>
      </c>
    </row>
    <row r="5" ht="21" customHeight="1">
      <c r="A5" s="127" t="inlineStr">
        <is>
          <t>CYCLE PRIMAIRE   (4 classes)</t>
        </is>
      </c>
      <c r="B5" s="128" t="n"/>
      <c r="C5" s="128" t="n"/>
      <c r="D5" s="128" t="n"/>
      <c r="E5" s="128" t="n"/>
      <c r="F5" s="128" t="n"/>
      <c r="G5" s="128" t="n"/>
      <c r="H5" s="128" t="n"/>
    </row>
    <row r="6" ht="63" customHeight="1">
      <c r="A6" s="129" t="inlineStr">
        <is>
          <t>4éme</t>
        </is>
      </c>
      <c r="B6" s="130">
        <f>IFERROR(VLOOKUP("S4-001",Planning!$T:$AE,12,0),"")</f>
        <v/>
      </c>
      <c r="C6" s="131" t="n"/>
      <c r="D6" s="132">
        <f>IFERROR(VLOOKUP("S4-019",Planning!$T:$AE,12,0),"")</f>
        <v/>
      </c>
      <c r="E6" s="131" t="n"/>
      <c r="F6" s="131" t="n"/>
      <c r="G6" s="134">
        <f>IFERROR(VLOOKUP("S4-055",Planning!$T:$AE,12,0),"")</f>
        <v/>
      </c>
      <c r="H6" s="136" t="n"/>
    </row>
    <row r="7" ht="63" customHeight="1">
      <c r="A7" s="129" t="inlineStr">
        <is>
          <t>5éme</t>
        </is>
      </c>
      <c r="B7" s="131" t="n"/>
      <c r="C7" s="130">
        <f>IFERROR(VLOOKUP("S4-009",Planning!$T:$AE,12,0),"")</f>
        <v/>
      </c>
      <c r="D7" s="131" t="n"/>
      <c r="E7" s="132">
        <f>IFERROR(VLOOKUP("S4-032",Planning!$T:$AE,12,0),"")</f>
        <v/>
      </c>
      <c r="F7" s="133">
        <f>IFERROR(VLOOKUP("S4-044",Planning!$T:$AE,12,0),"")</f>
        <v/>
      </c>
      <c r="G7" s="134">
        <f>IFERROR(VLOOKUP("S4-056",Planning!$T:$AE,12,0),"")</f>
        <v/>
      </c>
      <c r="H7" s="135">
        <f>IFERROR(VLOOKUP("S4-071",Planning!$T:$AE,12,0),"")</f>
        <v/>
      </c>
    </row>
    <row r="8" ht="63" customHeight="1">
      <c r="A8" s="129" t="inlineStr">
        <is>
          <t>6éme Pilote (A)</t>
        </is>
      </c>
      <c r="B8" s="134">
        <f>IFERROR(VLOOKUP("S4-002",Planning!$T:$AE,12,0),"")</f>
        <v/>
      </c>
      <c r="C8" s="131" t="n"/>
      <c r="D8" s="132">
        <f>IFERROR(VLOOKUP("S4-020",Planning!$T:$AE,12,0),"")</f>
        <v/>
      </c>
      <c r="E8" s="131" t="n"/>
      <c r="F8" s="133">
        <f>IFERROR(VLOOKUP("S4-045",Planning!$T:$AE,12,0),"")</f>
        <v/>
      </c>
      <c r="G8" s="130">
        <f>IFERROR(VLOOKUP("S4-057",Planning!$T:$AE,12,0),"")</f>
        <v/>
      </c>
      <c r="H8" s="136" t="n"/>
    </row>
    <row r="9" ht="63" customHeight="1">
      <c r="A9" s="129" t="inlineStr">
        <is>
          <t>6éme (B)</t>
        </is>
      </c>
      <c r="B9" s="131" t="n"/>
      <c r="C9" s="134">
        <f>IFERROR(VLOOKUP("S4-010",Planning!$T:$AE,12,0),"")</f>
        <v/>
      </c>
      <c r="D9" s="131" t="n"/>
      <c r="E9" s="132">
        <f>IFERROR(VLOOKUP("S4-033",Planning!$T:$AE,12,0),"")</f>
        <v/>
      </c>
      <c r="F9" s="137" t="n"/>
      <c r="G9" s="130">
        <f>IFERROR(VLOOKUP("S4-058",Planning!$T:$AE,12,0),"")</f>
        <v/>
      </c>
      <c r="H9" s="136" t="n"/>
    </row>
    <row r="10" ht="21" customHeight="1">
      <c r="A10" s="138" t="inlineStr">
        <is>
          <t>CYCLE COLLÈGE   (8 classes)</t>
        </is>
      </c>
      <c r="B10" s="139" t="n"/>
      <c r="C10" s="139" t="n"/>
      <c r="D10" s="139" t="n"/>
      <c r="E10" s="139" t="n"/>
      <c r="F10" s="139" t="n"/>
      <c r="G10" s="139" t="n"/>
      <c r="H10" s="139" t="n"/>
    </row>
    <row r="11" ht="63" customHeight="1">
      <c r="A11" s="140" t="inlineStr">
        <is>
          <t>7éme (A)</t>
        </is>
      </c>
      <c r="B11" s="131" t="n"/>
      <c r="C11" s="131" t="n"/>
      <c r="D11" s="141">
        <f>IFERROR(VLOOKUP("S4-021",Planning!$T:$AE,12,0),"")</f>
        <v/>
      </c>
      <c r="E11" s="131" t="n"/>
      <c r="F11" s="132">
        <f>IFERROR(VLOOKUP("S4-046",Planning!$T:$AE,12,0),"")</f>
        <v/>
      </c>
      <c r="G11" s="130">
        <f>IFERROR(VLOOKUP("S4-060",Planning!$T:$AE,12,0),"")</f>
        <v/>
      </c>
      <c r="H11" s="134">
        <f>IFERROR(VLOOKUP("S4-072",Planning!$T:$AE,12,0),"")</f>
        <v/>
      </c>
    </row>
    <row r="12" ht="63" customHeight="1">
      <c r="A12" s="140" t="inlineStr">
        <is>
          <t>7éme (B)</t>
        </is>
      </c>
      <c r="B12" s="130">
        <f>IFERROR(VLOOKUP("S4-003",Planning!$T:$AE,12,0),"")</f>
        <v/>
      </c>
      <c r="C12" s="135">
        <f>IFERROR(VLOOKUP("S4-011",Planning!$T:$AE,12,0),"")</f>
        <v/>
      </c>
      <c r="D12" s="137" t="n"/>
      <c r="E12" s="131" t="n"/>
      <c r="F12" s="132">
        <f>IFERROR(VLOOKUP("S4-047",Planning!$T:$AE,12,0),"")</f>
        <v/>
      </c>
      <c r="G12" s="142">
        <f>IFERROR(VLOOKUP("S4-059",Planning!$T:$AE,12,0),"")</f>
        <v/>
      </c>
      <c r="H12" s="134">
        <f>IFERROR(VLOOKUP("S4-073",Planning!$T:$AE,12,0),"")</f>
        <v/>
      </c>
    </row>
    <row r="13" ht="63" customHeight="1">
      <c r="A13" s="140" t="inlineStr">
        <is>
          <t>8éme (A)</t>
        </is>
      </c>
      <c r="B13" s="131" t="n"/>
      <c r="C13" s="131" t="n"/>
      <c r="D13" s="130">
        <f>IFERROR(VLOOKUP("S4-022",Planning!$T:$AE,12,0),"")</f>
        <v/>
      </c>
      <c r="E13" s="134">
        <f>IFERROR(VLOOKUP("S4-034",Planning!$T:$AE,12,0),"")</f>
        <v/>
      </c>
      <c r="F13" s="141">
        <f>IFERROR(VLOOKUP("S4-048",Planning!$T:$AE,12,0),"")</f>
        <v/>
      </c>
      <c r="G13" s="135">
        <f>IFERROR(VLOOKUP("S4-062",Planning!$T:$AE,12,0),"")</f>
        <v/>
      </c>
      <c r="H13" s="132">
        <f>IFERROR(VLOOKUP("S4-074",Planning!$T:$AE,12,0),"")</f>
        <v/>
      </c>
    </row>
    <row r="14" ht="63" customHeight="1">
      <c r="A14" s="140" t="inlineStr">
        <is>
          <t>8éme (B)</t>
        </is>
      </c>
      <c r="B14" s="131" t="n"/>
      <c r="C14" s="130">
        <f>IFERROR(VLOOKUP("S4-012",Planning!$T:$AE,12,0),"")</f>
        <v/>
      </c>
      <c r="D14" s="132">
        <f>IFERROR(VLOOKUP("S4-023",Planning!$T:$AE,12,0),"")</f>
        <v/>
      </c>
      <c r="E14" s="131" t="n"/>
      <c r="F14" s="144" t="n"/>
      <c r="G14" s="142">
        <f>IFERROR(VLOOKUP("S4-061",Planning!$T:$AE,12,0),"")</f>
        <v/>
      </c>
      <c r="H14" s="134">
        <f>IFERROR(VLOOKUP("S4-075",Planning!$T:$AE,12,0),"")</f>
        <v/>
      </c>
    </row>
    <row r="15" ht="63" customHeight="1">
      <c r="A15" s="140" t="inlineStr">
        <is>
          <t>8éme (C)</t>
        </is>
      </c>
      <c r="B15" s="131" t="n"/>
      <c r="C15" s="137" t="n"/>
      <c r="D15" s="134">
        <f>IFERROR(VLOOKUP("S4-024",Planning!$T:$AE,12,0),"")</f>
        <v/>
      </c>
      <c r="E15" s="132">
        <f>IFERROR(VLOOKUP("S4-035",Planning!$T:$AE,12,0),"")</f>
        <v/>
      </c>
      <c r="F15" s="137" t="n"/>
      <c r="G15" s="137" t="n"/>
      <c r="H15" s="136" t="n"/>
    </row>
    <row r="16" ht="63" customHeight="1">
      <c r="A16" s="140" t="inlineStr">
        <is>
          <t>9éme (A)</t>
        </is>
      </c>
      <c r="B16" s="141">
        <f>IFERROR(VLOOKUP("S4-004",Planning!$T:$AE,12,0),"")</f>
        <v/>
      </c>
      <c r="C16" s="132">
        <f>IFERROR(VLOOKUP("S4-013",Planning!$T:$AE,12,0),"")</f>
        <v/>
      </c>
      <c r="D16" s="131" t="n"/>
      <c r="E16" s="142">
        <f>IFERROR(VLOOKUP("S4-036",Planning!$T:$AE,12,0),"")</f>
        <v/>
      </c>
      <c r="F16" s="131" t="n"/>
      <c r="G16" s="130">
        <f>IFERROR(VLOOKUP("S4-063",Planning!$T:$AE,12,0),"")</f>
        <v/>
      </c>
      <c r="H16" s="135">
        <f>IFERROR(VLOOKUP("S4-076",Planning!$T:$AE,12,0),"")</f>
        <v/>
      </c>
    </row>
    <row r="17" ht="63" customHeight="1">
      <c r="A17" s="143" t="n"/>
      <c r="B17" s="144" t="n"/>
      <c r="C17" s="131" t="n"/>
      <c r="D17" s="131" t="n"/>
      <c r="E17" s="131" t="n"/>
      <c r="F17" s="131" t="n"/>
      <c r="G17" s="136" t="n"/>
      <c r="H17" s="134">
        <f>IFERROR(VLOOKUP("S4-077",Planning!$T:$AE,12,0),"")</f>
        <v/>
      </c>
    </row>
    <row r="18" ht="63" customHeight="1">
      <c r="A18" s="140" t="inlineStr">
        <is>
          <t>9éme (B)</t>
        </is>
      </c>
      <c r="B18" s="144" t="n"/>
      <c r="C18" s="142">
        <f>IFERROR(VLOOKUP("S4-014",Planning!$T:$AE,12,0),"")</f>
        <v/>
      </c>
      <c r="D18" s="130">
        <f>IFERROR(VLOOKUP("S4-025",Planning!$T:$AE,12,0),"")</f>
        <v/>
      </c>
      <c r="E18" s="131" t="n"/>
      <c r="F18" s="131" t="n"/>
      <c r="G18" s="132">
        <f>IFERROR(VLOOKUP("S4-064",Planning!$T:$AE,12,0),"")</f>
        <v/>
      </c>
      <c r="H18" s="135">
        <f>IFERROR(VLOOKUP("S4-078",Planning!$T:$AE,12,0),"")</f>
        <v/>
      </c>
    </row>
    <row r="19" ht="63" customHeight="1">
      <c r="A19" s="143" t="n"/>
      <c r="B19" s="144" t="n"/>
      <c r="C19" s="131" t="n"/>
      <c r="D19" s="131" t="n"/>
      <c r="E19" s="131" t="n"/>
      <c r="F19" s="131" t="n"/>
      <c r="G19" s="136" t="n"/>
      <c r="H19" s="134">
        <f>IFERROR(VLOOKUP("S4-079",Planning!$T:$AE,12,0),"")</f>
        <v/>
      </c>
    </row>
    <row r="20" ht="63" customHeight="1">
      <c r="A20" s="140" t="inlineStr">
        <is>
          <t>9éme (C)</t>
        </is>
      </c>
      <c r="B20" s="137" t="n"/>
      <c r="C20" s="131" t="n"/>
      <c r="D20" s="142">
        <f>IFERROR(VLOOKUP("S4-026",Planning!$T:$AE,12,0),"")</f>
        <v/>
      </c>
      <c r="E20" s="135">
        <f>IFERROR(VLOOKUP("S4-037",Planning!$T:$AE,12,0),"")</f>
        <v/>
      </c>
      <c r="F20" s="130">
        <f>IFERROR(VLOOKUP("S4-049",Planning!$T:$AE,12,0),"")</f>
        <v/>
      </c>
      <c r="G20" s="132">
        <f>IFERROR(VLOOKUP("S4-065",Planning!$T:$AE,12,0),"")</f>
        <v/>
      </c>
      <c r="H20" s="137" t="n"/>
    </row>
    <row r="21" ht="21" customHeight="1">
      <c r="A21" s="145" t="inlineStr">
        <is>
          <t>CYCLE SECONDAIRE   (8 classes)</t>
        </is>
      </c>
      <c r="B21" s="146" t="n"/>
      <c r="C21" s="146" t="n"/>
      <c r="D21" s="146" t="n"/>
      <c r="E21" s="146" t="n"/>
      <c r="F21" s="146" t="n"/>
      <c r="G21" s="146" t="n"/>
      <c r="H21" s="146" t="n"/>
    </row>
    <row r="22" ht="63" customHeight="1">
      <c r="A22" s="147" t="inlineStr">
        <is>
          <t>1ére (A)</t>
        </is>
      </c>
      <c r="B22" s="132">
        <f>IFERROR(VLOOKUP("S4-005",Planning!$T:$AE,12,0),"")</f>
        <v/>
      </c>
      <c r="C22" s="134">
        <f>IFERROR(VLOOKUP("S4-015",Planning!$T:$AE,12,0),"")</f>
        <v/>
      </c>
      <c r="D22" s="131" t="n"/>
      <c r="E22" s="131" t="n"/>
      <c r="F22" s="130">
        <f>IFERROR(VLOOKUP("S4-050",Planning!$T:$AE,12,0),"")</f>
        <v/>
      </c>
      <c r="G22" s="136" t="n"/>
      <c r="H22" s="141">
        <f>IFERROR(VLOOKUP("S4-080",Planning!$T:$AE,12,0),"")</f>
        <v/>
      </c>
    </row>
    <row r="23" ht="63" customHeight="1">
      <c r="A23" s="147" t="inlineStr">
        <is>
          <t>1ére (B)</t>
        </is>
      </c>
      <c r="B23" s="131" t="n"/>
      <c r="C23" s="132">
        <f>IFERROR(VLOOKUP("S4-016",Planning!$T:$AE,12,0),"")</f>
        <v/>
      </c>
      <c r="D23" s="134">
        <f>IFERROR(VLOOKUP("S4-027",Planning!$T:$AE,12,0),"")</f>
        <v/>
      </c>
      <c r="E23" s="135">
        <f>IFERROR(VLOOKUP("S4-038",Planning!$T:$AE,12,0),"")</f>
        <v/>
      </c>
      <c r="F23" s="130">
        <f>IFERROR(VLOOKUP("S4-051",Planning!$T:$AE,12,0),"")</f>
        <v/>
      </c>
      <c r="G23" s="136" t="n"/>
      <c r="H23" s="141">
        <f>IFERROR(VLOOKUP("S4-081",Planning!$T:$AE,12,0),"")</f>
        <v/>
      </c>
    </row>
    <row r="24" ht="63" customHeight="1">
      <c r="A24" s="143" t="n"/>
      <c r="B24" s="131" t="n"/>
      <c r="C24" s="131" t="n"/>
      <c r="D24" s="131" t="n"/>
      <c r="E24" s="131" t="n"/>
      <c r="F24" s="131" t="n"/>
      <c r="G24" s="136" t="n"/>
      <c r="H24" s="142">
        <f>IFERROR(VLOOKUP("S4-099",Planning!$T:$AE,12,0),"")</f>
        <v/>
      </c>
    </row>
    <row r="25" ht="63" customHeight="1">
      <c r="A25" s="147" t="inlineStr">
        <is>
          <t>2éme Eco</t>
        </is>
      </c>
      <c r="B25" s="131" t="n"/>
      <c r="C25" s="130">
        <f>IFERROR(VLOOKUP("S4-095",Planning!$T:$AE,12,0),"")</f>
        <v/>
      </c>
      <c r="D25" s="132">
        <f>IFERROR(VLOOKUP("S4-028",Planning!$T:$AE,12,0),"")</f>
        <v/>
      </c>
      <c r="E25" s="148">
        <f>IFERROR(VLOOKUP("S4-039",Planning!$T:$AE,12,0),"")</f>
        <v/>
      </c>
      <c r="F25" s="131" t="n"/>
      <c r="G25" s="160">
        <f>IFERROR(VLOOKUP("S4-096",Planning!$T:$AE,12,0),"")</f>
        <v/>
      </c>
      <c r="H25" s="150">
        <f>IFERROR(VLOOKUP("S4-082",Planning!$T:$AE,12,0),"")</f>
        <v/>
      </c>
    </row>
    <row r="26" ht="63" customHeight="1">
      <c r="A26" s="147" t="inlineStr">
        <is>
          <t>2éme SCE</t>
        </is>
      </c>
      <c r="B26" s="131" t="n"/>
      <c r="C26" s="144" t="n"/>
      <c r="D26" s="131" t="n"/>
      <c r="E26" s="132">
        <f>IFERROR(VLOOKUP("S4-040",Planning!$T:$AE,12,0),"")</f>
        <v/>
      </c>
      <c r="F26" s="131" t="n"/>
      <c r="G26" s="142">
        <f>IFERROR(VLOOKUP("S4-066",Planning!$T:$AE,12,0),"")</f>
        <v/>
      </c>
      <c r="H26" s="141">
        <f>IFERROR(VLOOKUP("S4-083",Planning!$T:$AE,12,0),"")</f>
        <v/>
      </c>
    </row>
    <row r="27" ht="63" customHeight="1">
      <c r="A27" s="147" t="inlineStr">
        <is>
          <t>2éme INFO</t>
        </is>
      </c>
      <c r="B27" s="131" t="n"/>
      <c r="C27" s="137" t="n"/>
      <c r="D27" s="131" t="n"/>
      <c r="E27" s="141">
        <f>IFERROR(VLOOKUP("S4-041",Planning!$T:$AE,12,0),"")</f>
        <v/>
      </c>
      <c r="F27" s="132">
        <f>IFERROR(VLOOKUP("S4-053",Planning!$T:$AE,12,0),"")</f>
        <v/>
      </c>
      <c r="G27" s="151">
        <f>IFERROR(VLOOKUP("S4-094",Planning!$T:$AE,12,0),"")</f>
        <v/>
      </c>
      <c r="H27" s="136" t="n"/>
    </row>
    <row r="28" ht="63" customHeight="1">
      <c r="A28" s="147" t="inlineStr">
        <is>
          <t>3éme Eco</t>
        </is>
      </c>
      <c r="B28" s="131" t="n"/>
      <c r="C28" s="156">
        <f>IFERROR(VLOOKUP("S4-017",Planning!$T:$AE,12,0),"")</f>
        <v/>
      </c>
      <c r="D28" s="148">
        <f>IFERROR(VLOOKUP("S4-029",Planning!$T:$AE,12,0),"")</f>
        <v/>
      </c>
      <c r="E28" s="157">
        <f>IFERROR(VLOOKUP("S4-043",Planning!$T:$AE,12,0),"")</f>
        <v/>
      </c>
      <c r="F28" s="135">
        <f>IFERROR(VLOOKUP("S4-054",Planning!$T:$AE,12,0),"")</f>
        <v/>
      </c>
      <c r="G28" s="160">
        <f>IFERROR(VLOOKUP("S4-097",Planning!$T:$AE,12,0),"")</f>
        <v/>
      </c>
      <c r="H28" s="150">
        <f>IFERROR(VLOOKUP("S4-084",Planning!$T:$AE,12,0),"")</f>
        <v/>
      </c>
    </row>
    <row r="29" ht="63" customHeight="1">
      <c r="A29" s="143" t="n"/>
      <c r="B29" s="131" t="n"/>
      <c r="C29" s="144" t="n"/>
      <c r="D29" s="131" t="n"/>
      <c r="E29" s="144" t="n"/>
      <c r="F29" s="144" t="n"/>
      <c r="G29" s="136" t="n"/>
      <c r="H29" s="132">
        <f>IFERROR(VLOOKUP("S4-085",Planning!$T:$AE,12,0),"")</f>
        <v/>
      </c>
    </row>
    <row r="30" ht="63" customHeight="1">
      <c r="A30" s="147" t="inlineStr">
        <is>
          <t>3éme INFO</t>
        </is>
      </c>
      <c r="B30" s="159">
        <f>IFERROR(VLOOKUP("S4-092",Planning!$T:$AE,12,0),"")</f>
        <v/>
      </c>
      <c r="C30" s="137" t="n"/>
      <c r="D30" s="141">
        <f>IFERROR(VLOOKUP("S4-030",Planning!$T:$AE,12,0),"")</f>
        <v/>
      </c>
      <c r="E30" s="144" t="n"/>
      <c r="F30" s="144" t="n"/>
      <c r="G30" s="152">
        <f>IFERROR(VLOOKUP("S4-067",Planning!$T:$AE,12,0),"")</f>
        <v/>
      </c>
      <c r="H30" s="132">
        <f>IFERROR(VLOOKUP("S4-086",Planning!$T:$AE,12,0),"")</f>
        <v/>
      </c>
    </row>
    <row r="31" ht="63" customHeight="1">
      <c r="A31" s="143" t="n"/>
      <c r="B31" s="131" t="n"/>
      <c r="C31" s="158">
        <f>IFERROR(VLOOKUP("S4-018",Planning!$T:$AE,12,0),"")</f>
        <v/>
      </c>
      <c r="D31" s="131" t="n"/>
      <c r="E31" s="144" t="n"/>
      <c r="F31" s="144" t="n"/>
      <c r="G31" s="136" t="n"/>
      <c r="H31" s="136" t="n"/>
    </row>
    <row r="32" ht="63" customHeight="1">
      <c r="A32" s="147" t="inlineStr">
        <is>
          <t>3éme SCE</t>
        </is>
      </c>
      <c r="B32" s="132">
        <f>IFERROR(VLOOKUP("S4-093",Planning!$T:$AE,12,0),"")</f>
        <v/>
      </c>
      <c r="C32" s="137" t="n"/>
      <c r="D32" s="131" t="n"/>
      <c r="E32" s="137" t="n"/>
      <c r="F32" s="137" t="n"/>
      <c r="G32" s="142">
        <f>IFERROR(VLOOKUP("S4-068",Planning!$T:$AE,12,0),"")</f>
        <v/>
      </c>
      <c r="H32" s="141">
        <f>IFERROR(VLOOKUP("S4-087",Planning!$T:$AE,12,0),"")</f>
        <v/>
      </c>
    </row>
    <row r="33" ht="21" customHeight="1">
      <c r="A33" s="153" t="inlineStr">
        <is>
          <t>CYCLE BAC   (3 classes)</t>
        </is>
      </c>
      <c r="B33" s="154" t="n"/>
      <c r="C33" s="154" t="n"/>
      <c r="D33" s="154" t="n"/>
      <c r="E33" s="154" t="n"/>
      <c r="F33" s="154" t="n"/>
      <c r="G33" s="154" t="n"/>
      <c r="H33" s="154" t="n"/>
    </row>
    <row r="34" ht="63" customHeight="1">
      <c r="A34" s="155" t="inlineStr">
        <is>
          <t>Bac Eco</t>
        </is>
      </c>
      <c r="B34" s="148">
        <f>IFERROR(VLOOKUP("S4-006",Planning!$T:$AE,12,0),"")</f>
        <v/>
      </c>
      <c r="C34" s="131" t="n"/>
      <c r="D34" s="131" t="n"/>
      <c r="E34" s="130">
        <f>IFERROR(VLOOKUP("S4-042",Planning!$T:$AE,12,0),"")</f>
        <v/>
      </c>
      <c r="F34" s="134">
        <f>IFERROR(VLOOKUP("S4-052",Planning!$T:$AE,12,0),"")</f>
        <v/>
      </c>
      <c r="G34" s="160">
        <f>IFERROR(VLOOKUP("S4-098",Planning!$T:$AE,12,0),"")</f>
        <v/>
      </c>
      <c r="H34" s="132">
        <f>IFERROR(VLOOKUP("S4-089",Planning!$T:$AE,12,0),"")</f>
        <v/>
      </c>
    </row>
    <row r="35" ht="63" customHeight="1">
      <c r="A35" s="143" t="n"/>
      <c r="B35" s="131" t="n"/>
      <c r="C35" s="131" t="n"/>
      <c r="D35" s="131" t="n"/>
      <c r="E35" s="144" t="n"/>
      <c r="F35" s="144" t="n"/>
      <c r="G35" s="136" t="n"/>
      <c r="H35" s="150">
        <f>IFERROR(VLOOKUP("S4-088",Planning!$T:$AE,12,0),"")</f>
        <v/>
      </c>
    </row>
    <row r="36" ht="63" customHeight="1">
      <c r="A36" s="155" t="inlineStr">
        <is>
          <t>Bac SCE</t>
        </is>
      </c>
      <c r="B36" s="141">
        <f>IFERROR(VLOOKUP("S4-007",Planning!$T:$AE,12,0),"")</f>
        <v/>
      </c>
      <c r="C36" s="131" t="n"/>
      <c r="D36" s="132">
        <f>IFERROR(VLOOKUP("S4-031",Planning!$T:$AE,12,0),"")</f>
        <v/>
      </c>
      <c r="E36" s="144" t="n"/>
      <c r="F36" s="144" t="n"/>
      <c r="G36" s="142">
        <f>IFERROR(VLOOKUP("S4-069",Planning!$T:$AE,12,0),"")</f>
        <v/>
      </c>
      <c r="H36" s="136" t="n"/>
    </row>
    <row r="37" ht="63" customHeight="1">
      <c r="A37" s="155" t="inlineStr">
        <is>
          <t>Bac INFO</t>
        </is>
      </c>
      <c r="B37" s="141">
        <f>IFERROR(VLOOKUP("S4-008",Planning!$T:$AE,12,0),"")</f>
        <v/>
      </c>
      <c r="C37" s="131" t="n"/>
      <c r="D37" s="159">
        <f>IFERROR(VLOOKUP("S4-091",Planning!$T:$AE,12,0),"")</f>
        <v/>
      </c>
      <c r="E37" s="137" t="n"/>
      <c r="F37" s="137" t="n"/>
      <c r="G37" s="152">
        <f>IFERROR(VLOOKUP("S4-070",Planning!$T:$AE,12,0),"")</f>
        <v/>
      </c>
      <c r="H37" s="132">
        <f>IFERROR(VLOOKUP("S4-090",Planning!$T:$AE,12,0),"")</f>
        <v/>
      </c>
    </row>
  </sheetData>
  <mergeCells count="26">
    <mergeCell ref="F13:F15"/>
    <mergeCell ref="F34:F37"/>
    <mergeCell ref="A16:A17"/>
    <mergeCell ref="D11:D12"/>
    <mergeCell ref="A1:H1"/>
    <mergeCell ref="F28:F32"/>
    <mergeCell ref="F8:F9"/>
    <mergeCell ref="E34:E37"/>
    <mergeCell ref="C28:C30"/>
    <mergeCell ref="C31:C32"/>
    <mergeCell ref="A18:A19"/>
    <mergeCell ref="H19:H20"/>
    <mergeCell ref="G14:G15"/>
    <mergeCell ref="B16:B20"/>
    <mergeCell ref="A21:H21"/>
    <mergeCell ref="A2:H2"/>
    <mergeCell ref="A23:A24"/>
    <mergeCell ref="A33:H33"/>
    <mergeCell ref="A5:H5"/>
    <mergeCell ref="A34:A35"/>
    <mergeCell ref="C25:C27"/>
    <mergeCell ref="A28:A29"/>
    <mergeCell ref="A10:H10"/>
    <mergeCell ref="E28:E32"/>
    <mergeCell ref="C14:C15"/>
    <mergeCell ref="A30:A31"/>
  </mergeCells>
  <conditionalFormatting sqref="B5:H37">
    <cfRule type="expression" priority="1" dxfId="0" stopIfTrue="1">
      <formula>ISNUMBER(SEARCH("⚑ Annulé",B5))</formula>
    </cfRule>
    <cfRule type="expression" priority="2" dxfId="1" stopIfTrue="1">
      <formula>ISNUMBER(SEARCH("⚑ Examen / Devoir",B5))</formula>
    </cfRule>
    <cfRule type="expression" priority="3" dxfId="2" stopIfTrue="1">
      <formula>ISNUMBER(SEARCH("⚑ Rattrapage",B5))</formula>
    </cfRule>
    <cfRule type="expression" priority="4" dxfId="3" stopIfTrue="1">
      <formula>ISNUMBER(SEARCH("⚑ À confirmer",B5))</formula>
    </cfRule>
    <cfRule type="expression" priority="5" dxfId="4" stopIfTrue="1">
      <formula>ISNUMBER(SEARCH("⚑ Changement de salle",B5))</formula>
    </cfRule>
    <cfRule type="expression" priority="6" dxfId="5" stopIfTrue="1">
      <formula>ISNUMBER(SEARCH("⚑ Séance en ligne",B5))</formula>
    </cfRule>
  </conditionalFormatting>
  <printOptions horizontalCentered="1" gridLines="0"/>
  <pageMargins left="0.35" right="0.35" top="0.5" bottom="0.45" header="0.2" footer="0.2"/>
  <pageSetup orientation="landscape" paperSize="9" fitToHeight="0" fitToWidth="1"/>
  <headerFooter>
    <oddHeader>&amp;R&amp;"Arial,Italic"&amp;8 du 5 au 11 octobre 2026</oddHeader>
    <oddFooter>&amp;L&amp;8 RS 2026-2027 · S4 (semaine B)&amp;R&amp;8 Page &amp;P / &amp;N</oddFooter>
    <evenHeader/>
    <evenFooter/>
    <firstHeader/>
    <firstFooter/>
  </headerFooter>
  <rowBreaks count="3" manualBreakCount="3">
    <brk id="9" min="0" max="16383" man="1"/>
    <brk id="20" min="0" max="16383" man="1"/>
    <brk id="32" min="0" max="16383" man="1"/>
  </rowBreaks>
</worksheet>
</file>

<file path=xl/worksheets/sheet8.xml><?xml version="1.0" encoding="utf-8"?>
<worksheet xmlns="http://schemas.openxmlformats.org/spreadsheetml/2006/main">
  <sheetPr>
    <tabColor rgb="002F6F7E"/>
    <outlinePr summaryBelow="1" summaryRight="1"/>
    <pageSetUpPr fitToPage="1"/>
  </sheetPr>
  <dimension ref="A1:H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ht="34" customHeight="1">
      <c r="A1" s="51" t="inlineStr">
        <is>
          <t>S5 · DU 12 AU 18 OCTOBRE 2026   |   SEMAINE A</t>
        </is>
      </c>
      <c r="B1" s="2" t="n"/>
      <c r="C1" s="2" t="n"/>
      <c r="D1" s="2" t="n"/>
      <c r="E1" s="2" t="n"/>
      <c r="F1" s="2" t="n"/>
      <c r="G1" s="2" t="n"/>
      <c r="H1" s="2" t="n"/>
    </row>
    <row r="2" ht="26" customHeight="1">
      <c r="A2" s="52" t="inlineStr">
        <is>
          <t>Une case = une séance : horaire / matière / enseignant.   Chaque matière a sa couleur.   Une case fusionnée sur plusieurs classes = séance commune à ces groupes.   Q-A ou Q-B = une semaine sur deux.   OPT = cours au choix.   Les couleurs sont modifiables à la main ; seul un statut ⚑ les remplace.</t>
        </is>
      </c>
      <c r="B2" s="53" t="n"/>
      <c r="C2" s="53" t="n"/>
      <c r="D2" s="53" t="n"/>
      <c r="E2" s="53" t="n"/>
      <c r="F2" s="53" t="n"/>
      <c r="G2" s="53" t="n"/>
      <c r="H2" s="53" t="n"/>
    </row>
    <row r="3" ht="36" customHeight="1">
      <c r="A3" s="125" t="inlineStr">
        <is>
          <t>Classe / Groupe</t>
        </is>
      </c>
      <c r="B3" s="125" t="inlineStr">
        <is>
          <t>Lundi
12/10</t>
        </is>
      </c>
      <c r="C3" s="125" t="inlineStr">
        <is>
          <t>Mardi
13/10</t>
        </is>
      </c>
      <c r="D3" s="125" t="inlineStr">
        <is>
          <t>Mercredi
14/10</t>
        </is>
      </c>
      <c r="E3" s="125" t="inlineStr">
        <is>
          <t>Jeudi
15/10</t>
        </is>
      </c>
      <c r="F3" s="125" t="inlineStr">
        <is>
          <t>Vendredi
16/10</t>
        </is>
      </c>
      <c r="G3" s="126" t="inlineStr">
        <is>
          <t>Samedi
17/10</t>
        </is>
      </c>
      <c r="H3" s="126" t="inlineStr">
        <is>
          <t>Dimanche
18/10</t>
        </is>
      </c>
    </row>
    <row r="5" ht="21" customHeight="1">
      <c r="A5" s="127" t="inlineStr">
        <is>
          <t>CYCLE PRIMAIRE   (4 classes)</t>
        </is>
      </c>
      <c r="B5" s="128" t="n"/>
      <c r="C5" s="128" t="n"/>
      <c r="D5" s="128" t="n"/>
      <c r="E5" s="128" t="n"/>
      <c r="F5" s="128" t="n"/>
      <c r="G5" s="128" t="n"/>
      <c r="H5" s="128" t="n"/>
    </row>
    <row r="6" ht="63" customHeight="1">
      <c r="A6" s="129" t="inlineStr">
        <is>
          <t>4éme</t>
        </is>
      </c>
      <c r="B6" s="130">
        <f>IFERROR(VLOOKUP("S5-001",Planning!$T:$AE,12,0),"")</f>
        <v/>
      </c>
      <c r="C6" s="131" t="n"/>
      <c r="D6" s="132">
        <f>IFERROR(VLOOKUP("S5-019",Planning!$T:$AE,12,0),"")</f>
        <v/>
      </c>
      <c r="E6" s="131" t="n"/>
      <c r="F6" s="133">
        <f>IFERROR(VLOOKUP("S5-044",Planning!$T:$AE,12,0),"")</f>
        <v/>
      </c>
      <c r="G6" s="134">
        <f>IFERROR(VLOOKUP("S5-055",Planning!$T:$AE,12,0),"")</f>
        <v/>
      </c>
      <c r="H6" s="135">
        <f>IFERROR(VLOOKUP("S5-071",Planning!$T:$AE,12,0),"")</f>
        <v/>
      </c>
    </row>
    <row r="7" ht="99" customHeight="1">
      <c r="A7" s="129" t="inlineStr">
        <is>
          <t>5éme</t>
        </is>
      </c>
      <c r="B7" s="131" t="n"/>
      <c r="C7" s="130">
        <f>IFERROR(VLOOKUP("S5-009",Planning!$T:$AE,12,0),"")</f>
        <v/>
      </c>
      <c r="D7" s="131" t="n"/>
      <c r="E7" s="132">
        <f>IFERROR(VLOOKUP("S5-032",Planning!$T:$AE,12,0),"")</f>
        <v/>
      </c>
      <c r="F7" s="131" t="n"/>
      <c r="G7" s="134">
        <f>IFERROR(VLOOKUP("S5-056",Planning!$T:$AE,12,0),"")</f>
        <v/>
      </c>
      <c r="H7" s="136" t="n"/>
    </row>
    <row r="8" ht="63" customHeight="1">
      <c r="A8" s="129" t="inlineStr">
        <is>
          <t>6éme Pilote (A)</t>
        </is>
      </c>
      <c r="B8" s="134">
        <f>IFERROR(VLOOKUP("S5-002",Planning!$T:$AE,12,0),"")</f>
        <v/>
      </c>
      <c r="C8" s="131" t="n"/>
      <c r="D8" s="132">
        <f>IFERROR(VLOOKUP("S5-020",Planning!$T:$AE,12,0),"")</f>
        <v/>
      </c>
      <c r="E8" s="131" t="n"/>
      <c r="F8" s="133">
        <f>IFERROR(VLOOKUP("S5-045",Planning!$T:$AE,12,0),"")</f>
        <v/>
      </c>
      <c r="G8" s="130">
        <f>IFERROR(VLOOKUP("S5-057",Planning!$T:$AE,12,0),"")</f>
        <v/>
      </c>
      <c r="H8" s="135">
        <f>IFERROR(VLOOKUP("S5-100",Planning!$T:$AE,12,0),"")</f>
        <v/>
      </c>
    </row>
    <row r="9" ht="99" customHeight="1">
      <c r="A9" s="129" t="inlineStr">
        <is>
          <t>6éme (B)</t>
        </is>
      </c>
      <c r="B9" s="131" t="n"/>
      <c r="C9" s="134">
        <f>IFERROR(VLOOKUP("S5-010",Planning!$T:$AE,12,0),"")</f>
        <v/>
      </c>
      <c r="D9" s="131" t="n"/>
      <c r="E9" s="132">
        <f>IFERROR(VLOOKUP("S5-033",Planning!$T:$AE,12,0),"")</f>
        <v/>
      </c>
      <c r="F9" s="137" t="n"/>
      <c r="G9" s="130">
        <f>IFERROR(VLOOKUP("S5-058",Planning!$T:$AE,12,0),"")</f>
        <v/>
      </c>
      <c r="H9" s="137" t="n"/>
    </row>
    <row r="10" ht="21" customHeight="1">
      <c r="A10" s="138" t="inlineStr">
        <is>
          <t>CYCLE COLLÈGE   (8 classes)</t>
        </is>
      </c>
      <c r="B10" s="139" t="n"/>
      <c r="C10" s="139" t="n"/>
      <c r="D10" s="139" t="n"/>
      <c r="E10" s="139" t="n"/>
      <c r="F10" s="139" t="n"/>
      <c r="G10" s="139" t="n"/>
      <c r="H10" s="139" t="n"/>
    </row>
    <row r="11" ht="63" customHeight="1">
      <c r="A11" s="140" t="inlineStr">
        <is>
          <t>7éme (A)</t>
        </is>
      </c>
      <c r="B11" s="131" t="n"/>
      <c r="C11" s="135">
        <f>IFERROR(VLOOKUP("S5-011",Planning!$T:$AE,12,0),"")</f>
        <v/>
      </c>
      <c r="D11" s="141">
        <f>IFERROR(VLOOKUP("S5-021",Planning!$T:$AE,12,0),"")</f>
        <v/>
      </c>
      <c r="E11" s="131" t="n"/>
      <c r="F11" s="132">
        <f>IFERROR(VLOOKUP("S5-046",Planning!$T:$AE,12,0),"")</f>
        <v/>
      </c>
      <c r="G11" s="142">
        <f>IFERROR(VLOOKUP("S5-059",Planning!$T:$AE,12,0),"")</f>
        <v/>
      </c>
      <c r="H11" s="134">
        <f>IFERROR(VLOOKUP("S5-072",Planning!$T:$AE,12,0),"")</f>
        <v/>
      </c>
    </row>
    <row r="12" ht="63" customHeight="1">
      <c r="A12" s="143" t="n"/>
      <c r="B12" s="131" t="n"/>
      <c r="C12" s="131" t="n"/>
      <c r="D12" s="144" t="n"/>
      <c r="E12" s="131" t="n"/>
      <c r="F12" s="131" t="n"/>
      <c r="G12" s="130">
        <f>IFERROR(VLOOKUP("S5-060",Planning!$T:$AE,12,0),"")</f>
        <v/>
      </c>
      <c r="H12" s="136" t="n"/>
    </row>
    <row r="13" ht="63" customHeight="1">
      <c r="A13" s="140" t="inlineStr">
        <is>
          <t>7éme (B)</t>
        </is>
      </c>
      <c r="B13" s="130">
        <f>IFERROR(VLOOKUP("S5-003",Planning!$T:$AE,12,0),"")</f>
        <v/>
      </c>
      <c r="C13" s="131" t="n"/>
      <c r="D13" s="137" t="n"/>
      <c r="E13" s="131" t="n"/>
      <c r="F13" s="132">
        <f>IFERROR(VLOOKUP("S5-047",Planning!$T:$AE,12,0),"")</f>
        <v/>
      </c>
      <c r="G13" s="136" t="n"/>
      <c r="H13" s="134">
        <f>IFERROR(VLOOKUP("S5-073",Planning!$T:$AE,12,0),"")</f>
        <v/>
      </c>
    </row>
    <row r="14" ht="99" customHeight="1">
      <c r="A14" s="140" t="inlineStr">
        <is>
          <t>8éme (A)</t>
        </is>
      </c>
      <c r="B14" s="131" t="n"/>
      <c r="C14" s="131" t="n"/>
      <c r="D14" s="130">
        <f>IFERROR(VLOOKUP("S5-022",Planning!$T:$AE,12,0),"")</f>
        <v/>
      </c>
      <c r="E14" s="134">
        <f>IFERROR(VLOOKUP("S5-034",Planning!$T:$AE,12,0),"")</f>
        <v/>
      </c>
      <c r="F14" s="141">
        <f>IFERROR(VLOOKUP("S5-048",Planning!$T:$AE,12,0),"")</f>
        <v/>
      </c>
      <c r="G14" s="142">
        <f>IFERROR(VLOOKUP("S5-061",Planning!$T:$AE,12,0),"")</f>
        <v/>
      </c>
      <c r="H14" s="132">
        <f>IFERROR(VLOOKUP("S5-074",Planning!$T:$AE,12,0),"")</f>
        <v/>
      </c>
    </row>
    <row r="15" ht="63" customHeight="1">
      <c r="A15" s="140" t="inlineStr">
        <is>
          <t>8éme (B)</t>
        </is>
      </c>
      <c r="B15" s="131" t="n"/>
      <c r="C15" s="130">
        <f>IFERROR(VLOOKUP("S5-012",Planning!$T:$AE,12,0),"")</f>
        <v/>
      </c>
      <c r="D15" s="132">
        <f>IFERROR(VLOOKUP("S5-023",Planning!$T:$AE,12,0),"")</f>
        <v/>
      </c>
      <c r="E15" s="131" t="n"/>
      <c r="F15" s="144" t="n"/>
      <c r="G15" s="135">
        <f>IFERROR(VLOOKUP("S5-062",Planning!$T:$AE,12,0),"")</f>
        <v/>
      </c>
      <c r="H15" s="134">
        <f>IFERROR(VLOOKUP("S5-075",Planning!$T:$AE,12,0),"")</f>
        <v/>
      </c>
    </row>
    <row r="16" ht="99" customHeight="1">
      <c r="A16" s="140" t="inlineStr">
        <is>
          <t>8éme (C)</t>
        </is>
      </c>
      <c r="B16" s="131" t="n"/>
      <c r="C16" s="137" t="n"/>
      <c r="D16" s="134">
        <f>IFERROR(VLOOKUP("S5-024",Planning!$T:$AE,12,0),"")</f>
        <v/>
      </c>
      <c r="E16" s="132">
        <f>IFERROR(VLOOKUP("S5-035",Planning!$T:$AE,12,0),"")</f>
        <v/>
      </c>
      <c r="F16" s="137" t="n"/>
      <c r="G16" s="137" t="n"/>
      <c r="H16" s="136" t="n"/>
    </row>
    <row r="17" ht="99" customHeight="1">
      <c r="A17" s="140" t="inlineStr">
        <is>
          <t>9éme (A)</t>
        </is>
      </c>
      <c r="B17" s="141">
        <f>IFERROR(VLOOKUP("S5-004",Planning!$T:$AE,12,0),"")</f>
        <v/>
      </c>
      <c r="C17" s="132">
        <f>IFERROR(VLOOKUP("S5-013",Planning!$T:$AE,12,0),"")</f>
        <v/>
      </c>
      <c r="D17" s="131" t="n"/>
      <c r="E17" s="142">
        <f>IFERROR(VLOOKUP("S5-036",Planning!$T:$AE,12,0),"")</f>
        <v/>
      </c>
      <c r="F17" s="131" t="n"/>
      <c r="G17" s="130">
        <f>IFERROR(VLOOKUP("S5-063",Planning!$T:$AE,12,0),"")</f>
        <v/>
      </c>
      <c r="H17" s="135">
        <f>IFERROR(VLOOKUP("S5-076",Planning!$T:$AE,12,0),"")</f>
        <v/>
      </c>
    </row>
    <row r="18" ht="63" customHeight="1">
      <c r="A18" s="143" t="n"/>
      <c r="B18" s="144" t="n"/>
      <c r="C18" s="131" t="n"/>
      <c r="D18" s="131" t="n"/>
      <c r="E18" s="131" t="n"/>
      <c r="F18" s="131" t="n"/>
      <c r="G18" s="136" t="n"/>
      <c r="H18" s="134">
        <f>IFERROR(VLOOKUP("S5-077",Planning!$T:$AE,12,0),"")</f>
        <v/>
      </c>
    </row>
    <row r="19" ht="63" customHeight="1">
      <c r="A19" s="140" t="inlineStr">
        <is>
          <t>9éme (B)</t>
        </is>
      </c>
      <c r="B19" s="144" t="n"/>
      <c r="C19" s="142">
        <f>IFERROR(VLOOKUP("S5-014",Planning!$T:$AE,12,0),"")</f>
        <v/>
      </c>
      <c r="D19" s="130">
        <f>IFERROR(VLOOKUP("S5-025",Planning!$T:$AE,12,0),"")</f>
        <v/>
      </c>
      <c r="E19" s="131" t="n"/>
      <c r="F19" s="131" t="n"/>
      <c r="G19" s="132">
        <f>IFERROR(VLOOKUP("S5-064",Planning!$T:$AE,12,0),"")</f>
        <v/>
      </c>
      <c r="H19" s="135">
        <f>IFERROR(VLOOKUP("S5-078",Planning!$T:$AE,12,0),"")</f>
        <v/>
      </c>
    </row>
    <row r="20" ht="63" customHeight="1">
      <c r="A20" s="143" t="n"/>
      <c r="B20" s="144" t="n"/>
      <c r="C20" s="131" t="n"/>
      <c r="D20" s="131" t="n"/>
      <c r="E20" s="131" t="n"/>
      <c r="F20" s="131" t="n"/>
      <c r="G20" s="136" t="n"/>
      <c r="H20" s="134">
        <f>IFERROR(VLOOKUP("S5-079",Planning!$T:$AE,12,0),"")</f>
        <v/>
      </c>
    </row>
    <row r="21" ht="99" customHeight="1">
      <c r="A21" s="140" t="inlineStr">
        <is>
          <t>9éme (C)</t>
        </is>
      </c>
      <c r="B21" s="137" t="n"/>
      <c r="C21" s="131" t="n"/>
      <c r="D21" s="142">
        <f>IFERROR(VLOOKUP("S5-026",Planning!$T:$AE,12,0),"")</f>
        <v/>
      </c>
      <c r="E21" s="135">
        <f>IFERROR(VLOOKUP("S5-037",Planning!$T:$AE,12,0),"")</f>
        <v/>
      </c>
      <c r="F21" s="130">
        <f>IFERROR(VLOOKUP("S5-049",Planning!$T:$AE,12,0),"")</f>
        <v/>
      </c>
      <c r="G21" s="132">
        <f>IFERROR(VLOOKUP("S5-065",Planning!$T:$AE,12,0),"")</f>
        <v/>
      </c>
      <c r="H21" s="137" t="n"/>
    </row>
    <row r="22" ht="21" customHeight="1">
      <c r="A22" s="145" t="inlineStr">
        <is>
          <t>CYCLE SECONDAIRE   (8 classes)</t>
        </is>
      </c>
      <c r="B22" s="146" t="n"/>
      <c r="C22" s="146" t="n"/>
      <c r="D22" s="146" t="n"/>
      <c r="E22" s="146" t="n"/>
      <c r="F22" s="146" t="n"/>
      <c r="G22" s="146" t="n"/>
      <c r="H22" s="146" t="n"/>
    </row>
    <row r="23" ht="99" customHeight="1">
      <c r="A23" s="147" t="inlineStr">
        <is>
          <t>1ére (A)</t>
        </is>
      </c>
      <c r="B23" s="132">
        <f>IFERROR(VLOOKUP("S5-005",Planning!$T:$AE,12,0),"")</f>
        <v/>
      </c>
      <c r="C23" s="134">
        <f>IFERROR(VLOOKUP("S5-015",Planning!$T:$AE,12,0),"")</f>
        <v/>
      </c>
      <c r="D23" s="131" t="n"/>
      <c r="E23" s="135">
        <f>IFERROR(VLOOKUP("S5-038",Planning!$T:$AE,12,0),"")</f>
        <v/>
      </c>
      <c r="F23" s="130">
        <f>IFERROR(VLOOKUP("S5-050",Planning!$T:$AE,12,0),"")</f>
        <v/>
      </c>
      <c r="G23" s="136" t="n"/>
      <c r="H23" s="141">
        <f>IFERROR(VLOOKUP("S5-080",Planning!$T:$AE,12,0),"")</f>
        <v/>
      </c>
    </row>
    <row r="24" ht="63" customHeight="1">
      <c r="A24" s="143" t="n"/>
      <c r="B24" s="131" t="n"/>
      <c r="C24" s="131" t="n"/>
      <c r="D24" s="131" t="n"/>
      <c r="E24" s="131" t="n"/>
      <c r="F24" s="131" t="n"/>
      <c r="G24" s="136" t="n"/>
      <c r="H24" s="142">
        <f>IFERROR(VLOOKUP("S5-101",Planning!$T:$AE,12,0),"")</f>
        <v/>
      </c>
    </row>
    <row r="25" ht="63" customHeight="1">
      <c r="A25" s="147" t="inlineStr">
        <is>
          <t>1ére (B)</t>
        </is>
      </c>
      <c r="B25" s="131" t="n"/>
      <c r="C25" s="132">
        <f>IFERROR(VLOOKUP("S5-016",Planning!$T:$AE,12,0),"")</f>
        <v/>
      </c>
      <c r="D25" s="134">
        <f>IFERROR(VLOOKUP("S5-027",Planning!$T:$AE,12,0),"")</f>
        <v/>
      </c>
      <c r="E25" s="131" t="n"/>
      <c r="F25" s="130">
        <f>IFERROR(VLOOKUP("S5-051",Planning!$T:$AE,12,0),"")</f>
        <v/>
      </c>
      <c r="G25" s="136" t="n"/>
      <c r="H25" s="141">
        <f>IFERROR(VLOOKUP("S5-081",Planning!$T:$AE,12,0),"")</f>
        <v/>
      </c>
    </row>
    <row r="26" ht="99" customHeight="1">
      <c r="A26" s="147" t="inlineStr">
        <is>
          <t>2éme Eco</t>
        </is>
      </c>
      <c r="B26" s="131" t="n"/>
      <c r="C26" s="135">
        <f>IFERROR(VLOOKUP("S5-095",Planning!$T:$AE,12,0),"")</f>
        <v/>
      </c>
      <c r="D26" s="132">
        <f>IFERROR(VLOOKUP("S5-028",Planning!$T:$AE,12,0),"")</f>
        <v/>
      </c>
      <c r="E26" s="148">
        <f>IFERROR(VLOOKUP("S5-039",Planning!$T:$AE,12,0),"")</f>
        <v/>
      </c>
      <c r="F26" s="134">
        <f>IFERROR(VLOOKUP("S5-052",Planning!$T:$AE,12,0),"")</f>
        <v/>
      </c>
      <c r="G26" s="149">
        <f>IFERROR(VLOOKUP("S5-097",Planning!$T:$AE,12,0),"")</f>
        <v/>
      </c>
      <c r="H26" s="150">
        <f>IFERROR(VLOOKUP("S5-082",Planning!$T:$AE,12,0),"")</f>
        <v/>
      </c>
    </row>
    <row r="27" ht="99" customHeight="1">
      <c r="A27" s="147" t="inlineStr">
        <is>
          <t>2éme SCE</t>
        </is>
      </c>
      <c r="B27" s="131" t="n"/>
      <c r="C27" s="144" t="n"/>
      <c r="D27" s="131" t="n"/>
      <c r="E27" s="132">
        <f>IFERROR(VLOOKUP("S5-040",Planning!$T:$AE,12,0),"")</f>
        <v/>
      </c>
      <c r="F27" s="144" t="n"/>
      <c r="G27" s="142">
        <f>IFERROR(VLOOKUP("S5-066",Planning!$T:$AE,12,0),"")</f>
        <v/>
      </c>
      <c r="H27" s="141">
        <f>IFERROR(VLOOKUP("S5-083",Planning!$T:$AE,12,0),"")</f>
        <v/>
      </c>
    </row>
    <row r="28" ht="99" customHeight="1">
      <c r="A28" s="147" t="inlineStr">
        <is>
          <t>2éme INFO</t>
        </is>
      </c>
      <c r="B28" s="131" t="n"/>
      <c r="C28" s="144" t="n"/>
      <c r="D28" s="131" t="n"/>
      <c r="E28" s="141">
        <f>IFERROR(VLOOKUP("S5-041",Planning!$T:$AE,12,0),"")</f>
        <v/>
      </c>
      <c r="F28" s="137" t="n"/>
      <c r="G28" s="151">
        <f>IFERROR(VLOOKUP("S5-094",Planning!$T:$AE,12,0),"")</f>
        <v/>
      </c>
      <c r="H28" s="136" t="n"/>
    </row>
    <row r="29" ht="63" customHeight="1">
      <c r="A29" s="143" t="n"/>
      <c r="B29" s="131" t="n"/>
      <c r="C29" s="137" t="n"/>
      <c r="D29" s="131" t="n"/>
      <c r="E29" s="131" t="n"/>
      <c r="F29" s="132">
        <f>IFERROR(VLOOKUP("S5-053",Planning!$T:$AE,12,0),"")</f>
        <v/>
      </c>
      <c r="G29" s="136" t="n"/>
      <c r="H29" s="136" t="n"/>
    </row>
    <row r="30" ht="63" customHeight="1">
      <c r="A30" s="147" t="inlineStr">
        <is>
          <t>3éme Eco</t>
        </is>
      </c>
      <c r="B30" s="131" t="n"/>
      <c r="C30" s="131" t="n"/>
      <c r="D30" s="148">
        <f>IFERROR(VLOOKUP("S5-029",Planning!$T:$AE,12,0),"")</f>
        <v/>
      </c>
      <c r="E30" s="130">
        <f>IFERROR(VLOOKUP("S5-042",Planning!$T:$AE,12,0),"")</f>
        <v/>
      </c>
      <c r="F30" s="134">
        <f>IFERROR(VLOOKUP("S5-096",Planning!$T:$AE,12,0),"")</f>
        <v/>
      </c>
      <c r="G30" s="149">
        <f>IFERROR(VLOOKUP("S5-098",Planning!$T:$AE,12,0),"")</f>
        <v/>
      </c>
      <c r="H30" s="150">
        <f>IFERROR(VLOOKUP("S5-084",Planning!$T:$AE,12,0),"")</f>
        <v/>
      </c>
    </row>
    <row r="31" ht="63" customHeight="1">
      <c r="A31" s="143" t="n"/>
      <c r="B31" s="131" t="n"/>
      <c r="C31" s="131" t="n"/>
      <c r="D31" s="131" t="n"/>
      <c r="E31" s="144" t="n"/>
      <c r="F31" s="144" t="n"/>
      <c r="G31" s="136" t="n"/>
      <c r="H31" s="132">
        <f>IFERROR(VLOOKUP("S5-085",Planning!$T:$AE,12,0),"")</f>
        <v/>
      </c>
    </row>
    <row r="32" ht="63" customHeight="1">
      <c r="A32" s="147" t="inlineStr">
        <is>
          <t>3éme INFO</t>
        </is>
      </c>
      <c r="B32" s="159">
        <f>IFERROR(VLOOKUP("S5-092",Planning!$T:$AE,12,0),"")</f>
        <v/>
      </c>
      <c r="C32" s="131" t="n"/>
      <c r="D32" s="141">
        <f>IFERROR(VLOOKUP("S5-030",Planning!$T:$AE,12,0),"")</f>
        <v/>
      </c>
      <c r="E32" s="144" t="n"/>
      <c r="F32" s="144" t="n"/>
      <c r="G32" s="152">
        <f>IFERROR(VLOOKUP("S5-067",Planning!$T:$AE,12,0),"")</f>
        <v/>
      </c>
      <c r="H32" s="132">
        <f>IFERROR(VLOOKUP("S5-086",Planning!$T:$AE,12,0),"")</f>
        <v/>
      </c>
    </row>
    <row r="33" ht="63" customHeight="1">
      <c r="A33" s="147" t="inlineStr">
        <is>
          <t>3éme SCE</t>
        </is>
      </c>
      <c r="B33" s="132">
        <f>IFERROR(VLOOKUP("S5-093",Planning!$T:$AE,12,0),"")</f>
        <v/>
      </c>
      <c r="C33" s="131" t="n"/>
      <c r="D33" s="131" t="n"/>
      <c r="E33" s="137" t="n"/>
      <c r="F33" s="137" t="n"/>
      <c r="G33" s="142">
        <f>IFERROR(VLOOKUP("S5-068",Planning!$T:$AE,12,0),"")</f>
        <v/>
      </c>
      <c r="H33" s="141">
        <f>IFERROR(VLOOKUP("S5-087",Planning!$T:$AE,12,0),"")</f>
        <v/>
      </c>
    </row>
    <row r="34" ht="21" customHeight="1">
      <c r="A34" s="153" t="inlineStr">
        <is>
          <t>CYCLE BAC   (3 classes)</t>
        </is>
      </c>
      <c r="B34" s="154" t="n"/>
      <c r="C34" s="154" t="n"/>
      <c r="D34" s="154" t="n"/>
      <c r="E34" s="154" t="n"/>
      <c r="F34" s="154" t="n"/>
      <c r="G34" s="154" t="n"/>
      <c r="H34" s="154" t="n"/>
    </row>
    <row r="35" ht="63" customHeight="1">
      <c r="A35" s="155" t="inlineStr">
        <is>
          <t>Bac Eco</t>
        </is>
      </c>
      <c r="B35" s="148">
        <f>IFERROR(VLOOKUP("S5-006",Planning!$T:$AE,12,0),"")</f>
        <v/>
      </c>
      <c r="C35" s="156">
        <f>IFERROR(VLOOKUP("S5-017",Planning!$T:$AE,12,0),"")</f>
        <v/>
      </c>
      <c r="D35" s="131" t="n"/>
      <c r="E35" s="157">
        <f>IFERROR(VLOOKUP("S5-043",Planning!$T:$AE,12,0),"")</f>
        <v/>
      </c>
      <c r="F35" s="135">
        <f>IFERROR(VLOOKUP("S5-054",Planning!$T:$AE,12,0),"")</f>
        <v/>
      </c>
      <c r="G35" s="149">
        <f>IFERROR(VLOOKUP("S5-099",Planning!$T:$AE,12,0),"")</f>
        <v/>
      </c>
      <c r="H35" s="132">
        <f>IFERROR(VLOOKUP("S5-089",Planning!$T:$AE,12,0),"")</f>
        <v/>
      </c>
    </row>
    <row r="36" ht="63" customHeight="1">
      <c r="A36" s="143" t="n"/>
      <c r="B36" s="131" t="n"/>
      <c r="C36" s="144" t="n"/>
      <c r="D36" s="131" t="n"/>
      <c r="E36" s="144" t="n"/>
      <c r="F36" s="144" t="n"/>
      <c r="G36" s="136" t="n"/>
      <c r="H36" s="150">
        <f>IFERROR(VLOOKUP("S5-088",Planning!$T:$AE,12,0),"")</f>
        <v/>
      </c>
    </row>
    <row r="37" ht="63" customHeight="1">
      <c r="A37" s="155" t="inlineStr">
        <is>
          <t>Bac SCE</t>
        </is>
      </c>
      <c r="B37" s="141">
        <f>IFERROR(VLOOKUP("S5-007",Planning!$T:$AE,12,0),"")</f>
        <v/>
      </c>
      <c r="C37" s="137" t="n"/>
      <c r="D37" s="132">
        <f>IFERROR(VLOOKUP("S5-031",Planning!$T:$AE,12,0),"")</f>
        <v/>
      </c>
      <c r="E37" s="144" t="n"/>
      <c r="F37" s="144" t="n"/>
      <c r="G37" s="142">
        <f>IFERROR(VLOOKUP("S5-069",Planning!$T:$AE,12,0),"")</f>
        <v/>
      </c>
      <c r="H37" s="136" t="n"/>
    </row>
    <row r="38" ht="63" customHeight="1">
      <c r="A38" s="143" t="n"/>
      <c r="B38" s="131" t="n"/>
      <c r="C38" s="158">
        <f>IFERROR(VLOOKUP("S5-018",Planning!$T:$AE,12,0),"")</f>
        <v/>
      </c>
      <c r="D38" s="131" t="n"/>
      <c r="E38" s="144" t="n"/>
      <c r="F38" s="144" t="n"/>
      <c r="G38" s="136" t="n"/>
      <c r="H38" s="136" t="n"/>
    </row>
    <row r="39" ht="63" customHeight="1">
      <c r="A39" s="155" t="inlineStr">
        <is>
          <t>Bac INFO</t>
        </is>
      </c>
      <c r="B39" s="141">
        <f>IFERROR(VLOOKUP("S5-008",Planning!$T:$AE,12,0),"")</f>
        <v/>
      </c>
      <c r="C39" s="137" t="n"/>
      <c r="D39" s="159">
        <f>IFERROR(VLOOKUP("S5-091",Planning!$T:$AE,12,0),"")</f>
        <v/>
      </c>
      <c r="E39" s="137" t="n"/>
      <c r="F39" s="137" t="n"/>
      <c r="G39" s="152">
        <f>IFERROR(VLOOKUP("S5-070",Planning!$T:$AE,12,0),"")</f>
        <v/>
      </c>
      <c r="H39" s="132">
        <f>IFERROR(VLOOKUP("S5-090",Planning!$T:$AE,12,0),"")</f>
        <v/>
      </c>
    </row>
  </sheetData>
  <mergeCells count="30">
    <mergeCell ref="F35:F39"/>
    <mergeCell ref="C26:C29"/>
    <mergeCell ref="F30:F33"/>
    <mergeCell ref="A1:H1"/>
    <mergeCell ref="F14:F16"/>
    <mergeCell ref="F8:F9"/>
    <mergeCell ref="A37:A38"/>
    <mergeCell ref="G15:G16"/>
    <mergeCell ref="E30:E33"/>
    <mergeCell ref="A17:A18"/>
    <mergeCell ref="A2:H2"/>
    <mergeCell ref="A23:A24"/>
    <mergeCell ref="A5:H5"/>
    <mergeCell ref="A19:A20"/>
    <mergeCell ref="C35:C37"/>
    <mergeCell ref="A22:H22"/>
    <mergeCell ref="A35:A36"/>
    <mergeCell ref="E35:E39"/>
    <mergeCell ref="F26:F28"/>
    <mergeCell ref="H8:H9"/>
    <mergeCell ref="B17:B21"/>
    <mergeCell ref="A28:A29"/>
    <mergeCell ref="C38:C39"/>
    <mergeCell ref="A10:H10"/>
    <mergeCell ref="D11:D13"/>
    <mergeCell ref="H20:H21"/>
    <mergeCell ref="C15:C16"/>
    <mergeCell ref="A11:A12"/>
    <mergeCell ref="A30:A31"/>
    <mergeCell ref="A34:H34"/>
  </mergeCells>
  <conditionalFormatting sqref="B5:H39">
    <cfRule type="expression" priority="1" dxfId="0" stopIfTrue="1">
      <formula>ISNUMBER(SEARCH("⚑ Annulé",B5))</formula>
    </cfRule>
    <cfRule type="expression" priority="2" dxfId="1" stopIfTrue="1">
      <formula>ISNUMBER(SEARCH("⚑ Examen / Devoir",B5))</formula>
    </cfRule>
    <cfRule type="expression" priority="3" dxfId="2" stopIfTrue="1">
      <formula>ISNUMBER(SEARCH("⚑ Rattrapage",B5))</formula>
    </cfRule>
    <cfRule type="expression" priority="4" dxfId="3" stopIfTrue="1">
      <formula>ISNUMBER(SEARCH("⚑ À confirmer",B5))</formula>
    </cfRule>
    <cfRule type="expression" priority="5" dxfId="4" stopIfTrue="1">
      <formula>ISNUMBER(SEARCH("⚑ Changement de salle",B5))</formula>
    </cfRule>
    <cfRule type="expression" priority="6" dxfId="5" stopIfTrue="1">
      <formula>ISNUMBER(SEARCH("⚑ Séance en ligne",B5))</formula>
    </cfRule>
  </conditionalFormatting>
  <printOptions horizontalCentered="1" gridLines="0"/>
  <pageMargins left="0.35" right="0.35" top="0.5" bottom="0.45" header="0.2" footer="0.2"/>
  <pageSetup orientation="landscape" paperSize="9" fitToHeight="0" fitToWidth="1"/>
  <headerFooter>
    <oddHeader>&amp;R&amp;"Arial,Italic"&amp;8 du 12 au 18 octobre 2026</oddHeader>
    <oddFooter>&amp;L&amp;8 RS 2026-2027 · S5 (semaine A)&amp;R&amp;8 Page &amp;P / &amp;N</oddFooter>
    <evenHeader/>
    <evenFooter/>
    <firstHeader/>
    <firstFooter/>
  </headerFooter>
  <rowBreaks count="3" manualBreakCount="3">
    <brk id="9" min="0" max="16383" man="1"/>
    <brk id="21" min="0" max="16383" man="1"/>
    <brk id="33" min="0" max="16383" man="1"/>
  </rowBreaks>
</worksheet>
</file>

<file path=xl/worksheets/sheet9.xml><?xml version="1.0" encoding="utf-8"?>
<worksheet xmlns="http://schemas.openxmlformats.org/spreadsheetml/2006/main">
  <sheetPr>
    <tabColor rgb="002F6F7E"/>
    <outlinePr summaryBelow="1" summaryRight="1"/>
    <pageSetUpPr fitToPage="1"/>
  </sheetPr>
  <dimension ref="A1:H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ht="34" customHeight="1">
      <c r="A1" s="51" t="inlineStr">
        <is>
          <t>S6 · DU 19 AU 25 OCTOBRE 2026   |   SEMAINE B</t>
        </is>
      </c>
      <c r="B1" s="2" t="n"/>
      <c r="C1" s="2" t="n"/>
      <c r="D1" s="2" t="n"/>
      <c r="E1" s="2" t="n"/>
      <c r="F1" s="2" t="n"/>
      <c r="G1" s="2" t="n"/>
      <c r="H1" s="2" t="n"/>
    </row>
    <row r="2" ht="26" customHeight="1">
      <c r="A2" s="52" t="inlineStr">
        <is>
          <t>Une case = une séance : horaire / matière / enseignant.   Chaque matière a sa couleur.   Une case fusionnée sur plusieurs classes = séance commune à ces groupes.   Q-A ou Q-B = une semaine sur deux.   OPT = cours au choix.   Les couleurs sont modifiables à la main ; seul un statut ⚑ les remplace.</t>
        </is>
      </c>
      <c r="B2" s="53" t="n"/>
      <c r="C2" s="53" t="n"/>
      <c r="D2" s="53" t="n"/>
      <c r="E2" s="53" t="n"/>
      <c r="F2" s="53" t="n"/>
      <c r="G2" s="53" t="n"/>
      <c r="H2" s="53" t="n"/>
    </row>
    <row r="3" ht="36" customHeight="1">
      <c r="A3" s="125" t="inlineStr">
        <is>
          <t>Classe / Groupe</t>
        </is>
      </c>
      <c r="B3" s="125" t="inlineStr">
        <is>
          <t>Lundi
19/10</t>
        </is>
      </c>
      <c r="C3" s="125" t="inlineStr">
        <is>
          <t>Mardi
20/10</t>
        </is>
      </c>
      <c r="D3" s="125" t="inlineStr">
        <is>
          <t>Mercredi
21/10</t>
        </is>
      </c>
      <c r="E3" s="125" t="inlineStr">
        <is>
          <t>Jeudi
22/10</t>
        </is>
      </c>
      <c r="F3" s="125" t="inlineStr">
        <is>
          <t>Vendredi
23/10</t>
        </is>
      </c>
      <c r="G3" s="126" t="inlineStr">
        <is>
          <t>Samedi
24/10</t>
        </is>
      </c>
      <c r="H3" s="126" t="inlineStr">
        <is>
          <t>Dimanche
25/10</t>
        </is>
      </c>
    </row>
    <row r="5" ht="21" customHeight="1">
      <c r="A5" s="127" t="inlineStr">
        <is>
          <t>CYCLE PRIMAIRE   (4 classes)</t>
        </is>
      </c>
      <c r="B5" s="128" t="n"/>
      <c r="C5" s="128" t="n"/>
      <c r="D5" s="128" t="n"/>
      <c r="E5" s="128" t="n"/>
      <c r="F5" s="128" t="n"/>
      <c r="G5" s="128" t="n"/>
      <c r="H5" s="128" t="n"/>
    </row>
    <row r="6" ht="63" customHeight="1">
      <c r="A6" s="129" t="inlineStr">
        <is>
          <t>4éme</t>
        </is>
      </c>
      <c r="B6" s="130">
        <f>IFERROR(VLOOKUP("S6-001",Planning!$T:$AE,12,0),"")</f>
        <v/>
      </c>
      <c r="C6" s="131" t="n"/>
      <c r="D6" s="132">
        <f>IFERROR(VLOOKUP("S6-019",Planning!$T:$AE,12,0),"")</f>
        <v/>
      </c>
      <c r="E6" s="131" t="n"/>
      <c r="F6" s="131" t="n"/>
      <c r="G6" s="134">
        <f>IFERROR(VLOOKUP("S6-055",Planning!$T:$AE,12,0),"")</f>
        <v/>
      </c>
      <c r="H6" s="136" t="n"/>
    </row>
    <row r="7" ht="63" customHeight="1">
      <c r="A7" s="129" t="inlineStr">
        <is>
          <t>5éme</t>
        </is>
      </c>
      <c r="B7" s="131" t="n"/>
      <c r="C7" s="130">
        <f>IFERROR(VLOOKUP("S6-009",Planning!$T:$AE,12,0),"")</f>
        <v/>
      </c>
      <c r="D7" s="131" t="n"/>
      <c r="E7" s="132">
        <f>IFERROR(VLOOKUP("S6-032",Planning!$T:$AE,12,0),"")</f>
        <v/>
      </c>
      <c r="F7" s="133">
        <f>IFERROR(VLOOKUP("S6-044",Planning!$T:$AE,12,0),"")</f>
        <v/>
      </c>
      <c r="G7" s="134">
        <f>IFERROR(VLOOKUP("S6-056",Planning!$T:$AE,12,0),"")</f>
        <v/>
      </c>
      <c r="H7" s="135">
        <f>IFERROR(VLOOKUP("S6-071",Planning!$T:$AE,12,0),"")</f>
        <v/>
      </c>
    </row>
    <row r="8" ht="63" customHeight="1">
      <c r="A8" s="129" t="inlineStr">
        <is>
          <t>6éme Pilote (A)</t>
        </is>
      </c>
      <c r="B8" s="134">
        <f>IFERROR(VLOOKUP("S6-002",Planning!$T:$AE,12,0),"")</f>
        <v/>
      </c>
      <c r="C8" s="131" t="n"/>
      <c r="D8" s="132">
        <f>IFERROR(VLOOKUP("S6-020",Planning!$T:$AE,12,0),"")</f>
        <v/>
      </c>
      <c r="E8" s="131" t="n"/>
      <c r="F8" s="133">
        <f>IFERROR(VLOOKUP("S6-045",Planning!$T:$AE,12,0),"")</f>
        <v/>
      </c>
      <c r="G8" s="130">
        <f>IFERROR(VLOOKUP("S6-057",Planning!$T:$AE,12,0),"")</f>
        <v/>
      </c>
      <c r="H8" s="136" t="n"/>
    </row>
    <row r="9" ht="63" customHeight="1">
      <c r="A9" s="129" t="inlineStr">
        <is>
          <t>6éme (B)</t>
        </is>
      </c>
      <c r="B9" s="131" t="n"/>
      <c r="C9" s="134">
        <f>IFERROR(VLOOKUP("S6-010",Planning!$T:$AE,12,0),"")</f>
        <v/>
      </c>
      <c r="D9" s="131" t="n"/>
      <c r="E9" s="132">
        <f>IFERROR(VLOOKUP("S6-033",Planning!$T:$AE,12,0),"")</f>
        <v/>
      </c>
      <c r="F9" s="137" t="n"/>
      <c r="G9" s="130">
        <f>IFERROR(VLOOKUP("S6-058",Planning!$T:$AE,12,0),"")</f>
        <v/>
      </c>
      <c r="H9" s="136" t="n"/>
    </row>
    <row r="10" ht="21" customHeight="1">
      <c r="A10" s="138" t="inlineStr">
        <is>
          <t>CYCLE COLLÈGE   (8 classes)</t>
        </is>
      </c>
      <c r="B10" s="139" t="n"/>
      <c r="C10" s="139" t="n"/>
      <c r="D10" s="139" t="n"/>
      <c r="E10" s="139" t="n"/>
      <c r="F10" s="139" t="n"/>
      <c r="G10" s="139" t="n"/>
      <c r="H10" s="139" t="n"/>
    </row>
    <row r="11" ht="63" customHeight="1">
      <c r="A11" s="140" t="inlineStr">
        <is>
          <t>7éme (A)</t>
        </is>
      </c>
      <c r="B11" s="131" t="n"/>
      <c r="C11" s="131" t="n"/>
      <c r="D11" s="141">
        <f>IFERROR(VLOOKUP("S6-021",Planning!$T:$AE,12,0),"")</f>
        <v/>
      </c>
      <c r="E11" s="131" t="n"/>
      <c r="F11" s="132">
        <f>IFERROR(VLOOKUP("S6-046",Planning!$T:$AE,12,0),"")</f>
        <v/>
      </c>
      <c r="G11" s="130">
        <f>IFERROR(VLOOKUP("S6-060",Planning!$T:$AE,12,0),"")</f>
        <v/>
      </c>
      <c r="H11" s="134">
        <f>IFERROR(VLOOKUP("S6-072",Planning!$T:$AE,12,0),"")</f>
        <v/>
      </c>
    </row>
    <row r="12" ht="63" customHeight="1">
      <c r="A12" s="140" t="inlineStr">
        <is>
          <t>7éme (B)</t>
        </is>
      </c>
      <c r="B12" s="130">
        <f>IFERROR(VLOOKUP("S6-003",Planning!$T:$AE,12,0),"")</f>
        <v/>
      </c>
      <c r="C12" s="135">
        <f>IFERROR(VLOOKUP("S6-011",Planning!$T:$AE,12,0),"")</f>
        <v/>
      </c>
      <c r="D12" s="137" t="n"/>
      <c r="E12" s="131" t="n"/>
      <c r="F12" s="132">
        <f>IFERROR(VLOOKUP("S6-047",Planning!$T:$AE,12,0),"")</f>
        <v/>
      </c>
      <c r="G12" s="142">
        <f>IFERROR(VLOOKUP("S6-059",Planning!$T:$AE,12,0),"")</f>
        <v/>
      </c>
      <c r="H12" s="134">
        <f>IFERROR(VLOOKUP("S6-073",Planning!$T:$AE,12,0),"")</f>
        <v/>
      </c>
    </row>
    <row r="13" ht="63" customHeight="1">
      <c r="A13" s="140" t="inlineStr">
        <is>
          <t>8éme (A)</t>
        </is>
      </c>
      <c r="B13" s="131" t="n"/>
      <c r="C13" s="131" t="n"/>
      <c r="D13" s="130">
        <f>IFERROR(VLOOKUP("S6-022",Planning!$T:$AE,12,0),"")</f>
        <v/>
      </c>
      <c r="E13" s="134">
        <f>IFERROR(VLOOKUP("S6-034",Planning!$T:$AE,12,0),"")</f>
        <v/>
      </c>
      <c r="F13" s="141">
        <f>IFERROR(VLOOKUP("S6-048",Planning!$T:$AE,12,0),"")</f>
        <v/>
      </c>
      <c r="G13" s="135">
        <f>IFERROR(VLOOKUP("S6-062",Planning!$T:$AE,12,0),"")</f>
        <v/>
      </c>
      <c r="H13" s="132">
        <f>IFERROR(VLOOKUP("S6-074",Planning!$T:$AE,12,0),"")</f>
        <v/>
      </c>
    </row>
    <row r="14" ht="63" customHeight="1">
      <c r="A14" s="140" t="inlineStr">
        <is>
          <t>8éme (B)</t>
        </is>
      </c>
      <c r="B14" s="131" t="n"/>
      <c r="C14" s="130">
        <f>IFERROR(VLOOKUP("S6-012",Planning!$T:$AE,12,0),"")</f>
        <v/>
      </c>
      <c r="D14" s="132">
        <f>IFERROR(VLOOKUP("S6-023",Planning!$T:$AE,12,0),"")</f>
        <v/>
      </c>
      <c r="E14" s="131" t="n"/>
      <c r="F14" s="144" t="n"/>
      <c r="G14" s="142">
        <f>IFERROR(VLOOKUP("S6-061",Planning!$T:$AE,12,0),"")</f>
        <v/>
      </c>
      <c r="H14" s="134">
        <f>IFERROR(VLOOKUP("S6-075",Planning!$T:$AE,12,0),"")</f>
        <v/>
      </c>
    </row>
    <row r="15" ht="63" customHeight="1">
      <c r="A15" s="140" t="inlineStr">
        <is>
          <t>8éme (C)</t>
        </is>
      </c>
      <c r="B15" s="131" t="n"/>
      <c r="C15" s="137" t="n"/>
      <c r="D15" s="134">
        <f>IFERROR(VLOOKUP("S6-024",Planning!$T:$AE,12,0),"")</f>
        <v/>
      </c>
      <c r="E15" s="132">
        <f>IFERROR(VLOOKUP("S6-035",Planning!$T:$AE,12,0),"")</f>
        <v/>
      </c>
      <c r="F15" s="137" t="n"/>
      <c r="G15" s="137" t="n"/>
      <c r="H15" s="136" t="n"/>
    </row>
    <row r="16" ht="63" customHeight="1">
      <c r="A16" s="140" t="inlineStr">
        <is>
          <t>9éme (A)</t>
        </is>
      </c>
      <c r="B16" s="141">
        <f>IFERROR(VLOOKUP("S6-004",Planning!$T:$AE,12,0),"")</f>
        <v/>
      </c>
      <c r="C16" s="132">
        <f>IFERROR(VLOOKUP("S6-013",Planning!$T:$AE,12,0),"")</f>
        <v/>
      </c>
      <c r="D16" s="131" t="n"/>
      <c r="E16" s="142">
        <f>IFERROR(VLOOKUP("S6-036",Planning!$T:$AE,12,0),"")</f>
        <v/>
      </c>
      <c r="F16" s="131" t="n"/>
      <c r="G16" s="130">
        <f>IFERROR(VLOOKUP("S6-063",Planning!$T:$AE,12,0),"")</f>
        <v/>
      </c>
      <c r="H16" s="135">
        <f>IFERROR(VLOOKUP("S6-076",Planning!$T:$AE,12,0),"")</f>
        <v/>
      </c>
    </row>
    <row r="17" ht="63" customHeight="1">
      <c r="A17" s="143" t="n"/>
      <c r="B17" s="144" t="n"/>
      <c r="C17" s="131" t="n"/>
      <c r="D17" s="131" t="n"/>
      <c r="E17" s="131" t="n"/>
      <c r="F17" s="131" t="n"/>
      <c r="G17" s="136" t="n"/>
      <c r="H17" s="134">
        <f>IFERROR(VLOOKUP("S6-077",Planning!$T:$AE,12,0),"")</f>
        <v/>
      </c>
    </row>
    <row r="18" ht="63" customHeight="1">
      <c r="A18" s="140" t="inlineStr">
        <is>
          <t>9éme (B)</t>
        </is>
      </c>
      <c r="B18" s="144" t="n"/>
      <c r="C18" s="142">
        <f>IFERROR(VLOOKUP("S6-014",Planning!$T:$AE,12,0),"")</f>
        <v/>
      </c>
      <c r="D18" s="130">
        <f>IFERROR(VLOOKUP("S6-025",Planning!$T:$AE,12,0),"")</f>
        <v/>
      </c>
      <c r="E18" s="131" t="n"/>
      <c r="F18" s="131" t="n"/>
      <c r="G18" s="132">
        <f>IFERROR(VLOOKUP("S6-064",Planning!$T:$AE,12,0),"")</f>
        <v/>
      </c>
      <c r="H18" s="135">
        <f>IFERROR(VLOOKUP("S6-078",Planning!$T:$AE,12,0),"")</f>
        <v/>
      </c>
    </row>
    <row r="19" ht="63" customHeight="1">
      <c r="A19" s="143" t="n"/>
      <c r="B19" s="144" t="n"/>
      <c r="C19" s="131" t="n"/>
      <c r="D19" s="131" t="n"/>
      <c r="E19" s="131" t="n"/>
      <c r="F19" s="131" t="n"/>
      <c r="G19" s="136" t="n"/>
      <c r="H19" s="134">
        <f>IFERROR(VLOOKUP("S6-079",Planning!$T:$AE,12,0),"")</f>
        <v/>
      </c>
    </row>
    <row r="20" ht="63" customHeight="1">
      <c r="A20" s="140" t="inlineStr">
        <is>
          <t>9éme (C)</t>
        </is>
      </c>
      <c r="B20" s="137" t="n"/>
      <c r="C20" s="131" t="n"/>
      <c r="D20" s="142">
        <f>IFERROR(VLOOKUP("S6-026",Planning!$T:$AE,12,0),"")</f>
        <v/>
      </c>
      <c r="E20" s="135">
        <f>IFERROR(VLOOKUP("S6-037",Planning!$T:$AE,12,0),"")</f>
        <v/>
      </c>
      <c r="F20" s="130">
        <f>IFERROR(VLOOKUP("S6-049",Planning!$T:$AE,12,0),"")</f>
        <v/>
      </c>
      <c r="G20" s="132">
        <f>IFERROR(VLOOKUP("S6-065",Planning!$T:$AE,12,0),"")</f>
        <v/>
      </c>
      <c r="H20" s="137" t="n"/>
    </row>
    <row r="21" ht="21" customHeight="1">
      <c r="A21" s="145" t="inlineStr">
        <is>
          <t>CYCLE SECONDAIRE   (8 classes)</t>
        </is>
      </c>
      <c r="B21" s="146" t="n"/>
      <c r="C21" s="146" t="n"/>
      <c r="D21" s="146" t="n"/>
      <c r="E21" s="146" t="n"/>
      <c r="F21" s="146" t="n"/>
      <c r="G21" s="146" t="n"/>
      <c r="H21" s="146" t="n"/>
    </row>
    <row r="22" ht="63" customHeight="1">
      <c r="A22" s="147" t="inlineStr">
        <is>
          <t>1ére (A)</t>
        </is>
      </c>
      <c r="B22" s="132">
        <f>IFERROR(VLOOKUP("S6-005",Planning!$T:$AE,12,0),"")</f>
        <v/>
      </c>
      <c r="C22" s="134">
        <f>IFERROR(VLOOKUP("S6-015",Planning!$T:$AE,12,0),"")</f>
        <v/>
      </c>
      <c r="D22" s="131" t="n"/>
      <c r="E22" s="131" t="n"/>
      <c r="F22" s="130">
        <f>IFERROR(VLOOKUP("S6-050",Planning!$T:$AE,12,0),"")</f>
        <v/>
      </c>
      <c r="G22" s="136" t="n"/>
      <c r="H22" s="141">
        <f>IFERROR(VLOOKUP("S6-080",Planning!$T:$AE,12,0),"")</f>
        <v/>
      </c>
    </row>
    <row r="23" ht="63" customHeight="1">
      <c r="A23" s="147" t="inlineStr">
        <is>
          <t>1ére (B)</t>
        </is>
      </c>
      <c r="B23" s="131" t="n"/>
      <c r="C23" s="132">
        <f>IFERROR(VLOOKUP("S6-016",Planning!$T:$AE,12,0),"")</f>
        <v/>
      </c>
      <c r="D23" s="134">
        <f>IFERROR(VLOOKUP("S6-027",Planning!$T:$AE,12,0),"")</f>
        <v/>
      </c>
      <c r="E23" s="135">
        <f>IFERROR(VLOOKUP("S6-038",Planning!$T:$AE,12,0),"")</f>
        <v/>
      </c>
      <c r="F23" s="130">
        <f>IFERROR(VLOOKUP("S6-051",Planning!$T:$AE,12,0),"")</f>
        <v/>
      </c>
      <c r="G23" s="136" t="n"/>
      <c r="H23" s="141">
        <f>IFERROR(VLOOKUP("S6-081",Planning!$T:$AE,12,0),"")</f>
        <v/>
      </c>
    </row>
    <row r="24" ht="63" customHeight="1">
      <c r="A24" s="143" t="n"/>
      <c r="B24" s="131" t="n"/>
      <c r="C24" s="131" t="n"/>
      <c r="D24" s="131" t="n"/>
      <c r="E24" s="131" t="n"/>
      <c r="F24" s="131" t="n"/>
      <c r="G24" s="136" t="n"/>
      <c r="H24" s="142">
        <f>IFERROR(VLOOKUP("S6-099",Planning!$T:$AE,12,0),"")</f>
        <v/>
      </c>
    </row>
    <row r="25" ht="63" customHeight="1">
      <c r="A25" s="147" t="inlineStr">
        <is>
          <t>2éme Eco</t>
        </is>
      </c>
      <c r="B25" s="131" t="n"/>
      <c r="C25" s="130">
        <f>IFERROR(VLOOKUP("S6-095",Planning!$T:$AE,12,0),"")</f>
        <v/>
      </c>
      <c r="D25" s="132">
        <f>IFERROR(VLOOKUP("S6-028",Planning!$T:$AE,12,0),"")</f>
        <v/>
      </c>
      <c r="E25" s="148">
        <f>IFERROR(VLOOKUP("S6-039",Planning!$T:$AE,12,0),"")</f>
        <v/>
      </c>
      <c r="F25" s="131" t="n"/>
      <c r="G25" s="160">
        <f>IFERROR(VLOOKUP("S6-096",Planning!$T:$AE,12,0),"")</f>
        <v/>
      </c>
      <c r="H25" s="150">
        <f>IFERROR(VLOOKUP("S6-082",Planning!$T:$AE,12,0),"")</f>
        <v/>
      </c>
    </row>
    <row r="26" ht="63" customHeight="1">
      <c r="A26" s="147" t="inlineStr">
        <is>
          <t>2éme SCE</t>
        </is>
      </c>
      <c r="B26" s="131" t="n"/>
      <c r="C26" s="144" t="n"/>
      <c r="D26" s="131" t="n"/>
      <c r="E26" s="132">
        <f>IFERROR(VLOOKUP("S6-040",Planning!$T:$AE,12,0),"")</f>
        <v/>
      </c>
      <c r="F26" s="131" t="n"/>
      <c r="G26" s="142">
        <f>IFERROR(VLOOKUP("S6-066",Planning!$T:$AE,12,0),"")</f>
        <v/>
      </c>
      <c r="H26" s="141">
        <f>IFERROR(VLOOKUP("S6-083",Planning!$T:$AE,12,0),"")</f>
        <v/>
      </c>
    </row>
    <row r="27" ht="63" customHeight="1">
      <c r="A27" s="147" t="inlineStr">
        <is>
          <t>2éme INFO</t>
        </is>
      </c>
      <c r="B27" s="131" t="n"/>
      <c r="C27" s="137" t="n"/>
      <c r="D27" s="131" t="n"/>
      <c r="E27" s="141">
        <f>IFERROR(VLOOKUP("S6-041",Planning!$T:$AE,12,0),"")</f>
        <v/>
      </c>
      <c r="F27" s="132">
        <f>IFERROR(VLOOKUP("S6-053",Planning!$T:$AE,12,0),"")</f>
        <v/>
      </c>
      <c r="G27" s="151">
        <f>IFERROR(VLOOKUP("S6-094",Planning!$T:$AE,12,0),"")</f>
        <v/>
      </c>
      <c r="H27" s="136" t="n"/>
    </row>
    <row r="28" ht="63" customHeight="1">
      <c r="A28" s="147" t="inlineStr">
        <is>
          <t>3éme Eco</t>
        </is>
      </c>
      <c r="B28" s="131" t="n"/>
      <c r="C28" s="156">
        <f>IFERROR(VLOOKUP("S6-017",Planning!$T:$AE,12,0),"")</f>
        <v/>
      </c>
      <c r="D28" s="148">
        <f>IFERROR(VLOOKUP("S6-029",Planning!$T:$AE,12,0),"")</f>
        <v/>
      </c>
      <c r="E28" s="157">
        <f>IFERROR(VLOOKUP("S6-043",Planning!$T:$AE,12,0),"")</f>
        <v/>
      </c>
      <c r="F28" s="135">
        <f>IFERROR(VLOOKUP("S6-054",Planning!$T:$AE,12,0),"")</f>
        <v/>
      </c>
      <c r="G28" s="160">
        <f>IFERROR(VLOOKUP("S6-097",Planning!$T:$AE,12,0),"")</f>
        <v/>
      </c>
      <c r="H28" s="150">
        <f>IFERROR(VLOOKUP("S6-084",Planning!$T:$AE,12,0),"")</f>
        <v/>
      </c>
    </row>
    <row r="29" ht="63" customHeight="1">
      <c r="A29" s="143" t="n"/>
      <c r="B29" s="131" t="n"/>
      <c r="C29" s="144" t="n"/>
      <c r="D29" s="131" t="n"/>
      <c r="E29" s="144" t="n"/>
      <c r="F29" s="144" t="n"/>
      <c r="G29" s="136" t="n"/>
      <c r="H29" s="132">
        <f>IFERROR(VLOOKUP("S6-085",Planning!$T:$AE,12,0),"")</f>
        <v/>
      </c>
    </row>
    <row r="30" ht="63" customHeight="1">
      <c r="A30" s="147" t="inlineStr">
        <is>
          <t>3éme INFO</t>
        </is>
      </c>
      <c r="B30" s="159">
        <f>IFERROR(VLOOKUP("S6-092",Planning!$T:$AE,12,0),"")</f>
        <v/>
      </c>
      <c r="C30" s="137" t="n"/>
      <c r="D30" s="141">
        <f>IFERROR(VLOOKUP("S6-030",Planning!$T:$AE,12,0),"")</f>
        <v/>
      </c>
      <c r="E30" s="144" t="n"/>
      <c r="F30" s="144" t="n"/>
      <c r="G30" s="152">
        <f>IFERROR(VLOOKUP("S6-067",Planning!$T:$AE,12,0),"")</f>
        <v/>
      </c>
      <c r="H30" s="132">
        <f>IFERROR(VLOOKUP("S6-086",Planning!$T:$AE,12,0),"")</f>
        <v/>
      </c>
    </row>
    <row r="31" ht="63" customHeight="1">
      <c r="A31" s="143" t="n"/>
      <c r="B31" s="131" t="n"/>
      <c r="C31" s="158">
        <f>IFERROR(VLOOKUP("S6-018",Planning!$T:$AE,12,0),"")</f>
        <v/>
      </c>
      <c r="D31" s="131" t="n"/>
      <c r="E31" s="144" t="n"/>
      <c r="F31" s="144" t="n"/>
      <c r="G31" s="136" t="n"/>
      <c r="H31" s="136" t="n"/>
    </row>
    <row r="32" ht="63" customHeight="1">
      <c r="A32" s="147" t="inlineStr">
        <is>
          <t>3éme SCE</t>
        </is>
      </c>
      <c r="B32" s="132">
        <f>IFERROR(VLOOKUP("S6-093",Planning!$T:$AE,12,0),"")</f>
        <v/>
      </c>
      <c r="C32" s="137" t="n"/>
      <c r="D32" s="131" t="n"/>
      <c r="E32" s="137" t="n"/>
      <c r="F32" s="137" t="n"/>
      <c r="G32" s="142">
        <f>IFERROR(VLOOKUP("S6-068",Planning!$T:$AE,12,0),"")</f>
        <v/>
      </c>
      <c r="H32" s="141">
        <f>IFERROR(VLOOKUP("S6-087",Planning!$T:$AE,12,0),"")</f>
        <v/>
      </c>
    </row>
    <row r="33" ht="21" customHeight="1">
      <c r="A33" s="153" t="inlineStr">
        <is>
          <t>CYCLE BAC   (3 classes)</t>
        </is>
      </c>
      <c r="B33" s="154" t="n"/>
      <c r="C33" s="154" t="n"/>
      <c r="D33" s="154" t="n"/>
      <c r="E33" s="154" t="n"/>
      <c r="F33" s="154" t="n"/>
      <c r="G33" s="154" t="n"/>
      <c r="H33" s="154" t="n"/>
    </row>
    <row r="34" ht="63" customHeight="1">
      <c r="A34" s="155" t="inlineStr">
        <is>
          <t>Bac Eco</t>
        </is>
      </c>
      <c r="B34" s="148">
        <f>IFERROR(VLOOKUP("S6-006",Planning!$T:$AE,12,0),"")</f>
        <v/>
      </c>
      <c r="C34" s="131" t="n"/>
      <c r="D34" s="131" t="n"/>
      <c r="E34" s="130">
        <f>IFERROR(VLOOKUP("S6-042",Planning!$T:$AE,12,0),"")</f>
        <v/>
      </c>
      <c r="F34" s="134">
        <f>IFERROR(VLOOKUP("S6-052",Planning!$T:$AE,12,0),"")</f>
        <v/>
      </c>
      <c r="G34" s="160">
        <f>IFERROR(VLOOKUP("S6-098",Planning!$T:$AE,12,0),"")</f>
        <v/>
      </c>
      <c r="H34" s="132">
        <f>IFERROR(VLOOKUP("S6-089",Planning!$T:$AE,12,0),"")</f>
        <v/>
      </c>
    </row>
    <row r="35" ht="63" customHeight="1">
      <c r="A35" s="143" t="n"/>
      <c r="B35" s="131" t="n"/>
      <c r="C35" s="131" t="n"/>
      <c r="D35" s="131" t="n"/>
      <c r="E35" s="144" t="n"/>
      <c r="F35" s="144" t="n"/>
      <c r="G35" s="136" t="n"/>
      <c r="H35" s="150">
        <f>IFERROR(VLOOKUP("S6-088",Planning!$T:$AE,12,0),"")</f>
        <v/>
      </c>
    </row>
    <row r="36" ht="63" customHeight="1">
      <c r="A36" s="155" t="inlineStr">
        <is>
          <t>Bac SCE</t>
        </is>
      </c>
      <c r="B36" s="141">
        <f>IFERROR(VLOOKUP("S6-007",Planning!$T:$AE,12,0),"")</f>
        <v/>
      </c>
      <c r="C36" s="131" t="n"/>
      <c r="D36" s="132">
        <f>IFERROR(VLOOKUP("S6-031",Planning!$T:$AE,12,0),"")</f>
        <v/>
      </c>
      <c r="E36" s="144" t="n"/>
      <c r="F36" s="144" t="n"/>
      <c r="G36" s="142">
        <f>IFERROR(VLOOKUP("S6-069",Planning!$T:$AE,12,0),"")</f>
        <v/>
      </c>
      <c r="H36" s="136" t="n"/>
    </row>
    <row r="37" ht="63" customHeight="1">
      <c r="A37" s="155" t="inlineStr">
        <is>
          <t>Bac INFO</t>
        </is>
      </c>
      <c r="B37" s="141">
        <f>IFERROR(VLOOKUP("S6-008",Planning!$T:$AE,12,0),"")</f>
        <v/>
      </c>
      <c r="C37" s="131" t="n"/>
      <c r="D37" s="159">
        <f>IFERROR(VLOOKUP("S6-091",Planning!$T:$AE,12,0),"")</f>
        <v/>
      </c>
      <c r="E37" s="137" t="n"/>
      <c r="F37" s="137" t="n"/>
      <c r="G37" s="152">
        <f>IFERROR(VLOOKUP("S6-070",Planning!$T:$AE,12,0),"")</f>
        <v/>
      </c>
      <c r="H37" s="132">
        <f>IFERROR(VLOOKUP("S6-090",Planning!$T:$AE,12,0),"")</f>
        <v/>
      </c>
    </row>
  </sheetData>
  <mergeCells count="26">
    <mergeCell ref="F13:F15"/>
    <mergeCell ref="F34:F37"/>
    <mergeCell ref="A16:A17"/>
    <mergeCell ref="D11:D12"/>
    <mergeCell ref="A1:H1"/>
    <mergeCell ref="F28:F32"/>
    <mergeCell ref="F8:F9"/>
    <mergeCell ref="E34:E37"/>
    <mergeCell ref="C28:C30"/>
    <mergeCell ref="C31:C32"/>
    <mergeCell ref="A18:A19"/>
    <mergeCell ref="H19:H20"/>
    <mergeCell ref="G14:G15"/>
    <mergeCell ref="B16:B20"/>
    <mergeCell ref="A21:H21"/>
    <mergeCell ref="A2:H2"/>
    <mergeCell ref="A23:A24"/>
    <mergeCell ref="A33:H33"/>
    <mergeCell ref="A5:H5"/>
    <mergeCell ref="A34:A35"/>
    <mergeCell ref="C25:C27"/>
    <mergeCell ref="A28:A29"/>
    <mergeCell ref="A10:H10"/>
    <mergeCell ref="E28:E32"/>
    <mergeCell ref="C14:C15"/>
    <mergeCell ref="A30:A31"/>
  </mergeCells>
  <conditionalFormatting sqref="B5:H37">
    <cfRule type="expression" priority="1" dxfId="0" stopIfTrue="1">
      <formula>ISNUMBER(SEARCH("⚑ Annulé",B5))</formula>
    </cfRule>
    <cfRule type="expression" priority="2" dxfId="1" stopIfTrue="1">
      <formula>ISNUMBER(SEARCH("⚑ Examen / Devoir",B5))</formula>
    </cfRule>
    <cfRule type="expression" priority="3" dxfId="2" stopIfTrue="1">
      <formula>ISNUMBER(SEARCH("⚑ Rattrapage",B5))</formula>
    </cfRule>
    <cfRule type="expression" priority="4" dxfId="3" stopIfTrue="1">
      <formula>ISNUMBER(SEARCH("⚑ À confirmer",B5))</formula>
    </cfRule>
    <cfRule type="expression" priority="5" dxfId="4" stopIfTrue="1">
      <formula>ISNUMBER(SEARCH("⚑ Changement de salle",B5))</formula>
    </cfRule>
    <cfRule type="expression" priority="6" dxfId="5" stopIfTrue="1">
      <formula>ISNUMBER(SEARCH("⚑ Séance en ligne",B5))</formula>
    </cfRule>
  </conditionalFormatting>
  <printOptions horizontalCentered="1" gridLines="0"/>
  <pageMargins left="0.35" right="0.35" top="0.5" bottom="0.45" header="0.2" footer="0.2"/>
  <pageSetup orientation="landscape" paperSize="9" fitToHeight="0" fitToWidth="1"/>
  <headerFooter>
    <oddHeader>&amp;R&amp;"Arial,Italic"&amp;8 du 19 au 25 octobre 2026</oddHeader>
    <oddFooter>&amp;L&amp;8 RS 2026-2027 · S6 (semaine B)&amp;R&amp;8 Page &amp;P / &amp;N</oddFooter>
    <evenHeader/>
    <evenFooter/>
    <firstHeader/>
    <firstFooter/>
  </headerFooter>
  <rowBreaks count="3" manualBreakCount="3">
    <brk id="9" min="0" max="16383" man="1"/>
    <brk id="20" min="0" max="16383" man="1"/>
    <brk id="32" min="0" max="16383" man="1"/>
  </rowBreaks>
</worksheet>
</file>

<file path=xl/worksheets/sheet10.xml><?xml version="1.0" encoding="utf-8"?>
<worksheet xmlns="http://schemas.openxmlformats.org/spreadsheetml/2006/main">
  <sheetPr>
    <tabColor rgb="002F6F7E"/>
    <outlinePr summaryBelow="1" summaryRight="1"/>
    <pageSetUpPr fitToPage="1"/>
  </sheetPr>
  <dimension ref="A1:H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ht="34" customHeight="1">
      <c r="A1" s="51" t="inlineStr">
        <is>
          <t>S7 · DU 26 OCTOBRE AU 1ER NOVEMBRE 2026   |   SEMAINE A</t>
        </is>
      </c>
      <c r="B1" s="2" t="n"/>
      <c r="C1" s="2" t="n"/>
      <c r="D1" s="2" t="n"/>
      <c r="E1" s="2" t="n"/>
      <c r="F1" s="2" t="n"/>
      <c r="G1" s="2" t="n"/>
      <c r="H1" s="2" t="n"/>
    </row>
    <row r="2" ht="26" customHeight="1">
      <c r="A2" s="52" t="inlineStr">
        <is>
          <t>Une case = une séance : horaire / matière / enseignant.   Chaque matière a sa couleur.   Une case fusionnée sur plusieurs classes = séance commune à ces groupes.   Q-A ou Q-B = une semaine sur deux.   OPT = cours au choix.   Les couleurs sont modifiables à la main ; seul un statut ⚑ les remplace.</t>
        </is>
      </c>
      <c r="B2" s="53" t="n"/>
      <c r="C2" s="53" t="n"/>
      <c r="D2" s="53" t="n"/>
      <c r="E2" s="53" t="n"/>
      <c r="F2" s="53" t="n"/>
      <c r="G2" s="53" t="n"/>
      <c r="H2" s="53" t="n"/>
    </row>
    <row r="3" ht="36" customHeight="1">
      <c r="A3" s="125" t="inlineStr">
        <is>
          <t>Classe / Groupe</t>
        </is>
      </c>
      <c r="B3" s="125" t="inlineStr">
        <is>
          <t>Lundi
26/10</t>
        </is>
      </c>
      <c r="C3" s="125" t="inlineStr">
        <is>
          <t>Mardi
27/10</t>
        </is>
      </c>
      <c r="D3" s="125" t="inlineStr">
        <is>
          <t>Mercredi
28/10</t>
        </is>
      </c>
      <c r="E3" s="125" t="inlineStr">
        <is>
          <t>Jeudi
29/10</t>
        </is>
      </c>
      <c r="F3" s="125" t="inlineStr">
        <is>
          <t>Vendredi
30/10</t>
        </is>
      </c>
      <c r="G3" s="126" t="inlineStr">
        <is>
          <t>Samedi
31/10</t>
        </is>
      </c>
      <c r="H3" s="126" t="inlineStr">
        <is>
          <t>Dimanche
01/11</t>
        </is>
      </c>
    </row>
    <row r="5" ht="21" customHeight="1">
      <c r="A5" s="127" t="inlineStr">
        <is>
          <t>CYCLE PRIMAIRE   (4 classes)</t>
        </is>
      </c>
      <c r="B5" s="128" t="n"/>
      <c r="C5" s="128" t="n"/>
      <c r="D5" s="128" t="n"/>
      <c r="E5" s="128" t="n"/>
      <c r="F5" s="128" t="n"/>
      <c r="G5" s="128" t="n"/>
      <c r="H5" s="128" t="n"/>
    </row>
    <row r="6" ht="63" customHeight="1">
      <c r="A6" s="129" t="inlineStr">
        <is>
          <t>4éme</t>
        </is>
      </c>
      <c r="B6" s="130">
        <f>IFERROR(VLOOKUP("S7-001",Planning!$T:$AE,12,0),"")</f>
        <v/>
      </c>
      <c r="C6" s="131" t="n"/>
      <c r="D6" s="132">
        <f>IFERROR(VLOOKUP("S7-019",Planning!$T:$AE,12,0),"")</f>
        <v/>
      </c>
      <c r="E6" s="131" t="n"/>
      <c r="F6" s="133">
        <f>IFERROR(VLOOKUP("S7-044",Planning!$T:$AE,12,0),"")</f>
        <v/>
      </c>
      <c r="G6" s="134">
        <f>IFERROR(VLOOKUP("S7-055",Planning!$T:$AE,12,0),"")</f>
        <v/>
      </c>
      <c r="H6" s="135">
        <f>IFERROR(VLOOKUP("S7-071",Planning!$T:$AE,12,0),"")</f>
        <v/>
      </c>
    </row>
    <row r="7" ht="63" customHeight="1">
      <c r="A7" s="129" t="inlineStr">
        <is>
          <t>5éme</t>
        </is>
      </c>
      <c r="B7" s="131" t="n"/>
      <c r="C7" s="130">
        <f>IFERROR(VLOOKUP("S7-009",Planning!$T:$AE,12,0),"")</f>
        <v/>
      </c>
      <c r="D7" s="131" t="n"/>
      <c r="E7" s="132">
        <f>IFERROR(VLOOKUP("S7-032",Planning!$T:$AE,12,0),"")</f>
        <v/>
      </c>
      <c r="F7" s="131" t="n"/>
      <c r="G7" s="134">
        <f>IFERROR(VLOOKUP("S7-056",Planning!$T:$AE,12,0),"")</f>
        <v/>
      </c>
      <c r="H7" s="136" t="n"/>
    </row>
    <row r="8" ht="63" customHeight="1">
      <c r="A8" s="129" t="inlineStr">
        <is>
          <t>6éme Pilote (A)</t>
        </is>
      </c>
      <c r="B8" s="134">
        <f>IFERROR(VLOOKUP("S7-002",Planning!$T:$AE,12,0),"")</f>
        <v/>
      </c>
      <c r="C8" s="131" t="n"/>
      <c r="D8" s="132">
        <f>IFERROR(VLOOKUP("S7-020",Planning!$T:$AE,12,0),"")</f>
        <v/>
      </c>
      <c r="E8" s="131" t="n"/>
      <c r="F8" s="133">
        <f>IFERROR(VLOOKUP("S7-045",Planning!$T:$AE,12,0),"")</f>
        <v/>
      </c>
      <c r="G8" s="130">
        <f>IFERROR(VLOOKUP("S7-057",Planning!$T:$AE,12,0),"")</f>
        <v/>
      </c>
      <c r="H8" s="135">
        <f>IFERROR(VLOOKUP("S7-100",Planning!$T:$AE,12,0),"")</f>
        <v/>
      </c>
    </row>
    <row r="9" ht="63" customHeight="1">
      <c r="A9" s="129" t="inlineStr">
        <is>
          <t>6éme (B)</t>
        </is>
      </c>
      <c r="B9" s="131" t="n"/>
      <c r="C9" s="134">
        <f>IFERROR(VLOOKUP("S7-010",Planning!$T:$AE,12,0),"")</f>
        <v/>
      </c>
      <c r="D9" s="131" t="n"/>
      <c r="E9" s="132">
        <f>IFERROR(VLOOKUP("S7-033",Planning!$T:$AE,12,0),"")</f>
        <v/>
      </c>
      <c r="F9" s="137" t="n"/>
      <c r="G9" s="130">
        <f>IFERROR(VLOOKUP("S7-058",Planning!$T:$AE,12,0),"")</f>
        <v/>
      </c>
      <c r="H9" s="137" t="n"/>
    </row>
    <row r="10" ht="21" customHeight="1">
      <c r="A10" s="138" t="inlineStr">
        <is>
          <t>CYCLE COLLÈGE   (8 classes)</t>
        </is>
      </c>
      <c r="B10" s="139" t="n"/>
      <c r="C10" s="139" t="n"/>
      <c r="D10" s="139" t="n"/>
      <c r="E10" s="139" t="n"/>
      <c r="F10" s="139" t="n"/>
      <c r="G10" s="139" t="n"/>
      <c r="H10" s="139" t="n"/>
    </row>
    <row r="11" ht="63" customHeight="1">
      <c r="A11" s="140" t="inlineStr">
        <is>
          <t>7éme (A)</t>
        </is>
      </c>
      <c r="B11" s="131" t="n"/>
      <c r="C11" s="135">
        <f>IFERROR(VLOOKUP("S7-011",Planning!$T:$AE,12,0),"")</f>
        <v/>
      </c>
      <c r="D11" s="141">
        <f>IFERROR(VLOOKUP("S7-021",Planning!$T:$AE,12,0),"")</f>
        <v/>
      </c>
      <c r="E11" s="131" t="n"/>
      <c r="F11" s="132">
        <f>IFERROR(VLOOKUP("S7-046",Planning!$T:$AE,12,0),"")</f>
        <v/>
      </c>
      <c r="G11" s="142">
        <f>IFERROR(VLOOKUP("S7-059",Planning!$T:$AE,12,0),"")</f>
        <v/>
      </c>
      <c r="H11" s="134">
        <f>IFERROR(VLOOKUP("S7-072",Planning!$T:$AE,12,0),"")</f>
        <v/>
      </c>
    </row>
    <row r="12" ht="63" customHeight="1">
      <c r="A12" s="143" t="n"/>
      <c r="B12" s="131" t="n"/>
      <c r="C12" s="131" t="n"/>
      <c r="D12" s="144" t="n"/>
      <c r="E12" s="131" t="n"/>
      <c r="F12" s="131" t="n"/>
      <c r="G12" s="130">
        <f>IFERROR(VLOOKUP("S7-060",Planning!$T:$AE,12,0),"")</f>
        <v/>
      </c>
      <c r="H12" s="136" t="n"/>
    </row>
    <row r="13" ht="63" customHeight="1">
      <c r="A13" s="140" t="inlineStr">
        <is>
          <t>7éme (B)</t>
        </is>
      </c>
      <c r="B13" s="130">
        <f>IFERROR(VLOOKUP("S7-003",Planning!$T:$AE,12,0),"")</f>
        <v/>
      </c>
      <c r="C13" s="131" t="n"/>
      <c r="D13" s="137" t="n"/>
      <c r="E13" s="131" t="n"/>
      <c r="F13" s="132">
        <f>IFERROR(VLOOKUP("S7-047",Planning!$T:$AE,12,0),"")</f>
        <v/>
      </c>
      <c r="G13" s="136" t="n"/>
      <c r="H13" s="134">
        <f>IFERROR(VLOOKUP("S7-073",Planning!$T:$AE,12,0),"")</f>
        <v/>
      </c>
    </row>
    <row r="14" ht="63" customHeight="1">
      <c r="A14" s="140" t="inlineStr">
        <is>
          <t>8éme (A)</t>
        </is>
      </c>
      <c r="B14" s="131" t="n"/>
      <c r="C14" s="131" t="n"/>
      <c r="D14" s="130">
        <f>IFERROR(VLOOKUP("S7-022",Planning!$T:$AE,12,0),"")</f>
        <v/>
      </c>
      <c r="E14" s="134">
        <f>IFERROR(VLOOKUP("S7-034",Planning!$T:$AE,12,0),"")</f>
        <v/>
      </c>
      <c r="F14" s="141">
        <f>IFERROR(VLOOKUP("S7-048",Planning!$T:$AE,12,0),"")</f>
        <v/>
      </c>
      <c r="G14" s="142">
        <f>IFERROR(VLOOKUP("S7-061",Planning!$T:$AE,12,0),"")</f>
        <v/>
      </c>
      <c r="H14" s="132">
        <f>IFERROR(VLOOKUP("S7-074",Planning!$T:$AE,12,0),"")</f>
        <v/>
      </c>
    </row>
    <row r="15" ht="63" customHeight="1">
      <c r="A15" s="140" t="inlineStr">
        <is>
          <t>8éme (B)</t>
        </is>
      </c>
      <c r="B15" s="131" t="n"/>
      <c r="C15" s="130">
        <f>IFERROR(VLOOKUP("S7-012",Planning!$T:$AE,12,0),"")</f>
        <v/>
      </c>
      <c r="D15" s="132">
        <f>IFERROR(VLOOKUP("S7-023",Planning!$T:$AE,12,0),"")</f>
        <v/>
      </c>
      <c r="E15" s="131" t="n"/>
      <c r="F15" s="144" t="n"/>
      <c r="G15" s="135">
        <f>IFERROR(VLOOKUP("S7-062",Planning!$T:$AE,12,0),"")</f>
        <v/>
      </c>
      <c r="H15" s="134">
        <f>IFERROR(VLOOKUP("S7-075",Planning!$T:$AE,12,0),"")</f>
        <v/>
      </c>
    </row>
    <row r="16" ht="63" customHeight="1">
      <c r="A16" s="140" t="inlineStr">
        <is>
          <t>8éme (C)</t>
        </is>
      </c>
      <c r="B16" s="131" t="n"/>
      <c r="C16" s="137" t="n"/>
      <c r="D16" s="134">
        <f>IFERROR(VLOOKUP("S7-024",Planning!$T:$AE,12,0),"")</f>
        <v/>
      </c>
      <c r="E16" s="132">
        <f>IFERROR(VLOOKUP("S7-035",Planning!$T:$AE,12,0),"")</f>
        <v/>
      </c>
      <c r="F16" s="137" t="n"/>
      <c r="G16" s="137" t="n"/>
      <c r="H16" s="136" t="n"/>
    </row>
    <row r="17" ht="63" customHeight="1">
      <c r="A17" s="140" t="inlineStr">
        <is>
          <t>9éme (A)</t>
        </is>
      </c>
      <c r="B17" s="141">
        <f>IFERROR(VLOOKUP("S7-004",Planning!$T:$AE,12,0),"")</f>
        <v/>
      </c>
      <c r="C17" s="132">
        <f>IFERROR(VLOOKUP("S7-013",Planning!$T:$AE,12,0),"")</f>
        <v/>
      </c>
      <c r="D17" s="131" t="n"/>
      <c r="E17" s="142">
        <f>IFERROR(VLOOKUP("S7-036",Planning!$T:$AE,12,0),"")</f>
        <v/>
      </c>
      <c r="F17" s="131" t="n"/>
      <c r="G17" s="130">
        <f>IFERROR(VLOOKUP("S7-063",Planning!$T:$AE,12,0),"")</f>
        <v/>
      </c>
      <c r="H17" s="135">
        <f>IFERROR(VLOOKUP("S7-076",Planning!$T:$AE,12,0),"")</f>
        <v/>
      </c>
    </row>
    <row r="18" ht="63" customHeight="1">
      <c r="A18" s="143" t="n"/>
      <c r="B18" s="144" t="n"/>
      <c r="C18" s="131" t="n"/>
      <c r="D18" s="131" t="n"/>
      <c r="E18" s="131" t="n"/>
      <c r="F18" s="131" t="n"/>
      <c r="G18" s="136" t="n"/>
      <c r="H18" s="134">
        <f>IFERROR(VLOOKUP("S7-077",Planning!$T:$AE,12,0),"")</f>
        <v/>
      </c>
    </row>
    <row r="19" ht="63" customHeight="1">
      <c r="A19" s="140" t="inlineStr">
        <is>
          <t>9éme (B)</t>
        </is>
      </c>
      <c r="B19" s="144" t="n"/>
      <c r="C19" s="142">
        <f>IFERROR(VLOOKUP("S7-014",Planning!$T:$AE,12,0),"")</f>
        <v/>
      </c>
      <c r="D19" s="130">
        <f>IFERROR(VLOOKUP("S7-025",Planning!$T:$AE,12,0),"")</f>
        <v/>
      </c>
      <c r="E19" s="131" t="n"/>
      <c r="F19" s="131" t="n"/>
      <c r="G19" s="132">
        <f>IFERROR(VLOOKUP("S7-064",Planning!$T:$AE,12,0),"")</f>
        <v/>
      </c>
      <c r="H19" s="135">
        <f>IFERROR(VLOOKUP("S7-078",Planning!$T:$AE,12,0),"")</f>
        <v/>
      </c>
    </row>
    <row r="20" ht="63" customHeight="1">
      <c r="A20" s="143" t="n"/>
      <c r="B20" s="144" t="n"/>
      <c r="C20" s="131" t="n"/>
      <c r="D20" s="131" t="n"/>
      <c r="E20" s="131" t="n"/>
      <c r="F20" s="131" t="n"/>
      <c r="G20" s="136" t="n"/>
      <c r="H20" s="134">
        <f>IFERROR(VLOOKUP("S7-079",Planning!$T:$AE,12,0),"")</f>
        <v/>
      </c>
    </row>
    <row r="21" ht="63" customHeight="1">
      <c r="A21" s="140" t="inlineStr">
        <is>
          <t>9éme (C)</t>
        </is>
      </c>
      <c r="B21" s="137" t="n"/>
      <c r="C21" s="131" t="n"/>
      <c r="D21" s="142">
        <f>IFERROR(VLOOKUP("S7-026",Planning!$T:$AE,12,0),"")</f>
        <v/>
      </c>
      <c r="E21" s="135">
        <f>IFERROR(VLOOKUP("S7-037",Planning!$T:$AE,12,0),"")</f>
        <v/>
      </c>
      <c r="F21" s="130">
        <f>IFERROR(VLOOKUP("S7-049",Planning!$T:$AE,12,0),"")</f>
        <v/>
      </c>
      <c r="G21" s="132">
        <f>IFERROR(VLOOKUP("S7-065",Planning!$T:$AE,12,0),"")</f>
        <v/>
      </c>
      <c r="H21" s="137" t="n"/>
    </row>
    <row r="22" ht="21" customHeight="1">
      <c r="A22" s="145" t="inlineStr">
        <is>
          <t>CYCLE SECONDAIRE   (8 classes)</t>
        </is>
      </c>
      <c r="B22" s="146" t="n"/>
      <c r="C22" s="146" t="n"/>
      <c r="D22" s="146" t="n"/>
      <c r="E22" s="146" t="n"/>
      <c r="F22" s="146" t="n"/>
      <c r="G22" s="146" t="n"/>
      <c r="H22" s="146" t="n"/>
    </row>
    <row r="23" ht="63" customHeight="1">
      <c r="A23" s="147" t="inlineStr">
        <is>
          <t>1ére (A)</t>
        </is>
      </c>
      <c r="B23" s="132">
        <f>IFERROR(VLOOKUP("S7-005",Planning!$T:$AE,12,0),"")</f>
        <v/>
      </c>
      <c r="C23" s="134">
        <f>IFERROR(VLOOKUP("S7-015",Planning!$T:$AE,12,0),"")</f>
        <v/>
      </c>
      <c r="D23" s="131" t="n"/>
      <c r="E23" s="135">
        <f>IFERROR(VLOOKUP("S7-038",Planning!$T:$AE,12,0),"")</f>
        <v/>
      </c>
      <c r="F23" s="130">
        <f>IFERROR(VLOOKUP("S7-050",Planning!$T:$AE,12,0),"")</f>
        <v/>
      </c>
      <c r="G23" s="136" t="n"/>
      <c r="H23" s="141">
        <f>IFERROR(VLOOKUP("S7-080",Planning!$T:$AE,12,0),"")</f>
        <v/>
      </c>
    </row>
    <row r="24" ht="63" customHeight="1">
      <c r="A24" s="143" t="n"/>
      <c r="B24" s="131" t="n"/>
      <c r="C24" s="131" t="n"/>
      <c r="D24" s="131" t="n"/>
      <c r="E24" s="131" t="n"/>
      <c r="F24" s="131" t="n"/>
      <c r="G24" s="136" t="n"/>
      <c r="H24" s="142">
        <f>IFERROR(VLOOKUP("S7-101",Planning!$T:$AE,12,0),"")</f>
        <v/>
      </c>
    </row>
    <row r="25" ht="63" customHeight="1">
      <c r="A25" s="147" t="inlineStr">
        <is>
          <t>1ére (B)</t>
        </is>
      </c>
      <c r="B25" s="131" t="n"/>
      <c r="C25" s="132">
        <f>IFERROR(VLOOKUP("S7-016",Planning!$T:$AE,12,0),"")</f>
        <v/>
      </c>
      <c r="D25" s="134">
        <f>IFERROR(VLOOKUP("S7-027",Planning!$T:$AE,12,0),"")</f>
        <v/>
      </c>
      <c r="E25" s="131" t="n"/>
      <c r="F25" s="130">
        <f>IFERROR(VLOOKUP("S7-051",Planning!$T:$AE,12,0),"")</f>
        <v/>
      </c>
      <c r="G25" s="136" t="n"/>
      <c r="H25" s="141">
        <f>IFERROR(VLOOKUP("S7-081",Planning!$T:$AE,12,0),"")</f>
        <v/>
      </c>
    </row>
    <row r="26" ht="63" customHeight="1">
      <c r="A26" s="147" t="inlineStr">
        <is>
          <t>2éme Eco</t>
        </is>
      </c>
      <c r="B26" s="131" t="n"/>
      <c r="C26" s="135">
        <f>IFERROR(VLOOKUP("S7-095",Planning!$T:$AE,12,0),"")</f>
        <v/>
      </c>
      <c r="D26" s="132">
        <f>IFERROR(VLOOKUP("S7-028",Planning!$T:$AE,12,0),"")</f>
        <v/>
      </c>
      <c r="E26" s="148">
        <f>IFERROR(VLOOKUP("S7-039",Planning!$T:$AE,12,0),"")</f>
        <v/>
      </c>
      <c r="F26" s="134">
        <f>IFERROR(VLOOKUP("S7-052",Planning!$T:$AE,12,0),"")</f>
        <v/>
      </c>
      <c r="G26" s="149">
        <f>IFERROR(VLOOKUP("S7-097",Planning!$T:$AE,12,0),"")</f>
        <v/>
      </c>
      <c r="H26" s="150">
        <f>IFERROR(VLOOKUP("S7-082",Planning!$T:$AE,12,0),"")</f>
        <v/>
      </c>
    </row>
    <row r="27" ht="63" customHeight="1">
      <c r="A27" s="147" t="inlineStr">
        <is>
          <t>2éme SCE</t>
        </is>
      </c>
      <c r="B27" s="131" t="n"/>
      <c r="C27" s="144" t="n"/>
      <c r="D27" s="131" t="n"/>
      <c r="E27" s="132">
        <f>IFERROR(VLOOKUP("S7-040",Planning!$T:$AE,12,0),"")</f>
        <v/>
      </c>
      <c r="F27" s="144" t="n"/>
      <c r="G27" s="142">
        <f>IFERROR(VLOOKUP("S7-066",Planning!$T:$AE,12,0),"")</f>
        <v/>
      </c>
      <c r="H27" s="141">
        <f>IFERROR(VLOOKUP("S7-083",Planning!$T:$AE,12,0),"")</f>
        <v/>
      </c>
    </row>
    <row r="28" ht="63" customHeight="1">
      <c r="A28" s="147" t="inlineStr">
        <is>
          <t>2éme INFO</t>
        </is>
      </c>
      <c r="B28" s="131" t="n"/>
      <c r="C28" s="144" t="n"/>
      <c r="D28" s="131" t="n"/>
      <c r="E28" s="141">
        <f>IFERROR(VLOOKUP("S7-041",Planning!$T:$AE,12,0),"")</f>
        <v/>
      </c>
      <c r="F28" s="137" t="n"/>
      <c r="G28" s="151">
        <f>IFERROR(VLOOKUP("S7-094",Planning!$T:$AE,12,0),"")</f>
        <v/>
      </c>
      <c r="H28" s="136" t="n"/>
    </row>
    <row r="29" ht="63" customHeight="1">
      <c r="A29" s="143" t="n"/>
      <c r="B29" s="131" t="n"/>
      <c r="C29" s="137" t="n"/>
      <c r="D29" s="131" t="n"/>
      <c r="E29" s="131" t="n"/>
      <c r="F29" s="132">
        <f>IFERROR(VLOOKUP("S7-053",Planning!$T:$AE,12,0),"")</f>
        <v/>
      </c>
      <c r="G29" s="136" t="n"/>
      <c r="H29" s="136" t="n"/>
    </row>
    <row r="30" ht="63" customHeight="1">
      <c r="A30" s="147" t="inlineStr">
        <is>
          <t>3éme Eco</t>
        </is>
      </c>
      <c r="B30" s="131" t="n"/>
      <c r="C30" s="131" t="n"/>
      <c r="D30" s="148">
        <f>IFERROR(VLOOKUP("S7-029",Planning!$T:$AE,12,0),"")</f>
        <v/>
      </c>
      <c r="E30" s="130">
        <f>IFERROR(VLOOKUP("S7-042",Planning!$T:$AE,12,0),"")</f>
        <v/>
      </c>
      <c r="F30" s="134">
        <f>IFERROR(VLOOKUP("S7-096",Planning!$T:$AE,12,0),"")</f>
        <v/>
      </c>
      <c r="G30" s="149">
        <f>IFERROR(VLOOKUP("S7-098",Planning!$T:$AE,12,0),"")</f>
        <v/>
      </c>
      <c r="H30" s="150">
        <f>IFERROR(VLOOKUP("S7-084",Planning!$T:$AE,12,0),"")</f>
        <v/>
      </c>
    </row>
    <row r="31" ht="63" customHeight="1">
      <c r="A31" s="143" t="n"/>
      <c r="B31" s="131" t="n"/>
      <c r="C31" s="131" t="n"/>
      <c r="D31" s="131" t="n"/>
      <c r="E31" s="144" t="n"/>
      <c r="F31" s="144" t="n"/>
      <c r="G31" s="136" t="n"/>
      <c r="H31" s="132">
        <f>IFERROR(VLOOKUP("S7-085",Planning!$T:$AE,12,0),"")</f>
        <v/>
      </c>
    </row>
    <row r="32" ht="63" customHeight="1">
      <c r="A32" s="147" t="inlineStr">
        <is>
          <t>3éme INFO</t>
        </is>
      </c>
      <c r="B32" s="159">
        <f>IFERROR(VLOOKUP("S7-092",Planning!$T:$AE,12,0),"")</f>
        <v/>
      </c>
      <c r="C32" s="131" t="n"/>
      <c r="D32" s="141">
        <f>IFERROR(VLOOKUP("S7-030",Planning!$T:$AE,12,0),"")</f>
        <v/>
      </c>
      <c r="E32" s="144" t="n"/>
      <c r="F32" s="144" t="n"/>
      <c r="G32" s="152">
        <f>IFERROR(VLOOKUP("S7-067",Planning!$T:$AE,12,0),"")</f>
        <v/>
      </c>
      <c r="H32" s="132">
        <f>IFERROR(VLOOKUP("S7-086",Planning!$T:$AE,12,0),"")</f>
        <v/>
      </c>
    </row>
    <row r="33" ht="63" customHeight="1">
      <c r="A33" s="147" t="inlineStr">
        <is>
          <t>3éme SCE</t>
        </is>
      </c>
      <c r="B33" s="132">
        <f>IFERROR(VLOOKUP("S7-093",Planning!$T:$AE,12,0),"")</f>
        <v/>
      </c>
      <c r="C33" s="131" t="n"/>
      <c r="D33" s="131" t="n"/>
      <c r="E33" s="137" t="n"/>
      <c r="F33" s="137" t="n"/>
      <c r="G33" s="142">
        <f>IFERROR(VLOOKUP("S7-068",Planning!$T:$AE,12,0),"")</f>
        <v/>
      </c>
      <c r="H33" s="141">
        <f>IFERROR(VLOOKUP("S7-087",Planning!$T:$AE,12,0),"")</f>
        <v/>
      </c>
    </row>
    <row r="34" ht="21" customHeight="1">
      <c r="A34" s="153" t="inlineStr">
        <is>
          <t>CYCLE BAC   (3 classes)</t>
        </is>
      </c>
      <c r="B34" s="154" t="n"/>
      <c r="C34" s="154" t="n"/>
      <c r="D34" s="154" t="n"/>
      <c r="E34" s="154" t="n"/>
      <c r="F34" s="154" t="n"/>
      <c r="G34" s="154" t="n"/>
      <c r="H34" s="154" t="n"/>
    </row>
    <row r="35" ht="63" customHeight="1">
      <c r="A35" s="155" t="inlineStr">
        <is>
          <t>Bac Eco</t>
        </is>
      </c>
      <c r="B35" s="148">
        <f>IFERROR(VLOOKUP("S7-006",Planning!$T:$AE,12,0),"")</f>
        <v/>
      </c>
      <c r="C35" s="156">
        <f>IFERROR(VLOOKUP("S7-017",Planning!$T:$AE,12,0),"")</f>
        <v/>
      </c>
      <c r="D35" s="131" t="n"/>
      <c r="E35" s="157">
        <f>IFERROR(VLOOKUP("S7-043",Planning!$T:$AE,12,0),"")</f>
        <v/>
      </c>
      <c r="F35" s="135">
        <f>IFERROR(VLOOKUP("S7-054",Planning!$T:$AE,12,0),"")</f>
        <v/>
      </c>
      <c r="G35" s="149">
        <f>IFERROR(VLOOKUP("S7-099",Planning!$T:$AE,12,0),"")</f>
        <v/>
      </c>
      <c r="H35" s="132">
        <f>IFERROR(VLOOKUP("S7-089",Planning!$T:$AE,12,0),"")</f>
        <v/>
      </c>
    </row>
    <row r="36" ht="63" customHeight="1">
      <c r="A36" s="143" t="n"/>
      <c r="B36" s="131" t="n"/>
      <c r="C36" s="144" t="n"/>
      <c r="D36" s="131" t="n"/>
      <c r="E36" s="144" t="n"/>
      <c r="F36" s="144" t="n"/>
      <c r="G36" s="136" t="n"/>
      <c r="H36" s="150">
        <f>IFERROR(VLOOKUP("S7-088",Planning!$T:$AE,12,0),"")</f>
        <v/>
      </c>
    </row>
    <row r="37" ht="63" customHeight="1">
      <c r="A37" s="155" t="inlineStr">
        <is>
          <t>Bac SCE</t>
        </is>
      </c>
      <c r="B37" s="141">
        <f>IFERROR(VLOOKUP("S7-007",Planning!$T:$AE,12,0),"")</f>
        <v/>
      </c>
      <c r="C37" s="137" t="n"/>
      <c r="D37" s="132">
        <f>IFERROR(VLOOKUP("S7-031",Planning!$T:$AE,12,0),"")</f>
        <v/>
      </c>
      <c r="E37" s="144" t="n"/>
      <c r="F37" s="144" t="n"/>
      <c r="G37" s="142">
        <f>IFERROR(VLOOKUP("S7-069",Planning!$T:$AE,12,0),"")</f>
        <v/>
      </c>
      <c r="H37" s="136" t="n"/>
    </row>
    <row r="38" ht="63" customHeight="1">
      <c r="A38" s="143" t="n"/>
      <c r="B38" s="131" t="n"/>
      <c r="C38" s="158">
        <f>IFERROR(VLOOKUP("S7-018",Planning!$T:$AE,12,0),"")</f>
        <v/>
      </c>
      <c r="D38" s="131" t="n"/>
      <c r="E38" s="144" t="n"/>
      <c r="F38" s="144" t="n"/>
      <c r="G38" s="136" t="n"/>
      <c r="H38" s="136" t="n"/>
    </row>
    <row r="39" ht="63" customHeight="1">
      <c r="A39" s="155" t="inlineStr">
        <is>
          <t>Bac INFO</t>
        </is>
      </c>
      <c r="B39" s="141">
        <f>IFERROR(VLOOKUP("S7-008",Planning!$T:$AE,12,0),"")</f>
        <v/>
      </c>
      <c r="C39" s="137" t="n"/>
      <c r="D39" s="159">
        <f>IFERROR(VLOOKUP("S7-091",Planning!$T:$AE,12,0),"")</f>
        <v/>
      </c>
      <c r="E39" s="137" t="n"/>
      <c r="F39" s="137" t="n"/>
      <c r="G39" s="152">
        <f>IFERROR(VLOOKUP("S7-070",Planning!$T:$AE,12,0),"")</f>
        <v/>
      </c>
      <c r="H39" s="132">
        <f>IFERROR(VLOOKUP("S7-090",Planning!$T:$AE,12,0),"")</f>
        <v/>
      </c>
    </row>
  </sheetData>
  <mergeCells count="30">
    <mergeCell ref="F35:F39"/>
    <mergeCell ref="C26:C29"/>
    <mergeCell ref="F30:F33"/>
    <mergeCell ref="A1:H1"/>
    <mergeCell ref="F14:F16"/>
    <mergeCell ref="F8:F9"/>
    <mergeCell ref="A37:A38"/>
    <mergeCell ref="G15:G16"/>
    <mergeCell ref="E30:E33"/>
    <mergeCell ref="A17:A18"/>
    <mergeCell ref="A2:H2"/>
    <mergeCell ref="A23:A24"/>
    <mergeCell ref="A5:H5"/>
    <mergeCell ref="A19:A20"/>
    <mergeCell ref="C35:C37"/>
    <mergeCell ref="A22:H22"/>
    <mergeCell ref="A35:A36"/>
    <mergeCell ref="E35:E39"/>
    <mergeCell ref="F26:F28"/>
    <mergeCell ref="H8:H9"/>
    <mergeCell ref="B17:B21"/>
    <mergeCell ref="A28:A29"/>
    <mergeCell ref="C38:C39"/>
    <mergeCell ref="A10:H10"/>
    <mergeCell ref="D11:D13"/>
    <mergeCell ref="H20:H21"/>
    <mergeCell ref="C15:C16"/>
    <mergeCell ref="A11:A12"/>
    <mergeCell ref="A30:A31"/>
    <mergeCell ref="A34:H34"/>
  </mergeCells>
  <conditionalFormatting sqref="B5:H39">
    <cfRule type="expression" priority="1" dxfId="0" stopIfTrue="1">
      <formula>ISNUMBER(SEARCH("⚑ Annulé",B5))</formula>
    </cfRule>
    <cfRule type="expression" priority="2" dxfId="1" stopIfTrue="1">
      <formula>ISNUMBER(SEARCH("⚑ Examen / Devoir",B5))</formula>
    </cfRule>
    <cfRule type="expression" priority="3" dxfId="2" stopIfTrue="1">
      <formula>ISNUMBER(SEARCH("⚑ Rattrapage",B5))</formula>
    </cfRule>
    <cfRule type="expression" priority="4" dxfId="3" stopIfTrue="1">
      <formula>ISNUMBER(SEARCH("⚑ À confirmer",B5))</formula>
    </cfRule>
    <cfRule type="expression" priority="5" dxfId="4" stopIfTrue="1">
      <formula>ISNUMBER(SEARCH("⚑ Changement de salle",B5))</formula>
    </cfRule>
    <cfRule type="expression" priority="6" dxfId="5" stopIfTrue="1">
      <formula>ISNUMBER(SEARCH("⚑ Séance en ligne",B5))</formula>
    </cfRule>
  </conditionalFormatting>
  <printOptions horizontalCentered="1" gridLines="0"/>
  <pageMargins left="0.35" right="0.35" top="0.5" bottom="0.45" header="0.2" footer="0.2"/>
  <pageSetup orientation="landscape" paperSize="9" fitToHeight="0" fitToWidth="1"/>
  <headerFooter>
    <oddHeader>&amp;R&amp;"Arial,Italic"&amp;8 du 26 octobre au 1er novembre 2026</oddHeader>
    <oddFooter>&amp;L&amp;8 RS 2026-2027 · S7 (semaine A)&amp;R&amp;8 Page &amp;P / &amp;N</oddFooter>
    <evenHeader/>
    <evenFooter/>
    <firstHeader/>
    <firstFooter/>
  </headerFooter>
  <rowBreaks count="3" manualBreakCount="3">
    <brk id="9" min="0" max="16383" man="1"/>
    <brk id="21" min="0" max="16383" man="1"/>
    <brk id="33" min="0" max="16383" man="1"/>
  </rowBreaks>
</worksheet>
</file>

<file path=xl/worksheets/sheet11.xml><?xml version="1.0" encoding="utf-8"?>
<worksheet xmlns="http://schemas.openxmlformats.org/spreadsheetml/2006/main">
  <sheetPr>
    <tabColor rgb="002F6F7E"/>
    <outlinePr summaryBelow="1" summaryRight="1"/>
    <pageSetUpPr fitToPage="1"/>
  </sheetPr>
  <dimension ref="A1:S4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6.5" customWidth="1" min="3" max="3"/>
    <col width="6.5" customWidth="1" min="4" max="4"/>
    <col width="6.5" customWidth="1" min="5" max="5"/>
    <col width="6.5" customWidth="1" min="6" max="6"/>
    <col width="6.5" customWidth="1" min="7" max="7"/>
    <col width="6.5" customWidth="1" min="8" max="8"/>
    <col width="6.5" customWidth="1" min="9" max="9"/>
    <col width="9"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9" customWidth="1" min="18" max="18"/>
    <col width="15" customWidth="1" min="19" max="19"/>
  </cols>
  <sheetData>
    <row r="1" ht="34" customHeight="1">
      <c r="A1" s="51" t="inlineStr">
        <is>
          <t>CHARGE PAR ENSEIGNANT — séances et heures par semaine</t>
        </is>
      </c>
      <c r="B1" s="2" t="n"/>
      <c r="C1" s="2" t="n"/>
      <c r="D1" s="2" t="n"/>
      <c r="E1" s="2" t="n"/>
      <c r="F1" s="2" t="n"/>
      <c r="G1" s="2" t="n"/>
      <c r="H1" s="2" t="n"/>
      <c r="I1" s="2" t="n"/>
      <c r="J1" s="2" t="n"/>
      <c r="K1" s="2" t="n"/>
      <c r="L1" s="2" t="n"/>
      <c r="M1" s="2" t="n"/>
      <c r="N1" s="2" t="n"/>
      <c r="O1" s="2" t="n"/>
      <c r="P1" s="2" t="n"/>
      <c r="Q1" s="2" t="n"/>
      <c r="R1" s="2" t="n"/>
      <c r="S1" s="2" t="n"/>
    </row>
    <row r="2" ht="20" customHeight="1">
      <c r="A2" s="52" t="inlineStr">
        <is>
          <t>Tableau entièrement calculé depuis la feuille Planning. « Heures » = somme des durées réelles. Une séance partagée entre plusieurs groupes n'est comptée QU'UNE FOIS : c'est la charge réelle de l'enseignant. La colonne de droite signale tout chevauchement horaire détecté pour l’enseignant.</t>
        </is>
      </c>
      <c r="B2" s="53" t="n"/>
      <c r="C2" s="53" t="n"/>
      <c r="D2" s="53" t="n"/>
      <c r="E2" s="53" t="n"/>
      <c r="F2" s="53" t="n"/>
      <c r="G2" s="53" t="n"/>
      <c r="H2" s="53" t="n"/>
      <c r="I2" s="53" t="n"/>
      <c r="J2" s="53" t="n"/>
      <c r="K2" s="53" t="n"/>
      <c r="L2" s="53" t="n"/>
      <c r="M2" s="53" t="n"/>
      <c r="N2" s="53" t="n"/>
      <c r="O2" s="53" t="n"/>
      <c r="P2" s="53" t="n"/>
      <c r="Q2" s="53" t="n"/>
      <c r="R2" s="53" t="n"/>
      <c r="S2" s="53" t="n"/>
    </row>
    <row r="3" ht="30" customHeight="1">
      <c r="A3" s="7" t="inlineStr">
        <is>
          <t>Enseignant</t>
        </is>
      </c>
      <c r="B3" s="7" t="inlineStr">
        <is>
          <t>Matière(s) — indicatif</t>
        </is>
      </c>
      <c r="C3" s="7" t="inlineStr">
        <is>
          <t>NOMBRE DE SÉANCES</t>
        </is>
      </c>
      <c r="D3" s="7" t="n"/>
      <c r="E3" s="7" t="n"/>
      <c r="F3" s="7" t="n"/>
      <c r="G3" s="7" t="n"/>
      <c r="H3" s="7" t="n"/>
      <c r="I3" s="7" t="n"/>
      <c r="J3" s="7" t="inlineStr">
        <is>
          <t>Total
séances</t>
        </is>
      </c>
      <c r="K3" s="7" t="inlineStr">
        <is>
          <t>HEURES D’ENSEIGNEMENT</t>
        </is>
      </c>
      <c r="L3" s="7" t="n"/>
      <c r="M3" s="7" t="n"/>
      <c r="N3" s="7" t="n"/>
      <c r="O3" s="7" t="n"/>
      <c r="P3" s="7" t="n"/>
      <c r="Q3" s="7" t="n"/>
      <c r="R3" s="7" t="inlineStr">
        <is>
          <t>Total
heures</t>
        </is>
      </c>
      <c r="S3" s="7" t="inlineStr">
        <is>
          <t>⚠ Chevauchements</t>
        </is>
      </c>
    </row>
    <row r="4" ht="16" customHeight="1">
      <c r="A4" s="99" t="inlineStr">
        <is>
          <t>—</t>
        </is>
      </c>
      <c r="B4" s="99" t="inlineStr">
        <is>
          <t>—</t>
        </is>
      </c>
      <c r="C4" s="99" t="inlineStr">
        <is>
          <t>S1</t>
        </is>
      </c>
      <c r="D4" s="99" t="inlineStr">
        <is>
          <t>S2</t>
        </is>
      </c>
      <c r="E4" s="99" t="inlineStr">
        <is>
          <t>S3</t>
        </is>
      </c>
      <c r="F4" s="99" t="inlineStr">
        <is>
          <t>S4</t>
        </is>
      </c>
      <c r="G4" s="99" t="inlineStr">
        <is>
          <t>S5</t>
        </is>
      </c>
      <c r="H4" s="99" t="inlineStr">
        <is>
          <t>S6</t>
        </is>
      </c>
      <c r="I4" s="99" t="inlineStr">
        <is>
          <t>S7</t>
        </is>
      </c>
      <c r="J4" s="99" t="inlineStr">
        <is>
          <t>—</t>
        </is>
      </c>
      <c r="K4" s="99" t="inlineStr">
        <is>
          <t>S1</t>
        </is>
      </c>
      <c r="L4" s="99" t="inlineStr">
        <is>
          <t>S2</t>
        </is>
      </c>
      <c r="M4" s="99" t="inlineStr">
        <is>
          <t>S3</t>
        </is>
      </c>
      <c r="N4" s="99" t="inlineStr">
        <is>
          <t>S4</t>
        </is>
      </c>
      <c r="O4" s="99" t="inlineStr">
        <is>
          <t>S5</t>
        </is>
      </c>
      <c r="P4" s="99" t="inlineStr">
        <is>
          <t>S6</t>
        </is>
      </c>
      <c r="Q4" s="99" t="inlineStr">
        <is>
          <t>S7</t>
        </is>
      </c>
      <c r="R4" s="99" t="inlineStr">
        <is>
          <t>—</t>
        </is>
      </c>
      <c r="S4" s="99" t="inlineStr">
        <is>
          <t>—</t>
        </is>
      </c>
    </row>
    <row r="5" ht="15" customHeight="1">
      <c r="A5" s="9" t="inlineStr">
        <is>
          <t>Abdelwaheb</t>
        </is>
      </c>
      <c r="B5" s="9" t="inlineStr">
        <is>
          <t>Géographie, Histoire</t>
        </is>
      </c>
      <c r="C5" s="10">
        <f>COUNTIFS(Planning!$A$4:$A$863,"S1",Planning!$M$4:$M$863,$A5,Planning!$S$4:$S$863,"Oui")</f>
        <v/>
      </c>
      <c r="D5" s="10">
        <f>COUNTIFS(Planning!$A$4:$A$863,"S2",Planning!$M$4:$M$863,$A5,Planning!$S$4:$S$863,"Oui")</f>
        <v/>
      </c>
      <c r="E5" s="10">
        <f>COUNTIFS(Planning!$A$4:$A$863,"S3",Planning!$M$4:$M$863,$A5,Planning!$S$4:$S$863,"Oui")</f>
        <v/>
      </c>
      <c r="F5" s="10">
        <f>COUNTIFS(Planning!$A$4:$A$863,"S4",Planning!$M$4:$M$863,$A5,Planning!$S$4:$S$863,"Oui")</f>
        <v/>
      </c>
      <c r="G5" s="10">
        <f>COUNTIFS(Planning!$A$4:$A$863,"S5",Planning!$M$4:$M$863,$A5,Planning!$S$4:$S$863,"Oui")</f>
        <v/>
      </c>
      <c r="H5" s="10">
        <f>COUNTIFS(Planning!$A$4:$A$863,"S6",Planning!$M$4:$M$863,$A5,Planning!$S$4:$S$863,"Oui")</f>
        <v/>
      </c>
      <c r="I5" s="10">
        <f>COUNTIFS(Planning!$A$4:$A$863,"S7",Planning!$M$4:$M$863,$A5,Planning!$S$4:$S$863,"Oui")</f>
        <v/>
      </c>
      <c r="J5" s="161">
        <f>SUM(C5:I5)</f>
        <v/>
      </c>
      <c r="K5" s="101">
        <f>SUMIFS(Planning!$H$4:$H$863,Planning!$A$4:$A$863,"S1",Planning!$M$4:$M$863,$A5,Planning!$S$4:$S$863,"Oui")</f>
        <v/>
      </c>
      <c r="L5" s="101">
        <f>SUMIFS(Planning!$H$4:$H$863,Planning!$A$4:$A$863,"S2",Planning!$M$4:$M$863,$A5,Planning!$S$4:$S$863,"Oui")</f>
        <v/>
      </c>
      <c r="M5" s="101">
        <f>SUMIFS(Planning!$H$4:$H$863,Planning!$A$4:$A$863,"S3",Planning!$M$4:$M$863,$A5,Planning!$S$4:$S$863,"Oui")</f>
        <v/>
      </c>
      <c r="N5" s="101">
        <f>SUMIFS(Planning!$H$4:$H$863,Planning!$A$4:$A$863,"S4",Planning!$M$4:$M$863,$A5,Planning!$S$4:$S$863,"Oui")</f>
        <v/>
      </c>
      <c r="O5" s="101">
        <f>SUMIFS(Planning!$H$4:$H$863,Planning!$A$4:$A$863,"S5",Planning!$M$4:$M$863,$A5,Planning!$S$4:$S$863,"Oui")</f>
        <v/>
      </c>
      <c r="P5" s="101">
        <f>SUMIFS(Planning!$H$4:$H$863,Planning!$A$4:$A$863,"S6",Planning!$M$4:$M$863,$A5,Planning!$S$4:$S$863,"Oui")</f>
        <v/>
      </c>
      <c r="Q5" s="101">
        <f>SUMIFS(Planning!$H$4:$H$863,Planning!$A$4:$A$863,"S7",Planning!$M$4:$M$863,$A5,Planning!$S$4:$S$863,"Oui")</f>
        <v/>
      </c>
      <c r="R5" s="162">
        <f>SUM(K5:Q5)</f>
        <v/>
      </c>
      <c r="S5" s="10">
        <f>COUNTIFS(Planning!$M$4:$M$863,$A5,Planning!$Y$4:$Y$863,"⚠ CONFLIT")</f>
        <v/>
      </c>
    </row>
    <row r="6" ht="15" customHeight="1">
      <c r="A6" s="9" t="inlineStr">
        <is>
          <t>Ahmed</t>
        </is>
      </c>
      <c r="B6" s="9" t="inlineStr">
        <is>
          <t>Math</t>
        </is>
      </c>
      <c r="C6" s="10">
        <f>COUNTIFS(Planning!$A$4:$A$863,"S1",Planning!$M$4:$M$863,$A6,Planning!$S$4:$S$863,"Oui")</f>
        <v/>
      </c>
      <c r="D6" s="10">
        <f>COUNTIFS(Planning!$A$4:$A$863,"S2",Planning!$M$4:$M$863,$A6,Planning!$S$4:$S$863,"Oui")</f>
        <v/>
      </c>
      <c r="E6" s="10">
        <f>COUNTIFS(Planning!$A$4:$A$863,"S3",Planning!$M$4:$M$863,$A6,Planning!$S$4:$S$863,"Oui")</f>
        <v/>
      </c>
      <c r="F6" s="10">
        <f>COUNTIFS(Planning!$A$4:$A$863,"S4",Planning!$M$4:$M$863,$A6,Planning!$S$4:$S$863,"Oui")</f>
        <v/>
      </c>
      <c r="G6" s="10">
        <f>COUNTIFS(Planning!$A$4:$A$863,"S5",Planning!$M$4:$M$863,$A6,Planning!$S$4:$S$863,"Oui")</f>
        <v/>
      </c>
      <c r="H6" s="10">
        <f>COUNTIFS(Planning!$A$4:$A$863,"S6",Planning!$M$4:$M$863,$A6,Planning!$S$4:$S$863,"Oui")</f>
        <v/>
      </c>
      <c r="I6" s="10">
        <f>COUNTIFS(Planning!$A$4:$A$863,"S7",Planning!$M$4:$M$863,$A6,Planning!$S$4:$S$863,"Oui")</f>
        <v/>
      </c>
      <c r="J6" s="161">
        <f>SUM(C6:I6)</f>
        <v/>
      </c>
      <c r="K6" s="101">
        <f>SUMIFS(Planning!$H$4:$H$863,Planning!$A$4:$A$863,"S1",Planning!$M$4:$M$863,$A6,Planning!$S$4:$S$863,"Oui")</f>
        <v/>
      </c>
      <c r="L6" s="101">
        <f>SUMIFS(Planning!$H$4:$H$863,Planning!$A$4:$A$863,"S2",Planning!$M$4:$M$863,$A6,Planning!$S$4:$S$863,"Oui")</f>
        <v/>
      </c>
      <c r="M6" s="101">
        <f>SUMIFS(Planning!$H$4:$H$863,Planning!$A$4:$A$863,"S3",Planning!$M$4:$M$863,$A6,Planning!$S$4:$S$863,"Oui")</f>
        <v/>
      </c>
      <c r="N6" s="101">
        <f>SUMIFS(Planning!$H$4:$H$863,Planning!$A$4:$A$863,"S4",Planning!$M$4:$M$863,$A6,Planning!$S$4:$S$863,"Oui")</f>
        <v/>
      </c>
      <c r="O6" s="101">
        <f>SUMIFS(Planning!$H$4:$H$863,Planning!$A$4:$A$863,"S5",Planning!$M$4:$M$863,$A6,Planning!$S$4:$S$863,"Oui")</f>
        <v/>
      </c>
      <c r="P6" s="101">
        <f>SUMIFS(Planning!$H$4:$H$863,Planning!$A$4:$A$863,"S6",Planning!$M$4:$M$863,$A6,Planning!$S$4:$S$863,"Oui")</f>
        <v/>
      </c>
      <c r="Q6" s="101">
        <f>SUMIFS(Planning!$H$4:$H$863,Planning!$A$4:$A$863,"S7",Planning!$M$4:$M$863,$A6,Planning!$S$4:$S$863,"Oui")</f>
        <v/>
      </c>
      <c r="R6" s="162">
        <f>SUM(K6:Q6)</f>
        <v/>
      </c>
      <c r="S6" s="10">
        <f>COUNTIFS(Planning!$M$4:$M$863,$A6,Planning!$Y$4:$Y$863,"⚠ CONFLIT")</f>
        <v/>
      </c>
    </row>
    <row r="7" ht="15" customHeight="1">
      <c r="A7" s="9" t="inlineStr">
        <is>
          <t>Amel</t>
        </is>
      </c>
      <c r="B7" s="9" t="inlineStr">
        <is>
          <t>Italien</t>
        </is>
      </c>
      <c r="C7" s="10">
        <f>COUNTIFS(Planning!$A$4:$A$863,"S1",Planning!$M$4:$M$863,$A7,Planning!$S$4:$S$863,"Oui")</f>
        <v/>
      </c>
      <c r="D7" s="10">
        <f>COUNTIFS(Planning!$A$4:$A$863,"S2",Planning!$M$4:$M$863,$A7,Planning!$S$4:$S$863,"Oui")</f>
        <v/>
      </c>
      <c r="E7" s="10">
        <f>COUNTIFS(Planning!$A$4:$A$863,"S3",Planning!$M$4:$M$863,$A7,Planning!$S$4:$S$863,"Oui")</f>
        <v/>
      </c>
      <c r="F7" s="10">
        <f>COUNTIFS(Planning!$A$4:$A$863,"S4",Planning!$M$4:$M$863,$A7,Planning!$S$4:$S$863,"Oui")</f>
        <v/>
      </c>
      <c r="G7" s="10">
        <f>COUNTIFS(Planning!$A$4:$A$863,"S5",Planning!$M$4:$M$863,$A7,Planning!$S$4:$S$863,"Oui")</f>
        <v/>
      </c>
      <c r="H7" s="10">
        <f>COUNTIFS(Planning!$A$4:$A$863,"S6",Planning!$M$4:$M$863,$A7,Planning!$S$4:$S$863,"Oui")</f>
        <v/>
      </c>
      <c r="I7" s="10">
        <f>COUNTIFS(Planning!$A$4:$A$863,"S7",Planning!$M$4:$M$863,$A7,Planning!$S$4:$S$863,"Oui")</f>
        <v/>
      </c>
      <c r="J7" s="161">
        <f>SUM(C7:I7)</f>
        <v/>
      </c>
      <c r="K7" s="101">
        <f>SUMIFS(Planning!$H$4:$H$863,Planning!$A$4:$A$863,"S1",Planning!$M$4:$M$863,$A7,Planning!$S$4:$S$863,"Oui")</f>
        <v/>
      </c>
      <c r="L7" s="101">
        <f>SUMIFS(Planning!$H$4:$H$863,Planning!$A$4:$A$863,"S2",Planning!$M$4:$M$863,$A7,Planning!$S$4:$S$863,"Oui")</f>
        <v/>
      </c>
      <c r="M7" s="101">
        <f>SUMIFS(Planning!$H$4:$H$863,Planning!$A$4:$A$863,"S3",Planning!$M$4:$M$863,$A7,Planning!$S$4:$S$863,"Oui")</f>
        <v/>
      </c>
      <c r="N7" s="101">
        <f>SUMIFS(Planning!$H$4:$H$863,Planning!$A$4:$A$863,"S4",Planning!$M$4:$M$863,$A7,Planning!$S$4:$S$863,"Oui")</f>
        <v/>
      </c>
      <c r="O7" s="101">
        <f>SUMIFS(Planning!$H$4:$H$863,Planning!$A$4:$A$863,"S5",Planning!$M$4:$M$863,$A7,Planning!$S$4:$S$863,"Oui")</f>
        <v/>
      </c>
      <c r="P7" s="101">
        <f>SUMIFS(Planning!$H$4:$H$863,Planning!$A$4:$A$863,"S6",Planning!$M$4:$M$863,$A7,Planning!$S$4:$S$863,"Oui")</f>
        <v/>
      </c>
      <c r="Q7" s="101">
        <f>SUMIFS(Planning!$H$4:$H$863,Planning!$A$4:$A$863,"S7",Planning!$M$4:$M$863,$A7,Planning!$S$4:$S$863,"Oui")</f>
        <v/>
      </c>
      <c r="R7" s="162">
        <f>SUM(K7:Q7)</f>
        <v/>
      </c>
      <c r="S7" s="10">
        <f>COUNTIFS(Planning!$M$4:$M$863,$A7,Planning!$Y$4:$Y$863,"⚠ CONFLIT")</f>
        <v/>
      </c>
    </row>
    <row r="8" ht="15" customHeight="1">
      <c r="A8" s="9" t="inlineStr">
        <is>
          <t>Awatef</t>
        </is>
      </c>
      <c r="B8" s="9" t="inlineStr">
        <is>
          <t>Arabe</t>
        </is>
      </c>
      <c r="C8" s="10">
        <f>COUNTIFS(Planning!$A$4:$A$863,"S1",Planning!$M$4:$M$863,$A8,Planning!$S$4:$S$863,"Oui")</f>
        <v/>
      </c>
      <c r="D8" s="10">
        <f>COUNTIFS(Planning!$A$4:$A$863,"S2",Planning!$M$4:$M$863,$A8,Planning!$S$4:$S$863,"Oui")</f>
        <v/>
      </c>
      <c r="E8" s="10">
        <f>COUNTIFS(Planning!$A$4:$A$863,"S3",Planning!$M$4:$M$863,$A8,Planning!$S$4:$S$863,"Oui")</f>
        <v/>
      </c>
      <c r="F8" s="10">
        <f>COUNTIFS(Planning!$A$4:$A$863,"S4",Planning!$M$4:$M$863,$A8,Planning!$S$4:$S$863,"Oui")</f>
        <v/>
      </c>
      <c r="G8" s="10">
        <f>COUNTIFS(Planning!$A$4:$A$863,"S5",Planning!$M$4:$M$863,$A8,Planning!$S$4:$S$863,"Oui")</f>
        <v/>
      </c>
      <c r="H8" s="10">
        <f>COUNTIFS(Planning!$A$4:$A$863,"S6",Planning!$M$4:$M$863,$A8,Planning!$S$4:$S$863,"Oui")</f>
        <v/>
      </c>
      <c r="I8" s="10">
        <f>COUNTIFS(Planning!$A$4:$A$863,"S7",Planning!$M$4:$M$863,$A8,Planning!$S$4:$S$863,"Oui")</f>
        <v/>
      </c>
      <c r="J8" s="161">
        <f>SUM(C8:I8)</f>
        <v/>
      </c>
      <c r="K8" s="101">
        <f>SUMIFS(Planning!$H$4:$H$863,Planning!$A$4:$A$863,"S1",Planning!$M$4:$M$863,$A8,Planning!$S$4:$S$863,"Oui")</f>
        <v/>
      </c>
      <c r="L8" s="101">
        <f>SUMIFS(Planning!$H$4:$H$863,Planning!$A$4:$A$863,"S2",Planning!$M$4:$M$863,$A8,Planning!$S$4:$S$863,"Oui")</f>
        <v/>
      </c>
      <c r="M8" s="101">
        <f>SUMIFS(Planning!$H$4:$H$863,Planning!$A$4:$A$863,"S3",Planning!$M$4:$M$863,$A8,Planning!$S$4:$S$863,"Oui")</f>
        <v/>
      </c>
      <c r="N8" s="101">
        <f>SUMIFS(Planning!$H$4:$H$863,Planning!$A$4:$A$863,"S4",Planning!$M$4:$M$863,$A8,Planning!$S$4:$S$863,"Oui")</f>
        <v/>
      </c>
      <c r="O8" s="101">
        <f>SUMIFS(Planning!$H$4:$H$863,Planning!$A$4:$A$863,"S5",Planning!$M$4:$M$863,$A8,Planning!$S$4:$S$863,"Oui")</f>
        <v/>
      </c>
      <c r="P8" s="101">
        <f>SUMIFS(Planning!$H$4:$H$863,Planning!$A$4:$A$863,"S6",Planning!$M$4:$M$863,$A8,Planning!$S$4:$S$863,"Oui")</f>
        <v/>
      </c>
      <c r="Q8" s="101">
        <f>SUMIFS(Planning!$H$4:$H$863,Planning!$A$4:$A$863,"S7",Planning!$M$4:$M$863,$A8,Planning!$S$4:$S$863,"Oui")</f>
        <v/>
      </c>
      <c r="R8" s="162">
        <f>SUM(K8:Q8)</f>
        <v/>
      </c>
      <c r="S8" s="10">
        <f>COUNTIFS(Planning!$M$4:$M$863,$A8,Planning!$Y$4:$Y$863,"⚠ CONFLIT")</f>
        <v/>
      </c>
    </row>
    <row r="9" ht="15" customHeight="1">
      <c r="A9" s="9" t="inlineStr">
        <is>
          <t>Aymen</t>
        </is>
      </c>
      <c r="B9" s="9" t="inlineStr">
        <is>
          <t>ALGO, Informatique, STI</t>
        </is>
      </c>
      <c r="C9" s="10">
        <f>COUNTIFS(Planning!$A$4:$A$863,"S1",Planning!$M$4:$M$863,$A9,Planning!$S$4:$S$863,"Oui")</f>
        <v/>
      </c>
      <c r="D9" s="10">
        <f>COUNTIFS(Planning!$A$4:$A$863,"S2",Planning!$M$4:$M$863,$A9,Planning!$S$4:$S$863,"Oui")</f>
        <v/>
      </c>
      <c r="E9" s="10">
        <f>COUNTIFS(Planning!$A$4:$A$863,"S3",Planning!$M$4:$M$863,$A9,Planning!$S$4:$S$863,"Oui")</f>
        <v/>
      </c>
      <c r="F9" s="10">
        <f>COUNTIFS(Planning!$A$4:$A$863,"S4",Planning!$M$4:$M$863,$A9,Planning!$S$4:$S$863,"Oui")</f>
        <v/>
      </c>
      <c r="G9" s="10">
        <f>COUNTIFS(Planning!$A$4:$A$863,"S5",Planning!$M$4:$M$863,$A9,Planning!$S$4:$S$863,"Oui")</f>
        <v/>
      </c>
      <c r="H9" s="10">
        <f>COUNTIFS(Planning!$A$4:$A$863,"S6",Planning!$M$4:$M$863,$A9,Planning!$S$4:$S$863,"Oui")</f>
        <v/>
      </c>
      <c r="I9" s="10">
        <f>COUNTIFS(Planning!$A$4:$A$863,"S7",Planning!$M$4:$M$863,$A9,Planning!$S$4:$S$863,"Oui")</f>
        <v/>
      </c>
      <c r="J9" s="161">
        <f>SUM(C9:I9)</f>
        <v/>
      </c>
      <c r="K9" s="101">
        <f>SUMIFS(Planning!$H$4:$H$863,Planning!$A$4:$A$863,"S1",Planning!$M$4:$M$863,$A9,Planning!$S$4:$S$863,"Oui")</f>
        <v/>
      </c>
      <c r="L9" s="101">
        <f>SUMIFS(Planning!$H$4:$H$863,Planning!$A$4:$A$863,"S2",Planning!$M$4:$M$863,$A9,Planning!$S$4:$S$863,"Oui")</f>
        <v/>
      </c>
      <c r="M9" s="101">
        <f>SUMIFS(Planning!$H$4:$H$863,Planning!$A$4:$A$863,"S3",Planning!$M$4:$M$863,$A9,Planning!$S$4:$S$863,"Oui")</f>
        <v/>
      </c>
      <c r="N9" s="101">
        <f>SUMIFS(Planning!$H$4:$H$863,Planning!$A$4:$A$863,"S4",Planning!$M$4:$M$863,$A9,Planning!$S$4:$S$863,"Oui")</f>
        <v/>
      </c>
      <c r="O9" s="101">
        <f>SUMIFS(Planning!$H$4:$H$863,Planning!$A$4:$A$863,"S5",Planning!$M$4:$M$863,$A9,Planning!$S$4:$S$863,"Oui")</f>
        <v/>
      </c>
      <c r="P9" s="101">
        <f>SUMIFS(Planning!$H$4:$H$863,Planning!$A$4:$A$863,"S6",Planning!$M$4:$M$863,$A9,Planning!$S$4:$S$863,"Oui")</f>
        <v/>
      </c>
      <c r="Q9" s="101">
        <f>SUMIFS(Planning!$H$4:$H$863,Planning!$A$4:$A$863,"S7",Planning!$M$4:$M$863,$A9,Planning!$S$4:$S$863,"Oui")</f>
        <v/>
      </c>
      <c r="R9" s="162">
        <f>SUM(K9:Q9)</f>
        <v/>
      </c>
      <c r="S9" s="10">
        <f>COUNTIFS(Planning!$M$4:$M$863,$A9,Planning!$Y$4:$Y$863,"⚠ CONFLIT")</f>
        <v/>
      </c>
    </row>
    <row r="10" ht="15" customHeight="1">
      <c r="A10" s="9" t="inlineStr">
        <is>
          <t>Bassma</t>
        </is>
      </c>
      <c r="B10" s="9" t="inlineStr">
        <is>
          <t>Anglais, Math, Éveil scientifique</t>
        </is>
      </c>
      <c r="C10" s="10">
        <f>COUNTIFS(Planning!$A$4:$A$863,"S1",Planning!$M$4:$M$863,$A10,Planning!$S$4:$S$863,"Oui")</f>
        <v/>
      </c>
      <c r="D10" s="10">
        <f>COUNTIFS(Planning!$A$4:$A$863,"S2",Planning!$M$4:$M$863,$A10,Planning!$S$4:$S$863,"Oui")</f>
        <v/>
      </c>
      <c r="E10" s="10">
        <f>COUNTIFS(Planning!$A$4:$A$863,"S3",Planning!$M$4:$M$863,$A10,Planning!$S$4:$S$863,"Oui")</f>
        <v/>
      </c>
      <c r="F10" s="10">
        <f>COUNTIFS(Planning!$A$4:$A$863,"S4",Planning!$M$4:$M$863,$A10,Planning!$S$4:$S$863,"Oui")</f>
        <v/>
      </c>
      <c r="G10" s="10">
        <f>COUNTIFS(Planning!$A$4:$A$863,"S5",Planning!$M$4:$M$863,$A10,Planning!$S$4:$S$863,"Oui")</f>
        <v/>
      </c>
      <c r="H10" s="10">
        <f>COUNTIFS(Planning!$A$4:$A$863,"S6",Planning!$M$4:$M$863,$A10,Planning!$S$4:$S$863,"Oui")</f>
        <v/>
      </c>
      <c r="I10" s="10">
        <f>COUNTIFS(Planning!$A$4:$A$863,"S7",Planning!$M$4:$M$863,$A10,Planning!$S$4:$S$863,"Oui")</f>
        <v/>
      </c>
      <c r="J10" s="161">
        <f>SUM(C10:I10)</f>
        <v/>
      </c>
      <c r="K10" s="101">
        <f>SUMIFS(Planning!$H$4:$H$863,Planning!$A$4:$A$863,"S1",Planning!$M$4:$M$863,$A10,Planning!$S$4:$S$863,"Oui")</f>
        <v/>
      </c>
      <c r="L10" s="101">
        <f>SUMIFS(Planning!$H$4:$H$863,Planning!$A$4:$A$863,"S2",Planning!$M$4:$M$863,$A10,Planning!$S$4:$S$863,"Oui")</f>
        <v/>
      </c>
      <c r="M10" s="101">
        <f>SUMIFS(Planning!$H$4:$H$863,Planning!$A$4:$A$863,"S3",Planning!$M$4:$M$863,$A10,Planning!$S$4:$S$863,"Oui")</f>
        <v/>
      </c>
      <c r="N10" s="101">
        <f>SUMIFS(Planning!$H$4:$H$863,Planning!$A$4:$A$863,"S4",Planning!$M$4:$M$863,$A10,Planning!$S$4:$S$863,"Oui")</f>
        <v/>
      </c>
      <c r="O10" s="101">
        <f>SUMIFS(Planning!$H$4:$H$863,Planning!$A$4:$A$863,"S5",Planning!$M$4:$M$863,$A10,Planning!$S$4:$S$863,"Oui")</f>
        <v/>
      </c>
      <c r="P10" s="101">
        <f>SUMIFS(Planning!$H$4:$H$863,Planning!$A$4:$A$863,"S6",Planning!$M$4:$M$863,$A10,Planning!$S$4:$S$863,"Oui")</f>
        <v/>
      </c>
      <c r="Q10" s="101">
        <f>SUMIFS(Planning!$H$4:$H$863,Planning!$A$4:$A$863,"S7",Planning!$M$4:$M$863,$A10,Planning!$S$4:$S$863,"Oui")</f>
        <v/>
      </c>
      <c r="R10" s="162">
        <f>SUM(K10:Q10)</f>
        <v/>
      </c>
      <c r="S10" s="10">
        <f>COUNTIFS(Planning!$M$4:$M$863,$A10,Planning!$Y$4:$Y$863,"⚠ CONFLIT")</f>
        <v/>
      </c>
    </row>
    <row r="11" ht="15" customHeight="1">
      <c r="A11" s="9" t="inlineStr">
        <is>
          <t>Faouzi</t>
        </is>
      </c>
      <c r="B11" s="9" t="inlineStr">
        <is>
          <t>Math</t>
        </is>
      </c>
      <c r="C11" s="10">
        <f>COUNTIFS(Planning!$A$4:$A$863,"S1",Planning!$M$4:$M$863,$A11,Planning!$S$4:$S$863,"Oui")</f>
        <v/>
      </c>
      <c r="D11" s="10">
        <f>COUNTIFS(Planning!$A$4:$A$863,"S2",Planning!$M$4:$M$863,$A11,Planning!$S$4:$S$863,"Oui")</f>
        <v/>
      </c>
      <c r="E11" s="10">
        <f>COUNTIFS(Planning!$A$4:$A$863,"S3",Planning!$M$4:$M$863,$A11,Planning!$S$4:$S$863,"Oui")</f>
        <v/>
      </c>
      <c r="F11" s="10">
        <f>COUNTIFS(Planning!$A$4:$A$863,"S4",Planning!$M$4:$M$863,$A11,Planning!$S$4:$S$863,"Oui")</f>
        <v/>
      </c>
      <c r="G11" s="10">
        <f>COUNTIFS(Planning!$A$4:$A$863,"S5",Planning!$M$4:$M$863,$A11,Planning!$S$4:$S$863,"Oui")</f>
        <v/>
      </c>
      <c r="H11" s="10">
        <f>COUNTIFS(Planning!$A$4:$A$863,"S6",Planning!$M$4:$M$863,$A11,Planning!$S$4:$S$863,"Oui")</f>
        <v/>
      </c>
      <c r="I11" s="10">
        <f>COUNTIFS(Planning!$A$4:$A$863,"S7",Planning!$M$4:$M$863,$A11,Planning!$S$4:$S$863,"Oui")</f>
        <v/>
      </c>
      <c r="J11" s="161">
        <f>SUM(C11:I11)</f>
        <v/>
      </c>
      <c r="K11" s="101">
        <f>SUMIFS(Planning!$H$4:$H$863,Planning!$A$4:$A$863,"S1",Planning!$M$4:$M$863,$A11,Planning!$S$4:$S$863,"Oui")</f>
        <v/>
      </c>
      <c r="L11" s="101">
        <f>SUMIFS(Planning!$H$4:$H$863,Planning!$A$4:$A$863,"S2",Planning!$M$4:$M$863,$A11,Planning!$S$4:$S$863,"Oui")</f>
        <v/>
      </c>
      <c r="M11" s="101">
        <f>SUMIFS(Planning!$H$4:$H$863,Planning!$A$4:$A$863,"S3",Planning!$M$4:$M$863,$A11,Planning!$S$4:$S$863,"Oui")</f>
        <v/>
      </c>
      <c r="N11" s="101">
        <f>SUMIFS(Planning!$H$4:$H$863,Planning!$A$4:$A$863,"S4",Planning!$M$4:$M$863,$A11,Planning!$S$4:$S$863,"Oui")</f>
        <v/>
      </c>
      <c r="O11" s="101">
        <f>SUMIFS(Planning!$H$4:$H$863,Planning!$A$4:$A$863,"S5",Planning!$M$4:$M$863,$A11,Planning!$S$4:$S$863,"Oui")</f>
        <v/>
      </c>
      <c r="P11" s="101">
        <f>SUMIFS(Planning!$H$4:$H$863,Planning!$A$4:$A$863,"S6",Planning!$M$4:$M$863,$A11,Planning!$S$4:$S$863,"Oui")</f>
        <v/>
      </c>
      <c r="Q11" s="101">
        <f>SUMIFS(Planning!$H$4:$H$863,Planning!$A$4:$A$863,"S7",Planning!$M$4:$M$863,$A11,Planning!$S$4:$S$863,"Oui")</f>
        <v/>
      </c>
      <c r="R11" s="162">
        <f>SUM(K11:Q11)</f>
        <v/>
      </c>
      <c r="S11" s="10">
        <f>COUNTIFS(Planning!$M$4:$M$863,$A11,Planning!$Y$4:$Y$863,"⚠ CONFLIT")</f>
        <v/>
      </c>
    </row>
    <row r="12" ht="15" customHeight="1">
      <c r="A12" s="9" t="inlineStr">
        <is>
          <t>Fayssel</t>
        </is>
      </c>
      <c r="B12" s="9" t="inlineStr">
        <is>
          <t>Philo</t>
        </is>
      </c>
      <c r="C12" s="10">
        <f>COUNTIFS(Planning!$A$4:$A$863,"S1",Planning!$M$4:$M$863,$A12,Planning!$S$4:$S$863,"Oui")</f>
        <v/>
      </c>
      <c r="D12" s="10">
        <f>COUNTIFS(Planning!$A$4:$A$863,"S2",Planning!$M$4:$M$863,$A12,Planning!$S$4:$S$863,"Oui")</f>
        <v/>
      </c>
      <c r="E12" s="10">
        <f>COUNTIFS(Planning!$A$4:$A$863,"S3",Planning!$M$4:$M$863,$A12,Planning!$S$4:$S$863,"Oui")</f>
        <v/>
      </c>
      <c r="F12" s="10">
        <f>COUNTIFS(Planning!$A$4:$A$863,"S4",Planning!$M$4:$M$863,$A12,Planning!$S$4:$S$863,"Oui")</f>
        <v/>
      </c>
      <c r="G12" s="10">
        <f>COUNTIFS(Planning!$A$4:$A$863,"S5",Planning!$M$4:$M$863,$A12,Planning!$S$4:$S$863,"Oui")</f>
        <v/>
      </c>
      <c r="H12" s="10">
        <f>COUNTIFS(Planning!$A$4:$A$863,"S6",Planning!$M$4:$M$863,$A12,Planning!$S$4:$S$863,"Oui")</f>
        <v/>
      </c>
      <c r="I12" s="10">
        <f>COUNTIFS(Planning!$A$4:$A$863,"S7",Planning!$M$4:$M$863,$A12,Planning!$S$4:$S$863,"Oui")</f>
        <v/>
      </c>
      <c r="J12" s="161">
        <f>SUM(C12:I12)</f>
        <v/>
      </c>
      <c r="K12" s="101">
        <f>SUMIFS(Planning!$H$4:$H$863,Planning!$A$4:$A$863,"S1",Planning!$M$4:$M$863,$A12,Planning!$S$4:$S$863,"Oui")</f>
        <v/>
      </c>
      <c r="L12" s="101">
        <f>SUMIFS(Planning!$H$4:$H$863,Planning!$A$4:$A$863,"S2",Planning!$M$4:$M$863,$A12,Planning!$S$4:$S$863,"Oui")</f>
        <v/>
      </c>
      <c r="M12" s="101">
        <f>SUMIFS(Planning!$H$4:$H$863,Planning!$A$4:$A$863,"S3",Planning!$M$4:$M$863,$A12,Planning!$S$4:$S$863,"Oui")</f>
        <v/>
      </c>
      <c r="N12" s="101">
        <f>SUMIFS(Planning!$H$4:$H$863,Planning!$A$4:$A$863,"S4",Planning!$M$4:$M$863,$A12,Planning!$S$4:$S$863,"Oui")</f>
        <v/>
      </c>
      <c r="O12" s="101">
        <f>SUMIFS(Planning!$H$4:$H$863,Planning!$A$4:$A$863,"S5",Planning!$M$4:$M$863,$A12,Planning!$S$4:$S$863,"Oui")</f>
        <v/>
      </c>
      <c r="P12" s="101">
        <f>SUMIFS(Planning!$H$4:$H$863,Planning!$A$4:$A$863,"S6",Planning!$M$4:$M$863,$A12,Planning!$S$4:$S$863,"Oui")</f>
        <v/>
      </c>
      <c r="Q12" s="101">
        <f>SUMIFS(Planning!$H$4:$H$863,Planning!$A$4:$A$863,"S7",Planning!$M$4:$M$863,$A12,Planning!$S$4:$S$863,"Oui")</f>
        <v/>
      </c>
      <c r="R12" s="162">
        <f>SUM(K12:Q12)</f>
        <v/>
      </c>
      <c r="S12" s="10">
        <f>COUNTIFS(Planning!$M$4:$M$863,$A12,Planning!$Y$4:$Y$863,"⚠ CONFLIT")</f>
        <v/>
      </c>
    </row>
    <row r="13" ht="15" customHeight="1">
      <c r="A13" s="9" t="inlineStr">
        <is>
          <t>Hajer</t>
        </is>
      </c>
      <c r="B13" s="9" t="inlineStr">
        <is>
          <t>Math</t>
        </is>
      </c>
      <c r="C13" s="10">
        <f>COUNTIFS(Planning!$A$4:$A$863,"S1",Planning!$M$4:$M$863,$A13,Planning!$S$4:$S$863,"Oui")</f>
        <v/>
      </c>
      <c r="D13" s="10">
        <f>COUNTIFS(Planning!$A$4:$A$863,"S2",Planning!$M$4:$M$863,$A13,Planning!$S$4:$S$863,"Oui")</f>
        <v/>
      </c>
      <c r="E13" s="10">
        <f>COUNTIFS(Planning!$A$4:$A$863,"S3",Planning!$M$4:$M$863,$A13,Planning!$S$4:$S$863,"Oui")</f>
        <v/>
      </c>
      <c r="F13" s="10">
        <f>COUNTIFS(Planning!$A$4:$A$863,"S4",Planning!$M$4:$M$863,$A13,Planning!$S$4:$S$863,"Oui")</f>
        <v/>
      </c>
      <c r="G13" s="10">
        <f>COUNTIFS(Planning!$A$4:$A$863,"S5",Planning!$M$4:$M$863,$A13,Planning!$S$4:$S$863,"Oui")</f>
        <v/>
      </c>
      <c r="H13" s="10">
        <f>COUNTIFS(Planning!$A$4:$A$863,"S6",Planning!$M$4:$M$863,$A13,Planning!$S$4:$S$863,"Oui")</f>
        <v/>
      </c>
      <c r="I13" s="10">
        <f>COUNTIFS(Planning!$A$4:$A$863,"S7",Planning!$M$4:$M$863,$A13,Planning!$S$4:$S$863,"Oui")</f>
        <v/>
      </c>
      <c r="J13" s="161">
        <f>SUM(C13:I13)</f>
        <v/>
      </c>
      <c r="K13" s="101">
        <f>SUMIFS(Planning!$H$4:$H$863,Planning!$A$4:$A$863,"S1",Planning!$M$4:$M$863,$A13,Planning!$S$4:$S$863,"Oui")</f>
        <v/>
      </c>
      <c r="L13" s="101">
        <f>SUMIFS(Planning!$H$4:$H$863,Planning!$A$4:$A$863,"S2",Planning!$M$4:$M$863,$A13,Planning!$S$4:$S$863,"Oui")</f>
        <v/>
      </c>
      <c r="M13" s="101">
        <f>SUMIFS(Planning!$H$4:$H$863,Planning!$A$4:$A$863,"S3",Planning!$M$4:$M$863,$A13,Planning!$S$4:$S$863,"Oui")</f>
        <v/>
      </c>
      <c r="N13" s="101">
        <f>SUMIFS(Planning!$H$4:$H$863,Planning!$A$4:$A$863,"S4",Planning!$M$4:$M$863,$A13,Planning!$S$4:$S$863,"Oui")</f>
        <v/>
      </c>
      <c r="O13" s="101">
        <f>SUMIFS(Planning!$H$4:$H$863,Planning!$A$4:$A$863,"S5",Planning!$M$4:$M$863,$A13,Planning!$S$4:$S$863,"Oui")</f>
        <v/>
      </c>
      <c r="P13" s="101">
        <f>SUMIFS(Planning!$H$4:$H$863,Planning!$A$4:$A$863,"S6",Planning!$M$4:$M$863,$A13,Planning!$S$4:$S$863,"Oui")</f>
        <v/>
      </c>
      <c r="Q13" s="101">
        <f>SUMIFS(Planning!$H$4:$H$863,Planning!$A$4:$A$863,"S7",Planning!$M$4:$M$863,$A13,Planning!$S$4:$S$863,"Oui")</f>
        <v/>
      </c>
      <c r="R13" s="162">
        <f>SUM(K13:Q13)</f>
        <v/>
      </c>
      <c r="S13" s="10">
        <f>COUNTIFS(Planning!$M$4:$M$863,$A13,Planning!$Y$4:$Y$863,"⚠ CONFLIT")</f>
        <v/>
      </c>
    </row>
    <row r="14" ht="15" customHeight="1">
      <c r="A14" s="9" t="inlineStr">
        <is>
          <t>Haythem</t>
        </is>
      </c>
      <c r="B14" s="9" t="inlineStr">
        <is>
          <t>Math</t>
        </is>
      </c>
      <c r="C14" s="10">
        <f>COUNTIFS(Planning!$A$4:$A$863,"S1",Planning!$M$4:$M$863,$A14,Planning!$S$4:$S$863,"Oui")</f>
        <v/>
      </c>
      <c r="D14" s="10">
        <f>COUNTIFS(Planning!$A$4:$A$863,"S2",Planning!$M$4:$M$863,$A14,Planning!$S$4:$S$863,"Oui")</f>
        <v/>
      </c>
      <c r="E14" s="10">
        <f>COUNTIFS(Planning!$A$4:$A$863,"S3",Planning!$M$4:$M$863,$A14,Planning!$S$4:$S$863,"Oui")</f>
        <v/>
      </c>
      <c r="F14" s="10">
        <f>COUNTIFS(Planning!$A$4:$A$863,"S4",Planning!$M$4:$M$863,$A14,Planning!$S$4:$S$863,"Oui")</f>
        <v/>
      </c>
      <c r="G14" s="10">
        <f>COUNTIFS(Planning!$A$4:$A$863,"S5",Planning!$M$4:$M$863,$A14,Planning!$S$4:$S$863,"Oui")</f>
        <v/>
      </c>
      <c r="H14" s="10">
        <f>COUNTIFS(Planning!$A$4:$A$863,"S6",Planning!$M$4:$M$863,$A14,Planning!$S$4:$S$863,"Oui")</f>
        <v/>
      </c>
      <c r="I14" s="10">
        <f>COUNTIFS(Planning!$A$4:$A$863,"S7",Planning!$M$4:$M$863,$A14,Planning!$S$4:$S$863,"Oui")</f>
        <v/>
      </c>
      <c r="J14" s="161">
        <f>SUM(C14:I14)</f>
        <v/>
      </c>
      <c r="K14" s="101">
        <f>SUMIFS(Planning!$H$4:$H$863,Planning!$A$4:$A$863,"S1",Planning!$M$4:$M$863,$A14,Planning!$S$4:$S$863,"Oui")</f>
        <v/>
      </c>
      <c r="L14" s="101">
        <f>SUMIFS(Planning!$H$4:$H$863,Planning!$A$4:$A$863,"S2",Planning!$M$4:$M$863,$A14,Planning!$S$4:$S$863,"Oui")</f>
        <v/>
      </c>
      <c r="M14" s="101">
        <f>SUMIFS(Planning!$H$4:$H$863,Planning!$A$4:$A$863,"S3",Planning!$M$4:$M$863,$A14,Planning!$S$4:$S$863,"Oui")</f>
        <v/>
      </c>
      <c r="N14" s="101">
        <f>SUMIFS(Planning!$H$4:$H$863,Planning!$A$4:$A$863,"S4",Planning!$M$4:$M$863,$A14,Planning!$S$4:$S$863,"Oui")</f>
        <v/>
      </c>
      <c r="O14" s="101">
        <f>SUMIFS(Planning!$H$4:$H$863,Planning!$A$4:$A$863,"S5",Planning!$M$4:$M$863,$A14,Planning!$S$4:$S$863,"Oui")</f>
        <v/>
      </c>
      <c r="P14" s="101">
        <f>SUMIFS(Planning!$H$4:$H$863,Planning!$A$4:$A$863,"S6",Planning!$M$4:$M$863,$A14,Planning!$S$4:$S$863,"Oui")</f>
        <v/>
      </c>
      <c r="Q14" s="101">
        <f>SUMIFS(Planning!$H$4:$H$863,Planning!$A$4:$A$863,"S7",Planning!$M$4:$M$863,$A14,Planning!$S$4:$S$863,"Oui")</f>
        <v/>
      </c>
      <c r="R14" s="162">
        <f>SUM(K14:Q14)</f>
        <v/>
      </c>
      <c r="S14" s="10">
        <f>COUNTIFS(Planning!$M$4:$M$863,$A14,Planning!$Y$4:$Y$863,"⚠ CONFLIT")</f>
        <v/>
      </c>
    </row>
    <row r="15" ht="15" customHeight="1">
      <c r="A15" s="9" t="inlineStr">
        <is>
          <t>Hend</t>
        </is>
      </c>
      <c r="B15" s="9" t="inlineStr">
        <is>
          <t>Français</t>
        </is>
      </c>
      <c r="C15" s="10">
        <f>COUNTIFS(Planning!$A$4:$A$863,"S1",Planning!$M$4:$M$863,$A15,Planning!$S$4:$S$863,"Oui")</f>
        <v/>
      </c>
      <c r="D15" s="10">
        <f>COUNTIFS(Planning!$A$4:$A$863,"S2",Planning!$M$4:$M$863,$A15,Planning!$S$4:$S$863,"Oui")</f>
        <v/>
      </c>
      <c r="E15" s="10">
        <f>COUNTIFS(Planning!$A$4:$A$863,"S3",Planning!$M$4:$M$863,$A15,Planning!$S$4:$S$863,"Oui")</f>
        <v/>
      </c>
      <c r="F15" s="10">
        <f>COUNTIFS(Planning!$A$4:$A$863,"S4",Planning!$M$4:$M$863,$A15,Planning!$S$4:$S$863,"Oui")</f>
        <v/>
      </c>
      <c r="G15" s="10">
        <f>COUNTIFS(Planning!$A$4:$A$863,"S5",Planning!$M$4:$M$863,$A15,Planning!$S$4:$S$863,"Oui")</f>
        <v/>
      </c>
      <c r="H15" s="10">
        <f>COUNTIFS(Planning!$A$4:$A$863,"S6",Planning!$M$4:$M$863,$A15,Planning!$S$4:$S$863,"Oui")</f>
        <v/>
      </c>
      <c r="I15" s="10">
        <f>COUNTIFS(Planning!$A$4:$A$863,"S7",Planning!$M$4:$M$863,$A15,Planning!$S$4:$S$863,"Oui")</f>
        <v/>
      </c>
      <c r="J15" s="161">
        <f>SUM(C15:I15)</f>
        <v/>
      </c>
      <c r="K15" s="101">
        <f>SUMIFS(Planning!$H$4:$H$863,Planning!$A$4:$A$863,"S1",Planning!$M$4:$M$863,$A15,Planning!$S$4:$S$863,"Oui")</f>
        <v/>
      </c>
      <c r="L15" s="101">
        <f>SUMIFS(Planning!$H$4:$H$863,Planning!$A$4:$A$863,"S2",Planning!$M$4:$M$863,$A15,Planning!$S$4:$S$863,"Oui")</f>
        <v/>
      </c>
      <c r="M15" s="101">
        <f>SUMIFS(Planning!$H$4:$H$863,Planning!$A$4:$A$863,"S3",Planning!$M$4:$M$863,$A15,Planning!$S$4:$S$863,"Oui")</f>
        <v/>
      </c>
      <c r="N15" s="101">
        <f>SUMIFS(Planning!$H$4:$H$863,Planning!$A$4:$A$863,"S4",Planning!$M$4:$M$863,$A15,Planning!$S$4:$S$863,"Oui")</f>
        <v/>
      </c>
      <c r="O15" s="101">
        <f>SUMIFS(Planning!$H$4:$H$863,Planning!$A$4:$A$863,"S5",Planning!$M$4:$M$863,$A15,Planning!$S$4:$S$863,"Oui")</f>
        <v/>
      </c>
      <c r="P15" s="101">
        <f>SUMIFS(Planning!$H$4:$H$863,Planning!$A$4:$A$863,"S6",Planning!$M$4:$M$863,$A15,Planning!$S$4:$S$863,"Oui")</f>
        <v/>
      </c>
      <c r="Q15" s="101">
        <f>SUMIFS(Planning!$H$4:$H$863,Planning!$A$4:$A$863,"S7",Planning!$M$4:$M$863,$A15,Planning!$S$4:$S$863,"Oui")</f>
        <v/>
      </c>
      <c r="R15" s="162">
        <f>SUM(K15:Q15)</f>
        <v/>
      </c>
      <c r="S15" s="10">
        <f>COUNTIFS(Planning!$M$4:$M$863,$A15,Planning!$Y$4:$Y$863,"⚠ CONFLIT")</f>
        <v/>
      </c>
    </row>
    <row r="16" ht="15" customHeight="1">
      <c r="A16" s="9" t="inlineStr">
        <is>
          <t>Heni</t>
        </is>
      </c>
      <c r="B16" s="9" t="inlineStr">
        <is>
          <t>ALGO</t>
        </is>
      </c>
      <c r="C16" s="10">
        <f>COUNTIFS(Planning!$A$4:$A$863,"S1",Planning!$M$4:$M$863,$A16,Planning!$S$4:$S$863,"Oui")</f>
        <v/>
      </c>
      <c r="D16" s="10">
        <f>COUNTIFS(Planning!$A$4:$A$863,"S2",Planning!$M$4:$M$863,$A16,Planning!$S$4:$S$863,"Oui")</f>
        <v/>
      </c>
      <c r="E16" s="10">
        <f>COUNTIFS(Planning!$A$4:$A$863,"S3",Planning!$M$4:$M$863,$A16,Planning!$S$4:$S$863,"Oui")</f>
        <v/>
      </c>
      <c r="F16" s="10">
        <f>COUNTIFS(Planning!$A$4:$A$863,"S4",Planning!$M$4:$M$863,$A16,Planning!$S$4:$S$863,"Oui")</f>
        <v/>
      </c>
      <c r="G16" s="10">
        <f>COUNTIFS(Planning!$A$4:$A$863,"S5",Planning!$M$4:$M$863,$A16,Planning!$S$4:$S$863,"Oui")</f>
        <v/>
      </c>
      <c r="H16" s="10">
        <f>COUNTIFS(Planning!$A$4:$A$863,"S6",Planning!$M$4:$M$863,$A16,Planning!$S$4:$S$863,"Oui")</f>
        <v/>
      </c>
      <c r="I16" s="10">
        <f>COUNTIFS(Planning!$A$4:$A$863,"S7",Planning!$M$4:$M$863,$A16,Planning!$S$4:$S$863,"Oui")</f>
        <v/>
      </c>
      <c r="J16" s="161">
        <f>SUM(C16:I16)</f>
        <v/>
      </c>
      <c r="K16" s="101">
        <f>SUMIFS(Planning!$H$4:$H$863,Planning!$A$4:$A$863,"S1",Planning!$M$4:$M$863,$A16,Planning!$S$4:$S$863,"Oui")</f>
        <v/>
      </c>
      <c r="L16" s="101">
        <f>SUMIFS(Planning!$H$4:$H$863,Planning!$A$4:$A$863,"S2",Planning!$M$4:$M$863,$A16,Planning!$S$4:$S$863,"Oui")</f>
        <v/>
      </c>
      <c r="M16" s="101">
        <f>SUMIFS(Planning!$H$4:$H$863,Planning!$A$4:$A$863,"S3",Planning!$M$4:$M$863,$A16,Planning!$S$4:$S$863,"Oui")</f>
        <v/>
      </c>
      <c r="N16" s="101">
        <f>SUMIFS(Planning!$H$4:$H$863,Planning!$A$4:$A$863,"S4",Planning!$M$4:$M$863,$A16,Planning!$S$4:$S$863,"Oui")</f>
        <v/>
      </c>
      <c r="O16" s="101">
        <f>SUMIFS(Planning!$H$4:$H$863,Planning!$A$4:$A$863,"S5",Planning!$M$4:$M$863,$A16,Planning!$S$4:$S$863,"Oui")</f>
        <v/>
      </c>
      <c r="P16" s="101">
        <f>SUMIFS(Planning!$H$4:$H$863,Planning!$A$4:$A$863,"S6",Planning!$M$4:$M$863,$A16,Planning!$S$4:$S$863,"Oui")</f>
        <v/>
      </c>
      <c r="Q16" s="101">
        <f>SUMIFS(Planning!$H$4:$H$863,Planning!$A$4:$A$863,"S7",Planning!$M$4:$M$863,$A16,Planning!$S$4:$S$863,"Oui")</f>
        <v/>
      </c>
      <c r="R16" s="162">
        <f>SUM(K16:Q16)</f>
        <v/>
      </c>
      <c r="S16" s="10">
        <f>COUNTIFS(Planning!$M$4:$M$863,$A16,Planning!$Y$4:$Y$863,"⚠ CONFLIT")</f>
        <v/>
      </c>
    </row>
    <row r="17" ht="15" customHeight="1">
      <c r="A17" s="9" t="inlineStr">
        <is>
          <t>Imen</t>
        </is>
      </c>
      <c r="B17" s="9" t="inlineStr">
        <is>
          <t>Espagnol</t>
        </is>
      </c>
      <c r="C17" s="10">
        <f>COUNTIFS(Planning!$A$4:$A$863,"S1",Planning!$M$4:$M$863,$A17,Planning!$S$4:$S$863,"Oui")</f>
        <v/>
      </c>
      <c r="D17" s="10">
        <f>COUNTIFS(Planning!$A$4:$A$863,"S2",Planning!$M$4:$M$863,$A17,Planning!$S$4:$S$863,"Oui")</f>
        <v/>
      </c>
      <c r="E17" s="10">
        <f>COUNTIFS(Planning!$A$4:$A$863,"S3",Planning!$M$4:$M$863,$A17,Planning!$S$4:$S$863,"Oui")</f>
        <v/>
      </c>
      <c r="F17" s="10">
        <f>COUNTIFS(Planning!$A$4:$A$863,"S4",Planning!$M$4:$M$863,$A17,Planning!$S$4:$S$863,"Oui")</f>
        <v/>
      </c>
      <c r="G17" s="10">
        <f>COUNTIFS(Planning!$A$4:$A$863,"S5",Planning!$M$4:$M$863,$A17,Planning!$S$4:$S$863,"Oui")</f>
        <v/>
      </c>
      <c r="H17" s="10">
        <f>COUNTIFS(Planning!$A$4:$A$863,"S6",Planning!$M$4:$M$863,$A17,Planning!$S$4:$S$863,"Oui")</f>
        <v/>
      </c>
      <c r="I17" s="10">
        <f>COUNTIFS(Planning!$A$4:$A$863,"S7",Planning!$M$4:$M$863,$A17,Planning!$S$4:$S$863,"Oui")</f>
        <v/>
      </c>
      <c r="J17" s="161">
        <f>SUM(C17:I17)</f>
        <v/>
      </c>
      <c r="K17" s="101">
        <f>SUMIFS(Planning!$H$4:$H$863,Planning!$A$4:$A$863,"S1",Planning!$M$4:$M$863,$A17,Planning!$S$4:$S$863,"Oui")</f>
        <v/>
      </c>
      <c r="L17" s="101">
        <f>SUMIFS(Planning!$H$4:$H$863,Planning!$A$4:$A$863,"S2",Planning!$M$4:$M$863,$A17,Planning!$S$4:$S$863,"Oui")</f>
        <v/>
      </c>
      <c r="M17" s="101">
        <f>SUMIFS(Planning!$H$4:$H$863,Planning!$A$4:$A$863,"S3",Planning!$M$4:$M$863,$A17,Planning!$S$4:$S$863,"Oui")</f>
        <v/>
      </c>
      <c r="N17" s="101">
        <f>SUMIFS(Planning!$H$4:$H$863,Planning!$A$4:$A$863,"S4",Planning!$M$4:$M$863,$A17,Planning!$S$4:$S$863,"Oui")</f>
        <v/>
      </c>
      <c r="O17" s="101">
        <f>SUMIFS(Planning!$H$4:$H$863,Planning!$A$4:$A$863,"S5",Planning!$M$4:$M$863,$A17,Planning!$S$4:$S$863,"Oui")</f>
        <v/>
      </c>
      <c r="P17" s="101">
        <f>SUMIFS(Planning!$H$4:$H$863,Planning!$A$4:$A$863,"S6",Planning!$M$4:$M$863,$A17,Planning!$S$4:$S$863,"Oui")</f>
        <v/>
      </c>
      <c r="Q17" s="101">
        <f>SUMIFS(Planning!$H$4:$H$863,Planning!$A$4:$A$863,"S7",Planning!$M$4:$M$863,$A17,Planning!$S$4:$S$863,"Oui")</f>
        <v/>
      </c>
      <c r="R17" s="162">
        <f>SUM(K17:Q17)</f>
        <v/>
      </c>
      <c r="S17" s="10">
        <f>COUNTIFS(Planning!$M$4:$M$863,$A17,Planning!$Y$4:$Y$863,"⚠ CONFLIT")</f>
        <v/>
      </c>
    </row>
    <row r="18" ht="15" customHeight="1">
      <c r="A18" s="9" t="inlineStr">
        <is>
          <t>Imen Ben Lazrak</t>
        </is>
      </c>
      <c r="B18" s="9" t="inlineStr">
        <is>
          <t>Anglais</t>
        </is>
      </c>
      <c r="C18" s="10">
        <f>COUNTIFS(Planning!$A$4:$A$863,"S1",Planning!$M$4:$M$863,$A18,Planning!$S$4:$S$863,"Oui")</f>
        <v/>
      </c>
      <c r="D18" s="10">
        <f>COUNTIFS(Planning!$A$4:$A$863,"S2",Planning!$M$4:$M$863,$A18,Planning!$S$4:$S$863,"Oui")</f>
        <v/>
      </c>
      <c r="E18" s="10">
        <f>COUNTIFS(Planning!$A$4:$A$863,"S3",Planning!$M$4:$M$863,$A18,Planning!$S$4:$S$863,"Oui")</f>
        <v/>
      </c>
      <c r="F18" s="10">
        <f>COUNTIFS(Planning!$A$4:$A$863,"S4",Planning!$M$4:$M$863,$A18,Planning!$S$4:$S$863,"Oui")</f>
        <v/>
      </c>
      <c r="G18" s="10">
        <f>COUNTIFS(Planning!$A$4:$A$863,"S5",Planning!$M$4:$M$863,$A18,Planning!$S$4:$S$863,"Oui")</f>
        <v/>
      </c>
      <c r="H18" s="10">
        <f>COUNTIFS(Planning!$A$4:$A$863,"S6",Planning!$M$4:$M$863,$A18,Planning!$S$4:$S$863,"Oui")</f>
        <v/>
      </c>
      <c r="I18" s="10">
        <f>COUNTIFS(Planning!$A$4:$A$863,"S7",Planning!$M$4:$M$863,$A18,Planning!$S$4:$S$863,"Oui")</f>
        <v/>
      </c>
      <c r="J18" s="161">
        <f>SUM(C18:I18)</f>
        <v/>
      </c>
      <c r="K18" s="101">
        <f>SUMIFS(Planning!$H$4:$H$863,Planning!$A$4:$A$863,"S1",Planning!$M$4:$M$863,$A18,Planning!$S$4:$S$863,"Oui")</f>
        <v/>
      </c>
      <c r="L18" s="101">
        <f>SUMIFS(Planning!$H$4:$H$863,Planning!$A$4:$A$863,"S2",Planning!$M$4:$M$863,$A18,Planning!$S$4:$S$863,"Oui")</f>
        <v/>
      </c>
      <c r="M18" s="101">
        <f>SUMIFS(Planning!$H$4:$H$863,Planning!$A$4:$A$863,"S3",Planning!$M$4:$M$863,$A18,Planning!$S$4:$S$863,"Oui")</f>
        <v/>
      </c>
      <c r="N18" s="101">
        <f>SUMIFS(Planning!$H$4:$H$863,Planning!$A$4:$A$863,"S4",Planning!$M$4:$M$863,$A18,Planning!$S$4:$S$863,"Oui")</f>
        <v/>
      </c>
      <c r="O18" s="101">
        <f>SUMIFS(Planning!$H$4:$H$863,Planning!$A$4:$A$863,"S5",Planning!$M$4:$M$863,$A18,Planning!$S$4:$S$863,"Oui")</f>
        <v/>
      </c>
      <c r="P18" s="101">
        <f>SUMIFS(Planning!$H$4:$H$863,Planning!$A$4:$A$863,"S6",Planning!$M$4:$M$863,$A18,Planning!$S$4:$S$863,"Oui")</f>
        <v/>
      </c>
      <c r="Q18" s="101">
        <f>SUMIFS(Planning!$H$4:$H$863,Planning!$A$4:$A$863,"S7",Planning!$M$4:$M$863,$A18,Planning!$S$4:$S$863,"Oui")</f>
        <v/>
      </c>
      <c r="R18" s="162">
        <f>SUM(K18:Q18)</f>
        <v/>
      </c>
      <c r="S18" s="10">
        <f>COUNTIFS(Planning!$M$4:$M$863,$A18,Planning!$Y$4:$Y$863,"⚠ CONFLIT")</f>
        <v/>
      </c>
    </row>
    <row r="19" ht="15" customHeight="1">
      <c r="A19" s="9" t="inlineStr">
        <is>
          <t>Imen Bennour</t>
        </is>
      </c>
      <c r="B19" s="9" t="inlineStr">
        <is>
          <t>Anglais</t>
        </is>
      </c>
      <c r="C19" s="10">
        <f>COUNTIFS(Planning!$A$4:$A$863,"S1",Planning!$M$4:$M$863,$A19,Planning!$S$4:$S$863,"Oui")</f>
        <v/>
      </c>
      <c r="D19" s="10">
        <f>COUNTIFS(Planning!$A$4:$A$863,"S2",Planning!$M$4:$M$863,$A19,Planning!$S$4:$S$863,"Oui")</f>
        <v/>
      </c>
      <c r="E19" s="10">
        <f>COUNTIFS(Planning!$A$4:$A$863,"S3",Planning!$M$4:$M$863,$A19,Planning!$S$4:$S$863,"Oui")</f>
        <v/>
      </c>
      <c r="F19" s="10">
        <f>COUNTIFS(Planning!$A$4:$A$863,"S4",Planning!$M$4:$M$863,$A19,Planning!$S$4:$S$863,"Oui")</f>
        <v/>
      </c>
      <c r="G19" s="10">
        <f>COUNTIFS(Planning!$A$4:$A$863,"S5",Planning!$M$4:$M$863,$A19,Planning!$S$4:$S$863,"Oui")</f>
        <v/>
      </c>
      <c r="H19" s="10">
        <f>COUNTIFS(Planning!$A$4:$A$863,"S6",Planning!$M$4:$M$863,$A19,Planning!$S$4:$S$863,"Oui")</f>
        <v/>
      </c>
      <c r="I19" s="10">
        <f>COUNTIFS(Planning!$A$4:$A$863,"S7",Planning!$M$4:$M$863,$A19,Planning!$S$4:$S$863,"Oui")</f>
        <v/>
      </c>
      <c r="J19" s="161">
        <f>SUM(C19:I19)</f>
        <v/>
      </c>
      <c r="K19" s="101">
        <f>SUMIFS(Planning!$H$4:$H$863,Planning!$A$4:$A$863,"S1",Planning!$M$4:$M$863,$A19,Planning!$S$4:$S$863,"Oui")</f>
        <v/>
      </c>
      <c r="L19" s="101">
        <f>SUMIFS(Planning!$H$4:$H$863,Planning!$A$4:$A$863,"S2",Planning!$M$4:$M$863,$A19,Planning!$S$4:$S$863,"Oui")</f>
        <v/>
      </c>
      <c r="M19" s="101">
        <f>SUMIFS(Planning!$H$4:$H$863,Planning!$A$4:$A$863,"S3",Planning!$M$4:$M$863,$A19,Planning!$S$4:$S$863,"Oui")</f>
        <v/>
      </c>
      <c r="N19" s="101">
        <f>SUMIFS(Planning!$H$4:$H$863,Planning!$A$4:$A$863,"S4",Planning!$M$4:$M$863,$A19,Planning!$S$4:$S$863,"Oui")</f>
        <v/>
      </c>
      <c r="O19" s="101">
        <f>SUMIFS(Planning!$H$4:$H$863,Planning!$A$4:$A$863,"S5",Planning!$M$4:$M$863,$A19,Planning!$S$4:$S$863,"Oui")</f>
        <v/>
      </c>
      <c r="P19" s="101">
        <f>SUMIFS(Planning!$H$4:$H$863,Planning!$A$4:$A$863,"S6",Planning!$M$4:$M$863,$A19,Planning!$S$4:$S$863,"Oui")</f>
        <v/>
      </c>
      <c r="Q19" s="101">
        <f>SUMIFS(Planning!$H$4:$H$863,Planning!$A$4:$A$863,"S7",Planning!$M$4:$M$863,$A19,Planning!$S$4:$S$863,"Oui")</f>
        <v/>
      </c>
      <c r="R19" s="162">
        <f>SUM(K19:Q19)</f>
        <v/>
      </c>
      <c r="S19" s="10">
        <f>COUNTIFS(Planning!$M$4:$M$863,$A19,Planning!$Y$4:$Y$863,"⚠ CONFLIT")</f>
        <v/>
      </c>
    </row>
    <row r="20" ht="15" customHeight="1">
      <c r="A20" s="9" t="inlineStr">
        <is>
          <t>Imen Ghoumem</t>
        </is>
      </c>
      <c r="B20" s="9" t="inlineStr">
        <is>
          <t>SVT</t>
        </is>
      </c>
      <c r="C20" s="10">
        <f>COUNTIFS(Planning!$A$4:$A$863,"S1",Planning!$M$4:$M$863,$A20,Planning!$S$4:$S$863,"Oui")</f>
        <v/>
      </c>
      <c r="D20" s="10">
        <f>COUNTIFS(Planning!$A$4:$A$863,"S2",Planning!$M$4:$M$863,$A20,Planning!$S$4:$S$863,"Oui")</f>
        <v/>
      </c>
      <c r="E20" s="10">
        <f>COUNTIFS(Planning!$A$4:$A$863,"S3",Planning!$M$4:$M$863,$A20,Planning!$S$4:$S$863,"Oui")</f>
        <v/>
      </c>
      <c r="F20" s="10">
        <f>COUNTIFS(Planning!$A$4:$A$863,"S4",Planning!$M$4:$M$863,$A20,Planning!$S$4:$S$863,"Oui")</f>
        <v/>
      </c>
      <c r="G20" s="10">
        <f>COUNTIFS(Planning!$A$4:$A$863,"S5",Planning!$M$4:$M$863,$A20,Planning!$S$4:$S$863,"Oui")</f>
        <v/>
      </c>
      <c r="H20" s="10">
        <f>COUNTIFS(Planning!$A$4:$A$863,"S6",Planning!$M$4:$M$863,$A20,Planning!$S$4:$S$863,"Oui")</f>
        <v/>
      </c>
      <c r="I20" s="10">
        <f>COUNTIFS(Planning!$A$4:$A$863,"S7",Planning!$M$4:$M$863,$A20,Planning!$S$4:$S$863,"Oui")</f>
        <v/>
      </c>
      <c r="J20" s="161">
        <f>SUM(C20:I20)</f>
        <v/>
      </c>
      <c r="K20" s="101">
        <f>SUMIFS(Planning!$H$4:$H$863,Planning!$A$4:$A$863,"S1",Planning!$M$4:$M$863,$A20,Planning!$S$4:$S$863,"Oui")</f>
        <v/>
      </c>
      <c r="L20" s="101">
        <f>SUMIFS(Planning!$H$4:$H$863,Planning!$A$4:$A$863,"S2",Planning!$M$4:$M$863,$A20,Planning!$S$4:$S$863,"Oui")</f>
        <v/>
      </c>
      <c r="M20" s="101">
        <f>SUMIFS(Planning!$H$4:$H$863,Planning!$A$4:$A$863,"S3",Planning!$M$4:$M$863,$A20,Planning!$S$4:$S$863,"Oui")</f>
        <v/>
      </c>
      <c r="N20" s="101">
        <f>SUMIFS(Planning!$H$4:$H$863,Planning!$A$4:$A$863,"S4",Planning!$M$4:$M$863,$A20,Planning!$S$4:$S$863,"Oui")</f>
        <v/>
      </c>
      <c r="O20" s="101">
        <f>SUMIFS(Planning!$H$4:$H$863,Planning!$A$4:$A$863,"S5",Planning!$M$4:$M$863,$A20,Planning!$S$4:$S$863,"Oui")</f>
        <v/>
      </c>
      <c r="P20" s="101">
        <f>SUMIFS(Planning!$H$4:$H$863,Planning!$A$4:$A$863,"S6",Planning!$M$4:$M$863,$A20,Planning!$S$4:$S$863,"Oui")</f>
        <v/>
      </c>
      <c r="Q20" s="101">
        <f>SUMIFS(Planning!$H$4:$H$863,Planning!$A$4:$A$863,"S7",Planning!$M$4:$M$863,$A20,Planning!$S$4:$S$863,"Oui")</f>
        <v/>
      </c>
      <c r="R20" s="162">
        <f>SUM(K20:Q20)</f>
        <v/>
      </c>
      <c r="S20" s="10">
        <f>COUNTIFS(Planning!$M$4:$M$863,$A20,Planning!$Y$4:$Y$863,"⚠ CONFLIT")</f>
        <v/>
      </c>
    </row>
    <row r="21" ht="15" customHeight="1">
      <c r="A21" s="9" t="inlineStr">
        <is>
          <t>Imen Ghoumeme</t>
        </is>
      </c>
      <c r="B21" s="9" t="inlineStr">
        <is>
          <t>SVT</t>
        </is>
      </c>
      <c r="C21" s="10">
        <f>COUNTIFS(Planning!$A$4:$A$863,"S1",Planning!$M$4:$M$863,$A21,Planning!$S$4:$S$863,"Oui")</f>
        <v/>
      </c>
      <c r="D21" s="10">
        <f>COUNTIFS(Planning!$A$4:$A$863,"S2",Planning!$M$4:$M$863,$A21,Planning!$S$4:$S$863,"Oui")</f>
        <v/>
      </c>
      <c r="E21" s="10">
        <f>COUNTIFS(Planning!$A$4:$A$863,"S3",Planning!$M$4:$M$863,$A21,Planning!$S$4:$S$863,"Oui")</f>
        <v/>
      </c>
      <c r="F21" s="10">
        <f>COUNTIFS(Planning!$A$4:$A$863,"S4",Planning!$M$4:$M$863,$A21,Planning!$S$4:$S$863,"Oui")</f>
        <v/>
      </c>
      <c r="G21" s="10">
        <f>COUNTIFS(Planning!$A$4:$A$863,"S5",Planning!$M$4:$M$863,$A21,Planning!$S$4:$S$863,"Oui")</f>
        <v/>
      </c>
      <c r="H21" s="10">
        <f>COUNTIFS(Planning!$A$4:$A$863,"S6",Planning!$M$4:$M$863,$A21,Planning!$S$4:$S$863,"Oui")</f>
        <v/>
      </c>
      <c r="I21" s="10">
        <f>COUNTIFS(Planning!$A$4:$A$863,"S7",Planning!$M$4:$M$863,$A21,Planning!$S$4:$S$863,"Oui")</f>
        <v/>
      </c>
      <c r="J21" s="161">
        <f>SUM(C21:I21)</f>
        <v/>
      </c>
      <c r="K21" s="101">
        <f>SUMIFS(Planning!$H$4:$H$863,Planning!$A$4:$A$863,"S1",Planning!$M$4:$M$863,$A21,Planning!$S$4:$S$863,"Oui")</f>
        <v/>
      </c>
      <c r="L21" s="101">
        <f>SUMIFS(Planning!$H$4:$H$863,Planning!$A$4:$A$863,"S2",Planning!$M$4:$M$863,$A21,Planning!$S$4:$S$863,"Oui")</f>
        <v/>
      </c>
      <c r="M21" s="101">
        <f>SUMIFS(Planning!$H$4:$H$863,Planning!$A$4:$A$863,"S3",Planning!$M$4:$M$863,$A21,Planning!$S$4:$S$863,"Oui")</f>
        <v/>
      </c>
      <c r="N21" s="101">
        <f>SUMIFS(Planning!$H$4:$H$863,Planning!$A$4:$A$863,"S4",Planning!$M$4:$M$863,$A21,Planning!$S$4:$S$863,"Oui")</f>
        <v/>
      </c>
      <c r="O21" s="101">
        <f>SUMIFS(Planning!$H$4:$H$863,Planning!$A$4:$A$863,"S5",Planning!$M$4:$M$863,$A21,Planning!$S$4:$S$863,"Oui")</f>
        <v/>
      </c>
      <c r="P21" s="101">
        <f>SUMIFS(Planning!$H$4:$H$863,Planning!$A$4:$A$863,"S6",Planning!$M$4:$M$863,$A21,Planning!$S$4:$S$863,"Oui")</f>
        <v/>
      </c>
      <c r="Q21" s="101">
        <f>SUMIFS(Planning!$H$4:$H$863,Planning!$A$4:$A$863,"S7",Planning!$M$4:$M$863,$A21,Planning!$S$4:$S$863,"Oui")</f>
        <v/>
      </c>
      <c r="R21" s="162">
        <f>SUM(K21:Q21)</f>
        <v/>
      </c>
      <c r="S21" s="10">
        <f>COUNTIFS(Planning!$M$4:$M$863,$A21,Planning!$Y$4:$Y$863,"⚠ CONFLIT")</f>
        <v/>
      </c>
    </row>
    <row r="22" ht="15" customHeight="1">
      <c r="A22" s="9" t="inlineStr">
        <is>
          <t>Imen Jribi</t>
        </is>
      </c>
      <c r="B22" s="9" t="inlineStr">
        <is>
          <t>SVT</t>
        </is>
      </c>
      <c r="C22" s="10">
        <f>COUNTIFS(Planning!$A$4:$A$863,"S1",Planning!$M$4:$M$863,$A22,Planning!$S$4:$S$863,"Oui")</f>
        <v/>
      </c>
      <c r="D22" s="10">
        <f>COUNTIFS(Planning!$A$4:$A$863,"S2",Planning!$M$4:$M$863,$A22,Planning!$S$4:$S$863,"Oui")</f>
        <v/>
      </c>
      <c r="E22" s="10">
        <f>COUNTIFS(Planning!$A$4:$A$863,"S3",Planning!$M$4:$M$863,$A22,Planning!$S$4:$S$863,"Oui")</f>
        <v/>
      </c>
      <c r="F22" s="10">
        <f>COUNTIFS(Planning!$A$4:$A$863,"S4",Planning!$M$4:$M$863,$A22,Planning!$S$4:$S$863,"Oui")</f>
        <v/>
      </c>
      <c r="G22" s="10">
        <f>COUNTIFS(Planning!$A$4:$A$863,"S5",Planning!$M$4:$M$863,$A22,Planning!$S$4:$S$863,"Oui")</f>
        <v/>
      </c>
      <c r="H22" s="10">
        <f>COUNTIFS(Planning!$A$4:$A$863,"S6",Planning!$M$4:$M$863,$A22,Planning!$S$4:$S$863,"Oui")</f>
        <v/>
      </c>
      <c r="I22" s="10">
        <f>COUNTIFS(Planning!$A$4:$A$863,"S7",Planning!$M$4:$M$863,$A22,Planning!$S$4:$S$863,"Oui")</f>
        <v/>
      </c>
      <c r="J22" s="161">
        <f>SUM(C22:I22)</f>
        <v/>
      </c>
      <c r="K22" s="101">
        <f>SUMIFS(Planning!$H$4:$H$863,Planning!$A$4:$A$863,"S1",Planning!$M$4:$M$863,$A22,Planning!$S$4:$S$863,"Oui")</f>
        <v/>
      </c>
      <c r="L22" s="101">
        <f>SUMIFS(Planning!$H$4:$H$863,Planning!$A$4:$A$863,"S2",Planning!$M$4:$M$863,$A22,Planning!$S$4:$S$863,"Oui")</f>
        <v/>
      </c>
      <c r="M22" s="101">
        <f>SUMIFS(Planning!$H$4:$H$863,Planning!$A$4:$A$863,"S3",Planning!$M$4:$M$863,$A22,Planning!$S$4:$S$863,"Oui")</f>
        <v/>
      </c>
      <c r="N22" s="101">
        <f>SUMIFS(Planning!$H$4:$H$863,Planning!$A$4:$A$863,"S4",Planning!$M$4:$M$863,$A22,Planning!$S$4:$S$863,"Oui")</f>
        <v/>
      </c>
      <c r="O22" s="101">
        <f>SUMIFS(Planning!$H$4:$H$863,Planning!$A$4:$A$863,"S5",Planning!$M$4:$M$863,$A22,Planning!$S$4:$S$863,"Oui")</f>
        <v/>
      </c>
      <c r="P22" s="101">
        <f>SUMIFS(Planning!$H$4:$H$863,Planning!$A$4:$A$863,"S6",Planning!$M$4:$M$863,$A22,Planning!$S$4:$S$863,"Oui")</f>
        <v/>
      </c>
      <c r="Q22" s="101">
        <f>SUMIFS(Planning!$H$4:$H$863,Planning!$A$4:$A$863,"S7",Planning!$M$4:$M$863,$A22,Planning!$S$4:$S$863,"Oui")</f>
        <v/>
      </c>
      <c r="R22" s="162">
        <f>SUM(K22:Q22)</f>
        <v/>
      </c>
      <c r="S22" s="10">
        <f>COUNTIFS(Planning!$M$4:$M$863,$A22,Planning!$Y$4:$Y$863,"⚠ CONFLIT")</f>
        <v/>
      </c>
    </row>
    <row r="23" ht="15" customHeight="1">
      <c r="A23" s="9" t="inlineStr">
        <is>
          <t>Khaled</t>
        </is>
      </c>
      <c r="B23" s="9" t="inlineStr">
        <is>
          <t>Anglais</t>
        </is>
      </c>
      <c r="C23" s="10">
        <f>COUNTIFS(Planning!$A$4:$A$863,"S1",Planning!$M$4:$M$863,$A23,Planning!$S$4:$S$863,"Oui")</f>
        <v/>
      </c>
      <c r="D23" s="10">
        <f>COUNTIFS(Planning!$A$4:$A$863,"S2",Planning!$M$4:$M$863,$A23,Planning!$S$4:$S$863,"Oui")</f>
        <v/>
      </c>
      <c r="E23" s="10">
        <f>COUNTIFS(Planning!$A$4:$A$863,"S3",Planning!$M$4:$M$863,$A23,Planning!$S$4:$S$863,"Oui")</f>
        <v/>
      </c>
      <c r="F23" s="10">
        <f>COUNTIFS(Planning!$A$4:$A$863,"S4",Planning!$M$4:$M$863,$A23,Planning!$S$4:$S$863,"Oui")</f>
        <v/>
      </c>
      <c r="G23" s="10">
        <f>COUNTIFS(Planning!$A$4:$A$863,"S5",Planning!$M$4:$M$863,$A23,Planning!$S$4:$S$863,"Oui")</f>
        <v/>
      </c>
      <c r="H23" s="10">
        <f>COUNTIFS(Planning!$A$4:$A$863,"S6",Planning!$M$4:$M$863,$A23,Planning!$S$4:$S$863,"Oui")</f>
        <v/>
      </c>
      <c r="I23" s="10">
        <f>COUNTIFS(Planning!$A$4:$A$863,"S7",Planning!$M$4:$M$863,$A23,Planning!$S$4:$S$863,"Oui")</f>
        <v/>
      </c>
      <c r="J23" s="161">
        <f>SUM(C23:I23)</f>
        <v/>
      </c>
      <c r="K23" s="101">
        <f>SUMIFS(Planning!$H$4:$H$863,Planning!$A$4:$A$863,"S1",Planning!$M$4:$M$863,$A23,Planning!$S$4:$S$863,"Oui")</f>
        <v/>
      </c>
      <c r="L23" s="101">
        <f>SUMIFS(Planning!$H$4:$H$863,Planning!$A$4:$A$863,"S2",Planning!$M$4:$M$863,$A23,Planning!$S$4:$S$863,"Oui")</f>
        <v/>
      </c>
      <c r="M23" s="101">
        <f>SUMIFS(Planning!$H$4:$H$863,Planning!$A$4:$A$863,"S3",Planning!$M$4:$M$863,$A23,Planning!$S$4:$S$863,"Oui")</f>
        <v/>
      </c>
      <c r="N23" s="101">
        <f>SUMIFS(Planning!$H$4:$H$863,Planning!$A$4:$A$863,"S4",Planning!$M$4:$M$863,$A23,Planning!$S$4:$S$863,"Oui")</f>
        <v/>
      </c>
      <c r="O23" s="101">
        <f>SUMIFS(Planning!$H$4:$H$863,Planning!$A$4:$A$863,"S5",Planning!$M$4:$M$863,$A23,Planning!$S$4:$S$863,"Oui")</f>
        <v/>
      </c>
      <c r="P23" s="101">
        <f>SUMIFS(Planning!$H$4:$H$863,Planning!$A$4:$A$863,"S6",Planning!$M$4:$M$863,$A23,Planning!$S$4:$S$863,"Oui")</f>
        <v/>
      </c>
      <c r="Q23" s="101">
        <f>SUMIFS(Planning!$H$4:$H$863,Planning!$A$4:$A$863,"S7",Planning!$M$4:$M$863,$A23,Planning!$S$4:$S$863,"Oui")</f>
        <v/>
      </c>
      <c r="R23" s="162">
        <f>SUM(K23:Q23)</f>
        <v/>
      </c>
      <c r="S23" s="10">
        <f>COUNTIFS(Planning!$M$4:$M$863,$A23,Planning!$Y$4:$Y$863,"⚠ CONFLIT")</f>
        <v/>
      </c>
    </row>
    <row r="24" ht="15" customHeight="1">
      <c r="A24" s="9" t="inlineStr">
        <is>
          <t>Khouloud</t>
        </is>
      </c>
      <c r="B24" s="9" t="inlineStr">
        <is>
          <t>Math</t>
        </is>
      </c>
      <c r="C24" s="10">
        <f>COUNTIFS(Planning!$A$4:$A$863,"S1",Planning!$M$4:$M$863,$A24,Planning!$S$4:$S$863,"Oui")</f>
        <v/>
      </c>
      <c r="D24" s="10">
        <f>COUNTIFS(Planning!$A$4:$A$863,"S2",Planning!$M$4:$M$863,$A24,Planning!$S$4:$S$863,"Oui")</f>
        <v/>
      </c>
      <c r="E24" s="10">
        <f>COUNTIFS(Planning!$A$4:$A$863,"S3",Planning!$M$4:$M$863,$A24,Planning!$S$4:$S$863,"Oui")</f>
        <v/>
      </c>
      <c r="F24" s="10">
        <f>COUNTIFS(Planning!$A$4:$A$863,"S4",Planning!$M$4:$M$863,$A24,Planning!$S$4:$S$863,"Oui")</f>
        <v/>
      </c>
      <c r="G24" s="10">
        <f>COUNTIFS(Planning!$A$4:$A$863,"S5",Planning!$M$4:$M$863,$A24,Planning!$S$4:$S$863,"Oui")</f>
        <v/>
      </c>
      <c r="H24" s="10">
        <f>COUNTIFS(Planning!$A$4:$A$863,"S6",Planning!$M$4:$M$863,$A24,Planning!$S$4:$S$863,"Oui")</f>
        <v/>
      </c>
      <c r="I24" s="10">
        <f>COUNTIFS(Planning!$A$4:$A$863,"S7",Planning!$M$4:$M$863,$A24,Planning!$S$4:$S$863,"Oui")</f>
        <v/>
      </c>
      <c r="J24" s="161">
        <f>SUM(C24:I24)</f>
        <v/>
      </c>
      <c r="K24" s="101">
        <f>SUMIFS(Planning!$H$4:$H$863,Planning!$A$4:$A$863,"S1",Planning!$M$4:$M$863,$A24,Planning!$S$4:$S$863,"Oui")</f>
        <v/>
      </c>
      <c r="L24" s="101">
        <f>SUMIFS(Planning!$H$4:$H$863,Planning!$A$4:$A$863,"S2",Planning!$M$4:$M$863,$A24,Planning!$S$4:$S$863,"Oui")</f>
        <v/>
      </c>
      <c r="M24" s="101">
        <f>SUMIFS(Planning!$H$4:$H$863,Planning!$A$4:$A$863,"S3",Planning!$M$4:$M$863,$A24,Planning!$S$4:$S$863,"Oui")</f>
        <v/>
      </c>
      <c r="N24" s="101">
        <f>SUMIFS(Planning!$H$4:$H$863,Planning!$A$4:$A$863,"S4",Planning!$M$4:$M$863,$A24,Planning!$S$4:$S$863,"Oui")</f>
        <v/>
      </c>
      <c r="O24" s="101">
        <f>SUMIFS(Planning!$H$4:$H$863,Planning!$A$4:$A$863,"S5",Planning!$M$4:$M$863,$A24,Planning!$S$4:$S$863,"Oui")</f>
        <v/>
      </c>
      <c r="P24" s="101">
        <f>SUMIFS(Planning!$H$4:$H$863,Planning!$A$4:$A$863,"S6",Planning!$M$4:$M$863,$A24,Planning!$S$4:$S$863,"Oui")</f>
        <v/>
      </c>
      <c r="Q24" s="101">
        <f>SUMIFS(Planning!$H$4:$H$863,Planning!$A$4:$A$863,"S7",Planning!$M$4:$M$863,$A24,Planning!$S$4:$S$863,"Oui")</f>
        <v/>
      </c>
      <c r="R24" s="162">
        <f>SUM(K24:Q24)</f>
        <v/>
      </c>
      <c r="S24" s="10">
        <f>COUNTIFS(Planning!$M$4:$M$863,$A24,Planning!$Y$4:$Y$863,"⚠ CONFLIT")</f>
        <v/>
      </c>
    </row>
    <row r="25" ht="15" customHeight="1">
      <c r="A25" s="9" t="inlineStr">
        <is>
          <t>Lobna</t>
        </is>
      </c>
      <c r="B25" s="9" t="inlineStr">
        <is>
          <t>Arabe</t>
        </is>
      </c>
      <c r="C25" s="10">
        <f>COUNTIFS(Planning!$A$4:$A$863,"S1",Planning!$M$4:$M$863,$A25,Planning!$S$4:$S$863,"Oui")</f>
        <v/>
      </c>
      <c r="D25" s="10">
        <f>COUNTIFS(Planning!$A$4:$A$863,"S2",Planning!$M$4:$M$863,$A25,Planning!$S$4:$S$863,"Oui")</f>
        <v/>
      </c>
      <c r="E25" s="10">
        <f>COUNTIFS(Planning!$A$4:$A$863,"S3",Planning!$M$4:$M$863,$A25,Planning!$S$4:$S$863,"Oui")</f>
        <v/>
      </c>
      <c r="F25" s="10">
        <f>COUNTIFS(Planning!$A$4:$A$863,"S4",Planning!$M$4:$M$863,$A25,Planning!$S$4:$S$863,"Oui")</f>
        <v/>
      </c>
      <c r="G25" s="10">
        <f>COUNTIFS(Planning!$A$4:$A$863,"S5",Planning!$M$4:$M$863,$A25,Planning!$S$4:$S$863,"Oui")</f>
        <v/>
      </c>
      <c r="H25" s="10">
        <f>COUNTIFS(Planning!$A$4:$A$863,"S6",Planning!$M$4:$M$863,$A25,Planning!$S$4:$S$863,"Oui")</f>
        <v/>
      </c>
      <c r="I25" s="10">
        <f>COUNTIFS(Planning!$A$4:$A$863,"S7",Planning!$M$4:$M$863,$A25,Planning!$S$4:$S$863,"Oui")</f>
        <v/>
      </c>
      <c r="J25" s="161">
        <f>SUM(C25:I25)</f>
        <v/>
      </c>
      <c r="K25" s="101">
        <f>SUMIFS(Planning!$H$4:$H$863,Planning!$A$4:$A$863,"S1",Planning!$M$4:$M$863,$A25,Planning!$S$4:$S$863,"Oui")</f>
        <v/>
      </c>
      <c r="L25" s="101">
        <f>SUMIFS(Planning!$H$4:$H$863,Planning!$A$4:$A$863,"S2",Planning!$M$4:$M$863,$A25,Planning!$S$4:$S$863,"Oui")</f>
        <v/>
      </c>
      <c r="M25" s="101">
        <f>SUMIFS(Planning!$H$4:$H$863,Planning!$A$4:$A$863,"S3",Planning!$M$4:$M$863,$A25,Planning!$S$4:$S$863,"Oui")</f>
        <v/>
      </c>
      <c r="N25" s="101">
        <f>SUMIFS(Planning!$H$4:$H$863,Planning!$A$4:$A$863,"S4",Planning!$M$4:$M$863,$A25,Planning!$S$4:$S$863,"Oui")</f>
        <v/>
      </c>
      <c r="O25" s="101">
        <f>SUMIFS(Planning!$H$4:$H$863,Planning!$A$4:$A$863,"S5",Planning!$M$4:$M$863,$A25,Planning!$S$4:$S$863,"Oui")</f>
        <v/>
      </c>
      <c r="P25" s="101">
        <f>SUMIFS(Planning!$H$4:$H$863,Planning!$A$4:$A$863,"S6",Planning!$M$4:$M$863,$A25,Planning!$S$4:$S$863,"Oui")</f>
        <v/>
      </c>
      <c r="Q25" s="101">
        <f>SUMIFS(Planning!$H$4:$H$863,Planning!$A$4:$A$863,"S7",Planning!$M$4:$M$863,$A25,Planning!$S$4:$S$863,"Oui")</f>
        <v/>
      </c>
      <c r="R25" s="162">
        <f>SUM(K25:Q25)</f>
        <v/>
      </c>
      <c r="S25" s="10">
        <f>COUNTIFS(Planning!$M$4:$M$863,$A25,Planning!$Y$4:$Y$863,"⚠ CONFLIT")</f>
        <v/>
      </c>
    </row>
    <row r="26" ht="15" customHeight="1">
      <c r="A26" s="9" t="inlineStr">
        <is>
          <t>Lotfi</t>
        </is>
      </c>
      <c r="B26" s="9" t="inlineStr">
        <is>
          <t>Math</t>
        </is>
      </c>
      <c r="C26" s="10">
        <f>COUNTIFS(Planning!$A$4:$A$863,"S1",Planning!$M$4:$M$863,$A26,Planning!$S$4:$S$863,"Oui")</f>
        <v/>
      </c>
      <c r="D26" s="10">
        <f>COUNTIFS(Planning!$A$4:$A$863,"S2",Planning!$M$4:$M$863,$A26,Planning!$S$4:$S$863,"Oui")</f>
        <v/>
      </c>
      <c r="E26" s="10">
        <f>COUNTIFS(Planning!$A$4:$A$863,"S3",Planning!$M$4:$M$863,$A26,Planning!$S$4:$S$863,"Oui")</f>
        <v/>
      </c>
      <c r="F26" s="10">
        <f>COUNTIFS(Planning!$A$4:$A$863,"S4",Planning!$M$4:$M$863,$A26,Planning!$S$4:$S$863,"Oui")</f>
        <v/>
      </c>
      <c r="G26" s="10">
        <f>COUNTIFS(Planning!$A$4:$A$863,"S5",Planning!$M$4:$M$863,$A26,Planning!$S$4:$S$863,"Oui")</f>
        <v/>
      </c>
      <c r="H26" s="10">
        <f>COUNTIFS(Planning!$A$4:$A$863,"S6",Planning!$M$4:$M$863,$A26,Planning!$S$4:$S$863,"Oui")</f>
        <v/>
      </c>
      <c r="I26" s="10">
        <f>COUNTIFS(Planning!$A$4:$A$863,"S7",Planning!$M$4:$M$863,$A26,Planning!$S$4:$S$863,"Oui")</f>
        <v/>
      </c>
      <c r="J26" s="161">
        <f>SUM(C26:I26)</f>
        <v/>
      </c>
      <c r="K26" s="101">
        <f>SUMIFS(Planning!$H$4:$H$863,Planning!$A$4:$A$863,"S1",Planning!$M$4:$M$863,$A26,Planning!$S$4:$S$863,"Oui")</f>
        <v/>
      </c>
      <c r="L26" s="101">
        <f>SUMIFS(Planning!$H$4:$H$863,Planning!$A$4:$A$863,"S2",Planning!$M$4:$M$863,$A26,Planning!$S$4:$S$863,"Oui")</f>
        <v/>
      </c>
      <c r="M26" s="101">
        <f>SUMIFS(Planning!$H$4:$H$863,Planning!$A$4:$A$863,"S3",Planning!$M$4:$M$863,$A26,Planning!$S$4:$S$863,"Oui")</f>
        <v/>
      </c>
      <c r="N26" s="101">
        <f>SUMIFS(Planning!$H$4:$H$863,Planning!$A$4:$A$863,"S4",Planning!$M$4:$M$863,$A26,Planning!$S$4:$S$863,"Oui")</f>
        <v/>
      </c>
      <c r="O26" s="101">
        <f>SUMIFS(Planning!$H$4:$H$863,Planning!$A$4:$A$863,"S5",Planning!$M$4:$M$863,$A26,Planning!$S$4:$S$863,"Oui")</f>
        <v/>
      </c>
      <c r="P26" s="101">
        <f>SUMIFS(Planning!$H$4:$H$863,Planning!$A$4:$A$863,"S6",Planning!$M$4:$M$863,$A26,Planning!$S$4:$S$863,"Oui")</f>
        <v/>
      </c>
      <c r="Q26" s="101">
        <f>SUMIFS(Planning!$H$4:$H$863,Planning!$A$4:$A$863,"S7",Planning!$M$4:$M$863,$A26,Planning!$S$4:$S$863,"Oui")</f>
        <v/>
      </c>
      <c r="R26" s="162">
        <f>SUM(K26:Q26)</f>
        <v/>
      </c>
      <c r="S26" s="10">
        <f>COUNTIFS(Planning!$M$4:$M$863,$A26,Planning!$Y$4:$Y$863,"⚠ CONFLIT")</f>
        <v/>
      </c>
    </row>
    <row r="27" ht="15" customHeight="1">
      <c r="A27" s="9" t="inlineStr">
        <is>
          <t>Marwa</t>
        </is>
      </c>
      <c r="B27" s="9" t="inlineStr">
        <is>
          <t>Français</t>
        </is>
      </c>
      <c r="C27" s="10">
        <f>COUNTIFS(Planning!$A$4:$A$863,"S1",Planning!$M$4:$M$863,$A27,Planning!$S$4:$S$863,"Oui")</f>
        <v/>
      </c>
      <c r="D27" s="10">
        <f>COUNTIFS(Planning!$A$4:$A$863,"S2",Planning!$M$4:$M$863,$A27,Planning!$S$4:$S$863,"Oui")</f>
        <v/>
      </c>
      <c r="E27" s="10">
        <f>COUNTIFS(Planning!$A$4:$A$863,"S3",Planning!$M$4:$M$863,$A27,Planning!$S$4:$S$863,"Oui")</f>
        <v/>
      </c>
      <c r="F27" s="10">
        <f>COUNTIFS(Planning!$A$4:$A$863,"S4",Planning!$M$4:$M$863,$A27,Planning!$S$4:$S$863,"Oui")</f>
        <v/>
      </c>
      <c r="G27" s="10">
        <f>COUNTIFS(Planning!$A$4:$A$863,"S5",Planning!$M$4:$M$863,$A27,Planning!$S$4:$S$863,"Oui")</f>
        <v/>
      </c>
      <c r="H27" s="10">
        <f>COUNTIFS(Planning!$A$4:$A$863,"S6",Planning!$M$4:$M$863,$A27,Planning!$S$4:$S$863,"Oui")</f>
        <v/>
      </c>
      <c r="I27" s="10">
        <f>COUNTIFS(Planning!$A$4:$A$863,"S7",Planning!$M$4:$M$863,$A27,Planning!$S$4:$S$863,"Oui")</f>
        <v/>
      </c>
      <c r="J27" s="161">
        <f>SUM(C27:I27)</f>
        <v/>
      </c>
      <c r="K27" s="101">
        <f>SUMIFS(Planning!$H$4:$H$863,Planning!$A$4:$A$863,"S1",Planning!$M$4:$M$863,$A27,Planning!$S$4:$S$863,"Oui")</f>
        <v/>
      </c>
      <c r="L27" s="101">
        <f>SUMIFS(Planning!$H$4:$H$863,Planning!$A$4:$A$863,"S2",Planning!$M$4:$M$863,$A27,Planning!$S$4:$S$863,"Oui")</f>
        <v/>
      </c>
      <c r="M27" s="101">
        <f>SUMIFS(Planning!$H$4:$H$863,Planning!$A$4:$A$863,"S3",Planning!$M$4:$M$863,$A27,Planning!$S$4:$S$863,"Oui")</f>
        <v/>
      </c>
      <c r="N27" s="101">
        <f>SUMIFS(Planning!$H$4:$H$863,Planning!$A$4:$A$863,"S4",Planning!$M$4:$M$863,$A27,Planning!$S$4:$S$863,"Oui")</f>
        <v/>
      </c>
      <c r="O27" s="101">
        <f>SUMIFS(Planning!$H$4:$H$863,Planning!$A$4:$A$863,"S5",Planning!$M$4:$M$863,$A27,Planning!$S$4:$S$863,"Oui")</f>
        <v/>
      </c>
      <c r="P27" s="101">
        <f>SUMIFS(Planning!$H$4:$H$863,Planning!$A$4:$A$863,"S6",Planning!$M$4:$M$863,$A27,Planning!$S$4:$S$863,"Oui")</f>
        <v/>
      </c>
      <c r="Q27" s="101">
        <f>SUMIFS(Planning!$H$4:$H$863,Planning!$A$4:$A$863,"S7",Planning!$M$4:$M$863,$A27,Planning!$S$4:$S$863,"Oui")</f>
        <v/>
      </c>
      <c r="R27" s="162">
        <f>SUM(K27:Q27)</f>
        <v/>
      </c>
      <c r="S27" s="10">
        <f>COUNTIFS(Planning!$M$4:$M$863,$A27,Planning!$Y$4:$Y$863,"⚠ CONFLIT")</f>
        <v/>
      </c>
    </row>
    <row r="28" ht="15" customHeight="1">
      <c r="A28" s="9" t="inlineStr">
        <is>
          <t>Melek</t>
        </is>
      </c>
      <c r="B28" s="9" t="inlineStr">
        <is>
          <t>Physique</t>
        </is>
      </c>
      <c r="C28" s="10">
        <f>COUNTIFS(Planning!$A$4:$A$863,"S1",Planning!$M$4:$M$863,$A28,Planning!$S$4:$S$863,"Oui")</f>
        <v/>
      </c>
      <c r="D28" s="10">
        <f>COUNTIFS(Planning!$A$4:$A$863,"S2",Planning!$M$4:$M$863,$A28,Planning!$S$4:$S$863,"Oui")</f>
        <v/>
      </c>
      <c r="E28" s="10">
        <f>COUNTIFS(Planning!$A$4:$A$863,"S3",Planning!$M$4:$M$863,$A28,Planning!$S$4:$S$863,"Oui")</f>
        <v/>
      </c>
      <c r="F28" s="10">
        <f>COUNTIFS(Planning!$A$4:$A$863,"S4",Planning!$M$4:$M$863,$A28,Planning!$S$4:$S$863,"Oui")</f>
        <v/>
      </c>
      <c r="G28" s="10">
        <f>COUNTIFS(Planning!$A$4:$A$863,"S5",Planning!$M$4:$M$863,$A28,Planning!$S$4:$S$863,"Oui")</f>
        <v/>
      </c>
      <c r="H28" s="10">
        <f>COUNTIFS(Planning!$A$4:$A$863,"S6",Planning!$M$4:$M$863,$A28,Planning!$S$4:$S$863,"Oui")</f>
        <v/>
      </c>
      <c r="I28" s="10">
        <f>COUNTIFS(Planning!$A$4:$A$863,"S7",Planning!$M$4:$M$863,$A28,Planning!$S$4:$S$863,"Oui")</f>
        <v/>
      </c>
      <c r="J28" s="161">
        <f>SUM(C28:I28)</f>
        <v/>
      </c>
      <c r="K28" s="101">
        <f>SUMIFS(Planning!$H$4:$H$863,Planning!$A$4:$A$863,"S1",Planning!$M$4:$M$863,$A28,Planning!$S$4:$S$863,"Oui")</f>
        <v/>
      </c>
      <c r="L28" s="101">
        <f>SUMIFS(Planning!$H$4:$H$863,Planning!$A$4:$A$863,"S2",Planning!$M$4:$M$863,$A28,Planning!$S$4:$S$863,"Oui")</f>
        <v/>
      </c>
      <c r="M28" s="101">
        <f>SUMIFS(Planning!$H$4:$H$863,Planning!$A$4:$A$863,"S3",Planning!$M$4:$M$863,$A28,Planning!$S$4:$S$863,"Oui")</f>
        <v/>
      </c>
      <c r="N28" s="101">
        <f>SUMIFS(Planning!$H$4:$H$863,Planning!$A$4:$A$863,"S4",Planning!$M$4:$M$863,$A28,Planning!$S$4:$S$863,"Oui")</f>
        <v/>
      </c>
      <c r="O28" s="101">
        <f>SUMIFS(Planning!$H$4:$H$863,Planning!$A$4:$A$863,"S5",Planning!$M$4:$M$863,$A28,Planning!$S$4:$S$863,"Oui")</f>
        <v/>
      </c>
      <c r="P28" s="101">
        <f>SUMIFS(Planning!$H$4:$H$863,Planning!$A$4:$A$863,"S6",Planning!$M$4:$M$863,$A28,Planning!$S$4:$S$863,"Oui")</f>
        <v/>
      </c>
      <c r="Q28" s="101">
        <f>SUMIFS(Planning!$H$4:$H$863,Planning!$A$4:$A$863,"S7",Planning!$M$4:$M$863,$A28,Planning!$S$4:$S$863,"Oui")</f>
        <v/>
      </c>
      <c r="R28" s="162">
        <f>SUM(K28:Q28)</f>
        <v/>
      </c>
      <c r="S28" s="10">
        <f>COUNTIFS(Planning!$M$4:$M$863,$A28,Planning!$Y$4:$Y$863,"⚠ CONFLIT")</f>
        <v/>
      </c>
    </row>
    <row r="29" ht="15" customHeight="1">
      <c r="A29" s="9" t="inlineStr">
        <is>
          <t>Nabil</t>
        </is>
      </c>
      <c r="B29" s="9" t="inlineStr">
        <is>
          <t>Français</t>
        </is>
      </c>
      <c r="C29" s="10">
        <f>COUNTIFS(Planning!$A$4:$A$863,"S1",Planning!$M$4:$M$863,$A29,Planning!$S$4:$S$863,"Oui")</f>
        <v/>
      </c>
      <c r="D29" s="10">
        <f>COUNTIFS(Planning!$A$4:$A$863,"S2",Planning!$M$4:$M$863,$A29,Planning!$S$4:$S$863,"Oui")</f>
        <v/>
      </c>
      <c r="E29" s="10">
        <f>COUNTIFS(Planning!$A$4:$A$863,"S3",Planning!$M$4:$M$863,$A29,Planning!$S$4:$S$863,"Oui")</f>
        <v/>
      </c>
      <c r="F29" s="10">
        <f>COUNTIFS(Planning!$A$4:$A$863,"S4",Planning!$M$4:$M$863,$A29,Planning!$S$4:$S$863,"Oui")</f>
        <v/>
      </c>
      <c r="G29" s="10">
        <f>COUNTIFS(Planning!$A$4:$A$863,"S5",Planning!$M$4:$M$863,$A29,Planning!$S$4:$S$863,"Oui")</f>
        <v/>
      </c>
      <c r="H29" s="10">
        <f>COUNTIFS(Planning!$A$4:$A$863,"S6",Planning!$M$4:$M$863,$A29,Planning!$S$4:$S$863,"Oui")</f>
        <v/>
      </c>
      <c r="I29" s="10">
        <f>COUNTIFS(Planning!$A$4:$A$863,"S7",Planning!$M$4:$M$863,$A29,Planning!$S$4:$S$863,"Oui")</f>
        <v/>
      </c>
      <c r="J29" s="161">
        <f>SUM(C29:I29)</f>
        <v/>
      </c>
      <c r="K29" s="101">
        <f>SUMIFS(Planning!$H$4:$H$863,Planning!$A$4:$A$863,"S1",Planning!$M$4:$M$863,$A29,Planning!$S$4:$S$863,"Oui")</f>
        <v/>
      </c>
      <c r="L29" s="101">
        <f>SUMIFS(Planning!$H$4:$H$863,Planning!$A$4:$A$863,"S2",Planning!$M$4:$M$863,$A29,Planning!$S$4:$S$863,"Oui")</f>
        <v/>
      </c>
      <c r="M29" s="101">
        <f>SUMIFS(Planning!$H$4:$H$863,Planning!$A$4:$A$863,"S3",Planning!$M$4:$M$863,$A29,Planning!$S$4:$S$863,"Oui")</f>
        <v/>
      </c>
      <c r="N29" s="101">
        <f>SUMIFS(Planning!$H$4:$H$863,Planning!$A$4:$A$863,"S4",Planning!$M$4:$M$863,$A29,Planning!$S$4:$S$863,"Oui")</f>
        <v/>
      </c>
      <c r="O29" s="101">
        <f>SUMIFS(Planning!$H$4:$H$863,Planning!$A$4:$A$863,"S5",Planning!$M$4:$M$863,$A29,Planning!$S$4:$S$863,"Oui")</f>
        <v/>
      </c>
      <c r="P29" s="101">
        <f>SUMIFS(Planning!$H$4:$H$863,Planning!$A$4:$A$863,"S6",Planning!$M$4:$M$863,$A29,Planning!$S$4:$S$863,"Oui")</f>
        <v/>
      </c>
      <c r="Q29" s="101">
        <f>SUMIFS(Planning!$H$4:$H$863,Planning!$A$4:$A$863,"S7",Planning!$M$4:$M$863,$A29,Planning!$S$4:$S$863,"Oui")</f>
        <v/>
      </c>
      <c r="R29" s="162">
        <f>SUM(K29:Q29)</f>
        <v/>
      </c>
      <c r="S29" s="10">
        <f>COUNTIFS(Planning!$M$4:$M$863,$A29,Planning!$Y$4:$Y$863,"⚠ CONFLIT")</f>
        <v/>
      </c>
    </row>
    <row r="30" ht="15" customHeight="1">
      <c r="A30" s="9" t="inlineStr">
        <is>
          <t>Najet</t>
        </is>
      </c>
      <c r="B30" s="9" t="inlineStr">
        <is>
          <t>Arabe</t>
        </is>
      </c>
      <c r="C30" s="10">
        <f>COUNTIFS(Planning!$A$4:$A$863,"S1",Planning!$M$4:$M$863,$A30,Planning!$S$4:$S$863,"Oui")</f>
        <v/>
      </c>
      <c r="D30" s="10">
        <f>COUNTIFS(Planning!$A$4:$A$863,"S2",Planning!$M$4:$M$863,$A30,Planning!$S$4:$S$863,"Oui")</f>
        <v/>
      </c>
      <c r="E30" s="10">
        <f>COUNTIFS(Planning!$A$4:$A$863,"S3",Planning!$M$4:$M$863,$A30,Planning!$S$4:$S$863,"Oui")</f>
        <v/>
      </c>
      <c r="F30" s="10">
        <f>COUNTIFS(Planning!$A$4:$A$863,"S4",Planning!$M$4:$M$863,$A30,Planning!$S$4:$S$863,"Oui")</f>
        <v/>
      </c>
      <c r="G30" s="10">
        <f>COUNTIFS(Planning!$A$4:$A$863,"S5",Planning!$M$4:$M$863,$A30,Planning!$S$4:$S$863,"Oui")</f>
        <v/>
      </c>
      <c r="H30" s="10">
        <f>COUNTIFS(Planning!$A$4:$A$863,"S6",Planning!$M$4:$M$863,$A30,Planning!$S$4:$S$863,"Oui")</f>
        <v/>
      </c>
      <c r="I30" s="10">
        <f>COUNTIFS(Planning!$A$4:$A$863,"S7",Planning!$M$4:$M$863,$A30,Planning!$S$4:$S$863,"Oui")</f>
        <v/>
      </c>
      <c r="J30" s="161">
        <f>SUM(C30:I30)</f>
        <v/>
      </c>
      <c r="K30" s="101">
        <f>SUMIFS(Planning!$H$4:$H$863,Planning!$A$4:$A$863,"S1",Planning!$M$4:$M$863,$A30,Planning!$S$4:$S$863,"Oui")</f>
        <v/>
      </c>
      <c r="L30" s="101">
        <f>SUMIFS(Planning!$H$4:$H$863,Planning!$A$4:$A$863,"S2",Planning!$M$4:$M$863,$A30,Planning!$S$4:$S$863,"Oui")</f>
        <v/>
      </c>
      <c r="M30" s="101">
        <f>SUMIFS(Planning!$H$4:$H$863,Planning!$A$4:$A$863,"S3",Planning!$M$4:$M$863,$A30,Planning!$S$4:$S$863,"Oui")</f>
        <v/>
      </c>
      <c r="N30" s="101">
        <f>SUMIFS(Planning!$H$4:$H$863,Planning!$A$4:$A$863,"S4",Planning!$M$4:$M$863,$A30,Planning!$S$4:$S$863,"Oui")</f>
        <v/>
      </c>
      <c r="O30" s="101">
        <f>SUMIFS(Planning!$H$4:$H$863,Planning!$A$4:$A$863,"S5",Planning!$M$4:$M$863,$A30,Planning!$S$4:$S$863,"Oui")</f>
        <v/>
      </c>
      <c r="P30" s="101">
        <f>SUMIFS(Planning!$H$4:$H$863,Planning!$A$4:$A$863,"S6",Planning!$M$4:$M$863,$A30,Planning!$S$4:$S$863,"Oui")</f>
        <v/>
      </c>
      <c r="Q30" s="101">
        <f>SUMIFS(Planning!$H$4:$H$863,Planning!$A$4:$A$863,"S7",Planning!$M$4:$M$863,$A30,Planning!$S$4:$S$863,"Oui")</f>
        <v/>
      </c>
      <c r="R30" s="162">
        <f>SUM(K30:Q30)</f>
        <v/>
      </c>
      <c r="S30" s="10">
        <f>COUNTIFS(Planning!$M$4:$M$863,$A30,Planning!$Y$4:$Y$863,"⚠ CONFLIT")</f>
        <v/>
      </c>
    </row>
    <row r="31" ht="15" customHeight="1">
      <c r="A31" s="9" t="inlineStr">
        <is>
          <t>Nassima</t>
        </is>
      </c>
      <c r="B31" s="9" t="inlineStr">
        <is>
          <t>Français</t>
        </is>
      </c>
      <c r="C31" s="10">
        <f>COUNTIFS(Planning!$A$4:$A$863,"S1",Planning!$M$4:$M$863,$A31,Planning!$S$4:$S$863,"Oui")</f>
        <v/>
      </c>
      <c r="D31" s="10">
        <f>COUNTIFS(Planning!$A$4:$A$863,"S2",Planning!$M$4:$M$863,$A31,Planning!$S$4:$S$863,"Oui")</f>
        <v/>
      </c>
      <c r="E31" s="10">
        <f>COUNTIFS(Planning!$A$4:$A$863,"S3",Planning!$M$4:$M$863,$A31,Planning!$S$4:$S$863,"Oui")</f>
        <v/>
      </c>
      <c r="F31" s="10">
        <f>COUNTIFS(Planning!$A$4:$A$863,"S4",Planning!$M$4:$M$863,$A31,Planning!$S$4:$S$863,"Oui")</f>
        <v/>
      </c>
      <c r="G31" s="10">
        <f>COUNTIFS(Planning!$A$4:$A$863,"S5",Planning!$M$4:$M$863,$A31,Planning!$S$4:$S$863,"Oui")</f>
        <v/>
      </c>
      <c r="H31" s="10">
        <f>COUNTIFS(Planning!$A$4:$A$863,"S6",Planning!$M$4:$M$863,$A31,Planning!$S$4:$S$863,"Oui")</f>
        <v/>
      </c>
      <c r="I31" s="10">
        <f>COUNTIFS(Planning!$A$4:$A$863,"S7",Planning!$M$4:$M$863,$A31,Planning!$S$4:$S$863,"Oui")</f>
        <v/>
      </c>
      <c r="J31" s="161">
        <f>SUM(C31:I31)</f>
        <v/>
      </c>
      <c r="K31" s="101">
        <f>SUMIFS(Planning!$H$4:$H$863,Planning!$A$4:$A$863,"S1",Planning!$M$4:$M$863,$A31,Planning!$S$4:$S$863,"Oui")</f>
        <v/>
      </c>
      <c r="L31" s="101">
        <f>SUMIFS(Planning!$H$4:$H$863,Planning!$A$4:$A$863,"S2",Planning!$M$4:$M$863,$A31,Planning!$S$4:$S$863,"Oui")</f>
        <v/>
      </c>
      <c r="M31" s="101">
        <f>SUMIFS(Planning!$H$4:$H$863,Planning!$A$4:$A$863,"S3",Planning!$M$4:$M$863,$A31,Planning!$S$4:$S$863,"Oui")</f>
        <v/>
      </c>
      <c r="N31" s="101">
        <f>SUMIFS(Planning!$H$4:$H$863,Planning!$A$4:$A$863,"S4",Planning!$M$4:$M$863,$A31,Planning!$S$4:$S$863,"Oui")</f>
        <v/>
      </c>
      <c r="O31" s="101">
        <f>SUMIFS(Planning!$H$4:$H$863,Planning!$A$4:$A$863,"S5",Planning!$M$4:$M$863,$A31,Planning!$S$4:$S$863,"Oui")</f>
        <v/>
      </c>
      <c r="P31" s="101">
        <f>SUMIFS(Planning!$H$4:$H$863,Planning!$A$4:$A$863,"S6",Planning!$M$4:$M$863,$A31,Planning!$S$4:$S$863,"Oui")</f>
        <v/>
      </c>
      <c r="Q31" s="101">
        <f>SUMIFS(Planning!$H$4:$H$863,Planning!$A$4:$A$863,"S7",Planning!$M$4:$M$863,$A31,Planning!$S$4:$S$863,"Oui")</f>
        <v/>
      </c>
      <c r="R31" s="162">
        <f>SUM(K31:Q31)</f>
        <v/>
      </c>
      <c r="S31" s="10">
        <f>COUNTIFS(Planning!$M$4:$M$863,$A31,Planning!$Y$4:$Y$863,"⚠ CONFLIT")</f>
        <v/>
      </c>
    </row>
    <row r="32" ht="15" customHeight="1">
      <c r="A32" s="9" t="inlineStr">
        <is>
          <t>Noura</t>
        </is>
      </c>
      <c r="B32" s="9" t="inlineStr">
        <is>
          <t>Math, Éveil scientifique</t>
        </is>
      </c>
      <c r="C32" s="10">
        <f>COUNTIFS(Planning!$A$4:$A$863,"S1",Planning!$M$4:$M$863,$A32,Planning!$S$4:$S$863,"Oui")</f>
        <v/>
      </c>
      <c r="D32" s="10">
        <f>COUNTIFS(Planning!$A$4:$A$863,"S2",Planning!$M$4:$M$863,$A32,Planning!$S$4:$S$863,"Oui")</f>
        <v/>
      </c>
      <c r="E32" s="10">
        <f>COUNTIFS(Planning!$A$4:$A$863,"S3",Planning!$M$4:$M$863,$A32,Planning!$S$4:$S$863,"Oui")</f>
        <v/>
      </c>
      <c r="F32" s="10">
        <f>COUNTIFS(Planning!$A$4:$A$863,"S4",Planning!$M$4:$M$863,$A32,Planning!$S$4:$S$863,"Oui")</f>
        <v/>
      </c>
      <c r="G32" s="10">
        <f>COUNTIFS(Planning!$A$4:$A$863,"S5",Planning!$M$4:$M$863,$A32,Planning!$S$4:$S$863,"Oui")</f>
        <v/>
      </c>
      <c r="H32" s="10">
        <f>COUNTIFS(Planning!$A$4:$A$863,"S6",Planning!$M$4:$M$863,$A32,Planning!$S$4:$S$863,"Oui")</f>
        <v/>
      </c>
      <c r="I32" s="10">
        <f>COUNTIFS(Planning!$A$4:$A$863,"S7",Planning!$M$4:$M$863,$A32,Planning!$S$4:$S$863,"Oui")</f>
        <v/>
      </c>
      <c r="J32" s="161">
        <f>SUM(C32:I32)</f>
        <v/>
      </c>
      <c r="K32" s="101">
        <f>SUMIFS(Planning!$H$4:$H$863,Planning!$A$4:$A$863,"S1",Planning!$M$4:$M$863,$A32,Planning!$S$4:$S$863,"Oui")</f>
        <v/>
      </c>
      <c r="L32" s="101">
        <f>SUMIFS(Planning!$H$4:$H$863,Planning!$A$4:$A$863,"S2",Planning!$M$4:$M$863,$A32,Planning!$S$4:$S$863,"Oui")</f>
        <v/>
      </c>
      <c r="M32" s="101">
        <f>SUMIFS(Planning!$H$4:$H$863,Planning!$A$4:$A$863,"S3",Planning!$M$4:$M$863,$A32,Planning!$S$4:$S$863,"Oui")</f>
        <v/>
      </c>
      <c r="N32" s="101">
        <f>SUMIFS(Planning!$H$4:$H$863,Planning!$A$4:$A$863,"S4",Planning!$M$4:$M$863,$A32,Planning!$S$4:$S$863,"Oui")</f>
        <v/>
      </c>
      <c r="O32" s="101">
        <f>SUMIFS(Planning!$H$4:$H$863,Planning!$A$4:$A$863,"S5",Planning!$M$4:$M$863,$A32,Planning!$S$4:$S$863,"Oui")</f>
        <v/>
      </c>
      <c r="P32" s="101">
        <f>SUMIFS(Planning!$H$4:$H$863,Planning!$A$4:$A$863,"S6",Planning!$M$4:$M$863,$A32,Planning!$S$4:$S$863,"Oui")</f>
        <v/>
      </c>
      <c r="Q32" s="101">
        <f>SUMIFS(Planning!$H$4:$H$863,Planning!$A$4:$A$863,"S7",Planning!$M$4:$M$863,$A32,Planning!$S$4:$S$863,"Oui")</f>
        <v/>
      </c>
      <c r="R32" s="162">
        <f>SUM(K32:Q32)</f>
        <v/>
      </c>
      <c r="S32" s="10">
        <f>COUNTIFS(Planning!$M$4:$M$863,$A32,Planning!$Y$4:$Y$863,"⚠ CONFLIT")</f>
        <v/>
      </c>
    </row>
    <row r="33" ht="15" customHeight="1">
      <c r="A33" s="9" t="inlineStr">
        <is>
          <t>Refka</t>
        </is>
      </c>
      <c r="B33" s="9" t="inlineStr">
        <is>
          <t>Physique</t>
        </is>
      </c>
      <c r="C33" s="10">
        <f>COUNTIFS(Planning!$A$4:$A$863,"S1",Planning!$M$4:$M$863,$A33,Planning!$S$4:$S$863,"Oui")</f>
        <v/>
      </c>
      <c r="D33" s="10">
        <f>COUNTIFS(Planning!$A$4:$A$863,"S2",Planning!$M$4:$M$863,$A33,Planning!$S$4:$S$863,"Oui")</f>
        <v/>
      </c>
      <c r="E33" s="10">
        <f>COUNTIFS(Planning!$A$4:$A$863,"S3",Planning!$M$4:$M$863,$A33,Planning!$S$4:$S$863,"Oui")</f>
        <v/>
      </c>
      <c r="F33" s="10">
        <f>COUNTIFS(Planning!$A$4:$A$863,"S4",Planning!$M$4:$M$863,$A33,Planning!$S$4:$S$863,"Oui")</f>
        <v/>
      </c>
      <c r="G33" s="10">
        <f>COUNTIFS(Planning!$A$4:$A$863,"S5",Planning!$M$4:$M$863,$A33,Planning!$S$4:$S$863,"Oui")</f>
        <v/>
      </c>
      <c r="H33" s="10">
        <f>COUNTIFS(Planning!$A$4:$A$863,"S6",Planning!$M$4:$M$863,$A33,Planning!$S$4:$S$863,"Oui")</f>
        <v/>
      </c>
      <c r="I33" s="10">
        <f>COUNTIFS(Planning!$A$4:$A$863,"S7",Planning!$M$4:$M$863,$A33,Planning!$S$4:$S$863,"Oui")</f>
        <v/>
      </c>
      <c r="J33" s="161">
        <f>SUM(C33:I33)</f>
        <v/>
      </c>
      <c r="K33" s="101">
        <f>SUMIFS(Planning!$H$4:$H$863,Planning!$A$4:$A$863,"S1",Planning!$M$4:$M$863,$A33,Planning!$S$4:$S$863,"Oui")</f>
        <v/>
      </c>
      <c r="L33" s="101">
        <f>SUMIFS(Planning!$H$4:$H$863,Planning!$A$4:$A$863,"S2",Planning!$M$4:$M$863,$A33,Planning!$S$4:$S$863,"Oui")</f>
        <v/>
      </c>
      <c r="M33" s="101">
        <f>SUMIFS(Planning!$H$4:$H$863,Planning!$A$4:$A$863,"S3",Planning!$M$4:$M$863,$A33,Planning!$S$4:$S$863,"Oui")</f>
        <v/>
      </c>
      <c r="N33" s="101">
        <f>SUMIFS(Planning!$H$4:$H$863,Planning!$A$4:$A$863,"S4",Planning!$M$4:$M$863,$A33,Planning!$S$4:$S$863,"Oui")</f>
        <v/>
      </c>
      <c r="O33" s="101">
        <f>SUMIFS(Planning!$H$4:$H$863,Planning!$A$4:$A$863,"S5",Planning!$M$4:$M$863,$A33,Planning!$S$4:$S$863,"Oui")</f>
        <v/>
      </c>
      <c r="P33" s="101">
        <f>SUMIFS(Planning!$H$4:$H$863,Planning!$A$4:$A$863,"S6",Planning!$M$4:$M$863,$A33,Planning!$S$4:$S$863,"Oui")</f>
        <v/>
      </c>
      <c r="Q33" s="101">
        <f>SUMIFS(Planning!$H$4:$H$863,Planning!$A$4:$A$863,"S7",Planning!$M$4:$M$863,$A33,Planning!$S$4:$S$863,"Oui")</f>
        <v/>
      </c>
      <c r="R33" s="162">
        <f>SUM(K33:Q33)</f>
        <v/>
      </c>
      <c r="S33" s="10">
        <f>COUNTIFS(Planning!$M$4:$M$863,$A33,Planning!$Y$4:$Y$863,"⚠ CONFLIT")</f>
        <v/>
      </c>
    </row>
    <row r="34" ht="15" customHeight="1">
      <c r="A34" s="9" t="inlineStr">
        <is>
          <t>Rym</t>
        </is>
      </c>
      <c r="B34" s="9" t="inlineStr">
        <is>
          <t>Eco, SVT</t>
        </is>
      </c>
      <c r="C34" s="10">
        <f>COUNTIFS(Planning!$A$4:$A$863,"S1",Planning!$M$4:$M$863,$A34,Planning!$S$4:$S$863,"Oui")</f>
        <v/>
      </c>
      <c r="D34" s="10">
        <f>COUNTIFS(Planning!$A$4:$A$863,"S2",Planning!$M$4:$M$863,$A34,Planning!$S$4:$S$863,"Oui")</f>
        <v/>
      </c>
      <c r="E34" s="10">
        <f>COUNTIFS(Planning!$A$4:$A$863,"S3",Planning!$M$4:$M$863,$A34,Planning!$S$4:$S$863,"Oui")</f>
        <v/>
      </c>
      <c r="F34" s="10">
        <f>COUNTIFS(Planning!$A$4:$A$863,"S4",Planning!$M$4:$M$863,$A34,Planning!$S$4:$S$863,"Oui")</f>
        <v/>
      </c>
      <c r="G34" s="10">
        <f>COUNTIFS(Planning!$A$4:$A$863,"S5",Planning!$M$4:$M$863,$A34,Planning!$S$4:$S$863,"Oui")</f>
        <v/>
      </c>
      <c r="H34" s="10">
        <f>COUNTIFS(Planning!$A$4:$A$863,"S6",Planning!$M$4:$M$863,$A34,Planning!$S$4:$S$863,"Oui")</f>
        <v/>
      </c>
      <c r="I34" s="10">
        <f>COUNTIFS(Planning!$A$4:$A$863,"S7",Planning!$M$4:$M$863,$A34,Planning!$S$4:$S$863,"Oui")</f>
        <v/>
      </c>
      <c r="J34" s="161">
        <f>SUM(C34:I34)</f>
        <v/>
      </c>
      <c r="K34" s="101">
        <f>SUMIFS(Planning!$H$4:$H$863,Planning!$A$4:$A$863,"S1",Planning!$M$4:$M$863,$A34,Planning!$S$4:$S$863,"Oui")</f>
        <v/>
      </c>
      <c r="L34" s="101">
        <f>SUMIFS(Planning!$H$4:$H$863,Planning!$A$4:$A$863,"S2",Planning!$M$4:$M$863,$A34,Planning!$S$4:$S$863,"Oui")</f>
        <v/>
      </c>
      <c r="M34" s="101">
        <f>SUMIFS(Planning!$H$4:$H$863,Planning!$A$4:$A$863,"S3",Planning!$M$4:$M$863,$A34,Planning!$S$4:$S$863,"Oui")</f>
        <v/>
      </c>
      <c r="N34" s="101">
        <f>SUMIFS(Planning!$H$4:$H$863,Planning!$A$4:$A$863,"S4",Planning!$M$4:$M$863,$A34,Planning!$S$4:$S$863,"Oui")</f>
        <v/>
      </c>
      <c r="O34" s="101">
        <f>SUMIFS(Planning!$H$4:$H$863,Planning!$A$4:$A$863,"S5",Planning!$M$4:$M$863,$A34,Planning!$S$4:$S$863,"Oui")</f>
        <v/>
      </c>
      <c r="P34" s="101">
        <f>SUMIFS(Planning!$H$4:$H$863,Planning!$A$4:$A$863,"S6",Planning!$M$4:$M$863,$A34,Planning!$S$4:$S$863,"Oui")</f>
        <v/>
      </c>
      <c r="Q34" s="101">
        <f>SUMIFS(Planning!$H$4:$H$863,Planning!$A$4:$A$863,"S7",Planning!$M$4:$M$863,$A34,Planning!$S$4:$S$863,"Oui")</f>
        <v/>
      </c>
      <c r="R34" s="162">
        <f>SUM(K34:Q34)</f>
        <v/>
      </c>
      <c r="S34" s="10">
        <f>COUNTIFS(Planning!$M$4:$M$863,$A34,Planning!$Y$4:$Y$863,"⚠ CONFLIT")</f>
        <v/>
      </c>
    </row>
    <row r="35" ht="15" customHeight="1">
      <c r="A35" s="9" t="inlineStr">
        <is>
          <t>Saber</t>
        </is>
      </c>
      <c r="B35" s="9" t="inlineStr">
        <is>
          <t>Anglais</t>
        </is>
      </c>
      <c r="C35" s="10">
        <f>COUNTIFS(Planning!$A$4:$A$863,"S1",Planning!$M$4:$M$863,$A35,Planning!$S$4:$S$863,"Oui")</f>
        <v/>
      </c>
      <c r="D35" s="10">
        <f>COUNTIFS(Planning!$A$4:$A$863,"S2",Planning!$M$4:$M$863,$A35,Planning!$S$4:$S$863,"Oui")</f>
        <v/>
      </c>
      <c r="E35" s="10">
        <f>COUNTIFS(Planning!$A$4:$A$863,"S3",Planning!$M$4:$M$863,$A35,Planning!$S$4:$S$863,"Oui")</f>
        <v/>
      </c>
      <c r="F35" s="10">
        <f>COUNTIFS(Planning!$A$4:$A$863,"S4",Planning!$M$4:$M$863,$A35,Planning!$S$4:$S$863,"Oui")</f>
        <v/>
      </c>
      <c r="G35" s="10">
        <f>COUNTIFS(Planning!$A$4:$A$863,"S5",Planning!$M$4:$M$863,$A35,Planning!$S$4:$S$863,"Oui")</f>
        <v/>
      </c>
      <c r="H35" s="10">
        <f>COUNTIFS(Planning!$A$4:$A$863,"S6",Planning!$M$4:$M$863,$A35,Planning!$S$4:$S$863,"Oui")</f>
        <v/>
      </c>
      <c r="I35" s="10">
        <f>COUNTIFS(Planning!$A$4:$A$863,"S7",Planning!$M$4:$M$863,$A35,Planning!$S$4:$S$863,"Oui")</f>
        <v/>
      </c>
      <c r="J35" s="161">
        <f>SUM(C35:I35)</f>
        <v/>
      </c>
      <c r="K35" s="101">
        <f>SUMIFS(Planning!$H$4:$H$863,Planning!$A$4:$A$863,"S1",Planning!$M$4:$M$863,$A35,Planning!$S$4:$S$863,"Oui")</f>
        <v/>
      </c>
      <c r="L35" s="101">
        <f>SUMIFS(Planning!$H$4:$H$863,Planning!$A$4:$A$863,"S2",Planning!$M$4:$M$863,$A35,Planning!$S$4:$S$863,"Oui")</f>
        <v/>
      </c>
      <c r="M35" s="101">
        <f>SUMIFS(Planning!$H$4:$H$863,Planning!$A$4:$A$863,"S3",Planning!$M$4:$M$863,$A35,Planning!$S$4:$S$863,"Oui")</f>
        <v/>
      </c>
      <c r="N35" s="101">
        <f>SUMIFS(Planning!$H$4:$H$863,Planning!$A$4:$A$863,"S4",Planning!$M$4:$M$863,$A35,Planning!$S$4:$S$863,"Oui")</f>
        <v/>
      </c>
      <c r="O35" s="101">
        <f>SUMIFS(Planning!$H$4:$H$863,Planning!$A$4:$A$863,"S5",Planning!$M$4:$M$863,$A35,Planning!$S$4:$S$863,"Oui")</f>
        <v/>
      </c>
      <c r="P35" s="101">
        <f>SUMIFS(Planning!$H$4:$H$863,Planning!$A$4:$A$863,"S6",Planning!$M$4:$M$863,$A35,Planning!$S$4:$S$863,"Oui")</f>
        <v/>
      </c>
      <c r="Q35" s="101">
        <f>SUMIFS(Planning!$H$4:$H$863,Planning!$A$4:$A$863,"S7",Planning!$M$4:$M$863,$A35,Planning!$S$4:$S$863,"Oui")</f>
        <v/>
      </c>
      <c r="R35" s="162">
        <f>SUM(K35:Q35)</f>
        <v/>
      </c>
      <c r="S35" s="10">
        <f>COUNTIFS(Planning!$M$4:$M$863,$A35,Planning!$Y$4:$Y$863,"⚠ CONFLIT")</f>
        <v/>
      </c>
    </row>
    <row r="36" ht="15" customHeight="1">
      <c r="A36" s="9" t="inlineStr">
        <is>
          <t>Sabrine</t>
        </is>
      </c>
      <c r="B36" s="9" t="inlineStr">
        <is>
          <t>SVT</t>
        </is>
      </c>
      <c r="C36" s="10">
        <f>COUNTIFS(Planning!$A$4:$A$863,"S1",Planning!$M$4:$M$863,$A36,Planning!$S$4:$S$863,"Oui")</f>
        <v/>
      </c>
      <c r="D36" s="10">
        <f>COUNTIFS(Planning!$A$4:$A$863,"S2",Planning!$M$4:$M$863,$A36,Planning!$S$4:$S$863,"Oui")</f>
        <v/>
      </c>
      <c r="E36" s="10">
        <f>COUNTIFS(Planning!$A$4:$A$863,"S3",Planning!$M$4:$M$863,$A36,Planning!$S$4:$S$863,"Oui")</f>
        <v/>
      </c>
      <c r="F36" s="10">
        <f>COUNTIFS(Planning!$A$4:$A$863,"S4",Planning!$M$4:$M$863,$A36,Planning!$S$4:$S$863,"Oui")</f>
        <v/>
      </c>
      <c r="G36" s="10">
        <f>COUNTIFS(Planning!$A$4:$A$863,"S5",Planning!$M$4:$M$863,$A36,Planning!$S$4:$S$863,"Oui")</f>
        <v/>
      </c>
      <c r="H36" s="10">
        <f>COUNTIFS(Planning!$A$4:$A$863,"S6",Planning!$M$4:$M$863,$A36,Planning!$S$4:$S$863,"Oui")</f>
        <v/>
      </c>
      <c r="I36" s="10">
        <f>COUNTIFS(Planning!$A$4:$A$863,"S7",Planning!$M$4:$M$863,$A36,Planning!$S$4:$S$863,"Oui")</f>
        <v/>
      </c>
      <c r="J36" s="161">
        <f>SUM(C36:I36)</f>
        <v/>
      </c>
      <c r="K36" s="101">
        <f>SUMIFS(Planning!$H$4:$H$863,Planning!$A$4:$A$863,"S1",Planning!$M$4:$M$863,$A36,Planning!$S$4:$S$863,"Oui")</f>
        <v/>
      </c>
      <c r="L36" s="101">
        <f>SUMIFS(Planning!$H$4:$H$863,Planning!$A$4:$A$863,"S2",Planning!$M$4:$M$863,$A36,Planning!$S$4:$S$863,"Oui")</f>
        <v/>
      </c>
      <c r="M36" s="101">
        <f>SUMIFS(Planning!$H$4:$H$863,Planning!$A$4:$A$863,"S3",Planning!$M$4:$M$863,$A36,Planning!$S$4:$S$863,"Oui")</f>
        <v/>
      </c>
      <c r="N36" s="101">
        <f>SUMIFS(Planning!$H$4:$H$863,Planning!$A$4:$A$863,"S4",Planning!$M$4:$M$863,$A36,Planning!$S$4:$S$863,"Oui")</f>
        <v/>
      </c>
      <c r="O36" s="101">
        <f>SUMIFS(Planning!$H$4:$H$863,Planning!$A$4:$A$863,"S5",Planning!$M$4:$M$863,$A36,Planning!$S$4:$S$863,"Oui")</f>
        <v/>
      </c>
      <c r="P36" s="101">
        <f>SUMIFS(Planning!$H$4:$H$863,Planning!$A$4:$A$863,"S6",Planning!$M$4:$M$863,$A36,Planning!$S$4:$S$863,"Oui")</f>
        <v/>
      </c>
      <c r="Q36" s="101">
        <f>SUMIFS(Planning!$H$4:$H$863,Planning!$A$4:$A$863,"S7",Planning!$M$4:$M$863,$A36,Planning!$S$4:$S$863,"Oui")</f>
        <v/>
      </c>
      <c r="R36" s="162">
        <f>SUM(K36:Q36)</f>
        <v/>
      </c>
      <c r="S36" s="10">
        <f>COUNTIFS(Planning!$M$4:$M$863,$A36,Planning!$Y$4:$Y$863,"⚠ CONFLIT")</f>
        <v/>
      </c>
    </row>
    <row r="37" ht="15" customHeight="1">
      <c r="A37" s="9" t="inlineStr">
        <is>
          <t>Samar</t>
        </is>
      </c>
      <c r="B37" s="9" t="inlineStr">
        <is>
          <t>Anglais</t>
        </is>
      </c>
      <c r="C37" s="10">
        <f>COUNTIFS(Planning!$A$4:$A$863,"S1",Planning!$M$4:$M$863,$A37,Planning!$S$4:$S$863,"Oui")</f>
        <v/>
      </c>
      <c r="D37" s="10">
        <f>COUNTIFS(Planning!$A$4:$A$863,"S2",Planning!$M$4:$M$863,$A37,Planning!$S$4:$S$863,"Oui")</f>
        <v/>
      </c>
      <c r="E37" s="10">
        <f>COUNTIFS(Planning!$A$4:$A$863,"S3",Planning!$M$4:$M$863,$A37,Planning!$S$4:$S$863,"Oui")</f>
        <v/>
      </c>
      <c r="F37" s="10">
        <f>COUNTIFS(Planning!$A$4:$A$863,"S4",Planning!$M$4:$M$863,$A37,Planning!$S$4:$S$863,"Oui")</f>
        <v/>
      </c>
      <c r="G37" s="10">
        <f>COUNTIFS(Planning!$A$4:$A$863,"S5",Planning!$M$4:$M$863,$A37,Planning!$S$4:$S$863,"Oui")</f>
        <v/>
      </c>
      <c r="H37" s="10">
        <f>COUNTIFS(Planning!$A$4:$A$863,"S6",Planning!$M$4:$M$863,$A37,Planning!$S$4:$S$863,"Oui")</f>
        <v/>
      </c>
      <c r="I37" s="10">
        <f>COUNTIFS(Planning!$A$4:$A$863,"S7",Planning!$M$4:$M$863,$A37,Planning!$S$4:$S$863,"Oui")</f>
        <v/>
      </c>
      <c r="J37" s="161">
        <f>SUM(C37:I37)</f>
        <v/>
      </c>
      <c r="K37" s="101">
        <f>SUMIFS(Planning!$H$4:$H$863,Planning!$A$4:$A$863,"S1",Planning!$M$4:$M$863,$A37,Planning!$S$4:$S$863,"Oui")</f>
        <v/>
      </c>
      <c r="L37" s="101">
        <f>SUMIFS(Planning!$H$4:$H$863,Planning!$A$4:$A$863,"S2",Planning!$M$4:$M$863,$A37,Planning!$S$4:$S$863,"Oui")</f>
        <v/>
      </c>
      <c r="M37" s="101">
        <f>SUMIFS(Planning!$H$4:$H$863,Planning!$A$4:$A$863,"S3",Planning!$M$4:$M$863,$A37,Planning!$S$4:$S$863,"Oui")</f>
        <v/>
      </c>
      <c r="N37" s="101">
        <f>SUMIFS(Planning!$H$4:$H$863,Planning!$A$4:$A$863,"S4",Planning!$M$4:$M$863,$A37,Planning!$S$4:$S$863,"Oui")</f>
        <v/>
      </c>
      <c r="O37" s="101">
        <f>SUMIFS(Planning!$H$4:$H$863,Planning!$A$4:$A$863,"S5",Planning!$M$4:$M$863,$A37,Planning!$S$4:$S$863,"Oui")</f>
        <v/>
      </c>
      <c r="P37" s="101">
        <f>SUMIFS(Planning!$H$4:$H$863,Planning!$A$4:$A$863,"S6",Planning!$M$4:$M$863,$A37,Planning!$S$4:$S$863,"Oui")</f>
        <v/>
      </c>
      <c r="Q37" s="101">
        <f>SUMIFS(Planning!$H$4:$H$863,Planning!$A$4:$A$863,"S7",Planning!$M$4:$M$863,$A37,Planning!$S$4:$S$863,"Oui")</f>
        <v/>
      </c>
      <c r="R37" s="162">
        <f>SUM(K37:Q37)</f>
        <v/>
      </c>
      <c r="S37" s="10">
        <f>COUNTIFS(Planning!$M$4:$M$863,$A37,Planning!$Y$4:$Y$863,"⚠ CONFLIT")</f>
        <v/>
      </c>
    </row>
    <row r="38" ht="15" customHeight="1">
      <c r="A38" s="9" t="inlineStr">
        <is>
          <t>Samia</t>
        </is>
      </c>
      <c r="B38" s="9" t="inlineStr">
        <is>
          <t>Physique</t>
        </is>
      </c>
      <c r="C38" s="10">
        <f>COUNTIFS(Planning!$A$4:$A$863,"S1",Planning!$M$4:$M$863,$A38,Planning!$S$4:$S$863,"Oui")</f>
        <v/>
      </c>
      <c r="D38" s="10">
        <f>COUNTIFS(Planning!$A$4:$A$863,"S2",Planning!$M$4:$M$863,$A38,Planning!$S$4:$S$863,"Oui")</f>
        <v/>
      </c>
      <c r="E38" s="10">
        <f>COUNTIFS(Planning!$A$4:$A$863,"S3",Planning!$M$4:$M$863,$A38,Planning!$S$4:$S$863,"Oui")</f>
        <v/>
      </c>
      <c r="F38" s="10">
        <f>COUNTIFS(Planning!$A$4:$A$863,"S4",Planning!$M$4:$M$863,$A38,Planning!$S$4:$S$863,"Oui")</f>
        <v/>
      </c>
      <c r="G38" s="10">
        <f>COUNTIFS(Planning!$A$4:$A$863,"S5",Planning!$M$4:$M$863,$A38,Planning!$S$4:$S$863,"Oui")</f>
        <v/>
      </c>
      <c r="H38" s="10">
        <f>COUNTIFS(Planning!$A$4:$A$863,"S6",Planning!$M$4:$M$863,$A38,Planning!$S$4:$S$863,"Oui")</f>
        <v/>
      </c>
      <c r="I38" s="10">
        <f>COUNTIFS(Planning!$A$4:$A$863,"S7",Planning!$M$4:$M$863,$A38,Planning!$S$4:$S$863,"Oui")</f>
        <v/>
      </c>
      <c r="J38" s="161">
        <f>SUM(C38:I38)</f>
        <v/>
      </c>
      <c r="K38" s="101">
        <f>SUMIFS(Planning!$H$4:$H$863,Planning!$A$4:$A$863,"S1",Planning!$M$4:$M$863,$A38,Planning!$S$4:$S$863,"Oui")</f>
        <v/>
      </c>
      <c r="L38" s="101">
        <f>SUMIFS(Planning!$H$4:$H$863,Planning!$A$4:$A$863,"S2",Planning!$M$4:$M$863,$A38,Planning!$S$4:$S$863,"Oui")</f>
        <v/>
      </c>
      <c r="M38" s="101">
        <f>SUMIFS(Planning!$H$4:$H$863,Planning!$A$4:$A$863,"S3",Planning!$M$4:$M$863,$A38,Planning!$S$4:$S$863,"Oui")</f>
        <v/>
      </c>
      <c r="N38" s="101">
        <f>SUMIFS(Planning!$H$4:$H$863,Planning!$A$4:$A$863,"S4",Planning!$M$4:$M$863,$A38,Planning!$S$4:$S$863,"Oui")</f>
        <v/>
      </c>
      <c r="O38" s="101">
        <f>SUMIFS(Planning!$H$4:$H$863,Planning!$A$4:$A$863,"S5",Planning!$M$4:$M$863,$A38,Planning!$S$4:$S$863,"Oui")</f>
        <v/>
      </c>
      <c r="P38" s="101">
        <f>SUMIFS(Planning!$H$4:$H$863,Planning!$A$4:$A$863,"S6",Planning!$M$4:$M$863,$A38,Planning!$S$4:$S$863,"Oui")</f>
        <v/>
      </c>
      <c r="Q38" s="101">
        <f>SUMIFS(Planning!$H$4:$H$863,Planning!$A$4:$A$863,"S7",Planning!$M$4:$M$863,$A38,Planning!$S$4:$S$863,"Oui")</f>
        <v/>
      </c>
      <c r="R38" s="162">
        <f>SUM(K38:Q38)</f>
        <v/>
      </c>
      <c r="S38" s="10">
        <f>COUNTIFS(Planning!$M$4:$M$863,$A38,Planning!$Y$4:$Y$863,"⚠ CONFLIT")</f>
        <v/>
      </c>
    </row>
    <row r="39" ht="15" customHeight="1">
      <c r="A39" s="9" t="inlineStr">
        <is>
          <t>Sondes</t>
        </is>
      </c>
      <c r="B39" s="9" t="inlineStr">
        <is>
          <t>Physique</t>
        </is>
      </c>
      <c r="C39" s="10">
        <f>COUNTIFS(Planning!$A$4:$A$863,"S1",Planning!$M$4:$M$863,$A39,Planning!$S$4:$S$863,"Oui")</f>
        <v/>
      </c>
      <c r="D39" s="10">
        <f>COUNTIFS(Planning!$A$4:$A$863,"S2",Planning!$M$4:$M$863,$A39,Planning!$S$4:$S$863,"Oui")</f>
        <v/>
      </c>
      <c r="E39" s="10">
        <f>COUNTIFS(Planning!$A$4:$A$863,"S3",Planning!$M$4:$M$863,$A39,Planning!$S$4:$S$863,"Oui")</f>
        <v/>
      </c>
      <c r="F39" s="10">
        <f>COUNTIFS(Planning!$A$4:$A$863,"S4",Planning!$M$4:$M$863,$A39,Planning!$S$4:$S$863,"Oui")</f>
        <v/>
      </c>
      <c r="G39" s="10">
        <f>COUNTIFS(Planning!$A$4:$A$863,"S5",Planning!$M$4:$M$863,$A39,Planning!$S$4:$S$863,"Oui")</f>
        <v/>
      </c>
      <c r="H39" s="10">
        <f>COUNTIFS(Planning!$A$4:$A$863,"S6",Planning!$M$4:$M$863,$A39,Planning!$S$4:$S$863,"Oui")</f>
        <v/>
      </c>
      <c r="I39" s="10">
        <f>COUNTIFS(Planning!$A$4:$A$863,"S7",Planning!$M$4:$M$863,$A39,Planning!$S$4:$S$863,"Oui")</f>
        <v/>
      </c>
      <c r="J39" s="161">
        <f>SUM(C39:I39)</f>
        <v/>
      </c>
      <c r="K39" s="101">
        <f>SUMIFS(Planning!$H$4:$H$863,Planning!$A$4:$A$863,"S1",Planning!$M$4:$M$863,$A39,Planning!$S$4:$S$863,"Oui")</f>
        <v/>
      </c>
      <c r="L39" s="101">
        <f>SUMIFS(Planning!$H$4:$H$863,Planning!$A$4:$A$863,"S2",Planning!$M$4:$M$863,$A39,Planning!$S$4:$S$863,"Oui")</f>
        <v/>
      </c>
      <c r="M39" s="101">
        <f>SUMIFS(Planning!$H$4:$H$863,Planning!$A$4:$A$863,"S3",Planning!$M$4:$M$863,$A39,Planning!$S$4:$S$863,"Oui")</f>
        <v/>
      </c>
      <c r="N39" s="101">
        <f>SUMIFS(Planning!$H$4:$H$863,Planning!$A$4:$A$863,"S4",Planning!$M$4:$M$863,$A39,Planning!$S$4:$S$863,"Oui")</f>
        <v/>
      </c>
      <c r="O39" s="101">
        <f>SUMIFS(Planning!$H$4:$H$863,Planning!$A$4:$A$863,"S5",Planning!$M$4:$M$863,$A39,Planning!$S$4:$S$863,"Oui")</f>
        <v/>
      </c>
      <c r="P39" s="101">
        <f>SUMIFS(Planning!$H$4:$H$863,Planning!$A$4:$A$863,"S6",Planning!$M$4:$M$863,$A39,Planning!$S$4:$S$863,"Oui")</f>
        <v/>
      </c>
      <c r="Q39" s="101">
        <f>SUMIFS(Planning!$H$4:$H$863,Planning!$A$4:$A$863,"S7",Planning!$M$4:$M$863,$A39,Planning!$S$4:$S$863,"Oui")</f>
        <v/>
      </c>
      <c r="R39" s="162">
        <f>SUM(K39:Q39)</f>
        <v/>
      </c>
      <c r="S39" s="10">
        <f>COUNTIFS(Planning!$M$4:$M$863,$A39,Planning!$Y$4:$Y$863,"⚠ CONFLIT")</f>
        <v/>
      </c>
    </row>
    <row r="40" ht="15" customHeight="1">
      <c r="A40" s="9" t="inlineStr">
        <is>
          <t>Yahya</t>
        </is>
      </c>
      <c r="B40" s="9" t="inlineStr">
        <is>
          <t>Arabe</t>
        </is>
      </c>
      <c r="C40" s="10">
        <f>COUNTIFS(Planning!$A$4:$A$863,"S1",Planning!$M$4:$M$863,$A40,Planning!$S$4:$S$863,"Oui")</f>
        <v/>
      </c>
      <c r="D40" s="10">
        <f>COUNTIFS(Planning!$A$4:$A$863,"S2",Planning!$M$4:$M$863,$A40,Planning!$S$4:$S$863,"Oui")</f>
        <v/>
      </c>
      <c r="E40" s="10">
        <f>COUNTIFS(Planning!$A$4:$A$863,"S3",Planning!$M$4:$M$863,$A40,Planning!$S$4:$S$863,"Oui")</f>
        <v/>
      </c>
      <c r="F40" s="10">
        <f>COUNTIFS(Planning!$A$4:$A$863,"S4",Planning!$M$4:$M$863,$A40,Planning!$S$4:$S$863,"Oui")</f>
        <v/>
      </c>
      <c r="G40" s="10">
        <f>COUNTIFS(Planning!$A$4:$A$863,"S5",Planning!$M$4:$M$863,$A40,Planning!$S$4:$S$863,"Oui")</f>
        <v/>
      </c>
      <c r="H40" s="10">
        <f>COUNTIFS(Planning!$A$4:$A$863,"S6",Planning!$M$4:$M$863,$A40,Planning!$S$4:$S$863,"Oui")</f>
        <v/>
      </c>
      <c r="I40" s="10">
        <f>COUNTIFS(Planning!$A$4:$A$863,"S7",Planning!$M$4:$M$863,$A40,Planning!$S$4:$S$863,"Oui")</f>
        <v/>
      </c>
      <c r="J40" s="161">
        <f>SUM(C40:I40)</f>
        <v/>
      </c>
      <c r="K40" s="101">
        <f>SUMIFS(Planning!$H$4:$H$863,Planning!$A$4:$A$863,"S1",Planning!$M$4:$M$863,$A40,Planning!$S$4:$S$863,"Oui")</f>
        <v/>
      </c>
      <c r="L40" s="101">
        <f>SUMIFS(Planning!$H$4:$H$863,Planning!$A$4:$A$863,"S2",Planning!$M$4:$M$863,$A40,Planning!$S$4:$S$863,"Oui")</f>
        <v/>
      </c>
      <c r="M40" s="101">
        <f>SUMIFS(Planning!$H$4:$H$863,Planning!$A$4:$A$863,"S3",Planning!$M$4:$M$863,$A40,Planning!$S$4:$S$863,"Oui")</f>
        <v/>
      </c>
      <c r="N40" s="101">
        <f>SUMIFS(Planning!$H$4:$H$863,Planning!$A$4:$A$863,"S4",Planning!$M$4:$M$863,$A40,Planning!$S$4:$S$863,"Oui")</f>
        <v/>
      </c>
      <c r="O40" s="101">
        <f>SUMIFS(Planning!$H$4:$H$863,Planning!$A$4:$A$863,"S5",Planning!$M$4:$M$863,$A40,Planning!$S$4:$S$863,"Oui")</f>
        <v/>
      </c>
      <c r="P40" s="101">
        <f>SUMIFS(Planning!$H$4:$H$863,Planning!$A$4:$A$863,"S6",Planning!$M$4:$M$863,$A40,Planning!$S$4:$S$863,"Oui")</f>
        <v/>
      </c>
      <c r="Q40" s="101">
        <f>SUMIFS(Planning!$H$4:$H$863,Planning!$A$4:$A$863,"S7",Planning!$M$4:$M$863,$A40,Planning!$S$4:$S$863,"Oui")</f>
        <v/>
      </c>
      <c r="R40" s="162">
        <f>SUM(K40:Q40)</f>
        <v/>
      </c>
      <c r="S40" s="10">
        <f>COUNTIFS(Planning!$M$4:$M$863,$A40,Planning!$Y$4:$Y$863,"⚠ CONFLIT")</f>
        <v/>
      </c>
    </row>
    <row r="41" ht="15" customHeight="1">
      <c r="A41" s="9" t="inlineStr">
        <is>
          <t>Yassine</t>
        </is>
      </c>
      <c r="B41" s="9" t="inlineStr">
        <is>
          <t>Gestion</t>
        </is>
      </c>
      <c r="C41" s="10">
        <f>COUNTIFS(Planning!$A$4:$A$863,"S1",Planning!$M$4:$M$863,$A41,Planning!$S$4:$S$863,"Oui")</f>
        <v/>
      </c>
      <c r="D41" s="10">
        <f>COUNTIFS(Planning!$A$4:$A$863,"S2",Planning!$M$4:$M$863,$A41,Planning!$S$4:$S$863,"Oui")</f>
        <v/>
      </c>
      <c r="E41" s="10">
        <f>COUNTIFS(Planning!$A$4:$A$863,"S3",Planning!$M$4:$M$863,$A41,Planning!$S$4:$S$863,"Oui")</f>
        <v/>
      </c>
      <c r="F41" s="10">
        <f>COUNTIFS(Planning!$A$4:$A$863,"S4",Planning!$M$4:$M$863,$A41,Planning!$S$4:$S$863,"Oui")</f>
        <v/>
      </c>
      <c r="G41" s="10">
        <f>COUNTIFS(Planning!$A$4:$A$863,"S5",Planning!$M$4:$M$863,$A41,Planning!$S$4:$S$863,"Oui")</f>
        <v/>
      </c>
      <c r="H41" s="10">
        <f>COUNTIFS(Planning!$A$4:$A$863,"S6",Planning!$M$4:$M$863,$A41,Planning!$S$4:$S$863,"Oui")</f>
        <v/>
      </c>
      <c r="I41" s="10">
        <f>COUNTIFS(Planning!$A$4:$A$863,"S7",Planning!$M$4:$M$863,$A41,Planning!$S$4:$S$863,"Oui")</f>
        <v/>
      </c>
      <c r="J41" s="161">
        <f>SUM(C41:I41)</f>
        <v/>
      </c>
      <c r="K41" s="101">
        <f>SUMIFS(Planning!$H$4:$H$863,Planning!$A$4:$A$863,"S1",Planning!$M$4:$M$863,$A41,Planning!$S$4:$S$863,"Oui")</f>
        <v/>
      </c>
      <c r="L41" s="101">
        <f>SUMIFS(Planning!$H$4:$H$863,Planning!$A$4:$A$863,"S2",Planning!$M$4:$M$863,$A41,Planning!$S$4:$S$863,"Oui")</f>
        <v/>
      </c>
      <c r="M41" s="101">
        <f>SUMIFS(Planning!$H$4:$H$863,Planning!$A$4:$A$863,"S3",Planning!$M$4:$M$863,$A41,Planning!$S$4:$S$863,"Oui")</f>
        <v/>
      </c>
      <c r="N41" s="101">
        <f>SUMIFS(Planning!$H$4:$H$863,Planning!$A$4:$A$863,"S4",Planning!$M$4:$M$863,$A41,Planning!$S$4:$S$863,"Oui")</f>
        <v/>
      </c>
      <c r="O41" s="101">
        <f>SUMIFS(Planning!$H$4:$H$863,Planning!$A$4:$A$863,"S5",Planning!$M$4:$M$863,$A41,Planning!$S$4:$S$863,"Oui")</f>
        <v/>
      </c>
      <c r="P41" s="101">
        <f>SUMIFS(Planning!$H$4:$H$863,Planning!$A$4:$A$863,"S6",Planning!$M$4:$M$863,$A41,Planning!$S$4:$S$863,"Oui")</f>
        <v/>
      </c>
      <c r="Q41" s="101">
        <f>SUMIFS(Planning!$H$4:$H$863,Planning!$A$4:$A$863,"S7",Planning!$M$4:$M$863,$A41,Planning!$S$4:$S$863,"Oui")</f>
        <v/>
      </c>
      <c r="R41" s="162">
        <f>SUM(K41:Q41)</f>
        <v/>
      </c>
      <c r="S41" s="10">
        <f>COUNTIFS(Planning!$M$4:$M$863,$A41,Planning!$Y$4:$Y$863,"⚠ CONFLIT")</f>
        <v/>
      </c>
    </row>
    <row r="42">
      <c r="A42" s="7" t="inlineStr">
        <is>
          <t>TOTAL</t>
        </is>
      </c>
      <c r="B42" s="7" t="n"/>
      <c r="C42" s="7">
        <f>SUM(C5:C41)</f>
        <v/>
      </c>
      <c r="D42" s="7">
        <f>SUM(D5:D41)</f>
        <v/>
      </c>
      <c r="E42" s="7">
        <f>SUM(E5:E41)</f>
        <v/>
      </c>
      <c r="F42" s="7">
        <f>SUM(F5:F41)</f>
        <v/>
      </c>
      <c r="G42" s="7">
        <f>SUM(G5:G41)</f>
        <v/>
      </c>
      <c r="H42" s="7">
        <f>SUM(H5:H41)</f>
        <v/>
      </c>
      <c r="I42" s="7">
        <f>SUM(I5:I41)</f>
        <v/>
      </c>
      <c r="J42" s="7">
        <f>SUM(J5:J41)</f>
        <v/>
      </c>
      <c r="K42" s="163">
        <f>SUM(K5:K41)</f>
        <v/>
      </c>
      <c r="L42" s="163">
        <f>SUM(L5:L41)</f>
        <v/>
      </c>
      <c r="M42" s="163">
        <f>SUM(M5:M41)</f>
        <v/>
      </c>
      <c r="N42" s="163">
        <f>SUM(N5:N41)</f>
        <v/>
      </c>
      <c r="O42" s="163">
        <f>SUM(O5:O41)</f>
        <v/>
      </c>
      <c r="P42" s="163">
        <f>SUM(P5:P41)</f>
        <v/>
      </c>
      <c r="Q42" s="163">
        <f>SUM(Q5:Q41)</f>
        <v/>
      </c>
      <c r="R42" s="163">
        <f>SUM(R5:R41)</f>
        <v/>
      </c>
      <c r="S42" s="7">
        <f>SUM(S5:S41)</f>
        <v/>
      </c>
    </row>
  </sheetData>
  <autoFilter ref="A4:S41"/>
  <mergeCells count="4">
    <mergeCell ref="C3:I3"/>
    <mergeCell ref="A2:S2"/>
    <mergeCell ref="K3:Q3"/>
    <mergeCell ref="A1:S1"/>
  </mergeCells>
  <conditionalFormatting sqref="S5:S41">
    <cfRule type="expression" priority="1" dxfId="10">
      <formula>$S5&gt;0</formula>
    </cfRule>
  </conditionalFormatting>
  <conditionalFormatting sqref="C5:I41">
    <cfRule type="expression" priority="2" dxfId="11">
      <formula>C5=0</formula>
    </cfRule>
  </conditionalFormatting>
  <printOptions horizontalCentered="1" gridLines="0"/>
  <pageMargins left="0.35" right="0.35" top="0.5" bottom="0.45" header="0.2" footer="0.2"/>
  <pageSetup orientation="landscape" paperSize="9" fitToHeight="0" fitToWidth="1"/>
  <headerFooter>
    <oddHeader>&amp;R&amp;"Arial,Italic"&amp;8 </oddHeader>
    <oddFooter>&amp;L&amp;8 RS 2026-2027 · Charge enseignants&amp;R&amp;8 Page &amp;P / &amp;N</oddFooter>
    <evenHeader/>
    <evenFooter/>
    <firstHeader/>
    <firstFooter/>
  </headerFooter>
</worksheet>
</file>

<file path=xl/worksheets/sheet12.xml><?xml version="1.0" encoding="utf-8"?>
<worksheet xmlns="http://schemas.openxmlformats.org/spreadsheetml/2006/main">
  <sheetPr>
    <tabColor rgb="00B03A2E"/>
    <outlinePr summaryBelow="1" summaryRight="1"/>
    <pageSetUpPr fitToPage="1"/>
  </sheetPr>
  <dimension ref="A1:F51"/>
  <sheetViews>
    <sheetView showGridLines="0" workbookViewId="0">
      <pane ySplit="3" topLeftCell="A4" activePane="bottomLeft" state="frozen"/>
      <selection pane="bottomLeft" activeCell="A1" sqref="A1"/>
    </sheetView>
  </sheetViews>
  <sheetFormatPr baseColWidth="8" defaultRowHeight="15"/>
  <cols>
    <col width="5" customWidth="1" min="1" max="1"/>
    <col width="58" customWidth="1" min="2" max="2"/>
    <col width="30" customWidth="1" min="3" max="3"/>
    <col width="13" customWidth="1" min="4" max="4"/>
    <col width="13" customWidth="1" min="5" max="5"/>
    <col width="46" customWidth="1" min="6" max="6"/>
  </cols>
  <sheetData>
    <row r="1" ht="34" customHeight="1">
      <c r="A1" s="51" t="inlineStr">
        <is>
          <t>CONTRÔLES AUTOMATIQUES — fiabilité des données</t>
        </is>
      </c>
      <c r="B1" s="2" t="n"/>
      <c r="C1" s="2" t="n"/>
      <c r="D1" s="2" t="n"/>
      <c r="E1" s="2" t="n"/>
      <c r="F1" s="2" t="n"/>
    </row>
    <row r="2" ht="20" customHeight="1">
      <c r="A2" s="52" t="inlineStr">
        <is>
          <t>Tous les contrôles sont des formules vivantes : ils se recalculent dès qu’une ligne est modifiée dans Planning. Objectif : 0 anomalie dans la colonne Statut.</t>
        </is>
      </c>
      <c r="B2" s="53" t="n"/>
      <c r="C2" s="53" t="n"/>
      <c r="D2" s="53" t="n"/>
      <c r="E2" s="53" t="n"/>
      <c r="F2" s="53" t="n"/>
    </row>
    <row r="3" ht="26" customHeight="1">
      <c r="A3" s="7" t="inlineStr">
        <is>
          <t>#</t>
        </is>
      </c>
      <c r="B3" s="7" t="inlineStr">
        <is>
          <t>Contrôle</t>
        </is>
      </c>
      <c r="C3" s="7" t="inlineStr">
        <is>
          <t>Règle appliquée</t>
        </is>
      </c>
      <c r="D3" s="7" t="inlineStr">
        <is>
          <t>Attendu</t>
        </is>
      </c>
      <c r="E3" s="7" t="inlineStr">
        <is>
          <t>Résultat</t>
        </is>
      </c>
      <c r="F3" s="7" t="inlineStr">
        <is>
          <t>Statut / action</t>
        </is>
      </c>
    </row>
    <row r="4" ht="17" customHeight="1">
      <c r="A4" s="10" t="n">
        <v>1</v>
      </c>
      <c r="B4" s="45" t="inlineStr">
        <is>
          <t>Conflits d’enseignant</t>
        </is>
      </c>
      <c r="C4" s="9" t="inlineStr">
        <is>
          <t>Même enseignant, même date, horaires qui se chevauchent, séances différentes</t>
        </is>
      </c>
      <c r="D4" s="10" t="inlineStr">
        <is>
          <t>0</t>
        </is>
      </c>
      <c r="E4" s="10">
        <f>COUNTIF(Planning!$Y$4:$Y$863,"⚠ CONFLIT")</f>
        <v/>
      </c>
      <c r="F4" s="9">
        <f>IF($E4=0,"OK","À VÉRIFIER : "&amp;$E4&amp;" au lieu de 0")</f>
        <v/>
      </c>
    </row>
    <row r="5" ht="17" customHeight="1">
      <c r="A5" s="164" t="n">
        <v>2</v>
      </c>
      <c r="B5" s="165" t="inlineStr">
        <is>
          <t>Conflits de classe</t>
        </is>
      </c>
      <c r="C5" s="166" t="inlineStr">
        <is>
          <t>Même groupe, même date, horaires qui se chevauchent, séances différentes</t>
        </is>
      </c>
      <c r="D5" s="164" t="inlineStr">
        <is>
          <t>0</t>
        </is>
      </c>
      <c r="E5" s="164">
        <f>COUNTIF(Planning!$Z$4:$Z$863,"⚠ CONFLIT")</f>
        <v/>
      </c>
      <c r="F5" s="166">
        <f>IF($E5=0,"OK","À VÉRIFIER : "&amp;$E5&amp;" au lieu de 0")</f>
        <v/>
      </c>
    </row>
    <row r="6" ht="17" customHeight="1">
      <c r="A6" s="10" t="n">
        <v>3</v>
      </c>
      <c r="B6" s="45" t="inlineStr">
        <is>
          <t>Doublons de séance</t>
        </is>
      </c>
      <c r="C6" s="9" t="inlineStr">
        <is>
          <t>Même date + classe + heure de début + matière</t>
        </is>
      </c>
      <c r="D6" s="10" t="inlineStr">
        <is>
          <t>0</t>
        </is>
      </c>
      <c r="E6" s="10">
        <f>COUNTIF(Planning!$AA$4:$AA$863,"⚠ DOUBLON")</f>
        <v/>
      </c>
      <c r="F6" s="9">
        <f>IF($E6=0,"OK","À VÉRIFIER : "&amp;$E6&amp;" au lieu de 0")</f>
        <v/>
      </c>
    </row>
    <row r="7" ht="17" customHeight="1">
      <c r="A7" s="164" t="n">
        <v>4</v>
      </c>
      <c r="B7" s="165" t="inlineStr">
        <is>
          <t>Séances sans enseignant</t>
        </is>
      </c>
      <c r="C7" s="166" t="inlineStr">
        <is>
          <t>Colonne Enseignant vide</t>
        </is>
      </c>
      <c r="D7" s="164" t="inlineStr">
        <is>
          <t>0</t>
        </is>
      </c>
      <c r="E7" s="164">
        <f>SUMPRODUCT((Planning!$A$4:$A$863&lt;&gt;"")*(Planning!$M$4:$M$863=""))</f>
        <v/>
      </c>
      <c r="F7" s="166">
        <f>IF($E7=0,"OK","À VÉRIFIER : "&amp;$E7&amp;" au lieu de 0")</f>
        <v/>
      </c>
    </row>
    <row r="8" ht="17" customHeight="1">
      <c r="A8" s="10" t="n">
        <v>5</v>
      </c>
      <c r="B8" s="45" t="inlineStr">
        <is>
          <t>Séances sans horaire</t>
        </is>
      </c>
      <c r="C8" s="9" t="inlineStr">
        <is>
          <t>Heure de début ou de fin vide</t>
        </is>
      </c>
      <c r="D8" s="10" t="inlineStr">
        <is>
          <t>0</t>
        </is>
      </c>
      <c r="E8" s="10">
        <f>SUMPRODUCT((Planning!$A$4:$A$863&lt;&gt;"")*((Planning!$F$4:$F$863="")+(Planning!$G$4:$G$863="")&gt;0))</f>
        <v/>
      </c>
      <c r="F8" s="9">
        <f>IF($E8=0,"OK","À VÉRIFIER : "&amp;$E8&amp;" au lieu de 0")</f>
        <v/>
      </c>
    </row>
    <row r="9" ht="17" customHeight="1">
      <c r="A9" s="164" t="n">
        <v>6</v>
      </c>
      <c r="B9" s="165" t="inlineStr">
        <is>
          <t>Séances sans matière</t>
        </is>
      </c>
      <c r="C9" s="166" t="inlineStr">
        <is>
          <t>Colonne Matière vide</t>
        </is>
      </c>
      <c r="D9" s="164" t="inlineStr">
        <is>
          <t>0</t>
        </is>
      </c>
      <c r="E9" s="164">
        <f>SUMPRODUCT((Planning!$A$4:$A$863&lt;&gt;"")*(Planning!$K$4:$K$863=""))</f>
        <v/>
      </c>
      <c r="F9" s="166">
        <f>IF($E9=0,"OK","À VÉRIFIER : "&amp;$E9&amp;" au lieu de 0")</f>
        <v/>
      </c>
    </row>
    <row r="10" ht="17" customHeight="1">
      <c r="A10" s="10" t="n">
        <v>7</v>
      </c>
      <c r="B10" s="45" t="inlineStr">
        <is>
          <t>Horaires hors plage 08:00–21:30</t>
        </is>
      </c>
      <c r="C10" s="9" t="inlineStr">
        <is>
          <t>Début &lt; 08:00 ou fin &gt; 21:30</t>
        </is>
      </c>
      <c r="D10" s="10" t="inlineStr">
        <is>
          <t>0</t>
        </is>
      </c>
      <c r="E10" s="10">
        <f>SUMPRODUCT((Planning!$A$4:$A$863&lt;&gt;"")*(Planning!$F$4:$F$863&lt;&gt;"")*((Planning!$F$4:$F$863&lt;TIME(8,0,0))+(Planning!$G$4:$G$863&gt;TIME(21,30,0))&gt;0))</f>
        <v/>
      </c>
      <c r="F10" s="9">
        <f>IF($E10=0,"OK","À VÉRIFIER : "&amp;$E10&amp;" au lieu de 0")</f>
        <v/>
      </c>
    </row>
    <row r="11" ht="17" customHeight="1">
      <c r="A11" s="164" t="n">
        <v>8</v>
      </c>
      <c r="B11" s="165" t="inlineStr">
        <is>
          <t>Durées anormales</t>
        </is>
      </c>
      <c r="C11" s="166" t="inlineStr">
        <is>
          <t>Durée &lt; 1,0 h ou &gt; 3,0 h</t>
        </is>
      </c>
      <c r="D11" s="164" t="inlineStr">
        <is>
          <t>0</t>
        </is>
      </c>
      <c r="E11" s="164">
        <f>SUMPRODUCT((Planning!$A$4:$A$863&lt;&gt;"")*(Planning!$F$4:$F$863&lt;&gt;"")*((Planning!$H$4:$H$863&lt;1)+(Planning!$H$4:$H$863&gt;3)&gt;0))</f>
        <v/>
      </c>
      <c r="F11" s="166">
        <f>IF($E11=0,"OK","À VÉRIFIER : "&amp;$E11&amp;" au lieu de 0")</f>
        <v/>
      </c>
    </row>
    <row r="12" ht="17" customHeight="1">
      <c r="A12" s="10" t="n">
        <v>9</v>
      </c>
      <c r="B12" s="45" t="inlineStr">
        <is>
          <t>Heure de fin ≤ heure de début</t>
        </is>
      </c>
      <c r="C12" s="9" t="inlineStr">
        <is>
          <t>Incohérence d’horaire</t>
        </is>
      </c>
      <c r="D12" s="10" t="inlineStr">
        <is>
          <t>0</t>
        </is>
      </c>
      <c r="E12" s="10">
        <f>SUMPRODUCT((Planning!$A$4:$A$863&lt;&gt;"")*(Planning!$F$4:$F$863&lt;&gt;"")*(Planning!$G$4:$G$863&lt;=Planning!$F$4:$F$863))</f>
        <v/>
      </c>
      <c r="F12" s="9">
        <f>IF($E12=0,"OK","À VÉRIFIER : "&amp;$E12&amp;" au lieu de 0")</f>
        <v/>
      </c>
    </row>
    <row r="13" ht="17" customHeight="1">
      <c r="A13" s="164" t="n">
        <v>10</v>
      </c>
      <c r="B13" s="165" t="inlineStr">
        <is>
          <t>Matières hors référentiel</t>
        </is>
      </c>
      <c r="C13" s="166" t="inlineStr">
        <is>
          <t>Valeur absente de la liste Référentiels</t>
        </is>
      </c>
      <c r="D13" s="164" t="inlineStr">
        <is>
          <t>0</t>
        </is>
      </c>
      <c r="E13" s="164">
        <f>SUMPRODUCT((Planning!$A$4:$A$863&lt;&gt;"")*(Planning!$K$4:$K$863&lt;&gt;"")*(COUNTIF(LST_Matieres,Planning!$K$4:$K$863)=0))</f>
        <v/>
      </c>
      <c r="F13" s="166">
        <f>IF($E13=0,"OK","À VÉRIFIER : "&amp;$E13&amp;" au lieu de 0")</f>
        <v/>
      </c>
    </row>
    <row r="14" ht="17" customHeight="1">
      <c r="A14" s="10" t="n">
        <v>11</v>
      </c>
      <c r="B14" s="45" t="inlineStr">
        <is>
          <t>Enseignants hors référentiel</t>
        </is>
      </c>
      <c r="C14" s="9" t="inlineStr">
        <is>
          <t>Valeur absente de la liste Référentiels</t>
        </is>
      </c>
      <c r="D14" s="10" t="inlineStr">
        <is>
          <t>0</t>
        </is>
      </c>
      <c r="E14" s="10">
        <f>SUMPRODUCT((Planning!$A$4:$A$863&lt;&gt;"")*(Planning!$M$4:$M$863&lt;&gt;"")*(COUNTIF(LST_Profs,Planning!$M$4:$M$863)=0))</f>
        <v/>
      </c>
      <c r="F14" s="9">
        <f>IF($E14=0,"OK","À VÉRIFIER : "&amp;$E14&amp;" au lieu de 0")</f>
        <v/>
      </c>
    </row>
    <row r="15" ht="17" customHeight="1">
      <c r="A15" s="164" t="n">
        <v>12</v>
      </c>
      <c r="B15" s="165" t="inlineStr">
        <is>
          <t>Classes hors référentiel</t>
        </is>
      </c>
      <c r="C15" s="166" t="inlineStr">
        <is>
          <t>Valeur absente de la liste Référentiels</t>
        </is>
      </c>
      <c r="D15" s="164" t="inlineStr">
        <is>
          <t>0</t>
        </is>
      </c>
      <c r="E15" s="164">
        <f>SUMPRODUCT((Planning!$A$4:$A$863&lt;&gt;"")*(Planning!$J$4:$J$863&lt;&gt;"")*(COUNTIF(LST_Classes,Planning!$J$4:$J$863)=0))</f>
        <v/>
      </c>
      <c r="F15" s="166">
        <f>IF($E15=0,"OK","À VÉRIFIER : "&amp;$E15&amp;" au lieu de 0")</f>
        <v/>
      </c>
    </row>
    <row r="16" ht="17" customHeight="1">
      <c r="A16" s="10" t="n">
        <v>13</v>
      </c>
      <c r="B16" s="45" t="inlineStr">
        <is>
          <t>Quinzaine A placée en semaine B</t>
        </is>
      </c>
      <c r="C16" s="9" t="inlineStr">
        <is>
          <t>Rythme « Quinzaine A » sur une semaine de parité B</t>
        </is>
      </c>
      <c r="D16" s="10" t="inlineStr">
        <is>
          <t>0</t>
        </is>
      </c>
      <c r="E16" s="10">
        <f>SUMPRODUCT((Planning!$P$4:$P$863="Quinzaine A")*(Planning!$C$4:$C$863="B"))</f>
        <v/>
      </c>
      <c r="F16" s="9">
        <f>IF($E16=0,"OK","À VÉRIFIER : "&amp;$E16&amp;" au lieu de 0")</f>
        <v/>
      </c>
    </row>
    <row r="17" ht="17" customHeight="1">
      <c r="A17" s="164" t="n">
        <v>14</v>
      </c>
      <c r="B17" s="165" t="inlineStr">
        <is>
          <t>Quinzaine B placée en semaine A</t>
        </is>
      </c>
      <c r="C17" s="166" t="inlineStr">
        <is>
          <t>Rythme « Quinzaine B » sur une semaine de parité A</t>
        </is>
      </c>
      <c r="D17" s="164" t="inlineStr">
        <is>
          <t>0</t>
        </is>
      </c>
      <c r="E17" s="164">
        <f>SUMPRODUCT((Planning!$P$4:$P$863="Quinzaine B")*(Planning!$C$4:$C$863="A"))</f>
        <v/>
      </c>
      <c r="F17" s="166">
        <f>IF($E17=0,"OK","À VÉRIFIER : "&amp;$E17&amp;" au lieu de 0")</f>
        <v/>
      </c>
    </row>
    <row r="18" ht="17" customHeight="1">
      <c r="A18" s="10" t="n">
        <v>15</v>
      </c>
      <c r="B18" s="45" t="inlineStr">
        <is>
          <t>Dates hors période couverte</t>
        </is>
      </c>
      <c r="C18" s="9" t="inlineStr">
        <is>
          <t>Date &lt; 14/09/2026 ou &gt; 01/11/2026</t>
        </is>
      </c>
      <c r="D18" s="10" t="inlineStr">
        <is>
          <t>0</t>
        </is>
      </c>
      <c r="E18" s="10">
        <f>SUMPRODUCT((Planning!$A$4:$A$863&lt;&gt;"")*((Planning!$D$4:$D$863&lt;DATE(2026,9,14))+(Planning!$D$4:$D$863&gt;DATE(2026,11,1))&gt;0))</f>
        <v/>
      </c>
      <c r="F18" s="9">
        <f>IF($E18=0,"OK","À VÉRIFIER : "&amp;$E18&amp;" au lieu de 0")</f>
        <v/>
      </c>
    </row>
    <row r="19" ht="17" customHeight="1">
      <c r="A19" s="164" t="n">
        <v>16</v>
      </c>
      <c r="B19" s="165" t="inlineStr">
        <is>
          <t>Jour ≠ jour réel de la date</t>
        </is>
      </c>
      <c r="C19" s="166" t="inlineStr">
        <is>
          <t>Libellé du jour incohérent avec la date</t>
        </is>
      </c>
      <c r="D19" s="164" t="inlineStr">
        <is>
          <t>0</t>
        </is>
      </c>
      <c r="E19" s="164">
        <f>SUMPRODUCT((Planning!$A$4:$A$863&lt;&gt;"")*(Planning!$D$4:$D$863&lt;&gt;"")*(Planning!$E$4:$E$863&lt;&gt;CHOOSE(WEEKDAY(Planning!$D$4:$D$863,2),"Lundi","Mardi","Mercredi","Jeudi","Vendredi","Samedi","Dimanche")))</f>
        <v/>
      </c>
      <c r="F19" s="166">
        <f>IF($E19=0,"OK","À VÉRIFIER : "&amp;$E19&amp;" au lieu de 0")</f>
        <v/>
      </c>
    </row>
    <row r="20" ht="17" customHeight="1">
      <c r="A20" s="10" t="n">
        <v>17</v>
      </c>
      <c r="B20" s="45" t="inlineStr">
        <is>
          <t>Classes sans séance (semaine A type S5)</t>
        </is>
      </c>
      <c r="C20" s="9" t="inlineStr">
        <is>
          <t>Chaque classe doit avoir au moins 1 séance</t>
        </is>
      </c>
      <c r="D20" s="10" t="inlineStr">
        <is>
          <t>0</t>
        </is>
      </c>
      <c r="E20" s="10">
        <f>SUMPRODUCT(--(COUNTIFS(Planning!$A$4:$A$863,"S5",Planning!$J$4:$J$863,LST_Classes)=0))</f>
        <v/>
      </c>
      <c r="F20" s="9">
        <f>IF($E20=0,"OK","À VÉRIFIER : "&amp;$E20&amp;" au lieu de 0")</f>
        <v/>
      </c>
    </row>
    <row r="21" ht="17" customHeight="1">
      <c r="A21" s="164" t="n">
        <v>18</v>
      </c>
      <c r="B21" s="165" t="inlineStr">
        <is>
          <t>Classes sans séance (semaine B type S4)</t>
        </is>
      </c>
      <c r="C21" s="166" t="inlineStr">
        <is>
          <t>Chaque classe doit avoir au moins 1 séance</t>
        </is>
      </c>
      <c r="D21" s="164" t="inlineStr">
        <is>
          <t>0</t>
        </is>
      </c>
      <c r="E21" s="164">
        <f>SUMPRODUCT(--(COUNTIFS(Planning!$A$4:$A$863,"S4",Planning!$J$4:$J$863,LST_Classes)=0))</f>
        <v/>
      </c>
      <c r="F21" s="166">
        <f>IF($E21=0,"OK","À VÉRIFIER : "&amp;$E21&amp;" au lieu de 0")</f>
        <v/>
      </c>
    </row>
    <row r="22" ht="17" customHeight="1">
      <c r="A22" s="10" t="n">
        <v>19</v>
      </c>
      <c r="B22" s="45" t="inlineStr">
        <is>
          <t>Intégrité septembre — lignes conservées</t>
        </is>
      </c>
      <c r="C22" s="9" t="inlineStr">
        <is>
          <t>370 lignes groupe-séance (124 + 121 + 125)</t>
        </is>
      </c>
      <c r="D22" s="10" t="inlineStr">
        <is>
          <t>370</t>
        </is>
      </c>
      <c r="E22" s="10">
        <f>COUNTIF(Planning!$U$4:$U$863,"Original (septembre)")</f>
        <v/>
      </c>
      <c r="F22" s="9">
        <f>IF($E22=370,"OK","À VÉRIFIER : "&amp;$E22&amp;" au lieu de 370")</f>
        <v/>
      </c>
    </row>
    <row r="23" ht="17" customHeight="1">
      <c r="A23" s="164" t="n">
        <v>20</v>
      </c>
      <c r="B23" s="165" t="inlineStr">
        <is>
          <t>Intégrité septembre — séances distinctes</t>
        </is>
      </c>
      <c r="C23" s="166" t="inlineStr">
        <is>
          <t>301 séances (100 + 100 + 101)</t>
        </is>
      </c>
      <c r="D23" s="164" t="inlineStr">
        <is>
          <t>301</t>
        </is>
      </c>
      <c r="E23" s="164">
        <f>COUNTIFS(Planning!$U$4:$U$863,"Original (septembre)",Planning!$S$4:$S$863,"Oui")</f>
        <v/>
      </c>
      <c r="F23" s="166">
        <f>IF($E23=301,"OK","À VÉRIFIER : "&amp;$E23&amp;" au lieu de 301")</f>
        <v/>
      </c>
    </row>
    <row r="24" ht="17" customHeight="1">
      <c r="A24" s="10" t="n">
        <v>21</v>
      </c>
      <c r="B24" s="45" t="inlineStr">
        <is>
          <t>Volume octobre généré — lignes</t>
        </is>
      </c>
      <c r="C24" s="9" t="inlineStr">
        <is>
          <t>490 lignes (120 + 125 + 120 + 125)</t>
        </is>
      </c>
      <c r="D24" s="10" t="inlineStr">
        <is>
          <t>490</t>
        </is>
      </c>
      <c r="E24" s="10">
        <f>COUNTIF(Planning!$U$4:$U$863,"Généré (octobre)")</f>
        <v/>
      </c>
      <c r="F24" s="9">
        <f>IF($E24=490,"OK","À VÉRIFIER : "&amp;$E24&amp;" au lieu de 490")</f>
        <v/>
      </c>
    </row>
    <row r="25" ht="17" customHeight="1">
      <c r="A25" s="164" t="n">
        <v>22</v>
      </c>
      <c r="B25" s="165" t="inlineStr">
        <is>
          <t>Volume octobre généré — séances</t>
        </is>
      </c>
      <c r="C25" s="166" t="inlineStr">
        <is>
          <t>400 séances (99 + 101 + 99 + 101)</t>
        </is>
      </c>
      <c r="D25" s="164" t="inlineStr">
        <is>
          <t>400</t>
        </is>
      </c>
      <c r="E25" s="164">
        <f>COUNTIFS(Planning!$U$4:$U$863,"Généré (octobre)",Planning!$S$4:$S$863,"Oui")</f>
        <v/>
      </c>
      <c r="F25" s="166">
        <f>IF($E25=400,"OK","À VÉRIFIER : "&amp;$E25&amp;" au lieu de 400")</f>
        <v/>
      </c>
    </row>
    <row r="26" ht="17" customHeight="1">
      <c r="A26" s="10" t="n">
        <v>23</v>
      </c>
      <c r="B26" s="45" t="inlineStr">
        <is>
          <t>Séances partagées — total</t>
        </is>
      </c>
      <c r="C26" s="9" t="inlineStr">
        <is>
          <t>106 séances réunissant plusieurs groupes</t>
        </is>
      </c>
      <c r="D26" s="10" t="inlineStr">
        <is>
          <t>106</t>
        </is>
      </c>
      <c r="E26" s="10">
        <f>COUNTIFS(Planning!$S$4:$S$863,"Oui",Planning!$R$4:$R$863,"&gt;1")</f>
        <v/>
      </c>
      <c r="F26" s="9">
        <f>IF($E26=106,"OK","À VÉRIFIER : "&amp;$E26&amp;" au lieu de 106")</f>
        <v/>
      </c>
    </row>
    <row r="27" ht="17" customHeight="1">
      <c r="A27" s="164" t="n">
        <v>24</v>
      </c>
      <c r="B27" s="165" t="inlineStr">
        <is>
          <t>Séances partagées cohérentes</t>
        </is>
      </c>
      <c r="C27" s="166" t="inlineStr">
        <is>
          <t>Toutes les lignes d’un même ID séance ont mêmes date, horaires, matière et enseignant</t>
        </is>
      </c>
      <c r="D27" s="164" t="inlineStr">
        <is>
          <t>0</t>
        </is>
      </c>
      <c r="E27" s="164">
        <f>COUNTIF(Planning!$AB$4:$AB$863,"⚠ INCOHÉRENT")</f>
        <v/>
      </c>
      <c r="F27" s="166">
        <f>IF($E27=0,"OK","À VÉRIFIER : "&amp;$E27&amp;" au lieu de 0")</f>
        <v/>
      </c>
    </row>
    <row r="28" ht="17" customHeight="1">
      <c r="A28" s="10" t="n">
        <v>25</v>
      </c>
      <c r="B28" s="45" t="inlineStr">
        <is>
          <t>Lignes principales = séances</t>
        </is>
      </c>
      <c r="C28" s="9" t="inlineStr">
        <is>
          <t>Exactement une ligne principale par ID séance</t>
        </is>
      </c>
      <c r="D28" s="10" t="inlineStr">
        <is>
          <t>0</t>
        </is>
      </c>
      <c r="E28" s="10">
        <f>SUMPRODUCT(--(COUNTIFS(Planning!$T$4:$T$863,Planning!$T$4:$T$863,Planning!$S$4:$S$863,"Oui")&lt;&gt;1))</f>
        <v/>
      </c>
      <c r="F28" s="9">
        <f>IF($E28=0,"OK","À VÉRIFIER : "&amp;$E28&amp;" au lieu de 0")</f>
        <v/>
      </c>
    </row>
    <row r="29" ht="17" customHeight="1">
      <c r="A29" s="164" t="n">
        <v>26</v>
      </c>
      <c r="B29" s="165" t="inlineStr">
        <is>
          <t>Lignes sans ID séance</t>
        </is>
      </c>
      <c r="C29" s="166" t="inlineStr">
        <is>
          <t>Chaque ligne doit porter un ID</t>
        </is>
      </c>
      <c r="D29" s="164" t="inlineStr">
        <is>
          <t>0</t>
        </is>
      </c>
      <c r="E29" s="164">
        <f>SUMPRODUCT((Planning!$A$4:$A$863&lt;&gt;"")*(Planning!$T$4:$T$863=""))</f>
        <v/>
      </c>
      <c r="F29" s="166">
        <f>IF($E29=0,"OK","À VÉRIFIER : "&amp;$E29&amp;" au lieu de 0")</f>
        <v/>
      </c>
    </row>
    <row r="30" ht="17" customHeight="1">
      <c r="A30" s="10" t="n">
        <v>27</v>
      </c>
      <c r="B30" s="45" t="inlineStr">
        <is>
          <t>Chevauchements admis (cours en option)</t>
        </is>
      </c>
      <c r="C30" s="9" t="inlineStr">
        <is>
          <t>Espagnol / Italien sur le même créneau : le groupe se scinde, ce n’est pas un conflit</t>
        </is>
      </c>
      <c r="D30" s="10" t="inlineStr">
        <is>
          <t>—</t>
        </is>
      </c>
      <c r="E30" s="10">
        <f>COUNTIF(Planning!$X$4:$X$863,"Oui")</f>
        <v/>
      </c>
      <c r="F30" s="9">
        <f>IF($B30="Séances tombant un jour férié signalé",IF($E30=0,"Aucune séance ce jour-là","À CONFIRMER : "&amp;$E30&amp;" ligne(s) planifiée(s) le 15/10"),"INFORMATIF : "&amp;$E30&amp;" ligne(s)")</f>
        <v/>
      </c>
    </row>
    <row r="31" ht="17" customHeight="1">
      <c r="A31" s="164" t="n">
        <v>28</v>
      </c>
      <c r="B31" s="165" t="inlineStr">
        <is>
          <t>Séances tombant un jour férié signalé</t>
        </is>
      </c>
      <c r="C31" s="166" t="inlineStr">
        <is>
          <t>Jeudi 15/10/2026 (Fête de l’Évacuation) — à confirmer</t>
        </is>
      </c>
      <c r="D31" s="164" t="inlineStr">
        <is>
          <t>—</t>
        </is>
      </c>
      <c r="E31" s="164">
        <f>COUNTIFS(Planning!$D$4:$D$863,DATE(2026,10,15))</f>
        <v/>
      </c>
      <c r="F31" s="166">
        <f>IF($B31="Séances tombant un jour férié signalé",IF($E31=0,"Aucune séance ce jour-là","À CONFIRMER : "&amp;$E31&amp;" ligne(s) planifiée(s) le 15/10"),"INFORMATIF : "&amp;$E31&amp;" ligne(s)")</f>
        <v/>
      </c>
    </row>
    <row r="33" ht="24" customHeight="1">
      <c r="A33" s="167" t="inlineStr">
        <is>
          <t>DÉCISIONS DE CONSTRUCTION DU PLANNING D’OCTOBRE ET POINTS SIGNALÉS</t>
        </is>
      </c>
      <c r="B33" s="168" t="n"/>
      <c r="C33" s="168" t="n"/>
      <c r="D33" s="168" t="n"/>
      <c r="E33" s="168" t="n"/>
      <c r="F33" s="168" t="n"/>
    </row>
    <row r="34">
      <c r="A34" s="7" t="inlineStr">
        <is>
          <t>#</t>
        </is>
      </c>
      <c r="B34" s="7" t="inlineStr">
        <is>
          <t>Élément concerné</t>
        </is>
      </c>
      <c r="C34" s="7" t="inlineStr">
        <is>
          <t>Constat</t>
        </is>
      </c>
      <c r="D34" s="7" t="inlineStr">
        <is>
          <t>Type</t>
        </is>
      </c>
      <c r="E34" s="7" t="inlineStr">
        <is>
          <t>Décision</t>
        </is>
      </c>
      <c r="F34" s="7" t="inlineStr">
        <is>
          <t>Justification</t>
        </is>
      </c>
    </row>
    <row r="35" ht="34" customHeight="1">
      <c r="A35" s="10" t="n">
        <v>1</v>
      </c>
      <c r="B35" s="169" t="inlineStr">
        <is>
          <t>SÉANCES PARTAGÉES ENTRE PLUSIEURS GROUPES — 16 en semaine A, 14 en semaine B</t>
        </is>
      </c>
      <c r="C35" s="49" t="inlineStr">
        <is>
          <t>Dans le fichier d’origine, une séance réunissant plusieurs groupes est écrite une seule fois, dans une cellule fusionnée qui déborde sur les blocs de toutes les classes concernées.</t>
        </is>
      </c>
      <c r="D35" s="49" t="inlineStr">
        <is>
          <t>Structure</t>
        </is>
      </c>
      <c r="E35" s="49" t="inlineStr">
        <is>
          <t>CONSERVÉES et rendues explicites</t>
        </is>
      </c>
      <c r="F35" s="49" t="inlineStr">
        <is>
          <t>Chaque groupe a désormais sa propre ligne dans Planning, les lignes d’une même séance étant reliées par un ID séance commun. Dans la grille, la séance n'est écrite qu'une fois, dans une cellule fusionnée qui couvre les lignes de tous les groupes réunis. La charge enseignant ne compte la séance qu’une fois.</t>
        </is>
      </c>
    </row>
    <row r="36" ht="34" customHeight="1">
      <c r="A36" s="164" t="n">
        <v>2</v>
      </c>
      <c r="B36" s="170" t="inlineStr">
        <is>
          <t>Physique (Melek) — 7éme (A)+(B) mercredi, 8éme (A)+(B)+(C) vendredi, 9éme (A)+(B)+(C) lundi</t>
        </is>
      </c>
      <c r="C36" s="171" t="inlineStr">
        <is>
          <t>Séances partagées sur tout un niveau, présentes les 3 semaines, mais portant la mention « /par quinzaine ».</t>
        </is>
      </c>
      <c r="D36" s="171" t="inlineStr">
        <is>
          <t>Étiquette contradictoire</t>
        </is>
      </c>
      <c r="E36" s="171" t="inlineStr">
        <is>
          <t>Traitées comme HEBDOMADAIRES et PARTAGÉES</t>
        </is>
      </c>
      <c r="F36" s="171" t="inlineStr">
        <is>
          <t>Le fait observé (3 semaines sur 3, mêmes groupes) prime sur l’étiquette. Si le rythme est réellement une quinzaine, passer la colonne Rythme à « Quinzaine A ».</t>
        </is>
      </c>
    </row>
    <row r="37" ht="34" customHeight="1">
      <c r="A37" s="10" t="n">
        <v>3</v>
      </c>
      <c r="B37" s="169" t="inlineStr">
        <is>
          <t>13 séances à GROUPES ALTERNÉS (Espagnol, Italien, Philo, Arabe Najet, Français Nabil, Anglais Khaled, Anglais Imen Ben Lazrak, Anglais Imen Bennour, SVT Sabrine, Éveil Bassma, Anglais Samar)</t>
        </is>
      </c>
      <c r="C37" s="49" t="inlineStr">
        <is>
          <t>La séance a lieu CHAQUE semaine, mais les groupes qui y assistent changent d’une semaine à l’autre.</t>
        </is>
      </c>
      <c r="D37" s="49" t="inlineStr">
        <is>
          <t>Rythme</t>
        </is>
      </c>
      <c r="E37" s="49" t="inlineStr">
        <is>
          <t>ALTERNANCE CONSERVÉE à l’identique</t>
        </is>
      </c>
      <c r="F37" s="49" t="inlineStr">
        <is>
          <t>Vue de l’enseignant la séance est hebdomadaire ; vue d’un groupe elle revient une semaine sur deux, d’où le repère ◆ Q-A / ◆ Q-B dans la grille. Le détail des deux jeux de groupes figure dans Planning (colonne Séance partagée avec).</t>
        </is>
      </c>
    </row>
    <row r="38" ht="34" customHeight="1">
      <c r="A38" s="164" t="n">
        <v>4</v>
      </c>
      <c r="B38" s="170" t="inlineStr">
        <is>
          <t>Samedi 17:30–19:00 — SVT (Sabrine) et Anglais (Imen Ben Lazrak) en 8éme</t>
        </is>
      </c>
      <c r="C38" s="171" t="inlineStr">
        <is>
          <t>Semaine A : SVT pour 8éme (A), Anglais pour 8éme (B)+(C). Semaine B : l’inverse.</t>
        </is>
      </c>
      <c r="D38" s="171" t="inlineStr">
        <is>
          <t>Rythme</t>
        </is>
      </c>
      <c r="E38" s="171" t="inlineStr">
        <is>
          <t>ALTERNANCE CONSERVÉE, 8éme (C) incluse</t>
        </is>
      </c>
      <c r="F38" s="171" t="inlineStr">
        <is>
          <t>8éme (C) fait bien partie du groupe partagé ; l’oublier la priverait de sa séance du samedi.</t>
        </is>
      </c>
    </row>
    <row r="39" ht="34" customHeight="1">
      <c r="A39" s="10" t="n">
        <v>5</v>
      </c>
      <c r="B39" s="169" t="inlineStr">
        <is>
          <t>COURS EN OPTION — Espagnol (Imen) et Italien (Amel), mardi 19:15–20:45</t>
        </is>
      </c>
      <c r="C39" s="49" t="inlineStr">
        <is>
          <t>Les deux séances se chevauchent pour un même groupe : Bac SCE en semaine A, 3éme INFO en semaine B. Présent tel quel dans les 3 semaines d’origine.</t>
        </is>
      </c>
      <c r="D39" s="49" t="inlineStr">
        <is>
          <t>Chevauchement volontaire</t>
        </is>
      </c>
      <c r="E39" s="49" t="inlineStr">
        <is>
          <t>Marqué « Cours en option » ; EXCLU de la détection de conflit de groupe</t>
        </is>
      </c>
      <c r="F39" s="49" t="inlineStr">
        <is>
          <t>Lecture retenue : le groupe se scinde, chaque élève suit l’une OU l’autre langue. Sans ce marquage, le classeur signalerait 14 faux conflits en permanence. Si ce n’est PAS une option, videz la colonne « Cours en option » : le conflit sera alors signalé.</t>
        </is>
      </c>
    </row>
    <row r="40" ht="34" customHeight="1">
      <c r="A40" s="164" t="n">
        <v>6</v>
      </c>
      <c r="B40" s="170" t="inlineStr">
        <is>
          <t>3éme INFO — STI (Aymen)</t>
        </is>
      </c>
      <c r="C40" s="171" t="inlineStr">
        <is>
          <t>Dimanche 15:30–17:30 dans la seule semaine du 21/09, puis lundi 15:30–17:30 dans la semaine de référence.</t>
        </is>
      </c>
      <c r="D40" s="171" t="inlineStr">
        <is>
          <t>AMBIGU</t>
        </is>
      </c>
      <c r="E40" s="171" t="inlineStr">
        <is>
          <t>Traitée comme HEBDOMADAIRE le lundi</t>
        </is>
      </c>
      <c r="F40" s="171" t="inlineStr">
        <is>
          <t>La semaine de référence est la source prioritaire et ne porte aucune mention de quinzaine. À arbitrer : si la séance est en quinzaine, la retirer des semaines B (S4 et S6).</t>
        </is>
      </c>
    </row>
    <row r="41" ht="34" customHeight="1">
      <c r="A41" s="10" t="n">
        <v>7</v>
      </c>
      <c r="B41" s="169" t="inlineStr">
        <is>
          <t>2éme INFO — Informatique (Aymen)</t>
        </is>
      </c>
      <c r="C41" s="49" t="inlineStr">
        <is>
          <t>Lundi 19:00–21:00 en S1 et S2, déplacée samedi 17:00–19:00 dans la semaine de référence.</t>
        </is>
      </c>
      <c r="D41" s="49" t="inlineStr">
        <is>
          <t>Déplacement</t>
        </is>
      </c>
      <c r="E41" s="49" t="inlineStr">
        <is>
          <t>Reconduite le SAMEDI 17:00–19:00</t>
        </is>
      </c>
      <c r="F41" s="49" t="inlineStr">
        <is>
          <t>Séance hebdomadaire relocalisée ; c’est la position de la semaine de référence qui est reconduite.</t>
        </is>
      </c>
    </row>
    <row r="42" ht="34" customHeight="1">
      <c r="A42" s="164" t="n">
        <v>8</v>
      </c>
      <c r="B42" s="170" t="inlineStr">
        <is>
          <t>3éme SCE — Math (Lotfi)</t>
        </is>
      </c>
      <c r="C42" s="171" t="inlineStr">
        <is>
          <t>Dimanche 13:30–15:00 en S1 et S2, déplacée lundi 19:00–20:30 dans la semaine de référence.</t>
        </is>
      </c>
      <c r="D42" s="171" t="inlineStr">
        <is>
          <t>Déplacement</t>
        </is>
      </c>
      <c r="E42" s="171" t="inlineStr">
        <is>
          <t>Reconduite le LUNDI 19:00–20:30</t>
        </is>
      </c>
      <c r="F42" s="171" t="inlineStr">
        <is>
          <t>Idem : position de la semaine de référence.</t>
        </is>
      </c>
    </row>
    <row r="43" ht="34" customHeight="1">
      <c r="A43" s="10" t="n">
        <v>9</v>
      </c>
      <c r="B43" s="169" t="inlineStr">
        <is>
          <t>Bac INFO — STI (Aymen)</t>
        </is>
      </c>
      <c r="C43" s="49" t="inlineStr">
        <is>
          <t>Absente en S1 (elle était le dimanche), présente mercredi 19:00–21:00 en S2 et en S3.</t>
        </is>
      </c>
      <c r="D43" s="49" t="inlineStr">
        <is>
          <t>Nouvelle séance</t>
        </is>
      </c>
      <c r="E43" s="49" t="inlineStr">
        <is>
          <t>Traitée comme HEBDOMADAIRE le mercredi</t>
        </is>
      </c>
      <c r="F43" s="49" t="inlineStr">
        <is>
          <t>Deux semaines consécutives confirment l’installation du créneau.</t>
        </is>
      </c>
    </row>
    <row r="44" ht="34" customHeight="1">
      <c r="A44" s="164" t="n">
        <v>10</v>
      </c>
      <c r="B44" s="170" t="inlineStr">
        <is>
          <t>6éme Pilote (A) — Français (Hend), dimanche 09:30–11:00, mention « Rattrapage »</t>
        </is>
      </c>
      <c r="C44" s="171" t="inlineStr">
        <is>
          <t>Présente uniquement dans la semaine du 21/09.</t>
        </is>
      </c>
      <c r="D44" s="171" t="inlineStr">
        <is>
          <t>Séance ponctuelle</t>
        </is>
      </c>
      <c r="E44" s="171" t="inlineStr">
        <is>
          <t>NON reconduite en octobre</t>
        </is>
      </c>
      <c r="F44" s="171" t="inlineStr">
        <is>
          <t>Séance de rattrapage explicitement ponctuelle : la reconduire créerait des séances inexistantes.</t>
        </is>
      </c>
    </row>
    <row r="45" ht="34" customHeight="1">
      <c r="A45" s="10" t="n">
        <v>11</v>
      </c>
      <c r="B45" s="169" t="inlineStr">
        <is>
          <t>Histoire / Géographie (Abdelwaheb) — 2éme Eco, 3éme Eco, Bac Eco</t>
        </is>
      </c>
      <c r="C45" s="49" t="inlineStr">
        <is>
          <t>Le même créneau porte « Histoire » en semaine A et « Géographie » en semaine B. Aucune mention de quinzaine. Ces trois séances ne sont PAS partagées : chaque groupe a son propre horaire.</t>
        </is>
      </c>
      <c r="D45" s="49" t="inlineStr">
        <is>
          <t>Alternance de matière</t>
        </is>
      </c>
      <c r="E45" s="49" t="inlineStr">
        <is>
          <t>Alternance CONSERVÉE</t>
        </is>
      </c>
      <c r="F45" s="49" t="inlineStr">
        <is>
          <t>Rythme déduit de l’observation sur 3 semaines. Ajouter la mention de quinzaine dans la source éviterait toute ambiguïté.</t>
        </is>
      </c>
    </row>
    <row r="46" ht="34" customHeight="1">
      <c r="A46" s="164" t="n">
        <v>12</v>
      </c>
      <c r="B46" s="170" t="inlineStr">
        <is>
          <t>Mardi 19:15–20:45 en 2éme — Anglais (Imen Bennour) et Arabe (Najet)</t>
        </is>
      </c>
      <c r="C46" s="171" t="inlineStr">
        <is>
          <t>Le créneau partagé par 2éme Eco + 2éme SCE + 2éme INFO porte l’Anglais en semaine A et l’Arabe en semaine B.</t>
        </is>
      </c>
      <c r="D46" s="171" t="inlineStr">
        <is>
          <t>Alternance de matière sur créneau partagé</t>
        </is>
      </c>
      <c r="E46" s="171" t="inlineStr">
        <is>
          <t>CONSERVÉE</t>
        </is>
      </c>
      <c r="F46" s="171" t="inlineStr">
        <is>
          <t>Deux séances distinctes en quinzaine, l’une en semaine A, l’autre en semaine B, sur le même groupe de trois classes.</t>
        </is>
      </c>
    </row>
    <row r="47" ht="34" customHeight="1">
      <c r="A47" s="10" t="n">
        <v>13</v>
      </c>
      <c r="B47" s="169" t="inlineStr">
        <is>
          <t>Enseignante « Imen Ghoumem » / « Imen Ghoumeme »</t>
        </is>
      </c>
      <c r="C47" s="49" t="inlineStr">
        <is>
          <t>Deux orthographes pour la même personne (1ére (B) et 1ére (A), SVT dimanche).</t>
        </is>
      </c>
      <c r="D47" s="49" t="inlineStr">
        <is>
          <t>Orthographe</t>
        </is>
      </c>
      <c r="E47" s="49" t="inlineStr">
        <is>
          <t>Septembre laissé INTACT ; octobre unifié en « Imen Ghoumeme »</t>
        </is>
      </c>
      <c r="F47" s="49" t="inlineStr">
        <is>
          <t>Les données d’origine ne sont pas modifiées. Corriger la source si « Ghoumeme » est la bonne orthographe.</t>
        </is>
      </c>
    </row>
    <row r="48" ht="34" customHeight="1">
      <c r="A48" s="164" t="n">
        <v>14</v>
      </c>
      <c r="B48" s="170" t="inlineStr">
        <is>
          <t>Mentions « /par quizaine » et « /Par quizaine »</t>
        </is>
      </c>
      <c r="C48" s="171" t="inlineStr">
        <is>
          <t>4 cellules comportent une faute de frappe sur « quinzaine ».</t>
        </is>
      </c>
      <c r="D48" s="171" t="inlineStr">
        <is>
          <t>Orthographe</t>
        </is>
      </c>
      <c r="E48" s="171" t="inlineStr">
        <is>
          <t>Rythme normalisé dans la colonne Rythme ; texte d’origine conservé en colonne AD</t>
        </is>
      </c>
      <c r="F48" s="171" t="inlineStr">
        <is>
          <t>Aucune perte : le libellé brut d’origine reste consultable.</t>
        </is>
      </c>
    </row>
    <row r="49" ht="34" customHeight="1">
      <c r="A49" s="10" t="n">
        <v>15</v>
      </c>
      <c r="B49" s="169" t="inlineStr">
        <is>
          <t>Salle et Mode (présentiel / en ligne)</t>
        </is>
      </c>
      <c r="C49" s="49" t="inlineStr">
        <is>
          <t>Ces deux informations sont totalement absentes du fichier d’origine.</t>
        </is>
      </c>
      <c r="D49" s="49" t="inlineStr">
        <is>
          <t>Donnée manquante</t>
        </is>
      </c>
      <c r="E49" s="49" t="inlineStr">
        <is>
          <t>Colonnes créées et VIDES, avec menus déroulants</t>
        </is>
      </c>
      <c r="F49" s="49" t="inlineStr">
        <is>
          <t>Aucune valeur n’a été inventée. À compléter dans Planning ; les grilles les afficheront automatiquement.</t>
        </is>
      </c>
    </row>
    <row r="50" ht="34" customHeight="1">
      <c r="A50" s="164" t="n">
        <v>16</v>
      </c>
      <c r="B50" s="170" t="inlineStr">
        <is>
          <t>Jeudi 15/10/2026</t>
        </is>
      </c>
      <c r="C50" s="171" t="inlineStr">
        <is>
          <t>Correspond à la Fête de l’Évacuation, jour férié en Tunisie.</t>
        </is>
      </c>
      <c r="D50" s="171" t="inlineStr">
        <is>
          <t>Calendrier</t>
        </is>
      </c>
      <c r="E50" s="171" t="inlineStr">
        <is>
          <t>Séances MAINTENUES, signalées en colonne Notes</t>
        </is>
      </c>
      <c r="F50" s="171" t="inlineStr">
        <is>
          <t>À arbitrer par la direction : si l’établissement ferme, supprimer ou déplacer les séances de cette date.</t>
        </is>
      </c>
    </row>
    <row r="51" ht="34" customHeight="1">
      <c r="A51" s="10" t="n">
        <v>17</v>
      </c>
      <c r="B51" s="169" t="inlineStr">
        <is>
          <t>Semaine S7 (26/10 → 01/11/2026)</t>
        </is>
      </c>
      <c r="C51" s="49" t="inlineStr">
        <is>
          <t>Cette semaine déborde sur le dimanche 1er novembre.</t>
        </is>
      </c>
      <c r="D51" s="49" t="inlineStr">
        <is>
          <t>Calendrier</t>
        </is>
      </c>
      <c r="E51" s="49" t="inlineStr">
        <is>
          <t>Semaine COMPLÈTE conservée</t>
        </is>
      </c>
      <c r="F51" s="49" t="inlineStr">
        <is>
          <t>Cohérent avec le fichier d’origine, où la semaine de référence déborde déjà sur octobre (28/09 → 04/10).</t>
        </is>
      </c>
    </row>
  </sheetData>
  <mergeCells count="3">
    <mergeCell ref="A2:F2"/>
    <mergeCell ref="A33:F33"/>
    <mergeCell ref="A1:F1"/>
  </mergeCells>
  <conditionalFormatting sqref="F4:F31">
    <cfRule type="expression" priority="1" dxfId="12">
      <formula>$F4="OK"</formula>
    </cfRule>
  </conditionalFormatting>
  <conditionalFormatting sqref="A4:F31">
    <cfRule type="expression" priority="2" dxfId="10">
      <formula>LEFT($F4,3)="À V"</formula>
    </cfRule>
    <cfRule type="expression" priority="3" dxfId="13">
      <formula>LEFT($F4,3)="À C"</formula>
    </cfRule>
  </conditionalFormatting>
  <printOptions horizontalCentered="1" gridLines="0"/>
  <pageMargins left="0.35" right="0.35" top="0.5" bottom="0.45" header="0.2" footer="0.2"/>
  <pageSetup orientation="landscape" paperSize="9" fitToHeight="0" fitToWidth="1"/>
  <headerFooter>
    <oddHeader>&amp;R&amp;"Arial,Italic"&amp;8 </oddHeader>
    <oddFooter>&amp;L&amp;8 RS 2026-2027 · Contrôles et décisions&amp;R&amp;8 Page &amp;P / &amp;N</oddFooter>
    <evenHeader/>
    <evenFooter/>
    <firstHeader/>
    <firstFooter/>
  </headerFooter>
</worksheet>
</file>

<file path=xl/worksheets/sheet13.xml><?xml version="1.0" encoding="utf-8"?>
<worksheet xmlns="http://schemas.openxmlformats.org/spreadsheetml/2006/main">
  <sheetPr>
    <tabColor rgb="009A6B1F"/>
    <outlinePr summaryBelow="1" summaryRight="1"/>
    <pageSetUpPr fitToPage="1"/>
  </sheetPr>
  <dimension ref="A1:K68"/>
  <sheetViews>
    <sheetView showGridLines="0" workbookViewId="0">
      <pane ySplit="3" topLeftCell="A4" activePane="bottomLeft" state="frozen"/>
      <selection pane="bottomLeft" activeCell="A1" sqref="A1"/>
    </sheetView>
  </sheetViews>
  <sheetFormatPr baseColWidth="8" defaultRowHeight="15"/>
  <cols>
    <col width="26" customWidth="1" min="1" max="1"/>
    <col width="34" customWidth="1" min="2" max="2"/>
    <col width="9"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34" customHeight="1">
      <c r="A1" s="51" t="inlineStr">
        <is>
          <t>RÉCAPITULATIF ET INDICATEURS</t>
        </is>
      </c>
      <c r="B1" s="2" t="n"/>
      <c r="C1" s="2" t="n"/>
      <c r="D1" s="2" t="n"/>
      <c r="E1" s="2" t="n"/>
      <c r="F1" s="2" t="n"/>
      <c r="G1" s="2" t="n"/>
      <c r="H1" s="2" t="n"/>
      <c r="I1" s="2" t="n"/>
      <c r="J1" s="2" t="n"/>
      <c r="K1" s="2" t="n"/>
    </row>
    <row r="2" ht="20" customHeight="1">
      <c r="A2" s="52" t="inlineStr">
        <is>
          <t>Tous les chiffres sont calculés depuis la feuille Planning : ils se mettent à jour automatiquement.</t>
        </is>
      </c>
      <c r="B2" s="53" t="n"/>
      <c r="C2" s="53" t="n"/>
      <c r="D2" s="53" t="n"/>
      <c r="E2" s="53" t="n"/>
      <c r="F2" s="53" t="n"/>
      <c r="G2" s="53" t="n"/>
      <c r="H2" s="53" t="n"/>
      <c r="I2" s="53" t="n"/>
      <c r="J2" s="53" t="n"/>
      <c r="K2" s="53" t="n"/>
    </row>
    <row r="4" ht="23" customHeight="1">
      <c r="A4" s="167" t="inlineStr">
        <is>
          <t>INDICATEURS CLÉS (sur l’ensemble de la période 14/09 → 01/11/2026)</t>
        </is>
      </c>
      <c r="B4" s="168" t="n"/>
      <c r="C4" s="168" t="n"/>
      <c r="D4" s="168" t="n"/>
      <c r="E4" s="168" t="n"/>
      <c r="F4" s="168" t="n"/>
      <c r="G4" s="168" t="n"/>
      <c r="H4" s="168" t="n"/>
      <c r="I4" s="168" t="n"/>
      <c r="J4" s="168" t="n"/>
      <c r="K4" s="168" t="n"/>
    </row>
    <row r="5" ht="26" customHeight="1">
      <c r="A5" s="7" t="inlineStr">
        <is>
          <t>Indicateur</t>
        </is>
      </c>
      <c r="B5" s="7" t="inlineStr">
        <is>
          <t>Valeur</t>
        </is>
      </c>
    </row>
    <row r="6" ht="18" customHeight="1">
      <c r="A6" s="45" t="inlineStr">
        <is>
          <t>Séances planifiées (total)</t>
        </is>
      </c>
      <c r="B6" s="172">
        <f>COUNTIF(Planning!$S$4:$S$863,"Oui")</f>
        <v/>
      </c>
    </row>
    <row r="7" ht="18" customHeight="1">
      <c r="A7" s="45" t="inlineStr">
        <is>
          <t>dont séances partagées</t>
        </is>
      </c>
      <c r="B7" s="172">
        <f>COUNTIFS(Planning!$S$4:$S$863,"Oui",Planning!$R$4:$R$863,"&gt;1")</f>
        <v/>
      </c>
    </row>
    <row r="8" ht="18" customHeight="1">
      <c r="A8" s="45" t="inlineStr">
        <is>
          <t>Lignes groupe-séance</t>
        </is>
      </c>
      <c r="B8" s="172">
        <f>COUNTA(Planning!$A$4:$A$863)</f>
        <v/>
      </c>
    </row>
    <row r="9" ht="18" customHeight="1">
      <c r="A9" s="45" t="inlineStr">
        <is>
          <t>Heures d’enseignement (total)</t>
        </is>
      </c>
      <c r="B9" s="173">
        <f>SUMIF(Planning!$S$4:$S$863,"Oui",Planning!$H$4:$H$863)</f>
        <v/>
      </c>
    </row>
    <row r="10" ht="18" customHeight="1">
      <c r="A10" s="45" t="inlineStr">
        <is>
          <t>Séances de septembre (d’origine)</t>
        </is>
      </c>
      <c r="B10" s="172">
        <f>COUNTIFS(Planning!$U$4:$U$863,"Original (septembre)",Planning!$S$4:$S$863,"Oui")</f>
        <v/>
      </c>
    </row>
    <row r="11" ht="18" customHeight="1">
      <c r="A11" s="45" t="inlineStr">
        <is>
          <t>Séances d’octobre (générées)</t>
        </is>
      </c>
      <c r="B11" s="172">
        <f>COUNTIFS(Planning!$U$4:$U$863,"Généré (octobre)",Planning!$S$4:$S$863,"Oui")</f>
        <v/>
      </c>
    </row>
    <row r="12" ht="18" customHeight="1">
      <c r="A12" s="45" t="inlineStr">
        <is>
          <t>Classes / groupes</t>
        </is>
      </c>
      <c r="B12" s="172">
        <f>COUNTA(LST_Classes)</f>
        <v/>
      </c>
    </row>
    <row r="13" ht="18" customHeight="1">
      <c r="A13" s="45" t="inlineStr">
        <is>
          <t>Enseignants</t>
        </is>
      </c>
      <c r="B13" s="172">
        <f>COUNTA(LST_Profs)</f>
        <v/>
      </c>
    </row>
    <row r="14" ht="18" customHeight="1">
      <c r="A14" s="45" t="inlineStr">
        <is>
          <t>Matières distinctes</t>
        </is>
      </c>
      <c r="B14" s="172">
        <f>COUNTA(LST_Matieres)</f>
        <v/>
      </c>
    </row>
    <row r="15" ht="18" customHeight="1">
      <c r="A15" s="45" t="inlineStr">
        <is>
          <t>Séances à rythme quinzaine</t>
        </is>
      </c>
      <c r="B15" s="172">
        <f>COUNTIFS(Planning!$P$4:$P$863,"Quinzaine A",Planning!$S$4:$S$863,"Oui")+COUNTIFS(Planning!$P$4:$P$863,"Quinzaine B",Planning!$S$4:$S$863,"Oui")</f>
        <v/>
      </c>
    </row>
    <row r="16" ht="18" customHeight="1">
      <c r="A16" s="45" t="inlineStr">
        <is>
          <t>Séances à groupes alternés</t>
        </is>
      </c>
      <c r="B16" s="172">
        <f>COUNTIFS(Planning!$P$4:$P$863,"Hebdo · groupes alternés",Planning!$S$4:$S$863,"Oui")</f>
        <v/>
      </c>
    </row>
    <row r="17" ht="18" customHeight="1">
      <c r="A17" s="45" t="inlineStr">
        <is>
          <t>⚠ Anomalies détectées</t>
        </is>
      </c>
      <c r="B17" s="172">
        <f>COUNTIF(Planning!$Y$4:$Y$863,"⚠ CONFLIT")+COUNTIF(Planning!$Z$4:$Z$863,"⚠ CONFLIT")+COUNTIF(Planning!$AA$4:$AA$863,"⚠ DOUBLON")+COUNTIF(Planning!$AB$4:$AB$863,"⚠ INCOHÉRENT")</f>
        <v/>
      </c>
    </row>
    <row r="19" ht="23" customHeight="1">
      <c r="A19" s="167" t="inlineStr">
        <is>
          <t>VOLUME PAR SEMAINE</t>
        </is>
      </c>
      <c r="B19" s="168" t="n"/>
      <c r="C19" s="168" t="n"/>
      <c r="D19" s="168" t="n"/>
      <c r="E19" s="168" t="n"/>
      <c r="F19" s="168" t="n"/>
      <c r="G19" s="168" t="n"/>
      <c r="H19" s="168" t="n"/>
      <c r="I19" s="168" t="n"/>
      <c r="J19" s="168" t="n"/>
      <c r="K19" s="168" t="n"/>
    </row>
    <row r="20" ht="26" customHeight="1">
      <c r="A20" s="7" t="inlineStr">
        <is>
          <t>Semaine</t>
        </is>
      </c>
      <c r="B20" s="7" t="inlineStr">
        <is>
          <t>Période</t>
        </is>
      </c>
      <c r="C20" s="7" t="inlineStr">
        <is>
          <t>Parité</t>
        </is>
      </c>
      <c r="D20" s="7" t="inlineStr">
        <is>
          <t>Séances</t>
        </is>
      </c>
      <c r="E20" s="7" t="inlineStr">
        <is>
          <t>Heures</t>
        </is>
      </c>
      <c r="F20" s="7" t="inlineStr">
        <is>
          <t>dont partagées</t>
        </is>
      </c>
      <c r="G20" s="7" t="inlineStr">
        <is>
          <t>dont Quinz. / alternées</t>
        </is>
      </c>
      <c r="H20" s="7" t="inlineStr">
        <is>
          <t>dont Ponct.</t>
        </is>
      </c>
      <c r="I20" s="7" t="inlineStr">
        <is>
          <t>Classes actives</t>
        </is>
      </c>
      <c r="J20" s="7" t="inlineStr">
        <is>
          <t>Enseignants</t>
        </is>
      </c>
      <c r="K20" s="7" t="inlineStr">
        <is>
          <t>Moy. h / séance</t>
        </is>
      </c>
    </row>
    <row r="21" ht="16" customHeight="1">
      <c r="A21" s="9" t="inlineStr">
        <is>
          <t>S1</t>
        </is>
      </c>
      <c r="B21" s="9" t="inlineStr">
        <is>
          <t>du 14 au 20 septembre 2026</t>
        </is>
      </c>
      <c r="C21" s="10" t="inlineStr">
        <is>
          <t>A</t>
        </is>
      </c>
      <c r="D21" s="10">
        <f>COUNTIFS(Planning!$A$4:$A$863,"S1",Planning!$S$4:$S$863,"Oui")</f>
        <v/>
      </c>
      <c r="E21" s="101">
        <f>SUMIFS(Planning!$H$4:$H$863,Planning!$A$4:$A$863,"S1",Planning!$S$4:$S$863,"Oui")</f>
        <v/>
      </c>
      <c r="F21" s="10">
        <f>COUNTIFS(Planning!$A$4:$A$863,"S1",Planning!$S$4:$S$863,"Oui",Planning!$R$4:$R$863,"&gt;1")</f>
        <v/>
      </c>
      <c r="G21" s="10">
        <f>COUNTIFS(Planning!$A$4:$A$863,"S1",Planning!$S$4:$S$863,"Oui",Planning!$P$4:$P$863,"Quinzaine A")+COUNTIFS(Planning!$A$4:$A$863,"S1",Planning!$S$4:$S$863,"Oui",Planning!$P$4:$P$863,"Quinzaine B")+COUNTIFS(Planning!$A$4:$A$863,"S1",Planning!$S$4:$S$863,"Oui",Planning!$P$4:$P$863,"Hebdo · groupes alternés")</f>
        <v/>
      </c>
      <c r="H21" s="10">
        <f>COUNTIFS(Planning!$A$4:$A$863,"S1",Planning!$S$4:$S$863,"Oui",Planning!$P$4:$P$863,"Exception")+COUNTIFS(Planning!$A$4:$A$863,"S1",Planning!$S$4:$S$863,"Oui",Planning!$P$4:$P$863,"Ponctuelle / modifiée")</f>
        <v/>
      </c>
      <c r="I21" s="10">
        <f>SUMPRODUCT(--(COUNTIFS(Planning!$A$4:$A$863,"S1",Planning!$J$4:$J$863,LST_Classes)&gt;0))</f>
        <v/>
      </c>
      <c r="J21" s="10">
        <f>SUMPRODUCT(--(COUNTIFS(Planning!$A$4:$A$863,"S1",Planning!$M$4:$M$863,LST_Profs)&gt;0))</f>
        <v/>
      </c>
      <c r="K21" s="174">
        <f>IFERROR(E21/D21,"")</f>
        <v/>
      </c>
    </row>
    <row r="22" ht="16" customHeight="1">
      <c r="A22" s="9" t="inlineStr">
        <is>
          <t>S2</t>
        </is>
      </c>
      <c r="B22" s="9" t="inlineStr">
        <is>
          <t>du 21 au 27 septembre 2026</t>
        </is>
      </c>
      <c r="C22" s="10" t="inlineStr">
        <is>
          <t>B</t>
        </is>
      </c>
      <c r="D22" s="10">
        <f>COUNTIFS(Planning!$A$4:$A$863,"S2",Planning!$S$4:$S$863,"Oui")</f>
        <v/>
      </c>
      <c r="E22" s="101">
        <f>SUMIFS(Planning!$H$4:$H$863,Planning!$A$4:$A$863,"S2",Planning!$S$4:$S$863,"Oui")</f>
        <v/>
      </c>
      <c r="F22" s="10">
        <f>COUNTIFS(Planning!$A$4:$A$863,"S2",Planning!$S$4:$S$863,"Oui",Planning!$R$4:$R$863,"&gt;1")</f>
        <v/>
      </c>
      <c r="G22" s="10">
        <f>COUNTIFS(Planning!$A$4:$A$863,"S2",Planning!$S$4:$S$863,"Oui",Planning!$P$4:$P$863,"Quinzaine A")+COUNTIFS(Planning!$A$4:$A$863,"S2",Planning!$S$4:$S$863,"Oui",Planning!$P$4:$P$863,"Quinzaine B")+COUNTIFS(Planning!$A$4:$A$863,"S2",Planning!$S$4:$S$863,"Oui",Planning!$P$4:$P$863,"Hebdo · groupes alternés")</f>
        <v/>
      </c>
      <c r="H22" s="10">
        <f>COUNTIFS(Planning!$A$4:$A$863,"S2",Planning!$S$4:$S$863,"Oui",Planning!$P$4:$P$863,"Exception")+COUNTIFS(Planning!$A$4:$A$863,"S2",Planning!$S$4:$S$863,"Oui",Planning!$P$4:$P$863,"Ponctuelle / modifiée")</f>
        <v/>
      </c>
      <c r="I22" s="10">
        <f>SUMPRODUCT(--(COUNTIFS(Planning!$A$4:$A$863,"S2",Planning!$J$4:$J$863,LST_Classes)&gt;0))</f>
        <v/>
      </c>
      <c r="J22" s="10">
        <f>SUMPRODUCT(--(COUNTIFS(Planning!$A$4:$A$863,"S2",Planning!$M$4:$M$863,LST_Profs)&gt;0))</f>
        <v/>
      </c>
      <c r="K22" s="174">
        <f>IFERROR(E22/D22,"")</f>
        <v/>
      </c>
    </row>
    <row r="23" ht="16" customHeight="1">
      <c r="A23" s="9" t="inlineStr">
        <is>
          <t>S3</t>
        </is>
      </c>
      <c r="B23" s="9" t="inlineStr">
        <is>
          <t>du 28 septembre au 4 octobre 2026</t>
        </is>
      </c>
      <c r="C23" s="10" t="inlineStr">
        <is>
          <t>A</t>
        </is>
      </c>
      <c r="D23" s="10">
        <f>COUNTIFS(Planning!$A$4:$A$863,"S3",Planning!$S$4:$S$863,"Oui")</f>
        <v/>
      </c>
      <c r="E23" s="101">
        <f>SUMIFS(Planning!$H$4:$H$863,Planning!$A$4:$A$863,"S3",Planning!$S$4:$S$863,"Oui")</f>
        <v/>
      </c>
      <c r="F23" s="10">
        <f>COUNTIFS(Planning!$A$4:$A$863,"S3",Planning!$S$4:$S$863,"Oui",Planning!$R$4:$R$863,"&gt;1")</f>
        <v/>
      </c>
      <c r="G23" s="10">
        <f>COUNTIFS(Planning!$A$4:$A$863,"S3",Planning!$S$4:$S$863,"Oui",Planning!$P$4:$P$863,"Quinzaine A")+COUNTIFS(Planning!$A$4:$A$863,"S3",Planning!$S$4:$S$863,"Oui",Planning!$P$4:$P$863,"Quinzaine B")+COUNTIFS(Planning!$A$4:$A$863,"S3",Planning!$S$4:$S$863,"Oui",Planning!$P$4:$P$863,"Hebdo · groupes alternés")</f>
        <v/>
      </c>
      <c r="H23" s="10">
        <f>COUNTIFS(Planning!$A$4:$A$863,"S3",Planning!$S$4:$S$863,"Oui",Planning!$P$4:$P$863,"Exception")+COUNTIFS(Planning!$A$4:$A$863,"S3",Planning!$S$4:$S$863,"Oui",Planning!$P$4:$P$863,"Ponctuelle / modifiée")</f>
        <v/>
      </c>
      <c r="I23" s="10">
        <f>SUMPRODUCT(--(COUNTIFS(Planning!$A$4:$A$863,"S3",Planning!$J$4:$J$863,LST_Classes)&gt;0))</f>
        <v/>
      </c>
      <c r="J23" s="10">
        <f>SUMPRODUCT(--(COUNTIFS(Planning!$A$4:$A$863,"S3",Planning!$M$4:$M$863,LST_Profs)&gt;0))</f>
        <v/>
      </c>
      <c r="K23" s="174">
        <f>IFERROR(E23/D23,"")</f>
        <v/>
      </c>
    </row>
    <row r="24" ht="16" customHeight="1">
      <c r="A24" s="166" t="inlineStr">
        <is>
          <t>S4</t>
        </is>
      </c>
      <c r="B24" s="166" t="inlineStr">
        <is>
          <t>du 5 au 11 octobre 2026</t>
        </is>
      </c>
      <c r="C24" s="164" t="inlineStr">
        <is>
          <t>B</t>
        </is>
      </c>
      <c r="D24" s="164">
        <f>COUNTIFS(Planning!$A$4:$A$863,"S4",Planning!$S$4:$S$863,"Oui")</f>
        <v/>
      </c>
      <c r="E24" s="175">
        <f>SUMIFS(Planning!$H$4:$H$863,Planning!$A$4:$A$863,"S4",Planning!$S$4:$S$863,"Oui")</f>
        <v/>
      </c>
      <c r="F24" s="164">
        <f>COUNTIFS(Planning!$A$4:$A$863,"S4",Planning!$S$4:$S$863,"Oui",Planning!$R$4:$R$863,"&gt;1")</f>
        <v/>
      </c>
      <c r="G24" s="164">
        <f>COUNTIFS(Planning!$A$4:$A$863,"S4",Planning!$S$4:$S$863,"Oui",Planning!$P$4:$P$863,"Quinzaine A")+COUNTIFS(Planning!$A$4:$A$863,"S4",Planning!$S$4:$S$863,"Oui",Planning!$P$4:$P$863,"Quinzaine B")+COUNTIFS(Planning!$A$4:$A$863,"S4",Planning!$S$4:$S$863,"Oui",Planning!$P$4:$P$863,"Hebdo · groupes alternés")</f>
        <v/>
      </c>
      <c r="H24" s="164">
        <f>COUNTIFS(Planning!$A$4:$A$863,"S4",Planning!$S$4:$S$863,"Oui",Planning!$P$4:$P$863,"Exception")+COUNTIFS(Planning!$A$4:$A$863,"S4",Planning!$S$4:$S$863,"Oui",Planning!$P$4:$P$863,"Ponctuelle / modifiée")</f>
        <v/>
      </c>
      <c r="I24" s="164">
        <f>SUMPRODUCT(--(COUNTIFS(Planning!$A$4:$A$863,"S4",Planning!$J$4:$J$863,LST_Classes)&gt;0))</f>
        <v/>
      </c>
      <c r="J24" s="164">
        <f>SUMPRODUCT(--(COUNTIFS(Planning!$A$4:$A$863,"S4",Planning!$M$4:$M$863,LST_Profs)&gt;0))</f>
        <v/>
      </c>
      <c r="K24" s="176">
        <f>IFERROR(E24/D24,"")</f>
        <v/>
      </c>
    </row>
    <row r="25" ht="16" customHeight="1">
      <c r="A25" s="166" t="inlineStr">
        <is>
          <t>S5</t>
        </is>
      </c>
      <c r="B25" s="166" t="inlineStr">
        <is>
          <t>du 12 au 18 octobre 2026</t>
        </is>
      </c>
      <c r="C25" s="164" t="inlineStr">
        <is>
          <t>A</t>
        </is>
      </c>
      <c r="D25" s="164">
        <f>COUNTIFS(Planning!$A$4:$A$863,"S5",Planning!$S$4:$S$863,"Oui")</f>
        <v/>
      </c>
      <c r="E25" s="175">
        <f>SUMIFS(Planning!$H$4:$H$863,Planning!$A$4:$A$863,"S5",Planning!$S$4:$S$863,"Oui")</f>
        <v/>
      </c>
      <c r="F25" s="164">
        <f>COUNTIFS(Planning!$A$4:$A$863,"S5",Planning!$S$4:$S$863,"Oui",Planning!$R$4:$R$863,"&gt;1")</f>
        <v/>
      </c>
      <c r="G25" s="164">
        <f>COUNTIFS(Planning!$A$4:$A$863,"S5",Planning!$S$4:$S$863,"Oui",Planning!$P$4:$P$863,"Quinzaine A")+COUNTIFS(Planning!$A$4:$A$863,"S5",Planning!$S$4:$S$863,"Oui",Planning!$P$4:$P$863,"Quinzaine B")+COUNTIFS(Planning!$A$4:$A$863,"S5",Planning!$S$4:$S$863,"Oui",Planning!$P$4:$P$863,"Hebdo · groupes alternés")</f>
        <v/>
      </c>
      <c r="H25" s="164">
        <f>COUNTIFS(Planning!$A$4:$A$863,"S5",Planning!$S$4:$S$863,"Oui",Planning!$P$4:$P$863,"Exception")+COUNTIFS(Planning!$A$4:$A$863,"S5",Planning!$S$4:$S$863,"Oui",Planning!$P$4:$P$863,"Ponctuelle / modifiée")</f>
        <v/>
      </c>
      <c r="I25" s="164">
        <f>SUMPRODUCT(--(COUNTIFS(Planning!$A$4:$A$863,"S5",Planning!$J$4:$J$863,LST_Classes)&gt;0))</f>
        <v/>
      </c>
      <c r="J25" s="164">
        <f>SUMPRODUCT(--(COUNTIFS(Planning!$A$4:$A$863,"S5",Planning!$M$4:$M$863,LST_Profs)&gt;0))</f>
        <v/>
      </c>
      <c r="K25" s="176">
        <f>IFERROR(E25/D25,"")</f>
        <v/>
      </c>
    </row>
    <row r="26" ht="16" customHeight="1">
      <c r="A26" s="166" t="inlineStr">
        <is>
          <t>S6</t>
        </is>
      </c>
      <c r="B26" s="166" t="inlineStr">
        <is>
          <t>du 19 au 25 octobre 2026</t>
        </is>
      </c>
      <c r="C26" s="164" t="inlineStr">
        <is>
          <t>B</t>
        </is>
      </c>
      <c r="D26" s="164">
        <f>COUNTIFS(Planning!$A$4:$A$863,"S6",Planning!$S$4:$S$863,"Oui")</f>
        <v/>
      </c>
      <c r="E26" s="175">
        <f>SUMIFS(Planning!$H$4:$H$863,Planning!$A$4:$A$863,"S6",Planning!$S$4:$S$863,"Oui")</f>
        <v/>
      </c>
      <c r="F26" s="164">
        <f>COUNTIFS(Planning!$A$4:$A$863,"S6",Planning!$S$4:$S$863,"Oui",Planning!$R$4:$R$863,"&gt;1")</f>
        <v/>
      </c>
      <c r="G26" s="164">
        <f>COUNTIFS(Planning!$A$4:$A$863,"S6",Planning!$S$4:$S$863,"Oui",Planning!$P$4:$P$863,"Quinzaine A")+COUNTIFS(Planning!$A$4:$A$863,"S6",Planning!$S$4:$S$863,"Oui",Planning!$P$4:$P$863,"Quinzaine B")+COUNTIFS(Planning!$A$4:$A$863,"S6",Planning!$S$4:$S$863,"Oui",Planning!$P$4:$P$863,"Hebdo · groupes alternés")</f>
        <v/>
      </c>
      <c r="H26" s="164">
        <f>COUNTIFS(Planning!$A$4:$A$863,"S6",Planning!$S$4:$S$863,"Oui",Planning!$P$4:$P$863,"Exception")+COUNTIFS(Planning!$A$4:$A$863,"S6",Planning!$S$4:$S$863,"Oui",Planning!$P$4:$P$863,"Ponctuelle / modifiée")</f>
        <v/>
      </c>
      <c r="I26" s="164">
        <f>SUMPRODUCT(--(COUNTIFS(Planning!$A$4:$A$863,"S6",Planning!$J$4:$J$863,LST_Classes)&gt;0))</f>
        <v/>
      </c>
      <c r="J26" s="164">
        <f>SUMPRODUCT(--(COUNTIFS(Planning!$A$4:$A$863,"S6",Planning!$M$4:$M$863,LST_Profs)&gt;0))</f>
        <v/>
      </c>
      <c r="K26" s="176">
        <f>IFERROR(E26/D26,"")</f>
        <v/>
      </c>
    </row>
    <row r="27" ht="16" customHeight="1">
      <c r="A27" s="166" t="inlineStr">
        <is>
          <t>S7</t>
        </is>
      </c>
      <c r="B27" s="166" t="inlineStr">
        <is>
          <t>du 26 octobre au 1er novembre 2026</t>
        </is>
      </c>
      <c r="C27" s="164" t="inlineStr">
        <is>
          <t>A</t>
        </is>
      </c>
      <c r="D27" s="164">
        <f>COUNTIFS(Planning!$A$4:$A$863,"S7",Planning!$S$4:$S$863,"Oui")</f>
        <v/>
      </c>
      <c r="E27" s="175">
        <f>SUMIFS(Planning!$H$4:$H$863,Planning!$A$4:$A$863,"S7",Planning!$S$4:$S$863,"Oui")</f>
        <v/>
      </c>
      <c r="F27" s="164">
        <f>COUNTIFS(Planning!$A$4:$A$863,"S7",Planning!$S$4:$S$863,"Oui",Planning!$R$4:$R$863,"&gt;1")</f>
        <v/>
      </c>
      <c r="G27" s="164">
        <f>COUNTIFS(Planning!$A$4:$A$863,"S7",Planning!$S$4:$S$863,"Oui",Planning!$P$4:$P$863,"Quinzaine A")+COUNTIFS(Planning!$A$4:$A$863,"S7",Planning!$S$4:$S$863,"Oui",Planning!$P$4:$P$863,"Quinzaine B")+COUNTIFS(Planning!$A$4:$A$863,"S7",Planning!$S$4:$S$863,"Oui",Planning!$P$4:$P$863,"Hebdo · groupes alternés")</f>
        <v/>
      </c>
      <c r="H27" s="164">
        <f>COUNTIFS(Planning!$A$4:$A$863,"S7",Planning!$S$4:$S$863,"Oui",Planning!$P$4:$P$863,"Exception")+COUNTIFS(Planning!$A$4:$A$863,"S7",Planning!$S$4:$S$863,"Oui",Planning!$P$4:$P$863,"Ponctuelle / modifiée")</f>
        <v/>
      </c>
      <c r="I27" s="164">
        <f>SUMPRODUCT(--(COUNTIFS(Planning!$A$4:$A$863,"S7",Planning!$J$4:$J$863,LST_Classes)&gt;0))</f>
        <v/>
      </c>
      <c r="J27" s="164">
        <f>SUMPRODUCT(--(COUNTIFS(Planning!$A$4:$A$863,"S7",Planning!$M$4:$M$863,LST_Profs)&gt;0))</f>
        <v/>
      </c>
      <c r="K27" s="176">
        <f>IFERROR(E27/D27,"")</f>
        <v/>
      </c>
    </row>
    <row r="28" ht="16" customHeight="1">
      <c r="A28" s="177" t="inlineStr">
        <is>
          <t>TOTAL</t>
        </is>
      </c>
      <c r="B28" s="177" t="inlineStr">
        <is>
          <t>—</t>
        </is>
      </c>
      <c r="C28" s="161" t="inlineStr">
        <is>
          <t>—</t>
        </is>
      </c>
      <c r="D28" s="161">
        <f>SUM(D21:D27)</f>
        <v/>
      </c>
      <c r="E28" s="162">
        <f>SUM(E21:E27)</f>
        <v/>
      </c>
      <c r="F28" s="161">
        <f>SUM(F21:F27)</f>
        <v/>
      </c>
      <c r="G28" s="161">
        <f>SUM(G21:G27)</f>
        <v/>
      </c>
      <c r="H28" s="161">
        <f>SUM(H21:H27)</f>
        <v/>
      </c>
      <c r="I28" s="161">
        <f>SUMPRODUCT(--(COUNTIF(Planning!$J$4:$J$863,LST_Classes)&gt;0))</f>
        <v/>
      </c>
      <c r="J28" s="161">
        <f>SUMPRODUCT(--(COUNTIF(Planning!$M$4:$M$863,LST_Profs)&gt;0))</f>
        <v/>
      </c>
      <c r="K28" s="178">
        <f>IFERROR(E28/D28,"")</f>
        <v/>
      </c>
    </row>
    <row r="30" ht="23" customHeight="1">
      <c r="A30" s="167" t="inlineStr">
        <is>
          <t>LIGNES GROUPE-SÉANCE PAR CYCLE ET PAR SEMAINE (une séance partagée compte pour chacun de ses groupes)</t>
        </is>
      </c>
      <c r="B30" s="168" t="n"/>
      <c r="C30" s="168" t="n"/>
      <c r="D30" s="168" t="n"/>
      <c r="E30" s="168" t="n"/>
      <c r="F30" s="168" t="n"/>
      <c r="G30" s="168" t="n"/>
      <c r="H30" s="168" t="n"/>
      <c r="I30" s="168" t="n"/>
      <c r="J30" s="168" t="n"/>
      <c r="K30" s="168" t="n"/>
    </row>
    <row r="31" ht="26" customHeight="1">
      <c r="A31" s="7" t="inlineStr">
        <is>
          <t>Cycle</t>
        </is>
      </c>
      <c r="B31" s="7" t="inlineStr">
        <is>
          <t>Nb classes</t>
        </is>
      </c>
      <c r="C31" s="7" t="inlineStr">
        <is>
          <t>S1</t>
        </is>
      </c>
      <c r="D31" s="7" t="inlineStr">
        <is>
          <t>S2</t>
        </is>
      </c>
      <c r="E31" s="7" t="inlineStr">
        <is>
          <t>S3</t>
        </is>
      </c>
      <c r="F31" s="7" t="inlineStr">
        <is>
          <t>S4</t>
        </is>
      </c>
      <c r="G31" s="7" t="inlineStr">
        <is>
          <t>S5</t>
        </is>
      </c>
      <c r="H31" s="7" t="inlineStr">
        <is>
          <t>S6</t>
        </is>
      </c>
      <c r="I31" s="7" t="inlineStr">
        <is>
          <t>S7</t>
        </is>
      </c>
      <c r="J31" s="7" t="inlineStr">
        <is>
          <t>Total</t>
        </is>
      </c>
    </row>
    <row r="32" ht="16" customHeight="1">
      <c r="A32" s="9" t="inlineStr">
        <is>
          <t>Primaire</t>
        </is>
      </c>
      <c r="B32" s="10" t="n">
        <v>4</v>
      </c>
      <c r="C32" s="10">
        <f>COUNTIFS(Planning!$A$4:$A$863,"S1",Planning!$I$4:$I$863,$A32)</f>
        <v/>
      </c>
      <c r="D32" s="10">
        <f>COUNTIFS(Planning!$A$4:$A$863,"S2",Planning!$I$4:$I$863,$A32)</f>
        <v/>
      </c>
      <c r="E32" s="10">
        <f>COUNTIFS(Planning!$A$4:$A$863,"S3",Planning!$I$4:$I$863,$A32)</f>
        <v/>
      </c>
      <c r="F32" s="10">
        <f>COUNTIFS(Planning!$A$4:$A$863,"S4",Planning!$I$4:$I$863,$A32)</f>
        <v/>
      </c>
      <c r="G32" s="10">
        <f>COUNTIFS(Planning!$A$4:$A$863,"S5",Planning!$I$4:$I$863,$A32)</f>
        <v/>
      </c>
      <c r="H32" s="10">
        <f>COUNTIFS(Planning!$A$4:$A$863,"S6",Planning!$I$4:$I$863,$A32)</f>
        <v/>
      </c>
      <c r="I32" s="10">
        <f>COUNTIFS(Planning!$A$4:$A$863,"S7",Planning!$I$4:$I$863,$A32)</f>
        <v/>
      </c>
      <c r="J32" s="10">
        <f>SUM(C32:I32)</f>
        <v/>
      </c>
    </row>
    <row r="33" ht="16" customHeight="1">
      <c r="A33" s="9" t="inlineStr">
        <is>
          <t>Collège</t>
        </is>
      </c>
      <c r="B33" s="10" t="n">
        <v>8</v>
      </c>
      <c r="C33" s="10">
        <f>COUNTIFS(Planning!$A$4:$A$863,"S1",Planning!$I$4:$I$863,$A33)</f>
        <v/>
      </c>
      <c r="D33" s="10">
        <f>COUNTIFS(Planning!$A$4:$A$863,"S2",Planning!$I$4:$I$863,$A33)</f>
        <v/>
      </c>
      <c r="E33" s="10">
        <f>COUNTIFS(Planning!$A$4:$A$863,"S3",Planning!$I$4:$I$863,$A33)</f>
        <v/>
      </c>
      <c r="F33" s="10">
        <f>COUNTIFS(Planning!$A$4:$A$863,"S4",Planning!$I$4:$I$863,$A33)</f>
        <v/>
      </c>
      <c r="G33" s="10">
        <f>COUNTIFS(Planning!$A$4:$A$863,"S5",Planning!$I$4:$I$863,$A33)</f>
        <v/>
      </c>
      <c r="H33" s="10">
        <f>COUNTIFS(Planning!$A$4:$A$863,"S6",Planning!$I$4:$I$863,$A33)</f>
        <v/>
      </c>
      <c r="I33" s="10">
        <f>COUNTIFS(Planning!$A$4:$A$863,"S7",Planning!$I$4:$I$863,$A33)</f>
        <v/>
      </c>
      <c r="J33" s="10">
        <f>SUM(C33:I33)</f>
        <v/>
      </c>
    </row>
    <row r="34" ht="16" customHeight="1">
      <c r="A34" s="9" t="inlineStr">
        <is>
          <t>Secondaire</t>
        </is>
      </c>
      <c r="B34" s="10" t="n">
        <v>8</v>
      </c>
      <c r="C34" s="10">
        <f>COUNTIFS(Planning!$A$4:$A$863,"S1",Planning!$I$4:$I$863,$A34)</f>
        <v/>
      </c>
      <c r="D34" s="10">
        <f>COUNTIFS(Planning!$A$4:$A$863,"S2",Planning!$I$4:$I$863,$A34)</f>
        <v/>
      </c>
      <c r="E34" s="10">
        <f>COUNTIFS(Planning!$A$4:$A$863,"S3",Planning!$I$4:$I$863,$A34)</f>
        <v/>
      </c>
      <c r="F34" s="10">
        <f>COUNTIFS(Planning!$A$4:$A$863,"S4",Planning!$I$4:$I$863,$A34)</f>
        <v/>
      </c>
      <c r="G34" s="10">
        <f>COUNTIFS(Planning!$A$4:$A$863,"S5",Planning!$I$4:$I$863,$A34)</f>
        <v/>
      </c>
      <c r="H34" s="10">
        <f>COUNTIFS(Planning!$A$4:$A$863,"S6",Planning!$I$4:$I$863,$A34)</f>
        <v/>
      </c>
      <c r="I34" s="10">
        <f>COUNTIFS(Planning!$A$4:$A$863,"S7",Planning!$I$4:$I$863,$A34)</f>
        <v/>
      </c>
      <c r="J34" s="10">
        <f>SUM(C34:I34)</f>
        <v/>
      </c>
    </row>
    <row r="35" ht="16" customHeight="1">
      <c r="A35" s="9" t="inlineStr">
        <is>
          <t>Bac</t>
        </is>
      </c>
      <c r="B35" s="10" t="n">
        <v>3</v>
      </c>
      <c r="C35" s="10">
        <f>COUNTIFS(Planning!$A$4:$A$863,"S1",Planning!$I$4:$I$863,$A35)</f>
        <v/>
      </c>
      <c r="D35" s="10">
        <f>COUNTIFS(Planning!$A$4:$A$863,"S2",Planning!$I$4:$I$863,$A35)</f>
        <v/>
      </c>
      <c r="E35" s="10">
        <f>COUNTIFS(Planning!$A$4:$A$863,"S3",Planning!$I$4:$I$863,$A35)</f>
        <v/>
      </c>
      <c r="F35" s="10">
        <f>COUNTIFS(Planning!$A$4:$A$863,"S4",Planning!$I$4:$I$863,$A35)</f>
        <v/>
      </c>
      <c r="G35" s="10">
        <f>COUNTIFS(Planning!$A$4:$A$863,"S5",Planning!$I$4:$I$863,$A35)</f>
        <v/>
      </c>
      <c r="H35" s="10">
        <f>COUNTIFS(Planning!$A$4:$A$863,"S6",Planning!$I$4:$I$863,$A35)</f>
        <v/>
      </c>
      <c r="I35" s="10">
        <f>COUNTIFS(Planning!$A$4:$A$863,"S7",Planning!$I$4:$I$863,$A35)</f>
        <v/>
      </c>
      <c r="J35" s="10">
        <f>SUM(C35:I35)</f>
        <v/>
      </c>
    </row>
    <row r="37" ht="23" customHeight="1">
      <c r="A37" s="167" t="inlineStr">
        <is>
          <t>PAR MATIÈRE (période complète) — en lignes groupe-séance</t>
        </is>
      </c>
      <c r="B37" s="168" t="n"/>
      <c r="C37" s="168" t="n"/>
      <c r="D37" s="168" t="n"/>
      <c r="E37" s="168" t="n"/>
      <c r="F37" s="168" t="n"/>
      <c r="G37" s="168" t="n"/>
      <c r="H37" s="168" t="n"/>
      <c r="I37" s="168" t="n"/>
      <c r="J37" s="168" t="n"/>
      <c r="K37" s="168" t="n"/>
    </row>
    <row r="38" ht="26" customHeight="1">
      <c r="A38" s="7" t="inlineStr">
        <is>
          <t>Matière</t>
        </is>
      </c>
      <c r="B38" s="7" t="inlineStr">
        <is>
          <t>Normalisée</t>
        </is>
      </c>
      <c r="C38" s="7" t="inlineStr">
        <is>
          <t>Séances</t>
        </is>
      </c>
      <c r="D38" s="7" t="inlineStr">
        <is>
          <t>Heures</t>
        </is>
      </c>
      <c r="E38" s="7" t="inlineStr">
        <is>
          <t>Enseignants</t>
        </is>
      </c>
      <c r="F38" s="7" t="inlineStr">
        <is>
          <t>Classes</t>
        </is>
      </c>
      <c r="G38" s="7" t="inlineStr">
        <is>
          <t>Part des séances</t>
        </is>
      </c>
    </row>
    <row r="39" ht="16" customHeight="1">
      <c r="A39" s="9" t="inlineStr">
        <is>
          <t>ALGO</t>
        </is>
      </c>
      <c r="B39" s="9">
        <f>IFERROR(INDEX(Référentiels!$H$5:$H$24,MATCH($A39,Référentiels!$G$5:$G$24,0)),"")</f>
        <v/>
      </c>
      <c r="C39" s="10">
        <f>COUNTIF(Planning!$K$4:$K$863,$A39)</f>
        <v/>
      </c>
      <c r="D39" s="101">
        <f>SUMIF(Planning!$K$4:$K$863,$A39,Planning!$H$4:$H$863)</f>
        <v/>
      </c>
      <c r="E39" s="10">
        <f>SUMPRODUCT(--(COUNTIFS(Planning!$K$4:$K$863,$A39,Planning!$M$4:$M$863,LST_Profs)&gt;0))</f>
        <v/>
      </c>
      <c r="F39" s="10">
        <f>SUMPRODUCT(--(COUNTIFS(Planning!$K$4:$K$863,$A39,Planning!$J$4:$J$863,LST_Classes)&gt;0))</f>
        <v/>
      </c>
      <c r="G39" s="179">
        <f>IFERROR(C39/COUNTA(Planning!$A$4:$A$863),"")</f>
        <v/>
      </c>
    </row>
    <row r="40" ht="16" customHeight="1">
      <c r="A40" s="9" t="inlineStr">
        <is>
          <t>Anglais</t>
        </is>
      </c>
      <c r="B40" s="9">
        <f>IFERROR(INDEX(Référentiels!$H$5:$H$24,MATCH($A40,Référentiels!$G$5:$G$24,0)),"")</f>
        <v/>
      </c>
      <c r="C40" s="10">
        <f>COUNTIF(Planning!$K$4:$K$863,$A40)</f>
        <v/>
      </c>
      <c r="D40" s="101">
        <f>SUMIF(Planning!$K$4:$K$863,$A40,Planning!$H$4:$H$863)</f>
        <v/>
      </c>
      <c r="E40" s="10">
        <f>SUMPRODUCT(--(COUNTIFS(Planning!$K$4:$K$863,$A40,Planning!$M$4:$M$863,LST_Profs)&gt;0))</f>
        <v/>
      </c>
      <c r="F40" s="10">
        <f>SUMPRODUCT(--(COUNTIFS(Planning!$K$4:$K$863,$A40,Planning!$J$4:$J$863,LST_Classes)&gt;0))</f>
        <v/>
      </c>
      <c r="G40" s="179">
        <f>IFERROR(C40/COUNTA(Planning!$A$4:$A$863),"")</f>
        <v/>
      </c>
    </row>
    <row r="41" ht="16" customHeight="1">
      <c r="A41" s="9" t="inlineStr">
        <is>
          <t>Arabe</t>
        </is>
      </c>
      <c r="B41" s="9">
        <f>IFERROR(INDEX(Référentiels!$H$5:$H$24,MATCH($A41,Référentiels!$G$5:$G$24,0)),"")</f>
        <v/>
      </c>
      <c r="C41" s="10">
        <f>COUNTIF(Planning!$K$4:$K$863,$A41)</f>
        <v/>
      </c>
      <c r="D41" s="101">
        <f>SUMIF(Planning!$K$4:$K$863,$A41,Planning!$H$4:$H$863)</f>
        <v/>
      </c>
      <c r="E41" s="10">
        <f>SUMPRODUCT(--(COUNTIFS(Planning!$K$4:$K$863,$A41,Planning!$M$4:$M$863,LST_Profs)&gt;0))</f>
        <v/>
      </c>
      <c r="F41" s="10">
        <f>SUMPRODUCT(--(COUNTIFS(Planning!$K$4:$K$863,$A41,Planning!$J$4:$J$863,LST_Classes)&gt;0))</f>
        <v/>
      </c>
      <c r="G41" s="179">
        <f>IFERROR(C41/COUNTA(Planning!$A$4:$A$863),"")</f>
        <v/>
      </c>
    </row>
    <row r="42" ht="16" customHeight="1">
      <c r="A42" s="9" t="inlineStr">
        <is>
          <t>Eco</t>
        </is>
      </c>
      <c r="B42" s="9">
        <f>IFERROR(INDEX(Référentiels!$H$5:$H$24,MATCH($A42,Référentiels!$G$5:$G$24,0)),"")</f>
        <v/>
      </c>
      <c r="C42" s="10">
        <f>COUNTIF(Planning!$K$4:$K$863,$A42)</f>
        <v/>
      </c>
      <c r="D42" s="101">
        <f>SUMIF(Planning!$K$4:$K$863,$A42,Planning!$H$4:$H$863)</f>
        <v/>
      </c>
      <c r="E42" s="10">
        <f>SUMPRODUCT(--(COUNTIFS(Planning!$K$4:$K$863,$A42,Planning!$M$4:$M$863,LST_Profs)&gt;0))</f>
        <v/>
      </c>
      <c r="F42" s="10">
        <f>SUMPRODUCT(--(COUNTIFS(Planning!$K$4:$K$863,$A42,Planning!$J$4:$J$863,LST_Classes)&gt;0))</f>
        <v/>
      </c>
      <c r="G42" s="179">
        <f>IFERROR(C42/COUNTA(Planning!$A$4:$A$863),"")</f>
        <v/>
      </c>
    </row>
    <row r="43" ht="16" customHeight="1">
      <c r="A43" s="9" t="inlineStr">
        <is>
          <t>Espagnol</t>
        </is>
      </c>
      <c r="B43" s="9">
        <f>IFERROR(INDEX(Référentiels!$H$5:$H$24,MATCH($A43,Référentiels!$G$5:$G$24,0)),"")</f>
        <v/>
      </c>
      <c r="C43" s="10">
        <f>COUNTIF(Planning!$K$4:$K$863,$A43)</f>
        <v/>
      </c>
      <c r="D43" s="101">
        <f>SUMIF(Planning!$K$4:$K$863,$A43,Planning!$H$4:$H$863)</f>
        <v/>
      </c>
      <c r="E43" s="10">
        <f>SUMPRODUCT(--(COUNTIFS(Planning!$K$4:$K$863,$A43,Planning!$M$4:$M$863,LST_Profs)&gt;0))</f>
        <v/>
      </c>
      <c r="F43" s="10">
        <f>SUMPRODUCT(--(COUNTIFS(Planning!$K$4:$K$863,$A43,Planning!$J$4:$J$863,LST_Classes)&gt;0))</f>
        <v/>
      </c>
      <c r="G43" s="179">
        <f>IFERROR(C43/COUNTA(Planning!$A$4:$A$863),"")</f>
        <v/>
      </c>
    </row>
    <row r="44" ht="16" customHeight="1">
      <c r="A44" s="9" t="inlineStr">
        <is>
          <t>Français</t>
        </is>
      </c>
      <c r="B44" s="9">
        <f>IFERROR(INDEX(Référentiels!$H$5:$H$24,MATCH($A44,Référentiels!$G$5:$G$24,0)),"")</f>
        <v/>
      </c>
      <c r="C44" s="10">
        <f>COUNTIF(Planning!$K$4:$K$863,$A44)</f>
        <v/>
      </c>
      <c r="D44" s="101">
        <f>SUMIF(Planning!$K$4:$K$863,$A44,Planning!$H$4:$H$863)</f>
        <v/>
      </c>
      <c r="E44" s="10">
        <f>SUMPRODUCT(--(COUNTIFS(Planning!$K$4:$K$863,$A44,Planning!$M$4:$M$863,LST_Profs)&gt;0))</f>
        <v/>
      </c>
      <c r="F44" s="10">
        <f>SUMPRODUCT(--(COUNTIFS(Planning!$K$4:$K$863,$A44,Planning!$J$4:$J$863,LST_Classes)&gt;0))</f>
        <v/>
      </c>
      <c r="G44" s="179">
        <f>IFERROR(C44/COUNTA(Planning!$A$4:$A$863),"")</f>
        <v/>
      </c>
    </row>
    <row r="45" ht="16" customHeight="1">
      <c r="A45" s="9" t="inlineStr">
        <is>
          <t>Gestion</t>
        </is>
      </c>
      <c r="B45" s="9">
        <f>IFERROR(INDEX(Référentiels!$H$5:$H$24,MATCH($A45,Référentiels!$G$5:$G$24,0)),"")</f>
        <v/>
      </c>
      <c r="C45" s="10">
        <f>COUNTIF(Planning!$K$4:$K$863,$A45)</f>
        <v/>
      </c>
      <c r="D45" s="101">
        <f>SUMIF(Planning!$K$4:$K$863,$A45,Planning!$H$4:$H$863)</f>
        <v/>
      </c>
      <c r="E45" s="10">
        <f>SUMPRODUCT(--(COUNTIFS(Planning!$K$4:$K$863,$A45,Planning!$M$4:$M$863,LST_Profs)&gt;0))</f>
        <v/>
      </c>
      <c r="F45" s="10">
        <f>SUMPRODUCT(--(COUNTIFS(Planning!$K$4:$K$863,$A45,Planning!$J$4:$J$863,LST_Classes)&gt;0))</f>
        <v/>
      </c>
      <c r="G45" s="179">
        <f>IFERROR(C45/COUNTA(Planning!$A$4:$A$863),"")</f>
        <v/>
      </c>
    </row>
    <row r="46" ht="16" customHeight="1">
      <c r="A46" s="9" t="inlineStr">
        <is>
          <t>Géographie</t>
        </is>
      </c>
      <c r="B46" s="9">
        <f>IFERROR(INDEX(Référentiels!$H$5:$H$24,MATCH($A46,Référentiels!$G$5:$G$24,0)),"")</f>
        <v/>
      </c>
      <c r="C46" s="10">
        <f>COUNTIF(Planning!$K$4:$K$863,$A46)</f>
        <v/>
      </c>
      <c r="D46" s="101">
        <f>SUMIF(Planning!$K$4:$K$863,$A46,Planning!$H$4:$H$863)</f>
        <v/>
      </c>
      <c r="E46" s="10">
        <f>SUMPRODUCT(--(COUNTIFS(Planning!$K$4:$K$863,$A46,Planning!$M$4:$M$863,LST_Profs)&gt;0))</f>
        <v/>
      </c>
      <c r="F46" s="10">
        <f>SUMPRODUCT(--(COUNTIFS(Planning!$K$4:$K$863,$A46,Planning!$J$4:$J$863,LST_Classes)&gt;0))</f>
        <v/>
      </c>
      <c r="G46" s="179">
        <f>IFERROR(C46/COUNTA(Planning!$A$4:$A$863),"")</f>
        <v/>
      </c>
    </row>
    <row r="47" ht="16" customHeight="1">
      <c r="A47" s="9" t="inlineStr">
        <is>
          <t>Histoire</t>
        </is>
      </c>
      <c r="B47" s="9">
        <f>IFERROR(INDEX(Référentiels!$H$5:$H$24,MATCH($A47,Référentiels!$G$5:$G$24,0)),"")</f>
        <v/>
      </c>
      <c r="C47" s="10">
        <f>COUNTIF(Planning!$K$4:$K$863,$A47)</f>
        <v/>
      </c>
      <c r="D47" s="101">
        <f>SUMIF(Planning!$K$4:$K$863,$A47,Planning!$H$4:$H$863)</f>
        <v/>
      </c>
      <c r="E47" s="10">
        <f>SUMPRODUCT(--(COUNTIFS(Planning!$K$4:$K$863,$A47,Planning!$M$4:$M$863,LST_Profs)&gt;0))</f>
        <v/>
      </c>
      <c r="F47" s="10">
        <f>SUMPRODUCT(--(COUNTIFS(Planning!$K$4:$K$863,$A47,Planning!$J$4:$J$863,LST_Classes)&gt;0))</f>
        <v/>
      </c>
      <c r="G47" s="179">
        <f>IFERROR(C47/COUNTA(Planning!$A$4:$A$863),"")</f>
        <v/>
      </c>
    </row>
    <row r="48" ht="16" customHeight="1">
      <c r="A48" s="9" t="inlineStr">
        <is>
          <t>Informatique</t>
        </is>
      </c>
      <c r="B48" s="9">
        <f>IFERROR(INDEX(Référentiels!$H$5:$H$24,MATCH($A48,Référentiels!$G$5:$G$24,0)),"")</f>
        <v/>
      </c>
      <c r="C48" s="10">
        <f>COUNTIF(Planning!$K$4:$K$863,$A48)</f>
        <v/>
      </c>
      <c r="D48" s="101">
        <f>SUMIF(Planning!$K$4:$K$863,$A48,Planning!$H$4:$H$863)</f>
        <v/>
      </c>
      <c r="E48" s="10">
        <f>SUMPRODUCT(--(COUNTIFS(Planning!$K$4:$K$863,$A48,Planning!$M$4:$M$863,LST_Profs)&gt;0))</f>
        <v/>
      </c>
      <c r="F48" s="10">
        <f>SUMPRODUCT(--(COUNTIFS(Planning!$K$4:$K$863,$A48,Planning!$J$4:$J$863,LST_Classes)&gt;0))</f>
        <v/>
      </c>
      <c r="G48" s="179">
        <f>IFERROR(C48/COUNTA(Planning!$A$4:$A$863),"")</f>
        <v/>
      </c>
    </row>
    <row r="49" ht="16" customHeight="1">
      <c r="A49" s="9" t="inlineStr">
        <is>
          <t>Italien</t>
        </is>
      </c>
      <c r="B49" s="9">
        <f>IFERROR(INDEX(Référentiels!$H$5:$H$24,MATCH($A49,Référentiels!$G$5:$G$24,0)),"")</f>
        <v/>
      </c>
      <c r="C49" s="10">
        <f>COUNTIF(Planning!$K$4:$K$863,$A49)</f>
        <v/>
      </c>
      <c r="D49" s="101">
        <f>SUMIF(Planning!$K$4:$K$863,$A49,Planning!$H$4:$H$863)</f>
        <v/>
      </c>
      <c r="E49" s="10">
        <f>SUMPRODUCT(--(COUNTIFS(Planning!$K$4:$K$863,$A49,Planning!$M$4:$M$863,LST_Profs)&gt;0))</f>
        <v/>
      </c>
      <c r="F49" s="10">
        <f>SUMPRODUCT(--(COUNTIFS(Planning!$K$4:$K$863,$A49,Planning!$J$4:$J$863,LST_Classes)&gt;0))</f>
        <v/>
      </c>
      <c r="G49" s="179">
        <f>IFERROR(C49/COUNTA(Planning!$A$4:$A$863),"")</f>
        <v/>
      </c>
    </row>
    <row r="50" ht="16" customHeight="1">
      <c r="A50" s="9" t="inlineStr">
        <is>
          <t>Math</t>
        </is>
      </c>
      <c r="B50" s="9">
        <f>IFERROR(INDEX(Référentiels!$H$5:$H$24,MATCH($A50,Référentiels!$G$5:$G$24,0)),"")</f>
        <v/>
      </c>
      <c r="C50" s="10">
        <f>COUNTIF(Planning!$K$4:$K$863,$A50)</f>
        <v/>
      </c>
      <c r="D50" s="101">
        <f>SUMIF(Planning!$K$4:$K$863,$A50,Planning!$H$4:$H$863)</f>
        <v/>
      </c>
      <c r="E50" s="10">
        <f>SUMPRODUCT(--(COUNTIFS(Planning!$K$4:$K$863,$A50,Planning!$M$4:$M$863,LST_Profs)&gt;0))</f>
        <v/>
      </c>
      <c r="F50" s="10">
        <f>SUMPRODUCT(--(COUNTIFS(Planning!$K$4:$K$863,$A50,Planning!$J$4:$J$863,LST_Classes)&gt;0))</f>
        <v/>
      </c>
      <c r="G50" s="179">
        <f>IFERROR(C50/COUNTA(Planning!$A$4:$A$863),"")</f>
        <v/>
      </c>
    </row>
    <row r="51" ht="16" customHeight="1">
      <c r="A51" s="9" t="inlineStr">
        <is>
          <t>Philo</t>
        </is>
      </c>
      <c r="B51" s="9">
        <f>IFERROR(INDEX(Référentiels!$H$5:$H$24,MATCH($A51,Référentiels!$G$5:$G$24,0)),"")</f>
        <v/>
      </c>
      <c r="C51" s="10">
        <f>COUNTIF(Planning!$K$4:$K$863,$A51)</f>
        <v/>
      </c>
      <c r="D51" s="101">
        <f>SUMIF(Planning!$K$4:$K$863,$A51,Planning!$H$4:$H$863)</f>
        <v/>
      </c>
      <c r="E51" s="10">
        <f>SUMPRODUCT(--(COUNTIFS(Planning!$K$4:$K$863,$A51,Planning!$M$4:$M$863,LST_Profs)&gt;0))</f>
        <v/>
      </c>
      <c r="F51" s="10">
        <f>SUMPRODUCT(--(COUNTIFS(Planning!$K$4:$K$863,$A51,Planning!$J$4:$J$863,LST_Classes)&gt;0))</f>
        <v/>
      </c>
      <c r="G51" s="179">
        <f>IFERROR(C51/COUNTA(Planning!$A$4:$A$863),"")</f>
        <v/>
      </c>
    </row>
    <row r="52" ht="16" customHeight="1">
      <c r="A52" s="9" t="inlineStr">
        <is>
          <t>Physique</t>
        </is>
      </c>
      <c r="B52" s="9">
        <f>IFERROR(INDEX(Référentiels!$H$5:$H$24,MATCH($A52,Référentiels!$G$5:$G$24,0)),"")</f>
        <v/>
      </c>
      <c r="C52" s="10">
        <f>COUNTIF(Planning!$K$4:$K$863,$A52)</f>
        <v/>
      </c>
      <c r="D52" s="101">
        <f>SUMIF(Planning!$K$4:$K$863,$A52,Planning!$H$4:$H$863)</f>
        <v/>
      </c>
      <c r="E52" s="10">
        <f>SUMPRODUCT(--(COUNTIFS(Planning!$K$4:$K$863,$A52,Planning!$M$4:$M$863,LST_Profs)&gt;0))</f>
        <v/>
      </c>
      <c r="F52" s="10">
        <f>SUMPRODUCT(--(COUNTIFS(Planning!$K$4:$K$863,$A52,Planning!$J$4:$J$863,LST_Classes)&gt;0))</f>
        <v/>
      </c>
      <c r="G52" s="179">
        <f>IFERROR(C52/COUNTA(Planning!$A$4:$A$863),"")</f>
        <v/>
      </c>
    </row>
    <row r="53" ht="16" customHeight="1">
      <c r="A53" s="9" t="inlineStr">
        <is>
          <t>STI</t>
        </is>
      </c>
      <c r="B53" s="9">
        <f>IFERROR(INDEX(Référentiels!$H$5:$H$24,MATCH($A53,Référentiels!$G$5:$G$24,0)),"")</f>
        <v/>
      </c>
      <c r="C53" s="10">
        <f>COUNTIF(Planning!$K$4:$K$863,$A53)</f>
        <v/>
      </c>
      <c r="D53" s="101">
        <f>SUMIF(Planning!$K$4:$K$863,$A53,Planning!$H$4:$H$863)</f>
        <v/>
      </c>
      <c r="E53" s="10">
        <f>SUMPRODUCT(--(COUNTIFS(Planning!$K$4:$K$863,$A53,Planning!$M$4:$M$863,LST_Profs)&gt;0))</f>
        <v/>
      </c>
      <c r="F53" s="10">
        <f>SUMPRODUCT(--(COUNTIFS(Planning!$K$4:$K$863,$A53,Planning!$J$4:$J$863,LST_Classes)&gt;0))</f>
        <v/>
      </c>
      <c r="G53" s="179">
        <f>IFERROR(C53/COUNTA(Planning!$A$4:$A$863),"")</f>
        <v/>
      </c>
    </row>
    <row r="54" ht="16" customHeight="1">
      <c r="A54" s="9" t="inlineStr">
        <is>
          <t>SVT</t>
        </is>
      </c>
      <c r="B54" s="9">
        <f>IFERROR(INDEX(Référentiels!$H$5:$H$24,MATCH($A54,Référentiels!$G$5:$G$24,0)),"")</f>
        <v/>
      </c>
      <c r="C54" s="10">
        <f>COUNTIF(Planning!$K$4:$K$863,$A54)</f>
        <v/>
      </c>
      <c r="D54" s="101">
        <f>SUMIF(Planning!$K$4:$K$863,$A54,Planning!$H$4:$H$863)</f>
        <v/>
      </c>
      <c r="E54" s="10">
        <f>SUMPRODUCT(--(COUNTIFS(Planning!$K$4:$K$863,$A54,Planning!$M$4:$M$863,LST_Profs)&gt;0))</f>
        <v/>
      </c>
      <c r="F54" s="10">
        <f>SUMPRODUCT(--(COUNTIFS(Planning!$K$4:$K$863,$A54,Planning!$J$4:$J$863,LST_Classes)&gt;0))</f>
        <v/>
      </c>
      <c r="G54" s="179">
        <f>IFERROR(C54/COUNTA(Planning!$A$4:$A$863),"")</f>
        <v/>
      </c>
    </row>
    <row r="55" ht="16" customHeight="1">
      <c r="A55" s="9" t="inlineStr">
        <is>
          <t>إيقاظ علمي</t>
        </is>
      </c>
      <c r="B55" s="9">
        <f>IFERROR(INDEX(Référentiels!$H$5:$H$24,MATCH($A55,Référentiels!$G$5:$G$24,0)),"")</f>
        <v/>
      </c>
      <c r="C55" s="10">
        <f>COUNTIF(Planning!$K$4:$K$863,$A55)</f>
        <v/>
      </c>
      <c r="D55" s="101">
        <f>SUMIF(Planning!$K$4:$K$863,$A55,Planning!$H$4:$H$863)</f>
        <v/>
      </c>
      <c r="E55" s="10">
        <f>SUMPRODUCT(--(COUNTIFS(Planning!$K$4:$K$863,$A55,Planning!$M$4:$M$863,LST_Profs)&gt;0))</f>
        <v/>
      </c>
      <c r="F55" s="10">
        <f>SUMPRODUCT(--(COUNTIFS(Planning!$K$4:$K$863,$A55,Planning!$J$4:$J$863,LST_Classes)&gt;0))</f>
        <v/>
      </c>
      <c r="G55" s="179">
        <f>IFERROR(C55/COUNTA(Planning!$A$4:$A$863),"")</f>
        <v/>
      </c>
    </row>
    <row r="56" ht="16" customHeight="1">
      <c r="A56" s="9" t="inlineStr">
        <is>
          <t>رياضيات</t>
        </is>
      </c>
      <c r="B56" s="9">
        <f>IFERROR(INDEX(Référentiels!$H$5:$H$24,MATCH($A56,Référentiels!$G$5:$G$24,0)),"")</f>
        <v/>
      </c>
      <c r="C56" s="10">
        <f>COUNTIF(Planning!$K$4:$K$863,$A56)</f>
        <v/>
      </c>
      <c r="D56" s="101">
        <f>SUMIF(Planning!$K$4:$K$863,$A56,Planning!$H$4:$H$863)</f>
        <v/>
      </c>
      <c r="E56" s="10">
        <f>SUMPRODUCT(--(COUNTIFS(Planning!$K$4:$K$863,$A56,Planning!$M$4:$M$863,LST_Profs)&gt;0))</f>
        <v/>
      </c>
      <c r="F56" s="10">
        <f>SUMPRODUCT(--(COUNTIFS(Planning!$K$4:$K$863,$A56,Planning!$J$4:$J$863,LST_Classes)&gt;0))</f>
        <v/>
      </c>
      <c r="G56" s="179">
        <f>IFERROR(C56/COUNTA(Planning!$A$4:$A$863),"")</f>
        <v/>
      </c>
    </row>
    <row r="57" ht="16" customHeight="1">
      <c r="A57" s="9" t="inlineStr">
        <is>
          <t>عربية</t>
        </is>
      </c>
      <c r="B57" s="9">
        <f>IFERROR(INDEX(Référentiels!$H$5:$H$24,MATCH($A57,Référentiels!$G$5:$G$24,0)),"")</f>
        <v/>
      </c>
      <c r="C57" s="10">
        <f>COUNTIF(Planning!$K$4:$K$863,$A57)</f>
        <v/>
      </c>
      <c r="D57" s="101">
        <f>SUMIF(Planning!$K$4:$K$863,$A57,Planning!$H$4:$H$863)</f>
        <v/>
      </c>
      <c r="E57" s="10">
        <f>SUMPRODUCT(--(COUNTIFS(Planning!$K$4:$K$863,$A57,Planning!$M$4:$M$863,LST_Profs)&gt;0))</f>
        <v/>
      </c>
      <c r="F57" s="10">
        <f>SUMPRODUCT(--(COUNTIFS(Planning!$K$4:$K$863,$A57,Planning!$J$4:$J$863,LST_Classes)&gt;0))</f>
        <v/>
      </c>
      <c r="G57" s="179">
        <f>IFERROR(C57/COUNTA(Planning!$A$4:$A$863),"")</f>
        <v/>
      </c>
    </row>
    <row r="58" ht="16" customHeight="1">
      <c r="A58" s="9" t="inlineStr">
        <is>
          <t>فيزياء</t>
        </is>
      </c>
      <c r="B58" s="9">
        <f>IFERROR(INDEX(Référentiels!$H$5:$H$24,MATCH($A58,Référentiels!$G$5:$G$24,0)),"")</f>
        <v/>
      </c>
      <c r="C58" s="10">
        <f>COUNTIF(Planning!$K$4:$K$863,$A58)</f>
        <v/>
      </c>
      <c r="D58" s="101">
        <f>SUMIF(Planning!$K$4:$K$863,$A58,Planning!$H$4:$H$863)</f>
        <v/>
      </c>
      <c r="E58" s="10">
        <f>SUMPRODUCT(--(COUNTIFS(Planning!$K$4:$K$863,$A58,Planning!$M$4:$M$863,LST_Profs)&gt;0))</f>
        <v/>
      </c>
      <c r="F58" s="10">
        <f>SUMPRODUCT(--(COUNTIFS(Planning!$K$4:$K$863,$A58,Planning!$J$4:$J$863,LST_Classes)&gt;0))</f>
        <v/>
      </c>
      <c r="G58" s="179">
        <f>IFERROR(C58/COUNTA(Planning!$A$4:$A$863),"")</f>
        <v/>
      </c>
    </row>
    <row r="60" ht="23" customHeight="1">
      <c r="A60" s="167" t="inlineStr">
        <is>
          <t>RÉPARTITION PAR JOUR (semaine A type = S5 · semaine B type = S4)</t>
        </is>
      </c>
      <c r="B60" s="168" t="n"/>
      <c r="C60" s="168" t="n"/>
      <c r="D60" s="168" t="n"/>
      <c r="E60" s="168" t="n"/>
      <c r="F60" s="168" t="n"/>
      <c r="G60" s="168" t="n"/>
      <c r="H60" s="168" t="n"/>
      <c r="I60" s="168" t="n"/>
      <c r="J60" s="168" t="n"/>
      <c r="K60" s="168" t="n"/>
    </row>
    <row r="61" ht="26" customHeight="1">
      <c r="A61" s="7" t="inlineStr">
        <is>
          <t>Jour</t>
        </is>
      </c>
      <c r="B61" s="7" t="inlineStr">
        <is>
          <t>Séances semaine A</t>
        </is>
      </c>
      <c r="C61" s="7" t="inlineStr">
        <is>
          <t>Heures semaine A</t>
        </is>
      </c>
      <c r="D61" s="7" t="inlineStr">
        <is>
          <t>Séances semaine B</t>
        </is>
      </c>
      <c r="E61" s="7" t="inlineStr">
        <is>
          <t>Heures semaine B</t>
        </is>
      </c>
      <c r="F61" s="7" t="inlineStr">
        <is>
          <t>1re séance (A)</t>
        </is>
      </c>
      <c r="G61" s="7" t="inlineStr">
        <is>
          <t>Dernière fin (A)</t>
        </is>
      </c>
    </row>
    <row r="62" ht="16" customHeight="1">
      <c r="A62" s="9" t="inlineStr">
        <is>
          <t>Lundi</t>
        </is>
      </c>
      <c r="B62" s="9">
        <f>COUNTIFS(Planning!$A$4:$A$863,"S5",Planning!$E$4:$E$863,$A62,Planning!$S$4:$S$863,"Oui")</f>
        <v/>
      </c>
      <c r="C62" s="101">
        <f>SUMIFS(Planning!$H$4:$H$863,Planning!$A$4:$A$863,"S5",Planning!$E$4:$E$863,$A62,Planning!$S$4:$S$863,"Oui")</f>
        <v/>
      </c>
      <c r="D62" s="10">
        <f>COUNTIFS(Planning!$A$4:$A$863,"S4",Planning!$E$4:$E$863,$A62,Planning!$S$4:$S$863,"Oui")</f>
        <v/>
      </c>
      <c r="E62" s="101">
        <f>SUMIFS(Planning!$H$4:$H$863,Planning!$A$4:$A$863,"S4",Planning!$E$4:$E$863,$A62,Planning!$S$4:$S$863,"Oui")</f>
        <v/>
      </c>
      <c r="F62" s="180">
        <f>IFERROR(MINIFS(Planning!$F$4:$F$863,Planning!$A$4:$A$863,"S5",Planning!$E$4:$E$863,$A62),"")</f>
        <v/>
      </c>
      <c r="G62" s="180">
        <f>IFERROR(MAXIFS(Planning!$G$4:$G$863,Planning!$A$4:$A$863,"S5",Planning!$E$4:$E$863,$A62),"")</f>
        <v/>
      </c>
    </row>
    <row r="63" ht="16" customHeight="1">
      <c r="A63" s="9" t="inlineStr">
        <is>
          <t>Mardi</t>
        </is>
      </c>
      <c r="B63" s="9">
        <f>COUNTIFS(Planning!$A$4:$A$863,"S5",Planning!$E$4:$E$863,$A63,Planning!$S$4:$S$863,"Oui")</f>
        <v/>
      </c>
      <c r="C63" s="101">
        <f>SUMIFS(Planning!$H$4:$H$863,Planning!$A$4:$A$863,"S5",Planning!$E$4:$E$863,$A63,Planning!$S$4:$S$863,"Oui")</f>
        <v/>
      </c>
      <c r="D63" s="10">
        <f>COUNTIFS(Planning!$A$4:$A$863,"S4",Planning!$E$4:$E$863,$A63,Planning!$S$4:$S$863,"Oui")</f>
        <v/>
      </c>
      <c r="E63" s="101">
        <f>SUMIFS(Planning!$H$4:$H$863,Planning!$A$4:$A$863,"S4",Planning!$E$4:$E$863,$A63,Planning!$S$4:$S$863,"Oui")</f>
        <v/>
      </c>
      <c r="F63" s="180">
        <f>IFERROR(MINIFS(Planning!$F$4:$F$863,Planning!$A$4:$A$863,"S5",Planning!$E$4:$E$863,$A63),"")</f>
        <v/>
      </c>
      <c r="G63" s="180">
        <f>IFERROR(MAXIFS(Planning!$G$4:$G$863,Planning!$A$4:$A$863,"S5",Planning!$E$4:$E$863,$A63),"")</f>
        <v/>
      </c>
    </row>
    <row r="64" ht="16" customHeight="1">
      <c r="A64" s="9" t="inlineStr">
        <is>
          <t>Mercredi</t>
        </is>
      </c>
      <c r="B64" s="9">
        <f>COUNTIFS(Planning!$A$4:$A$863,"S5",Planning!$E$4:$E$863,$A64,Planning!$S$4:$S$863,"Oui")</f>
        <v/>
      </c>
      <c r="C64" s="101">
        <f>SUMIFS(Planning!$H$4:$H$863,Planning!$A$4:$A$863,"S5",Planning!$E$4:$E$863,$A64,Planning!$S$4:$S$863,"Oui")</f>
        <v/>
      </c>
      <c r="D64" s="10">
        <f>COUNTIFS(Planning!$A$4:$A$863,"S4",Planning!$E$4:$E$863,$A64,Planning!$S$4:$S$863,"Oui")</f>
        <v/>
      </c>
      <c r="E64" s="101">
        <f>SUMIFS(Planning!$H$4:$H$863,Planning!$A$4:$A$863,"S4",Planning!$E$4:$E$863,$A64,Planning!$S$4:$S$863,"Oui")</f>
        <v/>
      </c>
      <c r="F64" s="180">
        <f>IFERROR(MINIFS(Planning!$F$4:$F$863,Planning!$A$4:$A$863,"S5",Planning!$E$4:$E$863,$A64),"")</f>
        <v/>
      </c>
      <c r="G64" s="180">
        <f>IFERROR(MAXIFS(Planning!$G$4:$G$863,Planning!$A$4:$A$863,"S5",Planning!$E$4:$E$863,$A64),"")</f>
        <v/>
      </c>
    </row>
    <row r="65" ht="16" customHeight="1">
      <c r="A65" s="9" t="inlineStr">
        <is>
          <t>Jeudi</t>
        </is>
      </c>
      <c r="B65" s="9">
        <f>COUNTIFS(Planning!$A$4:$A$863,"S5",Planning!$E$4:$E$863,$A65,Planning!$S$4:$S$863,"Oui")</f>
        <v/>
      </c>
      <c r="C65" s="101">
        <f>SUMIFS(Planning!$H$4:$H$863,Planning!$A$4:$A$863,"S5",Planning!$E$4:$E$863,$A65,Planning!$S$4:$S$863,"Oui")</f>
        <v/>
      </c>
      <c r="D65" s="10">
        <f>COUNTIFS(Planning!$A$4:$A$863,"S4",Planning!$E$4:$E$863,$A65,Planning!$S$4:$S$863,"Oui")</f>
        <v/>
      </c>
      <c r="E65" s="101">
        <f>SUMIFS(Planning!$H$4:$H$863,Planning!$A$4:$A$863,"S4",Planning!$E$4:$E$863,$A65,Planning!$S$4:$S$863,"Oui")</f>
        <v/>
      </c>
      <c r="F65" s="180">
        <f>IFERROR(MINIFS(Planning!$F$4:$F$863,Planning!$A$4:$A$863,"S5",Planning!$E$4:$E$863,$A65),"")</f>
        <v/>
      </c>
      <c r="G65" s="180">
        <f>IFERROR(MAXIFS(Planning!$G$4:$G$863,Planning!$A$4:$A$863,"S5",Planning!$E$4:$E$863,$A65),"")</f>
        <v/>
      </c>
    </row>
    <row r="66" ht="16" customHeight="1">
      <c r="A66" s="9" t="inlineStr">
        <is>
          <t>Vendredi</t>
        </is>
      </c>
      <c r="B66" s="9">
        <f>COUNTIFS(Planning!$A$4:$A$863,"S5",Planning!$E$4:$E$863,$A66,Planning!$S$4:$S$863,"Oui")</f>
        <v/>
      </c>
      <c r="C66" s="101">
        <f>SUMIFS(Planning!$H$4:$H$863,Planning!$A$4:$A$863,"S5",Planning!$E$4:$E$863,$A66,Planning!$S$4:$S$863,"Oui")</f>
        <v/>
      </c>
      <c r="D66" s="10">
        <f>COUNTIFS(Planning!$A$4:$A$863,"S4",Planning!$E$4:$E$863,$A66,Planning!$S$4:$S$863,"Oui")</f>
        <v/>
      </c>
      <c r="E66" s="101">
        <f>SUMIFS(Planning!$H$4:$H$863,Planning!$A$4:$A$863,"S4",Planning!$E$4:$E$863,$A66,Planning!$S$4:$S$863,"Oui")</f>
        <v/>
      </c>
      <c r="F66" s="180">
        <f>IFERROR(MINIFS(Planning!$F$4:$F$863,Planning!$A$4:$A$863,"S5",Planning!$E$4:$E$863,$A66),"")</f>
        <v/>
      </c>
      <c r="G66" s="180">
        <f>IFERROR(MAXIFS(Planning!$G$4:$G$863,Planning!$A$4:$A$863,"S5",Planning!$E$4:$E$863,$A66),"")</f>
        <v/>
      </c>
    </row>
    <row r="67" ht="16" customHeight="1">
      <c r="A67" s="9" t="inlineStr">
        <is>
          <t>Samedi</t>
        </is>
      </c>
      <c r="B67" s="9">
        <f>COUNTIFS(Planning!$A$4:$A$863,"S5",Planning!$E$4:$E$863,$A67,Planning!$S$4:$S$863,"Oui")</f>
        <v/>
      </c>
      <c r="C67" s="101">
        <f>SUMIFS(Planning!$H$4:$H$863,Planning!$A$4:$A$863,"S5",Planning!$E$4:$E$863,$A67,Planning!$S$4:$S$863,"Oui")</f>
        <v/>
      </c>
      <c r="D67" s="10">
        <f>COUNTIFS(Planning!$A$4:$A$863,"S4",Planning!$E$4:$E$863,$A67,Planning!$S$4:$S$863,"Oui")</f>
        <v/>
      </c>
      <c r="E67" s="101">
        <f>SUMIFS(Planning!$H$4:$H$863,Planning!$A$4:$A$863,"S4",Planning!$E$4:$E$863,$A67,Planning!$S$4:$S$863,"Oui")</f>
        <v/>
      </c>
      <c r="F67" s="180">
        <f>IFERROR(MINIFS(Planning!$F$4:$F$863,Planning!$A$4:$A$863,"S5",Planning!$E$4:$E$863,$A67),"")</f>
        <v/>
      </c>
      <c r="G67" s="180">
        <f>IFERROR(MAXIFS(Planning!$G$4:$G$863,Planning!$A$4:$A$863,"S5",Planning!$E$4:$E$863,$A67),"")</f>
        <v/>
      </c>
    </row>
    <row r="68" ht="16" customHeight="1">
      <c r="A68" s="9" t="inlineStr">
        <is>
          <t>Dimanche</t>
        </is>
      </c>
      <c r="B68" s="9">
        <f>COUNTIFS(Planning!$A$4:$A$863,"S5",Planning!$E$4:$E$863,$A68,Planning!$S$4:$S$863,"Oui")</f>
        <v/>
      </c>
      <c r="C68" s="101">
        <f>SUMIFS(Planning!$H$4:$H$863,Planning!$A$4:$A$863,"S5",Planning!$E$4:$E$863,$A68,Planning!$S$4:$S$863,"Oui")</f>
        <v/>
      </c>
      <c r="D68" s="10">
        <f>COUNTIFS(Planning!$A$4:$A$863,"S4",Planning!$E$4:$E$863,$A68,Planning!$S$4:$S$863,"Oui")</f>
        <v/>
      </c>
      <c r="E68" s="101">
        <f>SUMIFS(Planning!$H$4:$H$863,Planning!$A$4:$A$863,"S4",Planning!$E$4:$E$863,$A68,Planning!$S$4:$S$863,"Oui")</f>
        <v/>
      </c>
      <c r="F68" s="180">
        <f>IFERROR(MINIFS(Planning!$F$4:$F$863,Planning!$A$4:$A$863,"S5",Planning!$E$4:$E$863,$A68),"")</f>
        <v/>
      </c>
      <c r="G68" s="180">
        <f>IFERROR(MAXIFS(Planning!$G$4:$G$863,Planning!$A$4:$A$863,"S5",Planning!$E$4:$E$863,$A68),"")</f>
        <v/>
      </c>
    </row>
  </sheetData>
  <mergeCells count="7">
    <mergeCell ref="A4:K4"/>
    <mergeCell ref="A30:K30"/>
    <mergeCell ref="A2:K2"/>
    <mergeCell ref="A19:K19"/>
    <mergeCell ref="A60:K60"/>
    <mergeCell ref="A1:K1"/>
    <mergeCell ref="A37:K37"/>
  </mergeCells>
  <conditionalFormatting sqref="B6:B17">
    <cfRule type="expression" priority="1" dxfId="14">
      <formula>AND(ROW()=17,B17&gt;0)</formula>
    </cfRule>
  </conditionalFormatting>
  <printOptions horizontalCentered="1" gridLines="0"/>
  <pageMargins left="0.35" right="0.35" top="0.5" bottom="0.45" header="0.2" footer="0.2"/>
  <pageSetup orientation="landscape" paperSize="9" fitToHeight="0" fitToWidth="1"/>
  <headerFooter>
    <oddHeader>&amp;R&amp;"Arial,Italic"&amp;8 </oddHeader>
    <oddFooter>&amp;L&amp;8 RS 2026-2027 · Récapitulatif&amp;R&amp;8 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2026-09-29T13:47:02Z</dcterms:created>
  <dcterms:modified xsi:type="dcterms:W3CDTF">2026-09-29T13:47:04Z</dcterms:modified>
</cp:coreProperties>
</file>